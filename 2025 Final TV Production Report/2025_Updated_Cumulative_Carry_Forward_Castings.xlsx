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69f25d2ac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y-Forward Summary" sheetId="1" r:id="Rfe2eeccd69e84082"/>
    <x:sheet xmlns:r="http://schemas.openxmlformats.org/officeDocument/2006/relationships" name="Used in 2025" sheetId="2" r:id="R697489da893542f7"/>
    <x:sheet xmlns:r="http://schemas.openxmlformats.org/officeDocument/2006/relationships" name="2025 First Appearances" sheetId="3" r:id="R0fed3e41955b4da0"/>
    <x:sheet xmlns:r="http://schemas.openxmlformats.org/officeDocument/2006/relationships" name="Post-2025 Exclusion Log" sheetId="4" r:id="R92da4759788d44b9"/>
    <x:sheet xmlns:r="http://schemas.openxmlformats.org/officeDocument/2006/relationships" name="Unresolved Year Records" sheetId="5" r:id="R36518e5b4bd94452"/>
    <x:sheet xmlns:r="http://schemas.openxmlformats.org/officeDocument/2006/relationships" name="Duplicate and Conflict Log" sheetId="6" r:id="R1cb5d92010bc43b3"/>
    <x:sheet xmlns:r="http://schemas.openxmlformats.org/officeDocument/2006/relationships" name="QA and Reconciliation" sheetId="7" r:id="R376c4793085c4988"/>
    <x:sheet xmlns:r="http://schemas.openxmlformats.org/officeDocument/2006/relationships" name="Data Dictionary" sheetId="8" r:id="R1f09ec78f895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ae50989764c73" /><Relationship Type="http://schemas.openxmlformats.org/officeDocument/2006/relationships/theme" Target="/xl/theme/theme1.xml" Id="Raf4b9d137e51480b" /><Relationship Type="http://schemas.openxmlformats.org/officeDocument/2006/relationships/sharedStrings" Target="/xl/sharedStrings.xml" Id="R2f8c81e3136d4434" /><Relationship Type="http://schemas.openxmlformats.org/officeDocument/2006/relationships/worksheet" Target="/xl/worksheets/sheet1.xml" Id="Rfe2eeccd69e84082" /><Relationship Type="http://schemas.openxmlformats.org/officeDocument/2006/relationships/worksheet" Target="/xl/worksheets/sheet2.xml" Id="R697489da893542f7" /><Relationship Type="http://schemas.openxmlformats.org/officeDocument/2006/relationships/worksheet" Target="/xl/worksheets/sheet3.xml" Id="R0fed3e41955b4da0" /><Relationship Type="http://schemas.openxmlformats.org/officeDocument/2006/relationships/worksheet" Target="/xl/worksheets/sheet4.xml" Id="R92da4759788d44b9" /><Relationship Type="http://schemas.openxmlformats.org/officeDocument/2006/relationships/worksheet" Target="/xl/worksheets/sheet5.xml" Id="R36518e5b4bd94452" /><Relationship Type="http://schemas.openxmlformats.org/officeDocument/2006/relationships/worksheet" Target="/xl/worksheets/sheet6.xml" Id="R1cb5d92010bc43b3" /><Relationship Type="http://schemas.openxmlformats.org/officeDocument/2006/relationships/worksheet" Target="/xl/worksheets/sheet7.xml" Id="R376c4793085c4988" /><Relationship Type="http://schemas.openxmlformats.org/officeDocument/2006/relationships/worksheet" Target="/xl/worksheets/sheet8.xml" Id="R1f09ec78f895428b" /></Relationships>
</file>

<file path=xl/tables/table1.xml><?xml version="1.0" encoding="utf-8"?>
<x:table xmlns:x="http://schemas.openxmlformats.org/spreadsheetml/2006/main" id="1" name="CarryForwardSummaryTable" displayName="CarryForwardSummaryTable" ref="A5:F10" headerRowCount="1" totalsRowCount="0" totalsRowShown="0">
  <x:tableColumns count="6">
    <x:tableColumn id="1" name="Ledger population"/>
    <x:tableColumn id="2" name="Records"/>
    <x:tableColumn id="3" name="Productions"/>
    <x:tableColumn id="4" name="Analytical treatment"/>
    <x:tableColumn id="5" name="Source years"/>
    <x:tableColumn id="6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d2025Table" displayName="Used2025Table" ref="A5:CD831" headerRowCount="1" totalsRowCount="0" totalsRowShown="0">
  <x:autoFilter ref="A5:CD83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Appearances2025Table" displayName="FirstAppearances2025Table" ref="A5:CD831" headerRowCount="1" totalsRowCount="0" totalsRowShown="0">
  <x:autoFilter ref="A5:CD83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st2025ExclusionTable" displayName="Post2025ExclusionTable" ref="A5:CD562" headerRowCount="1" totalsRowCount="0" totalsRowShown="0">
  <x:autoFilter ref="A5:CD562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resolvedYearTable" displayName="UnresolvedYearTable" ref="A5:CD96" headerRowCount="1" totalsRowCount="0" totalsRowShown="0">
  <x:autoFilter ref="A5:CD96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plicateConflictTable" displayName="DuplicateConflictTable" ref="A5:E6" headerRowCount="1" totalsRowCount="0" totalsRowShown="0">
  <x:autoFilter ref="A5:E6"/>
  <x:tableColumns count="5">
    <x:tableColumn id="1" name="Canonical casting-credit key"/>
    <x:tableColumn id="2" name="Canonical source"/>
    <x:tableColumn id="3" name="Duplicate source"/>
    <x:tableColumn id="4" name="Conflict status"/>
    <x:tableColumn id="5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ryForwardQATable" displayName="CarryForwardQATable" ref="A5:B14" headerRowCount="1" totalsRowCount="0" totalsRowShown="0">
  <x:autoFilter ref="A5:B14"/>
  <x:tableColumns count="2">
    <x:tableColumn id="1" name="Measure"/>
    <x:tableColumn id="2" name="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rryForwardDictionaryTable" displayName="CarryForwardDictionaryTable" ref="A5:C87" headerRowCount="1" totalsRowCount="0" totalsRowShown="0">
  <x:autoFilter ref="A5:C87"/>
  <x:tableColumns count="3">
    <x:tableColumn id="1" name="Field"/>
    <x:tableColumn id="2" name="Group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20ad2b694045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890d1d0441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30f781c69f45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9b49fbd82944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4dd4df6a8324a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5cebd32546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5b495e3c44d40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8e60e61f15944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45" hidden="0" customWidth="1"/>
    <x:col min="5" max="5" width="25" hidden="0" customWidth="1"/>
    <x:col min="6" max="6" width="24" hidden="0" customWidth="1"/>
  </x:cols>
  <x:sheetData>
    <x:row r="1" ht="30" customHeight="1">
      <x:c r="A1" s="3" t="str">
        <x:v>2025 cumulative carry-forward ledger</x:v>
      </x:c>
      <x:c r="B1" s="3"/>
      <x:c r="C1" s="3"/>
      <x:c r="D1" s="3"/>
      <x:c r="E1" s="3"/>
      <x:c r="F1" s="3"/>
    </x:row>
    <x:row r="2" ht="42" customHeight="1">
      <x:c r="A2" s="7" t="str">
        <x:v>Final-year ledger: 2025 carry-ins are marked as used; records after 2025 remain excluded and no principal 2026 cohort is created.</x:v>
      </x:c>
      <x:c r="B2" s="7"/>
      <x:c r="C2" s="7"/>
      <x:c r="D2" s="7"/>
      <x:c r="E2" s="7"/>
      <x:c r="F2" s="7"/>
    </x:row>
    <x:row r="5" ht="34" customHeight="1">
      <x:c r="A5" s="11" t="str">
        <x:v>Ledger population</x:v>
      </x:c>
      <x:c r="B5" s="11" t="str">
        <x:v>Records</x:v>
      </x:c>
      <x:c r="C5" s="11" t="str">
        <x:v>Productions</x:v>
      </x:c>
      <x:c r="D5" s="11" t="str">
        <x:v>Analytical treatment</x:v>
      </x:c>
      <x:c r="E5" s="11" t="str">
        <x:v>Source years</x:v>
      </x:c>
      <x:c r="F5" s="11" t="str">
        <x:v>QA status</x:v>
      </x:c>
    </x:row>
    <x:row r="6">
      <x:c r="A6" s="14" t="str">
        <x:v>Inherited records used in 2025</x:v>
      </x:c>
      <x:c r="B6" s="14" t="n">
        <x:v>826</x:v>
      </x:c>
      <x:c r="C6" s="14" t="n">
        <x:v>24</x:v>
      </x:c>
      <x:c r="D6" s="14" t="str">
        <x:v>Entered the 2025 annual analysis</x:v>
      </x:c>
      <x:c r="E6" s="14" t="str">
        <x:v>2021-2024 sources</x:v>
      </x:c>
      <x:c r="F6" s="14" t="str">
        <x:v>Passed</x:v>
      </x:c>
    </x:row>
    <x:row r="7">
      <x:c r="A7" s="14" t="str">
        <x:v>2025 first appearances</x:v>
      </x:c>
      <x:c r="B7" s="14" t="n">
        <x:v>826</x:v>
      </x:c>
      <x:c r="C7" s="14" t="n">
        <x:v>24</x:v>
      </x:c>
      <x:c r="D7" s="14" t="str">
        <x:v>Source view of records promoted in the final year</x:v>
      </x:c>
      <x:c r="E7" s="14" t="str">
        <x:v>2021-2024 sources</x:v>
      </x:c>
      <x:c r="F7" s="14" t="str">
        <x:v>Passed</x:v>
      </x:c>
    </x:row>
    <x:row r="8">
      <x:c r="A8" s="14" t="str">
        <x:v>Post-2025 exclusions</x:v>
      </x:c>
      <x:c r="B8" s="14" t="n">
        <x:v>557</x:v>
      </x:c>
      <x:c r="C8" s="14" t="n">
        <x:v>30</x:v>
      </x:c>
      <x:c r="D8" s="14" t="str">
        <x:v>Never enters five-year findings</x:v>
      </x:c>
      <x:c r="E8" s="14" t="str">
        <x:v>2021-2025 sources</x:v>
      </x:c>
      <x:c r="F8" s="14" t="str">
        <x:v>Passed</x:v>
      </x:c>
    </x:row>
    <x:row r="9">
      <x:c r="A9" s="14" t="str">
        <x:v>Unresolved records</x:v>
      </x:c>
      <x:c r="B9" s="14" t="n">
        <x:v>91</x:v>
      </x:c>
      <x:c r="C9" s="14" t="n">
        <x:v>2</x:v>
      </x:c>
      <x:c r="D9" s="14" t="str">
        <x:v>Excluded pending review</x:v>
      </x:c>
      <x:c r="E9" s="14" t="str">
        <x:v>All sources</x:v>
      </x:c>
      <x:c r="F9" s="14" t="str">
        <x:v>Review required</x:v>
      </x:c>
    </x:row>
    <x:row r="10">
      <x:c r="A10" s="14" t="str">
        <x:v>Duplicate records excluded</x:v>
      </x:c>
      <x:c r="B10" s="14" t="n">
        <x:v>0</x:v>
      </x:c>
      <x:c r="C10" s="14" t="n">
        <x:v>0</x:v>
      </x:c>
      <x:c r="D10" s="14" t="str">
        <x:v>Retained in duplicate log</x:v>
      </x:c>
      <x:c r="E10" s="14" t="str">
        <x:v>2025 sources</x:v>
      </x:c>
      <x:c r="F10" s="14" t="str">
        <x:v>Passed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20ad2b694045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5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Inherited carry-forward records used in 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826 inherited records promoted into the 2025 annual analysis and marked as used.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tt21438656|nm5371681|devonye</x:v>
      </x:c>
      <x:c r="B6" s="14" t="str">
        <x:v>01</x:v>
      </x:c>
      <x:c r="C6" s="14" t="str">
        <x:v>2024_IMDb_Cast_Lists_Batch_01(1).xlsx</x:v>
      </x:c>
      <x:c r="D6" s="14" t="str">
        <x:v>Boarders</x:v>
      </x:c>
      <x:c r="E6" s="14" t="n">
        <x:v>25</x:v>
      </x:c>
      <x:c r="F6" s="14" t="str">
        <x:v>Boarders</x:v>
      </x:c>
      <x:c r="G6" s="14" t="str">
        <x:v>tt21438656</x:v>
      </x:c>
      <x:c r="H6" s="14" t="n">
        <x:v>2024</x:v>
      </x:c>
      <x:c r="I6" s="14" t="n">
        <x:v>2025</x:v>
      </x:c>
      <x:c r="J6" s="14" t="str">
        <x:v>Earlier-Production Carry-In Cohort</x:v>
      </x:c>
      <x:c r="K6" s="14" t="n">
        <x:v>2024</x:v>
      </x:c>
      <x:c r="L6" s="14" t="str">
        <x:v>Used in 2025 annual analysis</x:v>
      </x:c>
      <x:c r="M6" s="15" t="n">
        <x:v>18</x:v>
      </x:c>
      <x:c r="N6" s="14" t="str">
        <x:v>Kendra Brown</x:v>
      </x:c>
      <x:c r="O6" s="14" t="str">
        <x:v>nm5371681</x:v>
      </x:c>
      <x:c r="P6" s="14" t="str">
        <x:v>Devonye</x:v>
      </x:c>
      <x:c r="Q6" s="15" t="n">
        <x:v>12</x:v>
      </x:c>
      <x:c r="R6" s="14" t="str">
        <x:v>2025–2026</x:v>
      </x:c>
      <x:c r="S6" s="14" t="n">
        <x:v>2025</x:v>
      </x:c>
      <x:c r="T6" s="14" t="n">
        <x:v>2025</x:v>
      </x:c>
      <x:c r="U6" s="14" t="str">
        <x:v>Explicit source first year retained</x:v>
      </x:c>
      <x:c r="V6" s="14" t="str">
        <x:v>Earliest supplied year is 2025.</x:v>
      </x:c>
      <x:c r="W6" s="14"/>
      <x:c r="X6" s="14" t="str">
        <x:v>Included</x:v>
      </x:c>
      <x:c r="Y6" s="14"/>
      <x:c r="Z6" s="14" t="str">
        <x:v>Boarders.docx</x:v>
      </x:c>
      <x:c r="AA6" s="14" t="str">
        <x:v>HYPERLINK is not implemented. linkLocation=https://www.imdb.com/title/tt21438656/fullcredits/,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HYPERLINK("https://en.wikipedia.org/wiki/Boarders","Open source")</x:f>
        <x:v>HYPERLINK is not implemented. linkLocation=https://en.wikipedia.org/wiki/Boarders,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 t="str">
        <x:v>No established-register match</x:v>
      </x:c>
      <x:c r="AT6" s="14"/>
      <x:c r="AU6" s="14"/>
      <x:c r="AV6" s="14" t="str">
        <x:v>No established apparent-disability match</x:v>
      </x:c>
      <x:c r="AW6" s="14"/>
      <x:c r="AX6" s="14" t="str">
        <x:v>No</x:v>
      </x:c>
      <x:c r="AY6" s="14" t="str">
        <x:v>Unmatched</x:v>
      </x:c>
      <x:c r="AZ6" s="14" t="str">
        <x:v>Final supplied register</x:v>
      </x:c>
      <x:c r="BA6" s="14" t="str">
        <x:v>Absence from the register is not evidence that the performer is not disabled.</x:v>
      </x:c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18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12</x:v>
      </x:c>
      <x:c r="BS6" s="16" t="n">
        <x:v>0.6666666666666666</x:v>
      </x:c>
      <x:c r="BT6" s="14" t="str">
        <x:v>Majority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HYPERLINK is not implemented. linkLocation=https://www.imdb.com/title/tt21438656/fullcredits/,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tt21438656|nm13595767|jonny / masked raisinette</x:v>
      </x:c>
      <x:c r="B7" s="14" t="str">
        <x:v>01</x:v>
      </x:c>
      <x:c r="C7" s="14" t="str">
        <x:v>2024_IMDb_Cast_Lists_Batch_01(1).xlsx</x:v>
      </x:c>
      <x:c r="D7" s="14" t="str">
        <x:v>Boarders</x:v>
      </x:c>
      <x:c r="E7" s="14" t="n">
        <x:v>29</x:v>
      </x:c>
      <x:c r="F7" s="14" t="str">
        <x:v>Boarders</x:v>
      </x:c>
      <x:c r="G7" s="14" t="str">
        <x:v>tt21438656</x:v>
      </x:c>
      <x:c r="H7" s="14" t="n">
        <x:v>2024</x:v>
      </x:c>
      <x:c r="I7" s="14" t="n">
        <x:v>2025</x:v>
      </x:c>
      <x:c r="J7" s="14" t="str">
        <x:v>Earlier-Production Carry-In Cohort</x:v>
      </x:c>
      <x:c r="K7" s="14" t="n">
        <x:v>2024</x:v>
      </x:c>
      <x:c r="L7" s="14" t="str">
        <x:v>Used in 2025 annual analysis</x:v>
      </x:c>
      <x:c r="M7" s="15" t="n">
        <x:v>22</x:v>
      </x:c>
      <x:c r="N7" s="14" t="str">
        <x:v>Louis Thresher</x:v>
      </x:c>
      <x:c r="O7" s="14" t="str">
        <x:v>nm13595767</x:v>
      </x:c>
      <x:c r="P7" s="14" t="str">
        <x:v>Jonny / Masked Raisinette</x:v>
      </x:c>
      <x:c r="Q7" s="15" t="n">
        <x:v>10</x:v>
      </x:c>
      <x:c r="R7" s="14" t="str">
        <x:v>2025–2026</x:v>
      </x:c>
      <x:c r="S7" s="14" t="n">
        <x:v>2025</x:v>
      </x:c>
      <x:c r="T7" s="14" t="n">
        <x:v>2025</x:v>
      </x:c>
      <x:c r="U7" s="14" t="str">
        <x:v>Explicit source first year retained</x:v>
      </x:c>
      <x:c r="V7" s="14" t="str">
        <x:v>Earliest supplied year is 2025.</x:v>
      </x:c>
      <x:c r="W7" s="14"/>
      <x:c r="X7" s="14" t="str">
        <x:v>Included</x:v>
      </x:c>
      <x:c r="Y7" s="14"/>
      <x:c r="Z7" s="14" t="str">
        <x:v>Boarders.docx</x:v>
      </x:c>
      <x:c r="AA7" s="14" t="str">
        <x:v>HYPERLINK is not implemented. linkLocation=https://www.imdb.com/title/tt21438656/fullcredits/,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HYPERLINK("https://en.wikipedia.org/wiki/Boarders","Open source")</x:f>
        <x:v>HYPERLINK is not implemented. linkLocation=https://en.wikipedia.org/wiki/Boarders,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 t="str">
        <x:v>No established-register match</x:v>
      </x:c>
      <x:c r="AT7" s="14"/>
      <x:c r="AU7" s="14"/>
      <x:c r="AV7" s="14" t="str">
        <x:v>No established apparent-disability match</x:v>
      </x:c>
      <x:c r="AW7" s="14"/>
      <x:c r="AX7" s="14" t="str">
        <x:v>No</x:v>
      </x:c>
      <x:c r="AY7" s="14" t="str">
        <x:v>Unmatched</x:v>
      </x:c>
      <x:c r="AZ7" s="14" t="str">
        <x:v>Final supplied register</x:v>
      </x:c>
      <x:c r="BA7" s="14" t="str">
        <x:v>Absence from the register is not evidence that the performer is not disabled.</x:v>
      </x:c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18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10</x:v>
      </x:c>
      <x:c r="BS7" s="16" t="n">
        <x:v>0.5555555555555556</x:v>
      </x:c>
      <x:c r="BT7" s="14" t="str">
        <x:v>Majority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HYPERLINK is not implemented. linkLocation=https://www.imdb.com/title/tt21438656/fullcredits/,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tt21438656|nm4925834|jude</x:v>
      </x:c>
      <x:c r="B8" s="14" t="str">
        <x:v>01</x:v>
      </x:c>
      <x:c r="C8" s="14" t="str">
        <x:v>2024_IMDb_Cast_Lists_Batch_01(1).xlsx</x:v>
      </x:c>
      <x:c r="D8" s="14" t="str">
        <x:v>Boarders</x:v>
      </x:c>
      <x:c r="E8" s="14" t="n">
        <x:v>39</x:v>
      </x:c>
      <x:c r="F8" s="14" t="str">
        <x:v>Boarders</x:v>
      </x:c>
      <x:c r="G8" s="14" t="str">
        <x:v>tt21438656</x:v>
      </x:c>
      <x:c r="H8" s="14" t="n">
        <x:v>2024</x:v>
      </x:c>
      <x:c r="I8" s="14" t="n">
        <x:v>2025</x:v>
      </x:c>
      <x:c r="J8" s="14" t="str">
        <x:v>Earlier-Production Carry-In Cohort</x:v>
      </x:c>
      <x:c r="K8" s="14" t="n">
        <x:v>2024</x:v>
      </x:c>
      <x:c r="L8" s="14" t="str">
        <x:v>Used in 2025 annual analysis</x:v>
      </x:c>
      <x:c r="M8" s="15" t="n">
        <x:v>32</x:v>
      </x:c>
      <x:c r="N8" s="14" t="str">
        <x:v>Cara Theobold</x:v>
      </x:c>
      <x:c r="O8" s="14" t="str">
        <x:v>nm4925834</x:v>
      </x:c>
      <x:c r="P8" s="14" t="str">
        <x:v>Jude</x:v>
      </x:c>
      <x:c r="Q8" s="15" t="n">
        <x:v>6</x:v>
      </x:c>
      <x:c r="R8" s="14" t="str">
        <x:v>2025</x:v>
      </x:c>
      <x:c r="S8" s="14" t="n">
        <x:v>2025</x:v>
      </x:c>
      <x:c r="T8" s="14" t="n">
        <x:v>2025</x:v>
      </x:c>
      <x:c r="U8" s="14" t="str">
        <x:v>Explicit source first year retained</x:v>
      </x:c>
      <x:c r="V8" s="14" t="str">
        <x:v>Earliest supplied year is 2025.</x:v>
      </x:c>
      <x:c r="W8" s="14"/>
      <x:c r="X8" s="14" t="str">
        <x:v>Included</x:v>
      </x:c>
      <x:c r="Y8" s="14"/>
      <x:c r="Z8" s="14" t="str">
        <x:v>Boarders.docx</x:v>
      </x:c>
      <x:c r="AA8" s="14" t="str">
        <x:v>HYPERLINK is not implemented. linkLocation=https://www.imdb.com/title/tt21438656/fullcredits/,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HYPERLINK("https://en.wikipedia.org/wiki/Boarders","Open source")</x:f>
        <x:v>HYPERLINK is not implemented. linkLocation=https://en.wikipedia.org/wiki/Boarders,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 t="str">
        <x:v>No established-register match</x:v>
      </x:c>
      <x:c r="AT8" s="14"/>
      <x:c r="AU8" s="14"/>
      <x:c r="AV8" s="14" t="str">
        <x:v>No established apparent-disability match</x:v>
      </x:c>
      <x:c r="AW8" s="14"/>
      <x:c r="AX8" s="14" t="str">
        <x:v>No</x:v>
      </x:c>
      <x:c r="AY8" s="14" t="str">
        <x:v>Unmatched</x:v>
      </x:c>
      <x:c r="AZ8" s="14" t="str">
        <x:v>Final supplied register</x:v>
      </x:c>
      <x:c r="BA8" s="14" t="str">
        <x:v>Absence from the register is not evidence that the performer is not disabled.</x:v>
      </x:c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18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6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HYPERLINK is not implemented. linkLocation=https://www.imdb.com/title/tt21438656/fullcredits/,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tt21438656|nm16981922|yusef</x:v>
      </x:c>
      <x:c r="B9" s="14" t="str">
        <x:v>01</x:v>
      </x:c>
      <x:c r="C9" s="14" t="str">
        <x:v>2024_IMDb_Cast_Lists_Batch_01(1).xlsx</x:v>
      </x:c>
      <x:c r="D9" s="14" t="str">
        <x:v>Boarders</x:v>
      </x:c>
      <x:c r="E9" s="14" t="n">
        <x:v>43</x:v>
      </x:c>
      <x:c r="F9" s="14" t="str">
        <x:v>Boarders</x:v>
      </x:c>
      <x:c r="G9" s="14" t="str">
        <x:v>tt21438656</x:v>
      </x:c>
      <x:c r="H9" s="14" t="n">
        <x:v>2024</x:v>
      </x:c>
      <x:c r="I9" s="14" t="n">
        <x:v>2025</x:v>
      </x:c>
      <x:c r="J9" s="14" t="str">
        <x:v>Earlier-Production Carry-In Cohort</x:v>
      </x:c>
      <x:c r="K9" s="14" t="n">
        <x:v>2024</x:v>
      </x:c>
      <x:c r="L9" s="14" t="str">
        <x:v>Used in 2025 annual analysis</x:v>
      </x:c>
      <x:c r="M9" s="15" t="n">
        <x:v>36</x:v>
      </x:c>
      <x:c r="N9" s="14" t="str">
        <x:v>Nagaieh Dad</x:v>
      </x:c>
      <x:c r="O9" s="14" t="str">
        <x:v>nm16981922</x:v>
      </x:c>
      <x:c r="P9" s="14" t="str">
        <x:v>Yusef</x:v>
      </x:c>
      <x:c r="Q9" s="15" t="n">
        <x:v>5</x:v>
      </x:c>
      <x:c r="R9" s="14" t="str">
        <x:v>2025–2026</x:v>
      </x:c>
      <x:c r="S9" s="14" t="n">
        <x:v>2025</x:v>
      </x:c>
      <x:c r="T9" s="14" t="n">
        <x:v>2025</x:v>
      </x:c>
      <x:c r="U9" s="14" t="str">
        <x:v>Explicit source first year retained</x:v>
      </x:c>
      <x:c r="V9" s="14" t="str">
        <x:v>Earliest supplied year is 2025.</x:v>
      </x:c>
      <x:c r="W9" s="14"/>
      <x:c r="X9" s="14" t="str">
        <x:v>Included</x:v>
      </x:c>
      <x:c r="Y9" s="14"/>
      <x:c r="Z9" s="14" t="str">
        <x:v>Boarders.docx</x:v>
      </x:c>
      <x:c r="AA9" s="14" t="str">
        <x:v>HYPERLINK is not implemented. linkLocation=https://www.imdb.com/title/tt21438656/fullcredits/,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HYPERLINK("https://en.wikipedia.org/wiki/Boarders","Open source")</x:f>
        <x:v>HYPERLINK is not implemented. linkLocation=https://en.wikipedia.org/wiki/Boarders,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 t="str">
        <x:v>No established-register match</x:v>
      </x:c>
      <x:c r="AT9" s="14"/>
      <x:c r="AU9" s="14"/>
      <x:c r="AV9" s="14" t="str">
        <x:v>No established apparent-disability match</x:v>
      </x:c>
      <x:c r="AW9" s="14"/>
      <x:c r="AX9" s="14" t="str">
        <x:v>No</x:v>
      </x:c>
      <x:c r="AY9" s="14" t="str">
        <x:v>Unmatched</x:v>
      </x:c>
      <x:c r="AZ9" s="14" t="str">
        <x:v>Final supplied register</x:v>
      </x:c>
      <x:c r="BA9" s="14" t="str">
        <x:v>Absence from the register is not evidence that the performer is not disabled.</x:v>
      </x:c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18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5</x:v>
      </x:c>
      <x:c r="BS9" s="16" t="n">
        <x:v>0.2777777777777778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HYPERLINK is not implemented. linkLocation=https://www.imdb.com/title/tt21438656/fullcredits/,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tt21438656|nm2148911|grace</x:v>
      </x:c>
      <x:c r="B10" s="14" t="str">
        <x:v>01</x:v>
      </x:c>
      <x:c r="C10" s="14" t="str">
        <x:v>2024_IMDb_Cast_Lists_Batch_01(1).xlsx</x:v>
      </x:c>
      <x:c r="D10" s="14" t="str">
        <x:v>Boarders</x:v>
      </x:c>
      <x:c r="E10" s="14" t="n">
        <x:v>45</x:v>
      </x:c>
      <x:c r="F10" s="14" t="str">
        <x:v>Boarders</x:v>
      </x:c>
      <x:c r="G10" s="14" t="str">
        <x:v>tt21438656</x:v>
      </x:c>
      <x:c r="H10" s="14" t="n">
        <x:v>2024</x:v>
      </x:c>
      <x:c r="I10" s="14" t="n">
        <x:v>2025</x:v>
      </x:c>
      <x:c r="J10" s="14" t="str">
        <x:v>Earlier-Production Carry-In Cohort</x:v>
      </x:c>
      <x:c r="K10" s="14" t="n">
        <x:v>2024</x:v>
      </x:c>
      <x:c r="L10" s="14" t="str">
        <x:v>Used in 2025 annual analysis</x:v>
      </x:c>
      <x:c r="M10" s="15" t="n">
        <x:v>38</x:v>
      </x:c>
      <x:c r="N10" s="14" t="str">
        <x:v>Wunmi Mosaku</x:v>
      </x:c>
      <x:c r="O10" s="14" t="str">
        <x:v>nm2148911</x:v>
      </x:c>
      <x:c r="P10" s="14" t="str">
        <x:v>Grace</x:v>
      </x:c>
      <x:c r="Q10" s="15" t="n">
        <x:v>4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Explicit source first year retained</x:v>
      </x:c>
      <x:c r="V10" s="14" t="str">
        <x:v>Earliest supplied year is 2025.</x:v>
      </x:c>
      <x:c r="W10" s="14"/>
      <x:c r="X10" s="14" t="str">
        <x:v>Included</x:v>
      </x:c>
      <x:c r="Y10" s="14"/>
      <x:c r="Z10" s="14" t="str">
        <x:v>Boarders.docx</x:v>
      </x:c>
      <x:c r="AA10" s="14" t="str">
        <x:v>HYPERLINK is not implemented. linkLocation=https://www.imdb.com/title/tt21438656/fullcredits/,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HYPERLINK("https://en.wikipedia.org/wiki/Boarders","Open source")</x:f>
        <x:v>HYPERLINK is not implemented. linkLocation=https://en.wikipedia.org/wiki/Boarders,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 t="str">
        <x:v>No established-register match</x:v>
      </x:c>
      <x:c r="AT10" s="14"/>
      <x:c r="AU10" s="14"/>
      <x:c r="AV10" s="14" t="str">
        <x:v>No established apparent-disability match</x:v>
      </x:c>
      <x:c r="AW10" s="14"/>
      <x:c r="AX10" s="14" t="str">
        <x:v>No</x:v>
      </x:c>
      <x:c r="AY10" s="14" t="str">
        <x:v>Unmatched</x:v>
      </x:c>
      <x:c r="AZ10" s="14" t="str">
        <x:v>Final supplied register</x:v>
      </x:c>
      <x:c r="BA10" s="14" t="str">
        <x:v>Absence from the register is not evidence that the performer is not disabled.</x:v>
      </x:c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18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4</x:v>
      </x:c>
      <x:c r="BS10" s="16" t="n">
        <x:v>0.2222222222222222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HYPERLINK is not implemented. linkLocation=https://www.imdb.com/title/tt21438656/fullcredits/,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tt21438656|nm4931318|uncle teju</x:v>
      </x:c>
      <x:c r="B11" s="14" t="str">
        <x:v>01</x:v>
      </x:c>
      <x:c r="C11" s="14" t="str">
        <x:v>2024_IMDb_Cast_Lists_Batch_01(1).xlsx</x:v>
      </x:c>
      <x:c r="D11" s="14" t="str">
        <x:v>Boarders</x:v>
      </x:c>
      <x:c r="E11" s="14" t="n">
        <x:v>48</x:v>
      </x:c>
      <x:c r="F11" s="14" t="str">
        <x:v>Boarders</x:v>
      </x:c>
      <x:c r="G11" s="14" t="str">
        <x:v>tt21438656</x:v>
      </x:c>
      <x:c r="H11" s="14" t="n">
        <x:v>2024</x:v>
      </x:c>
      <x:c r="I11" s="14" t="n">
        <x:v>2025</x:v>
      </x:c>
      <x:c r="J11" s="14" t="str">
        <x:v>Earlier-Production Carry-In Cohort</x:v>
      </x:c>
      <x:c r="K11" s="14" t="n">
        <x:v>2024</x:v>
      </x:c>
      <x:c r="L11" s="14" t="str">
        <x:v>Used in 2025 annual analysis</x:v>
      </x:c>
      <x:c r="M11" s="15" t="n">
        <x:v>41</x:v>
      </x:c>
      <x:c r="N11" s="14" t="str">
        <x:v>Michael Salami</x:v>
      </x:c>
      <x:c r="O11" s="14" t="str">
        <x:v>nm4931318</x:v>
      </x:c>
      <x:c r="P11" s="14" t="str">
        <x:v>Uncle Teju</x:v>
      </x:c>
      <x:c r="Q11" s="15" t="n">
        <x:v>4</x:v>
      </x:c>
      <x:c r="R11" s="14" t="str">
        <x:v>2025–2026</x:v>
      </x:c>
      <x:c r="S11" s="14" t="n">
        <x:v>2025</x:v>
      </x:c>
      <x:c r="T11" s="14" t="n">
        <x:v>2025</x:v>
      </x:c>
      <x:c r="U11" s="14" t="str">
        <x:v>Explicit source first year retained</x:v>
      </x:c>
      <x:c r="V11" s="14" t="str">
        <x:v>Earliest supplied year is 2025.</x:v>
      </x:c>
      <x:c r="W11" s="14"/>
      <x:c r="X11" s="14" t="str">
        <x:v>Included</x:v>
      </x:c>
      <x:c r="Y11" s="14"/>
      <x:c r="Z11" s="14" t="str">
        <x:v>Boarders.docx</x:v>
      </x:c>
      <x:c r="AA11" s="14" t="str">
        <x:v>HYPERLINK is not implemented. linkLocation=https://www.imdb.com/title/tt21438656/fullcredits/,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HYPERLINK("https://en.wikipedia.org/wiki/Boarders","Open source")</x:f>
        <x:v>HYPERLINK is not implemented. linkLocation=https://en.wikipedia.org/wiki/Boarders,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 t="str">
        <x:v>No established-register match</x:v>
      </x:c>
      <x:c r="AT11" s="14"/>
      <x:c r="AU11" s="14"/>
      <x:c r="AV11" s="14" t="str">
        <x:v>No established apparent-disability match</x:v>
      </x:c>
      <x:c r="AW11" s="14"/>
      <x:c r="AX11" s="14" t="str">
        <x:v>No</x:v>
      </x:c>
      <x:c r="AY11" s="14" t="str">
        <x:v>Unmatched</x:v>
      </x:c>
      <x:c r="AZ11" s="14" t="str">
        <x:v>Final supplied register</x:v>
      </x:c>
      <x:c r="BA11" s="14" t="str">
        <x:v>Absence from the register is not evidence that the performer is not disabled.</x:v>
      </x:c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18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4</x:v>
      </x:c>
      <x:c r="BS11" s="16" t="n">
        <x:v>0.2222222222222222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HYPERLINK is not implemented. linkLocation=https://www.imdb.com/title/tt21438656/fullcredits/,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tt21438656|nm17640611|cab driver</x:v>
      </x:c>
      <x:c r="B12" s="14" t="str">
        <x:v>01</x:v>
      </x:c>
      <x:c r="C12" s="14" t="str">
        <x:v>2024_IMDb_Cast_Lists_Batch_01(1).xlsx</x:v>
      </x:c>
      <x:c r="D12" s="14" t="str">
        <x:v>Boarders</x:v>
      </x:c>
      <x:c r="E12" s="14" t="n">
        <x:v>57</x:v>
      </x:c>
      <x:c r="F12" s="14" t="str">
        <x:v>Boarders</x:v>
      </x:c>
      <x:c r="G12" s="14" t="str">
        <x:v>tt21438656</x:v>
      </x:c>
      <x:c r="H12" s="14" t="n">
        <x:v>2024</x:v>
      </x:c>
      <x:c r="I12" s="14" t="n">
        <x:v>2025</x:v>
      </x:c>
      <x:c r="J12" s="14" t="str">
        <x:v>Earlier-Production Carry-In Cohort</x:v>
      </x:c>
      <x:c r="K12" s="14" t="n">
        <x:v>2024</x:v>
      </x:c>
      <x:c r="L12" s="14" t="str">
        <x:v>Used in 2025 annual analysis</x:v>
      </x:c>
      <x:c r="M12" s="15" t="n">
        <x:v>50</x:v>
      </x:c>
      <x:c r="N12" s="14" t="str">
        <x:v>Junaid Faizullah-Ward</x:v>
      </x:c>
      <x:c r="O12" s="14" t="str">
        <x:v>nm17640611</x:v>
      </x:c>
      <x:c r="P12" s="14" t="str">
        <x:v>Cab Driver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Explicit source first year retained</x:v>
      </x:c>
      <x:c r="V12" s="14" t="str">
        <x:v>Earliest supplied year is 2025.</x:v>
      </x:c>
      <x:c r="W12" s="14"/>
      <x:c r="X12" s="14" t="str">
        <x:v>Included</x:v>
      </x:c>
      <x:c r="Y12" s="14"/>
      <x:c r="Z12" s="14" t="str">
        <x:v>Boarders.docx</x:v>
      </x:c>
      <x:c r="AA12" s="14" t="str">
        <x:v>HYPERLINK is not implemented. linkLocation=https://www.imdb.com/title/tt21438656/fullcredits/,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HYPERLINK("https://en.wikipedia.org/wiki/Boarders","Open source")</x:f>
        <x:v>HYPERLINK is not implemented. linkLocation=https://en.wikipedia.org/wiki/Boarders,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 t="str">
        <x:v>No established-register match</x:v>
      </x:c>
      <x:c r="AT12" s="14"/>
      <x:c r="AU12" s="14"/>
      <x:c r="AV12" s="14" t="str">
        <x:v>No established apparent-disability match</x:v>
      </x:c>
      <x:c r="AW12" s="14"/>
      <x:c r="AX12" s="14" t="str">
        <x:v>No</x:v>
      </x:c>
      <x:c r="AY12" s="14" t="str">
        <x:v>Unmatched</x:v>
      </x:c>
      <x:c r="AZ12" s="14" t="str">
        <x:v>Final supplied register</x:v>
      </x:c>
      <x:c r="BA12" s="14" t="str">
        <x:v>Absence from the register is not evidence that the performer is not disabled.</x:v>
      </x:c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18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0.05555555555555555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HYPERLINK is not implemented. linkLocation=https://www.imdb.com/title/tt21438656/fullcredits/,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tt21438656|nm0001086|alan</x:v>
      </x:c>
      <x:c r="B13" s="14" t="str">
        <x:v>01</x:v>
      </x:c>
      <x:c r="C13" s="14" t="str">
        <x:v>2024_IMDb_Cast_Lists_Batch_01(1).xlsx</x:v>
      </x:c>
      <x:c r="D13" s="14" t="str">
        <x:v>Boarders</x:v>
      </x:c>
      <x:c r="E13" s="14" t="n">
        <x:v>60</x:v>
      </x:c>
      <x:c r="F13" s="14" t="str">
        <x:v>Boarders</x:v>
      </x:c>
      <x:c r="G13" s="14" t="str">
        <x:v>tt21438656</x:v>
      </x:c>
      <x:c r="H13" s="14" t="n">
        <x:v>2024</x:v>
      </x:c>
      <x:c r="I13" s="14" t="n">
        <x:v>2025</x:v>
      </x:c>
      <x:c r="J13" s="14" t="str">
        <x:v>Earlier-Production Carry-In Cohort</x:v>
      </x:c>
      <x:c r="K13" s="14" t="n">
        <x:v>2024</x:v>
      </x:c>
      <x:c r="L13" s="14" t="str">
        <x:v>Used in 2025 annual analysis</x:v>
      </x:c>
      <x:c r="M13" s="15" t="n">
        <x:v>53</x:v>
      </x:c>
      <x:c r="N13" s="14" t="str">
        <x:v>Alan Cumming</x:v>
      </x:c>
      <x:c r="O13" s="14" t="str">
        <x:v>nm0001086</x:v>
      </x:c>
      <x:c r="P13" s="14" t="str">
        <x:v>Alan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Explicit source first year retained</x:v>
      </x:c>
      <x:c r="V13" s="14" t="str">
        <x:v>Earliest supplied year is 2025.</x:v>
      </x:c>
      <x:c r="W13" s="14"/>
      <x:c r="X13" s="14" t="str">
        <x:v>Included</x:v>
      </x:c>
      <x:c r="Y13" s="14"/>
      <x:c r="Z13" s="14" t="str">
        <x:v>Boarders.docx</x:v>
      </x:c>
      <x:c r="AA13" s="14" t="str">
        <x:v>HYPERLINK is not implemented. linkLocation=https://www.imdb.com/title/tt21438656/fullcredits/,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HYPERLINK("https://en.wikipedia.org/wiki/Boarders","Open source")</x:f>
        <x:v>HYPERLINK is not implemented. linkLocation=https://en.wikipedia.org/wiki/Boarders,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 t="str">
        <x:v>No established-register match</x:v>
      </x:c>
      <x:c r="AT13" s="14"/>
      <x:c r="AU13" s="14"/>
      <x:c r="AV13" s="14" t="str">
        <x:v>No established apparent-disability match</x:v>
      </x:c>
      <x:c r="AW13" s="14"/>
      <x:c r="AX13" s="14" t="str">
        <x:v>No</x:v>
      </x:c>
      <x:c r="AY13" s="14" t="str">
        <x:v>Unmatched</x:v>
      </x:c>
      <x:c r="AZ13" s="14" t="str">
        <x:v>Final supplied register</x:v>
      </x:c>
      <x:c r="BA13" s="14" t="str">
        <x:v>Absence from the register is not evidence that the performer is not disabled.</x:v>
      </x:c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18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0.05555555555555555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HYPERLINK is not implemented. linkLocation=https://www.imdb.com/title/tt21438656/fullcredits/,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tt21438656|nm0144231|sharon hail</x:v>
      </x:c>
      <x:c r="B14" s="14" t="str">
        <x:v>01</x:v>
      </x:c>
      <x:c r="C14" s="14" t="str">
        <x:v>2024_IMDb_Cast_Lists_Batch_01(1).xlsx</x:v>
      </x:c>
      <x:c r="D14" s="14" t="str">
        <x:v>Boarders</x:v>
      </x:c>
      <x:c r="E14" s="14" t="n">
        <x:v>66</x:v>
      </x:c>
      <x:c r="F14" s="14" t="str">
        <x:v>Boarders</x:v>
      </x:c>
      <x:c r="G14" s="14" t="str">
        <x:v>tt21438656</x:v>
      </x:c>
      <x:c r="H14" s="14" t="n">
        <x:v>2024</x:v>
      </x:c>
      <x:c r="I14" s="14" t="n">
        <x:v>2025</x:v>
      </x:c>
      <x:c r="J14" s="14" t="str">
        <x:v>Earlier-Production Carry-In Cohort</x:v>
      </x:c>
      <x:c r="K14" s="14" t="n">
        <x:v>2024</x:v>
      </x:c>
      <x:c r="L14" s="14" t="str">
        <x:v>Used in 2025 annual analysis</x:v>
      </x:c>
      <x:c r="M14" s="15" t="n">
        <x:v>59</x:v>
      </x:c>
      <x:c r="N14" s="14" t="str">
        <x:v>Natalie Cassidy</x:v>
      </x:c>
      <x:c r="O14" s="14" t="str">
        <x:v>nm0144231</x:v>
      </x:c>
      <x:c r="P14" s="14" t="str">
        <x:v>Sharon Hail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Explicit source first year retained</x:v>
      </x:c>
      <x:c r="V14" s="14" t="str">
        <x:v>Earliest supplied year is 2025.</x:v>
      </x:c>
      <x:c r="W14" s="14"/>
      <x:c r="X14" s="14" t="str">
        <x:v>Included</x:v>
      </x:c>
      <x:c r="Y14" s="14"/>
      <x:c r="Z14" s="14" t="str">
        <x:v>Boarders.docx</x:v>
      </x:c>
      <x:c r="AA14" s="14" t="str">
        <x:v>HYPERLINK is not implemented. linkLocation=https://www.imdb.com/title/tt21438656/fullcredits/,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HYPERLINK("https://en.wikipedia.org/wiki/Boarders","Open source")</x:f>
        <x:v>HYPERLINK is not implemented. linkLocation=https://en.wikipedia.org/wiki/Boarders,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 t="str">
        <x:v>No established-register match</x:v>
      </x:c>
      <x:c r="AT14" s="14"/>
      <x:c r="AU14" s="14"/>
      <x:c r="AV14" s="14" t="str">
        <x:v>No established apparent-disability match</x:v>
      </x:c>
      <x:c r="AW14" s="14"/>
      <x:c r="AX14" s="14" t="str">
        <x:v>No</x:v>
      </x:c>
      <x:c r="AY14" s="14" t="str">
        <x:v>Unmatched</x:v>
      </x:c>
      <x:c r="AZ14" s="14" t="str">
        <x:v>Final supplied register</x:v>
      </x:c>
      <x:c r="BA14" s="14" t="str">
        <x:v>Absence from the register is not evidence that the performer is not disabled.</x:v>
      </x:c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18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0.05555555555555555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HYPERLINK is not implemented. linkLocation=https://www.imdb.com/title/tt21438656/fullcredits/,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tt21438656|nm13000243|unknown t</x:v>
      </x:c>
      <x:c r="B15" s="14" t="str">
        <x:v>01</x:v>
      </x:c>
      <x:c r="C15" s="14" t="str">
        <x:v>2024_IMDb_Cast_Lists_Batch_01(1).xlsx</x:v>
      </x:c>
      <x:c r="D15" s="14" t="str">
        <x:v>Boarders</x:v>
      </x:c>
      <x:c r="E15" s="14" t="n">
        <x:v>67</x:v>
      </x:c>
      <x:c r="F15" s="14" t="str">
        <x:v>Boarders</x:v>
      </x:c>
      <x:c r="G15" s="14" t="str">
        <x:v>tt21438656</x:v>
      </x:c>
      <x:c r="H15" s="14" t="n">
        <x:v>2024</x:v>
      </x:c>
      <x:c r="I15" s="14" t="n">
        <x:v>2025</x:v>
      </x:c>
      <x:c r="J15" s="14" t="str">
        <x:v>Earlier-Production Carry-In Cohort</x:v>
      </x:c>
      <x:c r="K15" s="14" t="n">
        <x:v>2024</x:v>
      </x:c>
      <x:c r="L15" s="14" t="str">
        <x:v>Used in 2025 annual analysis</x:v>
      </x:c>
      <x:c r="M15" s="15" t="n">
        <x:v>60</x:v>
      </x:c>
      <x:c r="N15" s="14" t="str">
        <x:v>Unknown T</x:v>
      </x:c>
      <x:c r="O15" s="14" t="str">
        <x:v>nm13000243</x:v>
      </x:c>
      <x:c r="P15" s="14" t="str">
        <x:v>Unknown T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Explicit source first year retained</x:v>
      </x:c>
      <x:c r="V15" s="14" t="str">
        <x:v>Earliest supplied year is 2025.</x:v>
      </x:c>
      <x:c r="W15" s="14"/>
      <x:c r="X15" s="14" t="str">
        <x:v>Included</x:v>
      </x:c>
      <x:c r="Y15" s="14"/>
      <x:c r="Z15" s="14" t="str">
        <x:v>Boarders.docx</x:v>
      </x:c>
      <x:c r="AA15" s="14" t="str">
        <x:v>HYPERLINK is not implemented. linkLocation=https://www.imdb.com/title/tt21438656/fullcredits/,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HYPERLINK("https://en.wikipedia.org/wiki/Boarders","Open source")</x:f>
        <x:v>HYPERLINK is not implemented. linkLocation=https://en.wikipedia.org/wiki/Boarders,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 t="str">
        <x:v>No established-register match</x:v>
      </x:c>
      <x:c r="AT15" s="14"/>
      <x:c r="AU15" s="14"/>
      <x:c r="AV15" s="14" t="str">
        <x:v>No established apparent-disability match</x:v>
      </x:c>
      <x:c r="AW15" s="14"/>
      <x:c r="AX15" s="14" t="str">
        <x:v>No</x:v>
      </x:c>
      <x:c r="AY15" s="14" t="str">
        <x:v>Unmatched</x:v>
      </x:c>
      <x:c r="AZ15" s="14" t="str">
        <x:v>Final supplied register</x:v>
      </x:c>
      <x:c r="BA15" s="14" t="str">
        <x:v>Absence from the register is not evidence that the performer is not disabled.</x:v>
      </x:c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18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0.05555555555555555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HYPERLINK is not implemented. linkLocation=https://www.imdb.com/title/tt21438656/fullcredits/,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tt21438656|nm12630586|remi burgz</x:v>
      </x:c>
      <x:c r="B16" s="14" t="str">
        <x:v>01</x:v>
      </x:c>
      <x:c r="C16" s="14" t="str">
        <x:v>2024_IMDb_Cast_Lists_Batch_01(1).xlsx</x:v>
      </x:c>
      <x:c r="D16" s="14" t="str">
        <x:v>Boarders</x:v>
      </x:c>
      <x:c r="E16" s="14" t="n">
        <x:v>68</x:v>
      </x:c>
      <x:c r="F16" s="14" t="str">
        <x:v>Boarders</x:v>
      </x:c>
      <x:c r="G16" s="14" t="str">
        <x:v>tt21438656</x:v>
      </x:c>
      <x:c r="H16" s="14" t="n">
        <x:v>2024</x:v>
      </x:c>
      <x:c r="I16" s="14" t="n">
        <x:v>2025</x:v>
      </x:c>
      <x:c r="J16" s="14" t="str">
        <x:v>Earlier-Production Carry-In Cohort</x:v>
      </x:c>
      <x:c r="K16" s="14" t="n">
        <x:v>2024</x:v>
      </x:c>
      <x:c r="L16" s="14" t="str">
        <x:v>Used in 2025 annual analysis</x:v>
      </x:c>
      <x:c r="M16" s="15" t="n">
        <x:v>61</x:v>
      </x:c>
      <x:c r="N16" s="14" t="str">
        <x:v>Remi Burgz</x:v>
      </x:c>
      <x:c r="O16" s="14" t="str">
        <x:v>nm12630586</x:v>
      </x:c>
      <x:c r="P16" s="14" t="str">
        <x:v>Remi Burgz</x:v>
      </x:c>
      <x:c r="Q16" s="15" t="n">
        <x:v>1</x:v>
      </x:c>
      <x:c r="R16" s="14" t="str">
        <x:v>2025</x:v>
      </x:c>
      <x:c r="S16" s="14" t="n">
        <x:v>2025</x:v>
      </x:c>
      <x:c r="T16" s="14" t="n">
        <x:v>2025</x:v>
      </x:c>
      <x:c r="U16" s="14" t="str">
        <x:v>Explicit source first year retained</x:v>
      </x:c>
      <x:c r="V16" s="14" t="str">
        <x:v>Earliest supplied year is 2025.</x:v>
      </x:c>
      <x:c r="W16" s="14"/>
      <x:c r="X16" s="14" t="str">
        <x:v>Included</x:v>
      </x:c>
      <x:c r="Y16" s="14"/>
      <x:c r="Z16" s="14" t="str">
        <x:v>Boarders.docx</x:v>
      </x:c>
      <x:c r="AA16" s="14" t="str">
        <x:v>HYPERLINK is not implemented. linkLocation=https://www.imdb.com/title/tt21438656/fullcredits/,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HYPERLINK("https://en.wikipedia.org/wiki/Boarders","Open source")</x:f>
        <x:v>HYPERLINK is not implemented. linkLocation=https://en.wikipedia.org/wiki/Boarders,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 t="str">
        <x:v>No established-register match</x:v>
      </x:c>
      <x:c r="AT16" s="14"/>
      <x:c r="AU16" s="14"/>
      <x:c r="AV16" s="14" t="str">
        <x:v>No established apparent-disability match</x:v>
      </x:c>
      <x:c r="AW16" s="14"/>
      <x:c r="AX16" s="14" t="str">
        <x:v>No</x:v>
      </x:c>
      <x:c r="AY16" s="14" t="str">
        <x:v>Unmatched</x:v>
      </x:c>
      <x:c r="AZ16" s="14" t="str">
        <x:v>Final supplied register</x:v>
      </x:c>
      <x:c r="BA16" s="14" t="str">
        <x:v>Absence from the register is not evidence that the performer is not disabled.</x:v>
      </x:c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18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0.05555555555555555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HYPERLINK is not implemented. linkLocation=https://www.imdb.com/title/tt21438656/fullcredits/,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tt30450743|nm0084107|tommy</x:v>
      </x:c>
      <x:c r="B17" s="14" t="str">
        <x:v>01</x:v>
      </x:c>
      <x:c r="C17" s="14" t="str">
        <x:v>2024_IMDb_Cast_Lists_Batch_01(1).xlsx</x:v>
      </x:c>
      <x:c r="D17" s="14" t="str">
        <x:v>Daddy Issues</x:v>
      </x:c>
      <x:c r="E17" s="14" t="n">
        <x:v>17</x:v>
      </x:c>
      <x:c r="F17" s="14" t="str">
        <x:v>Daddy Issues</x:v>
      </x:c>
      <x:c r="G17" s="14" t="str">
        <x:v>tt30450743</x:v>
      </x:c>
      <x:c r="H17" s="14" t="n">
        <x:v>2024</x:v>
      </x:c>
      <x:c r="I17" s="14" t="n">
        <x:v>2025</x:v>
      </x:c>
      <x:c r="J17" s="14" t="str">
        <x:v>Earlier-Production Carry-In Cohort</x:v>
      </x:c>
      <x:c r="K17" s="14" t="n">
        <x:v>2024</x:v>
      </x:c>
      <x:c r="L17" s="14" t="str">
        <x:v>Used in 2025 annual analysis</x:v>
      </x:c>
      <x:c r="M17" s="15" t="n">
        <x:v>10</x:v>
      </x:c>
      <x:c r="N17" s="14" t="str">
        <x:v>Kevin Bishop</x:v>
      </x:c>
      <x:c r="O17" s="14" t="str">
        <x:v>nm0084107</x:v>
      </x:c>
      <x:c r="P17" s="14" t="str">
        <x:v>Tommy</x:v>
      </x:c>
      <x:c r="Q17" s="15" t="n">
        <x:v>2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Explicit source first year retained</x:v>
      </x:c>
      <x:c r="V17" s="14" t="str">
        <x:v>Earliest supplied year is 2025.</x:v>
      </x:c>
      <x:c r="W17" s="14"/>
      <x:c r="X17" s="14" t="str">
        <x:v>Included</x:v>
      </x:c>
      <x:c r="Y17" s="14"/>
      <x:c r="Z17" s="14" t="str">
        <x:v>Daddy Issues.docx</x:v>
      </x:c>
      <x:c r="AA17" s="14" t="str">
        <x:v>HYPERLINK is not implemented. linkLocation=https://www.imdb.com/title/tt30450743/fullcredits/,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HYPERLINK("https://en.wikipedia.org/wiki/Daddy_Issues","Open source")</x:f>
        <x:v>HYPERLINK is not implemented. linkLocation=https://en.wikipedia.org/wiki/Daddy_Issues,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 t="str">
        <x:v>No established-register match</x:v>
      </x:c>
      <x:c r="AT17" s="14"/>
      <x:c r="AU17" s="14"/>
      <x:c r="AV17" s="14" t="str">
        <x:v>No established apparent-disability match</x:v>
      </x:c>
      <x:c r="AW17" s="14"/>
      <x:c r="AX17" s="14" t="str">
        <x:v>No</x:v>
      </x:c>
      <x:c r="AY17" s="14" t="str">
        <x:v>Unmatched</x:v>
      </x:c>
      <x:c r="AZ17" s="14" t="str">
        <x:v>Final supplied register</x:v>
      </x:c>
      <x:c r="BA17" s="14" t="str">
        <x:v>Absence from the register is not evidence that the performer is not disabled.</x:v>
      </x:c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12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2</x:v>
      </x:c>
      <x:c r="BS17" s="16" t="n">
        <x:v>0.16666666666666666</x:v>
      </x:c>
      <x:c r="BT17" s="14" t="str">
        <x:v>Minority of episodes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HYPERLINK is not implemented. linkLocation=https://www.imdb.com/title/tt30450743/fullcredits/,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tt30450743|nm0413946|jackie</x:v>
      </x:c>
      <x:c r="B18" s="14" t="str">
        <x:v>01</x:v>
      </x:c>
      <x:c r="C18" s="14" t="str">
        <x:v>2024_IMDb_Cast_Lists_Batch_01(1).xlsx</x:v>
      </x:c>
      <x:c r="D18" s="14" t="str">
        <x:v>Daddy Issues</x:v>
      </x:c>
      <x:c r="E18" s="14" t="n">
        <x:v>18</x:v>
      </x:c>
      <x:c r="F18" s="14" t="str">
        <x:v>Daddy Issues</x:v>
      </x:c>
      <x:c r="G18" s="14" t="str">
        <x:v>tt30450743</x:v>
      </x:c>
      <x:c r="H18" s="14" t="n">
        <x:v>2024</x:v>
      </x:c>
      <x:c r="I18" s="14" t="n">
        <x:v>2025</x:v>
      </x:c>
      <x:c r="J18" s="14" t="str">
        <x:v>Earlier-Production Carry-In Cohort</x:v>
      </x:c>
      <x:c r="K18" s="14" t="n">
        <x:v>2024</x:v>
      </x:c>
      <x:c r="L18" s="14" t="str">
        <x:v>Used in 2025 annual analysis</x:v>
      </x:c>
      <x:c r="M18" s="15" t="n">
        <x:v>11</x:v>
      </x:c>
      <x:c r="N18" s="14" t="str">
        <x:v>Philip Jackson</x:v>
      </x:c>
      <x:c r="O18" s="14" t="str">
        <x:v>nm0413946</x:v>
      </x:c>
      <x:c r="P18" s="14" t="str">
        <x:v>Jackie</x:v>
      </x:c>
      <x:c r="Q18" s="15" t="n">
        <x:v>2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Explicit source first year retained</x:v>
      </x:c>
      <x:c r="V18" s="14" t="str">
        <x:v>Earliest supplied year is 2025.</x:v>
      </x:c>
      <x:c r="W18" s="14"/>
      <x:c r="X18" s="14" t="str">
        <x:v>Included</x:v>
      </x:c>
      <x:c r="Y18" s="14"/>
      <x:c r="Z18" s="14" t="str">
        <x:v>Daddy Issues.docx</x:v>
      </x:c>
      <x:c r="AA18" s="14" t="str">
        <x:v>HYPERLINK is not implemented. linkLocation=https://www.imdb.com/title/tt30450743/fullcredits/,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HYPERLINK("https://en.wikipedia.org/wiki/Daddy_Issues","Open source")</x:f>
        <x:v>HYPERLINK is not implemented. linkLocation=https://en.wikipedia.org/wiki/Daddy_Issues,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 t="str">
        <x:v>No established-register match</x:v>
      </x:c>
      <x:c r="AT18" s="14"/>
      <x:c r="AU18" s="14"/>
      <x:c r="AV18" s="14" t="str">
        <x:v>No established apparent-disability match</x:v>
      </x:c>
      <x:c r="AW18" s="14"/>
      <x:c r="AX18" s="14" t="str">
        <x:v>No</x:v>
      </x:c>
      <x:c r="AY18" s="14" t="str">
        <x:v>Unmatched</x:v>
      </x:c>
      <x:c r="AZ18" s="14" t="str">
        <x:v>Final supplied register</x:v>
      </x:c>
      <x:c r="BA18" s="14" t="str">
        <x:v>Absence from the register is not evidence that the performer is not disabled.</x:v>
      </x:c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12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2</x:v>
      </x:c>
      <x:c r="BS18" s="16" t="n">
        <x:v>0.16666666666666666</x:v>
      </x:c>
      <x:c r="BT18" s="14" t="str">
        <x:v>Minority of episodes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HYPERLINK is not implemented. linkLocation=https://www.imdb.com/title/tt30450743/fullcredits/,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tt30450743|nm3978118|charmaine</x:v>
      </x:c>
      <x:c r="B19" s="14" t="str">
        <x:v>01</x:v>
      </x:c>
      <x:c r="C19" s="14" t="str">
        <x:v>2024_IMDb_Cast_Lists_Batch_01(1).xlsx</x:v>
      </x:c>
      <x:c r="D19" s="14" t="str">
        <x:v>Daddy Issues</x:v>
      </x:c>
      <x:c r="E19" s="14" t="n">
        <x:v>24</x:v>
      </x:c>
      <x:c r="F19" s="14" t="str">
        <x:v>Daddy Issues</x:v>
      </x:c>
      <x:c r="G19" s="14" t="str">
        <x:v>tt30450743</x:v>
      </x:c>
      <x:c r="H19" s="14" t="n">
        <x:v>2024</x:v>
      </x:c>
      <x:c r="I19" s="14" t="n">
        <x:v>2025</x:v>
      </x:c>
      <x:c r="J19" s="14" t="str">
        <x:v>Earlier-Production Carry-In Cohort</x:v>
      </x:c>
      <x:c r="K19" s="14" t="n">
        <x:v>2024</x:v>
      </x:c>
      <x:c r="L19" s="14" t="str">
        <x:v>Used in 2025 annual analysis</x:v>
      </x:c>
      <x:c r="M19" s="15" t="n">
        <x:v>17</x:v>
      </x:c>
      <x:c r="N19" s="14" t="str">
        <x:v>Ruth Madeley</x:v>
      </x:c>
      <x:c r="O19" s="14" t="str">
        <x:v>nm3978118</x:v>
      </x:c>
      <x:c r="P19" s="14" t="str">
        <x:v>Charmaine</x:v>
      </x:c>
      <x:c r="Q19" s="15" t="n">
        <x:v>1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Explicit source first year retained</x:v>
      </x:c>
      <x:c r="V19" s="14" t="str">
        <x:v>Earliest supplied year is 2025.</x:v>
      </x:c>
      <x:c r="W19" s="14"/>
      <x:c r="X19" s="14" t="str">
        <x:v>Included</x:v>
      </x:c>
      <x:c r="Y19" s="14"/>
      <x:c r="Z19" s="14" t="str">
        <x:v>Daddy Issues.docx</x:v>
      </x:c>
      <x:c r="AA19" s="14" t="str">
        <x:v>HYPERLINK is not implemented. linkLocation=https://www.imdb.com/title/tt30450743/fullcredits/, friendlyName=Open source</x:v>
      </x:c>
      <x:c r="AB19" s="14" t="str">
        <x:v>Existing established-register match</x:v>
      </x:c>
      <x:c r="AC19" s="14" t="str">
        <x:v>Wheelchair user | Physical disability</x:v>
      </x:c>
      <x:c r="AD19" s="14" t="str">
        <x:v>Existing register classification: Wheelchair user | Physical disability</x:v>
      </x:c>
      <x:c r="AE19" s="14" t="str">
        <x:v>Established_Disability_Category_Register V1.2.xlsx</x:v>
      </x:c>
      <x:c r="AF19" s="14"/>
      <x:c r="AG19" s="14" t="str">
        <x:v>Established user-supplied classification retained for deduplication; evidence was not re-researched in this batch.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HYPERLINK("https://en.wikipedia.org/wiki/Daddy_Issues","Open source")</x:f>
        <x:v>HYPERLINK is not implemented. linkLocation=https://en.wikipedia.org/wiki/Daddy_Issues,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 t="str">
        <x:v>Exact IMDb performer ID match</x:v>
      </x:c>
      <x:c r="AT19" s="14" t="str">
        <x:v>nm3978118</x:v>
      </x:c>
      <x:c r="AU19" s="14" t="str">
        <x:v>Wheelchair user | Physical disability</x:v>
      </x:c>
      <x:c r="AV19" s="14" t="str">
        <x:v>Yes</x:v>
      </x:c>
      <x:c r="AW19" s="14" t="str">
        <x:v>Wheelchair user | Physical disability</x:v>
      </x:c>
      <x:c r="AX19" s="14" t="str">
        <x:v>No</x:v>
      </x:c>
      <x:c r="AY19" s="14" t="str">
        <x:v>Matched</x:v>
      </x:c>
      <x:c r="AZ19" s="14" t="str">
        <x:v>Final supplied register</x:v>
      </x:c>
      <x:c r="BA19" s="14"/>
      <x:c r="BB19" s="14" t="str">
        <x:v>Exact IMDb performer ID match</x:v>
      </x:c>
      <x:c r="BC19" s="14" t="str">
        <x:v>nm3978118</x:v>
      </x:c>
      <x:c r="BD19" s="14" t="str">
        <x:v>Ruth Madeley</x:v>
      </x:c>
      <x:c r="BE19" s="14" t="str">
        <x:v>Wheelchair user | Physical disability</x:v>
      </x:c>
      <x:c r="BF19" s="14" t="str">
        <x:v>Yes</x:v>
      </x:c>
      <x:c r="BG19" s="14" t="str">
        <x:v>Wheelchair user | Physical disability</x:v>
      </x:c>
      <x:c r="BH19" s="14" t="str">
        <x:v>No</x:v>
      </x:c>
      <x:c r="BI19" s="14" t="str">
        <x:v>User-supplied established classification</x:v>
      </x:c>
      <x:c r="BJ19" s="14" t="str">
        <x:v>03_Wheelchair_user.csv | 04_Physical_disability.csv</x:v>
      </x:c>
      <x:c r="BK19" s="14"/>
      <x:c r="BL19" s="14" t="str">
        <x:v>Matched</x:v>
      </x:c>
      <x:c r="BM19" s="14" t="str">
        <x:v>Final supplied register</x:v>
      </x:c>
      <x:c r="BN19" s="14"/>
      <x:c r="BO19" s="14" t="n">
        <x:v>12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0.08333333333333333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HYPERLINK is not implemented. linkLocation=https://www.imdb.com/title/tt30450743/fullcredits/,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tt30450743|nm0355163|davina</x:v>
      </x:c>
      <x:c r="B20" s="14" t="str">
        <x:v>01</x:v>
      </x:c>
      <x:c r="C20" s="14" t="str">
        <x:v>2024_IMDb_Cast_Lists_Batch_01(1).xlsx</x:v>
      </x:c>
      <x:c r="D20" s="14" t="str">
        <x:v>Daddy Issues</x:v>
      </x:c>
      <x:c r="E20" s="14" t="n">
        <x:v>27</x:v>
      </x:c>
      <x:c r="F20" s="14" t="str">
        <x:v>Daddy Issues</x:v>
      </x:c>
      <x:c r="G20" s="14" t="str">
        <x:v>tt30450743</x:v>
      </x:c>
      <x:c r="H20" s="14" t="n">
        <x:v>2024</x:v>
      </x:c>
      <x:c r="I20" s="14" t="n">
        <x:v>2025</x:v>
      </x:c>
      <x:c r="J20" s="14" t="str">
        <x:v>Earlier-Production Carry-In Cohort</x:v>
      </x:c>
      <x:c r="K20" s="14" t="n">
        <x:v>2024</x:v>
      </x:c>
      <x:c r="L20" s="14" t="str">
        <x:v>Used in 2025 annual analysis</x:v>
      </x:c>
      <x:c r="M20" s="15" t="n">
        <x:v>20</x:v>
      </x:c>
      <x:c r="N20" s="14" t="str">
        <x:v>Jill Halfpenny</x:v>
      </x:c>
      <x:c r="O20" s="14" t="str">
        <x:v>nm0355163</x:v>
      </x:c>
      <x:c r="P20" s="14" t="str">
        <x:v>Davina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Explicit source first year retained</x:v>
      </x:c>
      <x:c r="V20" s="14" t="str">
        <x:v>Earliest supplied year is 2025.</x:v>
      </x:c>
      <x:c r="W20" s="14"/>
      <x:c r="X20" s="14" t="str">
        <x:v>Included</x:v>
      </x:c>
      <x:c r="Y20" s="14"/>
      <x:c r="Z20" s="14" t="str">
        <x:v>Daddy Issues.docx</x:v>
      </x:c>
      <x:c r="AA20" s="14" t="str">
        <x:v>HYPERLINK is not implemented. linkLocation=https://www.imdb.com/title/tt30450743/fullcredits/,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HYPERLINK("https://en.wikipedia.org/wiki/Daddy_Issues","Open source")</x:f>
        <x:v>HYPERLINK is not implemented. linkLocation=https://en.wikipedia.org/wiki/Daddy_Issues,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 t="str">
        <x:v>No established-register match</x:v>
      </x:c>
      <x:c r="AT20" s="14"/>
      <x:c r="AU20" s="14"/>
      <x:c r="AV20" s="14" t="str">
        <x:v>No established apparent-disability match</x:v>
      </x:c>
      <x:c r="AW20" s="14"/>
      <x:c r="AX20" s="14" t="str">
        <x:v>No</x:v>
      </x:c>
      <x:c r="AY20" s="14" t="str">
        <x:v>Unmatched</x:v>
      </x:c>
      <x:c r="AZ20" s="14" t="str">
        <x:v>Final supplied register</x:v>
      </x:c>
      <x:c r="BA20" s="14" t="str">
        <x:v>Absence from the register is not evidence that the performer is not disabled.</x:v>
      </x:c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12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0.08333333333333333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HYPERLINK is not implemented. linkLocation=https://www.imdb.com/title/tt30450743/fullcredits/,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tt30450743|nm5990392|rosetta</x:v>
      </x:c>
      <x:c r="B21" s="14" t="str">
        <x:v>01</x:v>
      </x:c>
      <x:c r="C21" s="14" t="str">
        <x:v>2024_IMDb_Cast_Lists_Batch_01(1).xlsx</x:v>
      </x:c>
      <x:c r="D21" s="14" t="str">
        <x:v>Daddy Issues</x:v>
      </x:c>
      <x:c r="E21" s="14" t="n">
        <x:v>30</x:v>
      </x:c>
      <x:c r="F21" s="14" t="str">
        <x:v>Daddy Issues</x:v>
      </x:c>
      <x:c r="G21" s="14" t="str">
        <x:v>tt30450743</x:v>
      </x:c>
      <x:c r="H21" s="14" t="n">
        <x:v>2024</x:v>
      </x:c>
      <x:c r="I21" s="14" t="n">
        <x:v>2025</x:v>
      </x:c>
      <x:c r="J21" s="14" t="str">
        <x:v>Earlier-Production Carry-In Cohort</x:v>
      </x:c>
      <x:c r="K21" s="14" t="n">
        <x:v>2024</x:v>
      </x:c>
      <x:c r="L21" s="14" t="str">
        <x:v>Used in 2025 annual analysis</x:v>
      </x:c>
      <x:c r="M21" s="15" t="n">
        <x:v>23</x:v>
      </x:c>
      <x:c r="N21" s="14" t="str">
        <x:v>Claire Calverley</x:v>
      </x:c>
      <x:c r="O21" s="14" t="str">
        <x:v>nm5990392</x:v>
      </x:c>
      <x:c r="P21" s="14" t="str">
        <x:v>Rosetta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Explicit source first year retained</x:v>
      </x:c>
      <x:c r="V21" s="14" t="str">
        <x:v>Earliest supplied year is 2025.</x:v>
      </x:c>
      <x:c r="W21" s="14"/>
      <x:c r="X21" s="14" t="str">
        <x:v>Included</x:v>
      </x:c>
      <x:c r="Y21" s="14"/>
      <x:c r="Z21" s="14" t="str">
        <x:v>Daddy Issues.docx</x:v>
      </x:c>
      <x:c r="AA21" s="14" t="str">
        <x:v>HYPERLINK is not implemented. linkLocation=https://www.imdb.com/title/tt30450743/fullcredits/,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HYPERLINK("https://en.wikipedia.org/wiki/Daddy_Issues","Open source")</x:f>
        <x:v>HYPERLINK is not implemented. linkLocation=https://en.wikipedia.org/wiki/Daddy_Issues,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 t="str">
        <x:v>No established-register match</x:v>
      </x:c>
      <x:c r="AT21" s="14"/>
      <x:c r="AU21" s="14"/>
      <x:c r="AV21" s="14" t="str">
        <x:v>No established apparent-disability match</x:v>
      </x:c>
      <x:c r="AW21" s="14"/>
      <x:c r="AX21" s="14" t="str">
        <x:v>No</x:v>
      </x:c>
      <x:c r="AY21" s="14" t="str">
        <x:v>Unmatched</x:v>
      </x:c>
      <x:c r="AZ21" s="14" t="str">
        <x:v>Final supplied register</x:v>
      </x:c>
      <x:c r="BA21" s="14" t="str">
        <x:v>Absence from the register is not evidence that the performer is not disabled.</x:v>
      </x:c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12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0.08333333333333333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HYPERLINK is not implemented. linkLocation=https://www.imdb.com/title/tt30450743/fullcredits/,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tt30450743|nm2198515|fluffy</x:v>
      </x:c>
      <x:c r="B22" s="14" t="str">
        <x:v>01</x:v>
      </x:c>
      <x:c r="C22" s="14" t="str">
        <x:v>2024_IMDb_Cast_Lists_Batch_01(1).xlsx</x:v>
      </x:c>
      <x:c r="D22" s="14" t="str">
        <x:v>Daddy Issues</x:v>
      </x:c>
      <x:c r="E22" s="14" t="n">
        <x:v>32</x:v>
      </x:c>
      <x:c r="F22" s="14" t="str">
        <x:v>Daddy Issues</x:v>
      </x:c>
      <x:c r="G22" s="14" t="str">
        <x:v>tt30450743</x:v>
      </x:c>
      <x:c r="H22" s="14" t="n">
        <x:v>2024</x:v>
      </x:c>
      <x:c r="I22" s="14" t="n">
        <x:v>2025</x:v>
      </x:c>
      <x:c r="J22" s="14" t="str">
        <x:v>Earlier-Production Carry-In Cohort</x:v>
      </x:c>
      <x:c r="K22" s="14" t="n">
        <x:v>2024</x:v>
      </x:c>
      <x:c r="L22" s="14" t="str">
        <x:v>Used in 2025 annual analysis</x:v>
      </x:c>
      <x:c r="M22" s="15" t="n">
        <x:v>25</x:v>
      </x:c>
      <x:c r="N22" s="14" t="str">
        <x:v>Muzz Khan</x:v>
      </x:c>
      <x:c r="O22" s="14" t="str">
        <x:v>nm2198515</x:v>
      </x:c>
      <x:c r="P22" s="14" t="str">
        <x:v>Fluffy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Explicit source first year retained</x:v>
      </x:c>
      <x:c r="V22" s="14" t="str">
        <x:v>Earliest supplied year is 2025.</x:v>
      </x:c>
      <x:c r="W22" s="14"/>
      <x:c r="X22" s="14" t="str">
        <x:v>Included</x:v>
      </x:c>
      <x:c r="Y22" s="14"/>
      <x:c r="Z22" s="14" t="str">
        <x:v>Daddy Issues.docx</x:v>
      </x:c>
      <x:c r="AA22" s="14" t="str">
        <x:v>HYPERLINK is not implemented. linkLocation=https://www.imdb.com/title/tt30450743/fullcredits/,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HYPERLINK("https://en.wikipedia.org/wiki/Daddy_Issues","Open source")</x:f>
        <x:v>HYPERLINK is not implemented. linkLocation=https://en.wikipedia.org/wiki/Daddy_Issues,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 t="str">
        <x:v>No established-register match</x:v>
      </x:c>
      <x:c r="AT22" s="14"/>
      <x:c r="AU22" s="14"/>
      <x:c r="AV22" s="14" t="str">
        <x:v>No established apparent-disability match</x:v>
      </x:c>
      <x:c r="AW22" s="14"/>
      <x:c r="AX22" s="14" t="str">
        <x:v>No</x:v>
      </x:c>
      <x:c r="AY22" s="14" t="str">
        <x:v>Unmatched</x:v>
      </x:c>
      <x:c r="AZ22" s="14" t="str">
        <x:v>Final supplied register</x:v>
      </x:c>
      <x:c r="BA22" s="14" t="str">
        <x:v>Absence from the register is not evidence that the performer is not disabled.</x:v>
      </x:c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12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0.08333333333333333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HYPERLINK is not implemented. linkLocation=https://www.imdb.com/title/tt30450743/fullcredits/,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tt30450743|nm14559272|bus driver</x:v>
      </x:c>
      <x:c r="B23" s="14" t="str">
        <x:v>01</x:v>
      </x:c>
      <x:c r="C23" s="14" t="str">
        <x:v>2024_IMDb_Cast_Lists_Batch_01(1).xlsx</x:v>
      </x:c>
      <x:c r="D23" s="14" t="str">
        <x:v>Daddy Issues</x:v>
      </x:c>
      <x:c r="E23" s="14" t="n">
        <x:v>33</x:v>
      </x:c>
      <x:c r="F23" s="14" t="str">
        <x:v>Daddy Issues</x:v>
      </x:c>
      <x:c r="G23" s="14" t="str">
        <x:v>tt30450743</x:v>
      </x:c>
      <x:c r="H23" s="14" t="n">
        <x:v>2024</x:v>
      </x:c>
      <x:c r="I23" s="14" t="n">
        <x:v>2025</x:v>
      </x:c>
      <x:c r="J23" s="14" t="str">
        <x:v>Earlier-Production Carry-In Cohort</x:v>
      </x:c>
      <x:c r="K23" s="14" t="n">
        <x:v>2024</x:v>
      </x:c>
      <x:c r="L23" s="14" t="str">
        <x:v>Used in 2025 annual analysis</x:v>
      </x:c>
      <x:c r="M23" s="15" t="n">
        <x:v>26</x:v>
      </x:c>
      <x:c r="N23" s="14" t="str">
        <x:v>Sophie Lucas</x:v>
      </x:c>
      <x:c r="O23" s="14" t="str">
        <x:v>nm14559272</x:v>
      </x:c>
      <x:c r="P23" s="14" t="str">
        <x:v>Bus Driver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Explicit source first year retained</x:v>
      </x:c>
      <x:c r="V23" s="14" t="str">
        <x:v>Earliest supplied year is 2025.</x:v>
      </x:c>
      <x:c r="W23" s="14"/>
      <x:c r="X23" s="14" t="str">
        <x:v>Included</x:v>
      </x:c>
      <x:c r="Y23" s="14"/>
      <x:c r="Z23" s="14" t="str">
        <x:v>Daddy Issues.docx</x:v>
      </x:c>
      <x:c r="AA23" s="14" t="str">
        <x:v>HYPERLINK is not implemented. linkLocation=https://www.imdb.com/title/tt30450743/fullcredits/,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HYPERLINK("https://en.wikipedia.org/wiki/Daddy_Issues","Open source")</x:f>
        <x:v>HYPERLINK is not implemented. linkLocation=https://en.wikipedia.org/wiki/Daddy_Issues,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 t="str">
        <x:v>No established-register match</x:v>
      </x:c>
      <x:c r="AT23" s="14"/>
      <x:c r="AU23" s="14"/>
      <x:c r="AV23" s="14" t="str">
        <x:v>No established apparent-disability match</x:v>
      </x:c>
      <x:c r="AW23" s="14"/>
      <x:c r="AX23" s="14" t="str">
        <x:v>No</x:v>
      </x:c>
      <x:c r="AY23" s="14" t="str">
        <x:v>Unmatched</x:v>
      </x:c>
      <x:c r="AZ23" s="14" t="str">
        <x:v>Final supplied register</x:v>
      </x:c>
      <x:c r="BA23" s="14" t="str">
        <x:v>Absence from the register is not evidence that the performer is not disabled.</x:v>
      </x:c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12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0.08333333333333333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HYPERLINK is not implemented. linkLocation=https://www.imdb.com/title/tt30450743/fullcredits/,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tt30450743|nm11248760|gav</x:v>
      </x:c>
      <x:c r="B24" s="14" t="str">
        <x:v>01</x:v>
      </x:c>
      <x:c r="C24" s="14" t="str">
        <x:v>2024_IMDb_Cast_Lists_Batch_01(1).xlsx</x:v>
      </x:c>
      <x:c r="D24" s="14" t="str">
        <x:v>Daddy Issues</x:v>
      </x:c>
      <x:c r="E24" s="14" t="n">
        <x:v>34</x:v>
      </x:c>
      <x:c r="F24" s="14" t="str">
        <x:v>Daddy Issues</x:v>
      </x:c>
      <x:c r="G24" s="14" t="str">
        <x:v>tt30450743</x:v>
      </x:c>
      <x:c r="H24" s="14" t="n">
        <x:v>2024</x:v>
      </x:c>
      <x:c r="I24" s="14" t="n">
        <x:v>2025</x:v>
      </x:c>
      <x:c r="J24" s="14" t="str">
        <x:v>Earlier-Production Carry-In Cohort</x:v>
      </x:c>
      <x:c r="K24" s="14" t="n">
        <x:v>2024</x:v>
      </x:c>
      <x:c r="L24" s="14" t="str">
        <x:v>Used in 2025 annual analysis</x:v>
      </x:c>
      <x:c r="M24" s="15" t="n">
        <x:v>27</x:v>
      </x:c>
      <x:c r="N24" s="14" t="str">
        <x:v>Scott Bennett</x:v>
      </x:c>
      <x:c r="O24" s="14" t="str">
        <x:v>nm11248760</x:v>
      </x:c>
      <x:c r="P24" s="14" t="str">
        <x:v>Gav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Explicit source first year retained</x:v>
      </x:c>
      <x:c r="V24" s="14" t="str">
        <x:v>Earliest supplied year is 2025.</x:v>
      </x:c>
      <x:c r="W24" s="14"/>
      <x:c r="X24" s="14" t="str">
        <x:v>Included</x:v>
      </x:c>
      <x:c r="Y24" s="14"/>
      <x:c r="Z24" s="14" t="str">
        <x:v>Daddy Issues.docx</x:v>
      </x:c>
      <x:c r="AA24" s="14" t="str">
        <x:v>HYPERLINK is not implemented. linkLocation=https://www.imdb.com/title/tt30450743/fullcredits/,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HYPERLINK("https://en.wikipedia.org/wiki/Daddy_Issues","Open source")</x:f>
        <x:v>HYPERLINK is not implemented. linkLocation=https://en.wikipedia.org/wiki/Daddy_Issues,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 t="str">
        <x:v>No established-register match</x:v>
      </x:c>
      <x:c r="AT24" s="14"/>
      <x:c r="AU24" s="14"/>
      <x:c r="AV24" s="14" t="str">
        <x:v>No established apparent-disability match</x:v>
      </x:c>
      <x:c r="AW24" s="14"/>
      <x:c r="AX24" s="14" t="str">
        <x:v>No</x:v>
      </x:c>
      <x:c r="AY24" s="14" t="str">
        <x:v>Unmatched</x:v>
      </x:c>
      <x:c r="AZ24" s="14" t="str">
        <x:v>Final supplied register</x:v>
      </x:c>
      <x:c r="BA24" s="14" t="str">
        <x:v>Absence from the register is not evidence that the performer is not disabled.</x:v>
      </x:c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12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0.08333333333333333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HYPERLINK is not implemented. linkLocation=https://www.imdb.com/title/tt30450743/fullcredits/,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tt30450743|nm7926702|dustin</x:v>
      </x:c>
      <x:c r="B25" s="14" t="str">
        <x:v>01</x:v>
      </x:c>
      <x:c r="C25" s="14" t="str">
        <x:v>2024_IMDb_Cast_Lists_Batch_01(1).xlsx</x:v>
      </x:c>
      <x:c r="D25" s="14" t="str">
        <x:v>Daddy Issues</x:v>
      </x:c>
      <x:c r="E25" s="14" t="n">
        <x:v>40</x:v>
      </x:c>
      <x:c r="F25" s="14" t="str">
        <x:v>Daddy Issues</x:v>
      </x:c>
      <x:c r="G25" s="14" t="str">
        <x:v>tt30450743</x:v>
      </x:c>
      <x:c r="H25" s="14" t="n">
        <x:v>2024</x:v>
      </x:c>
      <x:c r="I25" s="14" t="n">
        <x:v>2025</x:v>
      </x:c>
      <x:c r="J25" s="14" t="str">
        <x:v>Earlier-Production Carry-In Cohort</x:v>
      </x:c>
      <x:c r="K25" s="14" t="n">
        <x:v>2024</x:v>
      </x:c>
      <x:c r="L25" s="14" t="str">
        <x:v>Used in 2025 annual analysis</x:v>
      </x:c>
      <x:c r="M25" s="15" t="n">
        <x:v>33</x:v>
      </x:c>
      <x:c r="N25" s="14" t="str">
        <x:v>Nathan Foad</x:v>
      </x:c>
      <x:c r="O25" s="14" t="str">
        <x:v>nm7926702</x:v>
      </x:c>
      <x:c r="P25" s="14" t="str">
        <x:v>Dustin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Explicit source first year retained</x:v>
      </x:c>
      <x:c r="V25" s="14" t="str">
        <x:v>Earliest supplied year is 2025.</x:v>
      </x:c>
      <x:c r="W25" s="14"/>
      <x:c r="X25" s="14" t="str">
        <x:v>Included</x:v>
      </x:c>
      <x:c r="Y25" s="14"/>
      <x:c r="Z25" s="14" t="str">
        <x:v>Daddy Issues.docx</x:v>
      </x:c>
      <x:c r="AA25" s="14" t="str">
        <x:v>HYPERLINK is not implemented. linkLocation=https://www.imdb.com/title/tt30450743/fullcredits/,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HYPERLINK("https://en.wikipedia.org/wiki/Daddy_Issues","Open source")</x:f>
        <x:v>HYPERLINK is not implemented. linkLocation=https://en.wikipedia.org/wiki/Daddy_Issues,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 t="str">
        <x:v>No established-register match</x:v>
      </x:c>
      <x:c r="AT25" s="14"/>
      <x:c r="AU25" s="14"/>
      <x:c r="AV25" s="14" t="str">
        <x:v>No established apparent-disability match</x:v>
      </x:c>
      <x:c r="AW25" s="14"/>
      <x:c r="AX25" s="14" t="str">
        <x:v>No</x:v>
      </x:c>
      <x:c r="AY25" s="14" t="str">
        <x:v>Unmatched</x:v>
      </x:c>
      <x:c r="AZ25" s="14" t="str">
        <x:v>Final supplied register</x:v>
      </x:c>
      <x:c r="BA25" s="14" t="str">
        <x:v>Absence from the register is not evidence that the performer is not disabled.</x:v>
      </x:c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12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0.08333333333333333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HYPERLINK is not implemented. linkLocation=https://www.imdb.com/title/tt30450743/fullcredits/,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tt30450743|nm13221179|agatha</x:v>
      </x:c>
      <x:c r="B26" s="14" t="str">
        <x:v>01</x:v>
      </x:c>
      <x:c r="C26" s="14" t="str">
        <x:v>2024_IMDb_Cast_Lists_Batch_01(1).xlsx</x:v>
      </x:c>
      <x:c r="D26" s="14" t="str">
        <x:v>Daddy Issues</x:v>
      </x:c>
      <x:c r="E26" s="14" t="n">
        <x:v>41</x:v>
      </x:c>
      <x:c r="F26" s="14" t="str">
        <x:v>Daddy Issues</x:v>
      </x:c>
      <x:c r="G26" s="14" t="str">
        <x:v>tt30450743</x:v>
      </x:c>
      <x:c r="H26" s="14" t="n">
        <x:v>2024</x:v>
      </x:c>
      <x:c r="I26" s="14" t="n">
        <x:v>2025</x:v>
      </x:c>
      <x:c r="J26" s="14" t="str">
        <x:v>Earlier-Production Carry-In Cohort</x:v>
      </x:c>
      <x:c r="K26" s="14" t="n">
        <x:v>2024</x:v>
      </x:c>
      <x:c r="L26" s="14" t="str">
        <x:v>Used in 2025 annual analysis</x:v>
      </x:c>
      <x:c r="M26" s="15" t="n">
        <x:v>34</x:v>
      </x:c>
      <x:c r="N26" s="14" t="str">
        <x:v>Lily Best</x:v>
      </x:c>
      <x:c r="O26" s="14" t="str">
        <x:v>nm13221179</x:v>
      </x:c>
      <x:c r="P26" s="14" t="str">
        <x:v>Agatha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Explicit source first year retained</x:v>
      </x:c>
      <x:c r="V26" s="14" t="str">
        <x:v>Earliest supplied year is 2025.</x:v>
      </x:c>
      <x:c r="W26" s="14"/>
      <x:c r="X26" s="14" t="str">
        <x:v>Included</x:v>
      </x:c>
      <x:c r="Y26" s="14"/>
      <x:c r="Z26" s="14" t="str">
        <x:v>Daddy Issues.docx</x:v>
      </x:c>
      <x:c r="AA26" s="14" t="str">
        <x:v>HYPERLINK is not implemented. linkLocation=https://www.imdb.com/title/tt30450743/fullcredits/,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HYPERLINK("https://en.wikipedia.org/wiki/Daddy_Issues","Open source")</x:f>
        <x:v>HYPERLINK is not implemented. linkLocation=https://en.wikipedia.org/wiki/Daddy_Issues,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 t="str">
        <x:v>No established-register match</x:v>
      </x:c>
      <x:c r="AT26" s="14"/>
      <x:c r="AU26" s="14"/>
      <x:c r="AV26" s="14" t="str">
        <x:v>No established apparent-disability match</x:v>
      </x:c>
      <x:c r="AW26" s="14"/>
      <x:c r="AX26" s="14" t="str">
        <x:v>No</x:v>
      </x:c>
      <x:c r="AY26" s="14" t="str">
        <x:v>Unmatched</x:v>
      </x:c>
      <x:c r="AZ26" s="14" t="str">
        <x:v>Final supplied register</x:v>
      </x:c>
      <x:c r="BA26" s="14" t="str">
        <x:v>Absence from the register is not evidence that the performer is not disabled.</x:v>
      </x:c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12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0.08333333333333333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HYPERLINK is not implemented. linkLocation=https://www.imdb.com/title/tt30450743/fullcredits/,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tt30450743|nm8891071|johan</x:v>
      </x:c>
      <x:c r="B27" s="14" t="str">
        <x:v>01</x:v>
      </x:c>
      <x:c r="C27" s="14" t="str">
        <x:v>2024_IMDb_Cast_Lists_Batch_01(1).xlsx</x:v>
      </x:c>
      <x:c r="D27" s="14" t="str">
        <x:v>Daddy Issues</x:v>
      </x:c>
      <x:c r="E27" s="14" t="n">
        <x:v>42</x:v>
      </x:c>
      <x:c r="F27" s="14" t="str">
        <x:v>Daddy Issues</x:v>
      </x:c>
      <x:c r="G27" s="14" t="str">
        <x:v>tt30450743</x:v>
      </x:c>
      <x:c r="H27" s="14" t="n">
        <x:v>2024</x:v>
      </x:c>
      <x:c r="I27" s="14" t="n">
        <x:v>2025</x:v>
      </x:c>
      <x:c r="J27" s="14" t="str">
        <x:v>Earlier-Production Carry-In Cohort</x:v>
      </x:c>
      <x:c r="K27" s="14" t="n">
        <x:v>2024</x:v>
      </x:c>
      <x:c r="L27" s="14" t="str">
        <x:v>Used in 2025 annual analysis</x:v>
      </x:c>
      <x:c r="M27" s="15" t="n">
        <x:v>35</x:v>
      </x:c>
      <x:c r="N27" s="14" t="str">
        <x:v>Benjamin Black</x:v>
      </x:c>
      <x:c r="O27" s="14" t="str">
        <x:v>nm8891071</x:v>
      </x:c>
      <x:c r="P27" s="14" t="str">
        <x:v>Johan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Explicit source first year retained</x:v>
      </x:c>
      <x:c r="V27" s="14" t="str">
        <x:v>Earliest supplied year is 2025.</x:v>
      </x:c>
      <x:c r="W27" s="14"/>
      <x:c r="X27" s="14" t="str">
        <x:v>Included</x:v>
      </x:c>
      <x:c r="Y27" s="14"/>
      <x:c r="Z27" s="14" t="str">
        <x:v>Daddy Issues.docx</x:v>
      </x:c>
      <x:c r="AA27" s="14" t="str">
        <x:v>HYPERLINK is not implemented. linkLocation=https://www.imdb.com/title/tt30450743/fullcredits/,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HYPERLINK("https://en.wikipedia.org/wiki/Daddy_Issues","Open source")</x:f>
        <x:v>HYPERLINK is not implemented. linkLocation=https://en.wikipedia.org/wiki/Daddy_Issues,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 t="str">
        <x:v>No established-register match</x:v>
      </x:c>
      <x:c r="AT27" s="14"/>
      <x:c r="AU27" s="14"/>
      <x:c r="AV27" s="14" t="str">
        <x:v>No established apparent-disability match</x:v>
      </x:c>
      <x:c r="AW27" s="14"/>
      <x:c r="AX27" s="14" t="str">
        <x:v>No</x:v>
      </x:c>
      <x:c r="AY27" s="14" t="str">
        <x:v>Unmatched</x:v>
      </x:c>
      <x:c r="AZ27" s="14" t="str">
        <x:v>Final supplied register</x:v>
      </x:c>
      <x:c r="BA27" s="14" t="str">
        <x:v>Absence from the register is not evidence that the performer is not disabled.</x:v>
      </x:c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12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0.08333333333333333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HYPERLINK is not implemented. linkLocation=https://www.imdb.com/title/tt30450743/fullcredits/,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tt30450743|nm7179033|cerys</x:v>
      </x:c>
      <x:c r="B28" s="14" t="str">
        <x:v>01</x:v>
      </x:c>
      <x:c r="C28" s="14" t="str">
        <x:v>2024_IMDb_Cast_Lists_Batch_01(1).xlsx</x:v>
      </x:c>
      <x:c r="D28" s="14" t="str">
        <x:v>Daddy Issues</x:v>
      </x:c>
      <x:c r="E28" s="14" t="n">
        <x:v>43</x:v>
      </x:c>
      <x:c r="F28" s="14" t="str">
        <x:v>Daddy Issues</x:v>
      </x:c>
      <x:c r="G28" s="14" t="str">
        <x:v>tt30450743</x:v>
      </x:c>
      <x:c r="H28" s="14" t="n">
        <x:v>2024</x:v>
      </x:c>
      <x:c r="I28" s="14" t="n">
        <x:v>2025</x:v>
      </x:c>
      <x:c r="J28" s="14" t="str">
        <x:v>Earlier-Production Carry-In Cohort</x:v>
      </x:c>
      <x:c r="K28" s="14" t="n">
        <x:v>2024</x:v>
      </x:c>
      <x:c r="L28" s="14" t="str">
        <x:v>Used in 2025 annual analysis</x:v>
      </x:c>
      <x:c r="M28" s="15" t="n">
        <x:v>36</x:v>
      </x:c>
      <x:c r="N28" s="14" t="str">
        <x:v>Cate Lovett</x:v>
      </x:c>
      <x:c r="O28" s="14" t="str">
        <x:v>nm7179033</x:v>
      </x:c>
      <x:c r="P28" s="14" t="str">
        <x:v>Cerys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Explicit source first year retained</x:v>
      </x:c>
      <x:c r="V28" s="14" t="str">
        <x:v>Earliest supplied year is 2025.</x:v>
      </x:c>
      <x:c r="W28" s="14"/>
      <x:c r="X28" s="14" t="str">
        <x:v>Included</x:v>
      </x:c>
      <x:c r="Y28" s="14"/>
      <x:c r="Z28" s="14" t="str">
        <x:v>Daddy Issues.docx</x:v>
      </x:c>
      <x:c r="AA28" s="14" t="str">
        <x:v>HYPERLINK is not implemented. linkLocation=https://www.imdb.com/title/tt30450743/fullcredits/,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HYPERLINK("https://en.wikipedia.org/wiki/Daddy_Issues","Open source")</x:f>
        <x:v>HYPERLINK is not implemented. linkLocation=https://en.wikipedia.org/wiki/Daddy_Issues,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 t="str">
        <x:v>No established-register match</x:v>
      </x:c>
      <x:c r="AT28" s="14"/>
      <x:c r="AU28" s="14"/>
      <x:c r="AV28" s="14" t="str">
        <x:v>No established apparent-disability match</x:v>
      </x:c>
      <x:c r="AW28" s="14"/>
      <x:c r="AX28" s="14" t="str">
        <x:v>No</x:v>
      </x:c>
      <x:c r="AY28" s="14" t="str">
        <x:v>Unmatched</x:v>
      </x:c>
      <x:c r="AZ28" s="14" t="str">
        <x:v>Final supplied register</x:v>
      </x:c>
      <x:c r="BA28" s="14" t="str">
        <x:v>Absence from the register is not evidence that the performer is not disabled.</x:v>
      </x:c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12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0.08333333333333333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HYPERLINK is not implemented. linkLocation=https://www.imdb.com/title/tt30450743/fullcredits/,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tt30450743|nm3038987|lawrence</x:v>
      </x:c>
      <x:c r="B29" s="14" t="str">
        <x:v>01</x:v>
      </x:c>
      <x:c r="C29" s="14" t="str">
        <x:v>2024_IMDb_Cast_Lists_Batch_01(1).xlsx</x:v>
      </x:c>
      <x:c r="D29" s="14" t="str">
        <x:v>Daddy Issues</x:v>
      </x:c>
      <x:c r="E29" s="14" t="n">
        <x:v>48</x:v>
      </x:c>
      <x:c r="F29" s="14" t="str">
        <x:v>Daddy Issues</x:v>
      </x:c>
      <x:c r="G29" s="14" t="str">
        <x:v>tt30450743</x:v>
      </x:c>
      <x:c r="H29" s="14" t="n">
        <x:v>2024</x:v>
      </x:c>
      <x:c r="I29" s="14" t="n">
        <x:v>2025</x:v>
      </x:c>
      <x:c r="J29" s="14" t="str">
        <x:v>Earlier-Production Carry-In Cohort</x:v>
      </x:c>
      <x:c r="K29" s="14" t="n">
        <x:v>2024</x:v>
      </x:c>
      <x:c r="L29" s="14" t="str">
        <x:v>Used in 2025 annual analysis</x:v>
      </x:c>
      <x:c r="M29" s="15" t="n">
        <x:v>41</x:v>
      </x:c>
      <x:c r="N29" s="14" t="str">
        <x:v>Thom Tuck</x:v>
      </x:c>
      <x:c r="O29" s="14" t="str">
        <x:v>nm3038987</x:v>
      </x:c>
      <x:c r="P29" s="14" t="str">
        <x:v>Lawrence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Explicit source first year retained</x:v>
      </x:c>
      <x:c r="V29" s="14" t="str">
        <x:v>Earliest supplied year is 2025.</x:v>
      </x:c>
      <x:c r="W29" s="14"/>
      <x:c r="X29" s="14" t="str">
        <x:v>Included</x:v>
      </x:c>
      <x:c r="Y29" s="14"/>
      <x:c r="Z29" s="14" t="str">
        <x:v>Daddy Issues.docx</x:v>
      </x:c>
      <x:c r="AA29" s="14" t="str">
        <x:v>HYPERLINK is not implemented. linkLocation=https://www.imdb.com/title/tt30450743/fullcredits/,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HYPERLINK("https://en.wikipedia.org/wiki/Daddy_Issues","Open source")</x:f>
        <x:v>HYPERLINK is not implemented. linkLocation=https://en.wikipedia.org/wiki/Daddy_Issues,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 t="str">
        <x:v>No established-register match</x:v>
      </x:c>
      <x:c r="AT29" s="14"/>
      <x:c r="AU29" s="14"/>
      <x:c r="AV29" s="14" t="str">
        <x:v>No established apparent-disability match</x:v>
      </x:c>
      <x:c r="AW29" s="14"/>
      <x:c r="AX29" s="14" t="str">
        <x:v>No</x:v>
      </x:c>
      <x:c r="AY29" s="14" t="str">
        <x:v>Unmatched</x:v>
      </x:c>
      <x:c r="AZ29" s="14" t="str">
        <x:v>Final supplied register</x:v>
      </x:c>
      <x:c r="BA29" s="14" t="str">
        <x:v>Absence from the register is not evidence that the performer is not disabled.</x:v>
      </x:c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12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0.08333333333333333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HYPERLINK is not implemented. linkLocation=https://www.imdb.com/title/tt30450743/fullcredits/,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tt30450743|nm8575384|hodge</x:v>
      </x:c>
      <x:c r="B30" s="14" t="str">
        <x:v>01</x:v>
      </x:c>
      <x:c r="C30" s="14" t="str">
        <x:v>2024_IMDb_Cast_Lists_Batch_01(1).xlsx</x:v>
      </x:c>
      <x:c r="D30" s="14" t="str">
        <x:v>Daddy Issues</x:v>
      </x:c>
      <x:c r="E30" s="14" t="n">
        <x:v>49</x:v>
      </x:c>
      <x:c r="F30" s="14" t="str">
        <x:v>Daddy Issues</x:v>
      </x:c>
      <x:c r="G30" s="14" t="str">
        <x:v>tt30450743</x:v>
      </x:c>
      <x:c r="H30" s="14" t="n">
        <x:v>2024</x:v>
      </x:c>
      <x:c r="I30" s="14" t="n">
        <x:v>2025</x:v>
      </x:c>
      <x:c r="J30" s="14" t="str">
        <x:v>Earlier-Production Carry-In Cohort</x:v>
      </x:c>
      <x:c r="K30" s="14" t="n">
        <x:v>2024</x:v>
      </x:c>
      <x:c r="L30" s="14" t="str">
        <x:v>Used in 2025 annual analysis</x:v>
      </x:c>
      <x:c r="M30" s="15" t="n">
        <x:v>42</x:v>
      </x:c>
      <x:c r="N30" s="14" t="str">
        <x:v>Joel Harper-Jackson</x:v>
      </x:c>
      <x:c r="O30" s="14" t="str">
        <x:v>nm8575384</x:v>
      </x:c>
      <x:c r="P30" s="14" t="str">
        <x:v>Hodge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Explicit source first year retained</x:v>
      </x:c>
      <x:c r="V30" s="14" t="str">
        <x:v>Earliest supplied year is 2025.</x:v>
      </x:c>
      <x:c r="W30" s="14"/>
      <x:c r="X30" s="14" t="str">
        <x:v>Included</x:v>
      </x:c>
      <x:c r="Y30" s="14"/>
      <x:c r="Z30" s="14" t="str">
        <x:v>Daddy Issues.docx</x:v>
      </x:c>
      <x:c r="AA30" s="14" t="str">
        <x:v>HYPERLINK is not implemented. linkLocation=https://www.imdb.com/title/tt30450743/fullcredits/,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HYPERLINK("https://en.wikipedia.org/wiki/Daddy_Issues","Open source")</x:f>
        <x:v>HYPERLINK is not implemented. linkLocation=https://en.wikipedia.org/wiki/Daddy_Issues, friendlyName=Open source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 t="str">
        <x:v>No established-register match</x:v>
      </x:c>
      <x:c r="AT30" s="14"/>
      <x:c r="AU30" s="14"/>
      <x:c r="AV30" s="14" t="str">
        <x:v>No established apparent-disability match</x:v>
      </x:c>
      <x:c r="AW30" s="14"/>
      <x:c r="AX30" s="14" t="str">
        <x:v>No</x:v>
      </x:c>
      <x:c r="AY30" s="14" t="str">
        <x:v>Unmatched</x:v>
      </x:c>
      <x:c r="AZ30" s="14" t="str">
        <x:v>Final supplied register</x:v>
      </x:c>
      <x:c r="BA30" s="14" t="str">
        <x:v>Absence from the register is not evidence that the performer is not disabled.</x:v>
      </x:c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12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0.08333333333333333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HYPERLINK is not implemented. linkLocation=https://www.imdb.com/title/tt30450743/fullcredits/,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tt30450743|nm0232780|angry man</x:v>
      </x:c>
      <x:c r="B31" s="14" t="str">
        <x:v>01</x:v>
      </x:c>
      <x:c r="C31" s="14" t="str">
        <x:v>2024_IMDb_Cast_Lists_Batch_01(1).xlsx</x:v>
      </x:c>
      <x:c r="D31" s="14" t="str">
        <x:v>Daddy Issues</x:v>
      </x:c>
      <x:c r="E31" s="14" t="n">
        <x:v>50</x:v>
      </x:c>
      <x:c r="F31" s="14" t="str">
        <x:v>Daddy Issues</x:v>
      </x:c>
      <x:c r="G31" s="14" t="str">
        <x:v>tt30450743</x:v>
      </x:c>
      <x:c r="H31" s="14" t="n">
        <x:v>2024</x:v>
      </x:c>
      <x:c r="I31" s="14" t="n">
        <x:v>2025</x:v>
      </x:c>
      <x:c r="J31" s="14" t="str">
        <x:v>Earlier-Production Carry-In Cohort</x:v>
      </x:c>
      <x:c r="K31" s="14" t="n">
        <x:v>2024</x:v>
      </x:c>
      <x:c r="L31" s="14" t="str">
        <x:v>Used in 2025 annual analysis</x:v>
      </x:c>
      <x:c r="M31" s="15" t="n">
        <x:v>43</x:v>
      </x:c>
      <x:c r="N31" s="14" t="str">
        <x:v>Warren Donnelly</x:v>
      </x:c>
      <x:c r="O31" s="14" t="str">
        <x:v>nm0232780</x:v>
      </x:c>
      <x:c r="P31" s="14" t="str">
        <x:v>Angry Man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Explicit source first year retained</x:v>
      </x:c>
      <x:c r="V31" s="14" t="str">
        <x:v>Earliest supplied year is 2025.</x:v>
      </x:c>
      <x:c r="W31" s="14"/>
      <x:c r="X31" s="14" t="str">
        <x:v>Included</x:v>
      </x:c>
      <x:c r="Y31" s="14"/>
      <x:c r="Z31" s="14" t="str">
        <x:v>Daddy Issues.docx</x:v>
      </x:c>
      <x:c r="AA31" s="14" t="str">
        <x:v>HYPERLINK is not implemented. linkLocation=https://www.imdb.com/title/tt30450743/fullcredits/,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HYPERLINK("https://en.wikipedia.org/wiki/Daddy_Issues","Open source")</x:f>
        <x:v>HYPERLINK is not implemented. linkLocation=https://en.wikipedia.org/wiki/Daddy_Issues, friendlyName=Open source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 t="str">
        <x:v>No established-register match</x:v>
      </x:c>
      <x:c r="AT31" s="14"/>
      <x:c r="AU31" s="14"/>
      <x:c r="AV31" s="14" t="str">
        <x:v>No established apparent-disability match</x:v>
      </x:c>
      <x:c r="AW31" s="14"/>
      <x:c r="AX31" s="14" t="str">
        <x:v>No</x:v>
      </x:c>
      <x:c r="AY31" s="14" t="str">
        <x:v>Unmatched</x:v>
      </x:c>
      <x:c r="AZ31" s="14" t="str">
        <x:v>Final supplied register</x:v>
      </x:c>
      <x:c r="BA31" s="14" t="str">
        <x:v>Absence from the register is not evidence that the performer is not disabled.</x:v>
      </x:c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12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0.08333333333333333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HYPERLINK is not implemented. linkLocation=https://www.imdb.com/title/tt30450743/fullcredits/,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tt30450743|nm4066548|shop assistant</x:v>
      </x:c>
      <x:c r="B32" s="14" t="str">
        <x:v>01</x:v>
      </x:c>
      <x:c r="C32" s="14" t="str">
        <x:v>2024_IMDb_Cast_Lists_Batch_01(1).xlsx</x:v>
      </x:c>
      <x:c r="D32" s="14" t="str">
        <x:v>Daddy Issues</x:v>
      </x:c>
      <x:c r="E32" s="14" t="n">
        <x:v>51</x:v>
      </x:c>
      <x:c r="F32" s="14" t="str">
        <x:v>Daddy Issues</x:v>
      </x:c>
      <x:c r="G32" s="14" t="str">
        <x:v>tt30450743</x:v>
      </x:c>
      <x:c r="H32" s="14" t="n">
        <x:v>2024</x:v>
      </x:c>
      <x:c r="I32" s="14" t="n">
        <x:v>2025</x:v>
      </x:c>
      <x:c r="J32" s="14" t="str">
        <x:v>Earlier-Production Carry-In Cohort</x:v>
      </x:c>
      <x:c r="K32" s="14" t="n">
        <x:v>2024</x:v>
      </x:c>
      <x:c r="L32" s="14" t="str">
        <x:v>Used in 2025 annual analysis</x:v>
      </x:c>
      <x:c r="M32" s="15" t="n">
        <x:v>44</x:v>
      </x:c>
      <x:c r="N32" s="14" t="str">
        <x:v>Ross Grant</x:v>
      </x:c>
      <x:c r="O32" s="14" t="str">
        <x:v>nm4066548</x:v>
      </x:c>
      <x:c r="P32" s="14" t="str">
        <x:v>Shop Assistant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Explicit source first year retained</x:v>
      </x:c>
      <x:c r="V32" s="14" t="str">
        <x:v>Earliest supplied year is 2025.</x:v>
      </x:c>
      <x:c r="W32" s="14"/>
      <x:c r="X32" s="14" t="str">
        <x:v>Included</x:v>
      </x:c>
      <x:c r="Y32" s="14"/>
      <x:c r="Z32" s="14" t="str">
        <x:v>Daddy Issues.docx</x:v>
      </x:c>
      <x:c r="AA32" s="14" t="str">
        <x:v>HYPERLINK is not implemented. linkLocation=https://www.imdb.com/title/tt30450743/fullcredits/, friendlyName=Open source</x:v>
      </x:c>
      <x:c r="AB32" s="14" t="str">
        <x:v>Existing established-register match</x:v>
      </x:c>
      <x:c r="AC32" s="14" t="str">
        <x:v>Blind or vision impaired</x:v>
      </x:c>
      <x:c r="AD32" s="14" t="str">
        <x:v>Existing register classification: Blind or vision impaired</x:v>
      </x:c>
      <x:c r="AE32" s="14" t="str">
        <x:v>Established_Disability_Category_Register V1.2.xlsx</x:v>
      </x:c>
      <x:c r="AF32" s="14"/>
      <x:c r="AG32" s="14" t="str">
        <x:v>Established user-supplied classification retained for deduplication; evidence was not re-researched in this batch.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HYPERLINK("https://en.wikipedia.org/wiki/Daddy_Issues","Open source")</x:f>
        <x:v>HYPERLINK is not implemented. linkLocation=https://en.wikipedia.org/wiki/Daddy_Issues, friendlyName=Open source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 t="str">
        <x:v>Exact IMDb performer ID match</x:v>
      </x:c>
      <x:c r="AT32" s="14" t="str">
        <x:v>nm4066548</x:v>
      </x:c>
      <x:c r="AU32" s="14" t="str">
        <x:v>Blind or vision impaired</x:v>
      </x:c>
      <x:c r="AV32" s="14" t="str">
        <x:v>Yes</x:v>
      </x:c>
      <x:c r="AW32" s="14" t="str">
        <x:v>Blind or vision impaired</x:v>
      </x:c>
      <x:c r="AX32" s="14" t="str">
        <x:v>No</x:v>
      </x:c>
      <x:c r="AY32" s="14" t="str">
        <x:v>Matched</x:v>
      </x:c>
      <x:c r="AZ32" s="14" t="str">
        <x:v>Final supplied register</x:v>
      </x:c>
      <x:c r="BA32" s="14"/>
      <x:c r="BB32" s="14" t="str">
        <x:v>Exact IMDb performer ID match</x:v>
      </x:c>
      <x:c r="BC32" s="14" t="str">
        <x:v>nm4066548</x:v>
      </x:c>
      <x:c r="BD32" s="14" t="str">
        <x:v>Ross Grant</x:v>
      </x:c>
      <x:c r="BE32" s="14" t="str">
        <x:v>Blind or vision impaired</x:v>
      </x:c>
      <x:c r="BF32" s="14" t="str">
        <x:v>Yes</x:v>
      </x:c>
      <x:c r="BG32" s="14" t="str">
        <x:v>Blind or vision impaired</x:v>
      </x:c>
      <x:c r="BH32" s="14" t="str">
        <x:v>No</x:v>
      </x:c>
      <x:c r="BI32" s="14" t="str">
        <x:v>User-supplied established classification</x:v>
      </x:c>
      <x:c r="BJ32" s="14" t="str">
        <x:v>09_Blind_or_vision_impaired.csv</x:v>
      </x:c>
      <x:c r="BK32" s="14"/>
      <x:c r="BL32" s="14" t="str">
        <x:v>Matched</x:v>
      </x:c>
      <x:c r="BM32" s="14" t="str">
        <x:v>Final supplied register</x:v>
      </x:c>
      <x:c r="BN32" s="14"/>
      <x:c r="BO32" s="14" t="n">
        <x:v>12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0.08333333333333333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HYPERLINK is not implemented. linkLocation=https://www.imdb.com/title/tt30450743/fullcredits/,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tt30450743|nm7600297|angry mum</x:v>
      </x:c>
      <x:c r="B33" s="14" t="str">
        <x:v>01</x:v>
      </x:c>
      <x:c r="C33" s="14" t="str">
        <x:v>2024_IMDb_Cast_Lists_Batch_01(1).xlsx</x:v>
      </x:c>
      <x:c r="D33" s="14" t="str">
        <x:v>Daddy Issues</x:v>
      </x:c>
      <x:c r="E33" s="14" t="n">
        <x:v>52</x:v>
      </x:c>
      <x:c r="F33" s="14" t="str">
        <x:v>Daddy Issues</x:v>
      </x:c>
      <x:c r="G33" s="14" t="str">
        <x:v>tt30450743</x:v>
      </x:c>
      <x:c r="H33" s="14" t="n">
        <x:v>2024</x:v>
      </x:c>
      <x:c r="I33" s="14" t="n">
        <x:v>2025</x:v>
      </x:c>
      <x:c r="J33" s="14" t="str">
        <x:v>Earlier-Production Carry-In Cohort</x:v>
      </x:c>
      <x:c r="K33" s="14" t="n">
        <x:v>2024</x:v>
      </x:c>
      <x:c r="L33" s="14" t="str">
        <x:v>Used in 2025 annual analysis</x:v>
      </x:c>
      <x:c r="M33" s="15" t="n">
        <x:v>45</x:v>
      </x:c>
      <x:c r="N33" s="14" t="str">
        <x:v>Louise Willoughby</x:v>
      </x:c>
      <x:c r="O33" s="14" t="str">
        <x:v>nm7600297</x:v>
      </x:c>
      <x:c r="P33" s="14" t="str">
        <x:v>Angry Mum</x:v>
      </x:c>
      <x:c r="Q33" s="15" t="n">
        <x:v>1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Explicit source first year retained</x:v>
      </x:c>
      <x:c r="V33" s="14" t="str">
        <x:v>Earliest supplied year is 2025.</x:v>
      </x:c>
      <x:c r="W33" s="14"/>
      <x:c r="X33" s="14" t="str">
        <x:v>Included</x:v>
      </x:c>
      <x:c r="Y33" s="14"/>
      <x:c r="Z33" s="14" t="str">
        <x:v>Daddy Issues.docx</x:v>
      </x:c>
      <x:c r="AA33" s="14" t="str">
        <x:v>HYPERLINK is not implemented. linkLocation=https://www.imdb.com/title/tt30450743/fullcredits/,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HYPERLINK("https://en.wikipedia.org/wiki/Daddy_Issues","Open source")</x:f>
        <x:v>HYPERLINK is not implemented. linkLocation=https://en.wikipedia.org/wiki/Daddy_Issues,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 t="str">
        <x:v>No established-register match</x:v>
      </x:c>
      <x:c r="AT33" s="14"/>
      <x:c r="AU33" s="14"/>
      <x:c r="AV33" s="14" t="str">
        <x:v>No established apparent-disability match</x:v>
      </x:c>
      <x:c r="AW33" s="14"/>
      <x:c r="AX33" s="14" t="str">
        <x:v>No</x:v>
      </x:c>
      <x:c r="AY33" s="14" t="str">
        <x:v>Unmatched</x:v>
      </x:c>
      <x:c r="AZ33" s="14" t="str">
        <x:v>Final supplied register</x:v>
      </x:c>
      <x:c r="BA33" s="14" t="str">
        <x:v>Absence from the register is not evidence that the performer is not disabled.</x:v>
      </x:c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12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1</x:v>
      </x:c>
      <x:c r="BS33" s="16" t="n">
        <x:v>0.08333333333333333</x:v>
      </x:c>
      <x:c r="BT33" s="14" t="str">
        <x:v>One episode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HYPERLINK is not implemented. linkLocation=https://www.imdb.com/title/tt30450743/fullcredits/,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tt30450743|nm1517523|role not listed</x:v>
      </x:c>
      <x:c r="B34" s="14" t="str">
        <x:v>01</x:v>
      </x:c>
      <x:c r="C34" s="14" t="str">
        <x:v>2024_IMDb_Cast_Lists_Batch_01(1).xlsx</x:v>
      </x:c>
      <x:c r="D34" s="14" t="str">
        <x:v>Daddy Issues</x:v>
      </x:c>
      <x:c r="E34" s="14" t="n">
        <x:v>57</x:v>
      </x:c>
      <x:c r="F34" s="14" t="str">
        <x:v>Daddy Issues</x:v>
      </x:c>
      <x:c r="G34" s="14" t="str">
        <x:v>tt30450743</x:v>
      </x:c>
      <x:c r="H34" s="14" t="n">
        <x:v>2024</x:v>
      </x:c>
      <x:c r="I34" s="14" t="n">
        <x:v>2025</x:v>
      </x:c>
      <x:c r="J34" s="14" t="str">
        <x:v>Earlier-Production Carry-In Cohort</x:v>
      </x:c>
      <x:c r="K34" s="14" t="n">
        <x:v>2024</x:v>
      </x:c>
      <x:c r="L34" s="14" t="str">
        <x:v>Used in 2025 annual analysis</x:v>
      </x:c>
      <x:c r="M34" s="15" t="n">
        <x:v>50</x:v>
      </x:c>
      <x:c r="N34" s="14" t="str">
        <x:v>Justin Edwards</x:v>
      </x:c>
      <x:c r="O34" s="14" t="str">
        <x:v>nm1517523</x:v>
      </x:c>
      <x:c r="P34" s="14" t="str">
        <x:v>Role not listed</x:v>
      </x:c>
      <x:c r="Q34" s="15" t="n">
        <x:v>1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Explicit source first year retained</x:v>
      </x:c>
      <x:c r="V34" s="14" t="str">
        <x:v>Earliest supplied year is 2025.</x:v>
      </x:c>
      <x:c r="W34" s="14"/>
      <x:c r="X34" s="14" t="str">
        <x:v>Included</x:v>
      </x:c>
      <x:c r="Y34" s="14"/>
      <x:c r="Z34" s="14" t="str">
        <x:v>Daddy Issues.docx</x:v>
      </x:c>
      <x:c r="AA34" s="14" t="str">
        <x:v>HYPERLINK is not implemented. linkLocation=https://www.imdb.com/title/tt30450743/fullcredits/,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HYPERLINK("https://en.wikipedia.org/wiki/Daddy_Issues","Open source")</x:f>
        <x:v>HYPERLINK is not implemented. linkLocation=https://en.wikipedia.org/wiki/Daddy_Issues,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 t="str">
        <x:v>No established-register match</x:v>
      </x:c>
      <x:c r="AT34" s="14"/>
      <x:c r="AU34" s="14"/>
      <x:c r="AV34" s="14" t="str">
        <x:v>No established apparent-disability match</x:v>
      </x:c>
      <x:c r="AW34" s="14"/>
      <x:c r="AX34" s="14" t="str">
        <x:v>No</x:v>
      </x:c>
      <x:c r="AY34" s="14" t="str">
        <x:v>Unmatched</x:v>
      </x:c>
      <x:c r="AZ34" s="14" t="str">
        <x:v>Final supplied register</x:v>
      </x:c>
      <x:c r="BA34" s="14" t="str">
        <x:v>Absence from the register is not evidence that the performer is not disabled.</x:v>
      </x:c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12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1</x:v>
      </x:c>
      <x:c r="BS34" s="16" t="n">
        <x:v>0.08333333333333333</x:v>
      </x:c>
      <x:c r="BT34" s="14" t="str">
        <x:v>One episode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HYPERLINK is not implemented. linkLocation=https://www.imdb.com/title/tt30450743/fullcredits/,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tt30450743|nm0456429|mr. price</x:v>
      </x:c>
      <x:c r="B35" s="14" t="str">
        <x:v>01</x:v>
      </x:c>
      <x:c r="C35" s="14" t="str">
        <x:v>2024_IMDb_Cast_Lists_Batch_01(1).xlsx</x:v>
      </x:c>
      <x:c r="D35" s="14" t="str">
        <x:v>Daddy Issues</x:v>
      </x:c>
      <x:c r="E35" s="14" t="n">
        <x:v>58</x:v>
      </x:c>
      <x:c r="F35" s="14" t="str">
        <x:v>Daddy Issues</x:v>
      </x:c>
      <x:c r="G35" s="14" t="str">
        <x:v>tt30450743</x:v>
      </x:c>
      <x:c r="H35" s="14" t="n">
        <x:v>2024</x:v>
      </x:c>
      <x:c r="I35" s="14" t="n">
        <x:v>2025</x:v>
      </x:c>
      <x:c r="J35" s="14" t="str">
        <x:v>Earlier-Production Carry-In Cohort</x:v>
      </x:c>
      <x:c r="K35" s="14" t="n">
        <x:v>2024</x:v>
      </x:c>
      <x:c r="L35" s="14" t="str">
        <x:v>Used in 2025 annual analysis</x:v>
      </x:c>
      <x:c r="M35" s="15" t="n">
        <x:v>51</x:v>
      </x:c>
      <x:c r="N35" s="14" t="str">
        <x:v>Alexander Kirk</x:v>
      </x:c>
      <x:c r="O35" s="14" t="str">
        <x:v>nm0456429</x:v>
      </x:c>
      <x:c r="P35" s="14" t="str">
        <x:v>Mr. Price</x:v>
      </x:c>
      <x:c r="Q35" s="15" t="n">
        <x:v>1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Explicit source first year retained</x:v>
      </x:c>
      <x:c r="V35" s="14" t="str">
        <x:v>Earliest supplied year is 2025.</x:v>
      </x:c>
      <x:c r="W35" s="14"/>
      <x:c r="X35" s="14" t="str">
        <x:v>Included</x:v>
      </x:c>
      <x:c r="Y35" s="14"/>
      <x:c r="Z35" s="14" t="str">
        <x:v>Daddy Issues.docx</x:v>
      </x:c>
      <x:c r="AA35" s="14" t="str">
        <x:v>HYPERLINK is not implemented. linkLocation=https://www.imdb.com/title/tt30450743/fullcredits/,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HYPERLINK("https://en.wikipedia.org/wiki/Daddy_Issues","Open source")</x:f>
        <x:v>HYPERLINK is not implemented. linkLocation=https://en.wikipedia.org/wiki/Daddy_Issues,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 t="str">
        <x:v>No established-register match</x:v>
      </x:c>
      <x:c r="AT35" s="14"/>
      <x:c r="AU35" s="14"/>
      <x:c r="AV35" s="14" t="str">
        <x:v>No established apparent-disability match</x:v>
      </x:c>
      <x:c r="AW35" s="14"/>
      <x:c r="AX35" s="14" t="str">
        <x:v>No</x:v>
      </x:c>
      <x:c r="AY35" s="14" t="str">
        <x:v>Unmatched</x:v>
      </x:c>
      <x:c r="AZ35" s="14" t="str">
        <x:v>Final supplied register</x:v>
      </x:c>
      <x:c r="BA35" s="14" t="str">
        <x:v>Absence from the register is not evidence that the performer is not disabled.</x:v>
      </x:c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12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0.08333333333333333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HYPERLINK is not implemented. linkLocation=https://www.imdb.com/title/tt30450743/fullcredits/,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tt30450743|nm12099796|foz</x:v>
      </x:c>
      <x:c r="B36" s="14" t="str">
        <x:v>01</x:v>
      </x:c>
      <x:c r="C36" s="14" t="str">
        <x:v>2024_IMDb_Cast_Lists_Batch_01(1).xlsx</x:v>
      </x:c>
      <x:c r="D36" s="14" t="str">
        <x:v>Daddy Issues</x:v>
      </x:c>
      <x:c r="E36" s="14" t="n">
        <x:v>59</x:v>
      </x:c>
      <x:c r="F36" s="14" t="str">
        <x:v>Daddy Issues</x:v>
      </x:c>
      <x:c r="G36" s="14" t="str">
        <x:v>tt30450743</x:v>
      </x:c>
      <x:c r="H36" s="14" t="n">
        <x:v>2024</x:v>
      </x:c>
      <x:c r="I36" s="14" t="n">
        <x:v>2025</x:v>
      </x:c>
      <x:c r="J36" s="14" t="str">
        <x:v>Earlier-Production Carry-In Cohort</x:v>
      </x:c>
      <x:c r="K36" s="14" t="n">
        <x:v>2024</x:v>
      </x:c>
      <x:c r="L36" s="14" t="str">
        <x:v>Used in 2025 annual analysis</x:v>
      </x:c>
      <x:c r="M36" s="15" t="n">
        <x:v>52</x:v>
      </x:c>
      <x:c r="N36" s="14" t="str">
        <x:v>Abdin Khan</x:v>
      </x:c>
      <x:c r="O36" s="14" t="str">
        <x:v>nm12099796</x:v>
      </x:c>
      <x:c r="P36" s="14" t="str">
        <x:v>Foz</x:v>
      </x:c>
      <x:c r="Q36" s="15" t="n">
        <x:v>1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Explicit source first year retained</x:v>
      </x:c>
      <x:c r="V36" s="14" t="str">
        <x:v>Earliest supplied year is 2025.</x:v>
      </x:c>
      <x:c r="W36" s="14"/>
      <x:c r="X36" s="14" t="str">
        <x:v>Included</x:v>
      </x:c>
      <x:c r="Y36" s="14"/>
      <x:c r="Z36" s="14" t="str">
        <x:v>Daddy Issues.docx</x:v>
      </x:c>
      <x:c r="AA36" s="14" t="str">
        <x:v>HYPERLINK is not implemented. linkLocation=https://www.imdb.com/title/tt30450743/fullcredits/,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HYPERLINK("https://en.wikipedia.org/wiki/Daddy_Issues","Open source")</x:f>
        <x:v>HYPERLINK is not implemented. linkLocation=https://en.wikipedia.org/wiki/Daddy_Issues,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 t="str">
        <x:v>No established-register match</x:v>
      </x:c>
      <x:c r="AT36" s="14"/>
      <x:c r="AU36" s="14"/>
      <x:c r="AV36" s="14" t="str">
        <x:v>No established apparent-disability match</x:v>
      </x:c>
      <x:c r="AW36" s="14"/>
      <x:c r="AX36" s="14" t="str">
        <x:v>No</x:v>
      </x:c>
      <x:c r="AY36" s="14" t="str">
        <x:v>Unmatched</x:v>
      </x:c>
      <x:c r="AZ36" s="14" t="str">
        <x:v>Final supplied register</x:v>
      </x:c>
      <x:c r="BA36" s="14" t="str">
        <x:v>Absence from the register is not evidence that the performer is not disabled.</x:v>
      </x:c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12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0.08333333333333333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HYPERLINK is not implemented. linkLocation=https://www.imdb.com/title/tt30450743/fullcredits/,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tt30450743|nm12107527|rocky</x:v>
      </x:c>
      <x:c r="B37" s="14" t="str">
        <x:v>01</x:v>
      </x:c>
      <x:c r="C37" s="14" t="str">
        <x:v>2024_IMDb_Cast_Lists_Batch_01(1).xlsx</x:v>
      </x:c>
      <x:c r="D37" s="14" t="str">
        <x:v>Daddy Issues</x:v>
      </x:c>
      <x:c r="E37" s="14" t="n">
        <x:v>63</x:v>
      </x:c>
      <x:c r="F37" s="14" t="str">
        <x:v>Daddy Issues</x:v>
      </x:c>
      <x:c r="G37" s="14" t="str">
        <x:v>tt30450743</x:v>
      </x:c>
      <x:c r="H37" s="14" t="n">
        <x:v>2024</x:v>
      </x:c>
      <x:c r="I37" s="14" t="n">
        <x:v>2025</x:v>
      </x:c>
      <x:c r="J37" s="14" t="str">
        <x:v>Earlier-Production Carry-In Cohort</x:v>
      </x:c>
      <x:c r="K37" s="14" t="n">
        <x:v>2024</x:v>
      </x:c>
      <x:c r="L37" s="14" t="str">
        <x:v>Used in 2025 annual analysis</x:v>
      </x:c>
      <x:c r="M37" s="15" t="n">
        <x:v>56</x:v>
      </x:c>
      <x:c r="N37" s="14" t="str">
        <x:v>Corey Mylchreest</x:v>
      </x:c>
      <x:c r="O37" s="14" t="str">
        <x:v>nm12107527</x:v>
      </x:c>
      <x:c r="P37" s="14" t="str">
        <x:v>Rocky</x:v>
      </x:c>
      <x:c r="Q37" s="15" t="n">
        <x:v>1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Explicit source first year retained</x:v>
      </x:c>
      <x:c r="V37" s="14" t="str">
        <x:v>Earliest supplied year is 2025.</x:v>
      </x:c>
      <x:c r="W37" s="14"/>
      <x:c r="X37" s="14" t="str">
        <x:v>Included</x:v>
      </x:c>
      <x:c r="Y37" s="14"/>
      <x:c r="Z37" s="14" t="str">
        <x:v>Daddy Issues.docx</x:v>
      </x:c>
      <x:c r="AA37" s="14" t="str">
        <x:v>HYPERLINK is not implemented. linkLocation=https://www.imdb.com/title/tt30450743/fullcredits/,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HYPERLINK("https://en.wikipedia.org/wiki/Daddy_Issues","Open source")</x:f>
        <x:v>HYPERLINK is not implemented. linkLocation=https://en.wikipedia.org/wiki/Daddy_Issues,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 t="str">
        <x:v>No established-register match</x:v>
      </x:c>
      <x:c r="AT37" s="14"/>
      <x:c r="AU37" s="14"/>
      <x:c r="AV37" s="14" t="str">
        <x:v>No established apparent-disability match</x:v>
      </x:c>
      <x:c r="AW37" s="14"/>
      <x:c r="AX37" s="14" t="str">
        <x:v>No</x:v>
      </x:c>
      <x:c r="AY37" s="14" t="str">
        <x:v>Unmatched</x:v>
      </x:c>
      <x:c r="AZ37" s="14" t="str">
        <x:v>Final supplied register</x:v>
      </x:c>
      <x:c r="BA37" s="14" t="str">
        <x:v>Absence from the register is not evidence that the performer is not disabled.</x:v>
      </x:c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12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0.08333333333333333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HYPERLINK is not implemented. linkLocation=https://www.imdb.com/title/tt30450743/fullcredits/,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tt30450743|nm8318716|suki</x:v>
      </x:c>
      <x:c r="B38" s="14" t="str">
        <x:v>01</x:v>
      </x:c>
      <x:c r="C38" s="14" t="str">
        <x:v>2024_IMDb_Cast_Lists_Batch_01(1).xlsx</x:v>
      </x:c>
      <x:c r="D38" s="14" t="str">
        <x:v>Daddy Issues</x:v>
      </x:c>
      <x:c r="E38" s="14" t="n">
        <x:v>64</x:v>
      </x:c>
      <x:c r="F38" s="14" t="str">
        <x:v>Daddy Issues</x:v>
      </x:c>
      <x:c r="G38" s="14" t="str">
        <x:v>tt30450743</x:v>
      </x:c>
      <x:c r="H38" s="14" t="n">
        <x:v>2024</x:v>
      </x:c>
      <x:c r="I38" s="14" t="n">
        <x:v>2025</x:v>
      </x:c>
      <x:c r="J38" s="14" t="str">
        <x:v>Earlier-Production Carry-In Cohort</x:v>
      </x:c>
      <x:c r="K38" s="14" t="n">
        <x:v>2024</x:v>
      </x:c>
      <x:c r="L38" s="14" t="str">
        <x:v>Used in 2025 annual analysis</x:v>
      </x:c>
      <x:c r="M38" s="15" t="n">
        <x:v>57</x:v>
      </x:c>
      <x:c r="N38" s="14" t="str">
        <x:v>Soph Galustian</x:v>
      </x:c>
      <x:c r="O38" s="14" t="str">
        <x:v>nm8318716</x:v>
      </x:c>
      <x:c r="P38" s="14" t="str">
        <x:v>Suki</x:v>
      </x:c>
      <x:c r="Q38" s="15" t="n">
        <x:v>1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Explicit source first year retained</x:v>
      </x:c>
      <x:c r="V38" s="14" t="str">
        <x:v>Earliest supplied year is 2025.</x:v>
      </x:c>
      <x:c r="W38" s="14"/>
      <x:c r="X38" s="14" t="str">
        <x:v>Included</x:v>
      </x:c>
      <x:c r="Y38" s="14"/>
      <x:c r="Z38" s="14" t="str">
        <x:v>Daddy Issues.docx</x:v>
      </x:c>
      <x:c r="AA38" s="14" t="str">
        <x:v>HYPERLINK is not implemented. linkLocation=https://www.imdb.com/title/tt30450743/fullcredits/,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HYPERLINK("https://en.wikipedia.org/wiki/Daddy_Issues","Open source")</x:f>
        <x:v>HYPERLINK is not implemented. linkLocation=https://en.wikipedia.org/wiki/Daddy_Issues,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 t="str">
        <x:v>No established-register match</x:v>
      </x:c>
      <x:c r="AT38" s="14"/>
      <x:c r="AU38" s="14"/>
      <x:c r="AV38" s="14" t="str">
        <x:v>No established apparent-disability match</x:v>
      </x:c>
      <x:c r="AW38" s="14"/>
      <x:c r="AX38" s="14" t="str">
        <x:v>No</x:v>
      </x:c>
      <x:c r="AY38" s="14" t="str">
        <x:v>Unmatched</x:v>
      </x:c>
      <x:c r="AZ38" s="14" t="str">
        <x:v>Final supplied register</x:v>
      </x:c>
      <x:c r="BA38" s="14" t="str">
        <x:v>Absence from the register is not evidence that the performer is not disabled.</x:v>
      </x:c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0.08333333333333333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HYPERLINK is not implemented. linkLocation=https://www.imdb.com/title/tt30450743/fullcredits/,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tt30450743|nm3605304|security guard</x:v>
      </x:c>
      <x:c r="B39" s="14" t="str">
        <x:v>01</x:v>
      </x:c>
      <x:c r="C39" s="14" t="str">
        <x:v>2024_IMDb_Cast_Lists_Batch_01(1).xlsx</x:v>
      </x:c>
      <x:c r="D39" s="14" t="str">
        <x:v>Daddy Issues</x:v>
      </x:c>
      <x:c r="E39" s="14" t="n">
        <x:v>65</x:v>
      </x:c>
      <x:c r="F39" s="14" t="str">
        <x:v>Daddy Issues</x:v>
      </x:c>
      <x:c r="G39" s="14" t="str">
        <x:v>tt30450743</x:v>
      </x:c>
      <x:c r="H39" s="14" t="n">
        <x:v>2024</x:v>
      </x:c>
      <x:c r="I39" s="14" t="n">
        <x:v>2025</x:v>
      </x:c>
      <x:c r="J39" s="14" t="str">
        <x:v>Earlier-Production Carry-In Cohort</x:v>
      </x:c>
      <x:c r="K39" s="14" t="n">
        <x:v>2024</x:v>
      </x:c>
      <x:c r="L39" s="14" t="str">
        <x:v>Used in 2025 annual analysis</x:v>
      </x:c>
      <x:c r="M39" s="15" t="n">
        <x:v>58</x:v>
      </x:c>
      <x:c r="N39" s="14" t="str">
        <x:v>Kate Malyon</x:v>
      </x:c>
      <x:c r="O39" s="14" t="str">
        <x:v>nm3605304</x:v>
      </x:c>
      <x:c r="P39" s="14" t="str">
        <x:v>Security Guard</x:v>
      </x:c>
      <x:c r="Q39" s="15" t="n">
        <x:v>1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Explicit source first year retained</x:v>
      </x:c>
      <x:c r="V39" s="14" t="str">
        <x:v>Earliest supplied year is 2025.</x:v>
      </x:c>
      <x:c r="W39" s="14"/>
      <x:c r="X39" s="14" t="str">
        <x:v>Included</x:v>
      </x:c>
      <x:c r="Y39" s="14"/>
      <x:c r="Z39" s="14" t="str">
        <x:v>Daddy Issues.docx</x:v>
      </x:c>
      <x:c r="AA39" s="14" t="str">
        <x:v>HYPERLINK is not implemented. linkLocation=https://www.imdb.com/title/tt30450743/fullcredits/,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HYPERLINK("https://en.wikipedia.org/wiki/Daddy_Issues","Open source")</x:f>
        <x:v>HYPERLINK is not implemented. linkLocation=https://en.wikipedia.org/wiki/Daddy_Issues,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 t="str">
        <x:v>No established-register match</x:v>
      </x:c>
      <x:c r="AT39" s="14"/>
      <x:c r="AU39" s="14"/>
      <x:c r="AV39" s="14" t="str">
        <x:v>No established apparent-disability match</x:v>
      </x:c>
      <x:c r="AW39" s="14"/>
      <x:c r="AX39" s="14" t="str">
        <x:v>No</x:v>
      </x:c>
      <x:c r="AY39" s="14" t="str">
        <x:v>Unmatched</x:v>
      </x:c>
      <x:c r="AZ39" s="14" t="str">
        <x:v>Final supplied register</x:v>
      </x:c>
      <x:c r="BA39" s="14" t="str">
        <x:v>Absence from the register is not evidence that the performer is not disabled.</x:v>
      </x:c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0.08333333333333333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HYPERLINK is not implemented. linkLocation=https://www.imdb.com/title/tt30450743/fullcredits/,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tt30450743|nm9195817|gary</x:v>
      </x:c>
      <x:c r="B40" s="14" t="str">
        <x:v>01</x:v>
      </x:c>
      <x:c r="C40" s="14" t="str">
        <x:v>2024_IMDb_Cast_Lists_Batch_01(1).xlsx</x:v>
      </x:c>
      <x:c r="D40" s="14" t="str">
        <x:v>Daddy Issues</x:v>
      </x:c>
      <x:c r="E40" s="14" t="n">
        <x:v>69</x:v>
      </x:c>
      <x:c r="F40" s="14" t="str">
        <x:v>Daddy Issues</x:v>
      </x:c>
      <x:c r="G40" s="14" t="str">
        <x:v>tt30450743</x:v>
      </x:c>
      <x:c r="H40" s="14" t="n">
        <x:v>2024</x:v>
      </x:c>
      <x:c r="I40" s="14" t="n">
        <x:v>2025</x:v>
      </x:c>
      <x:c r="J40" s="14" t="str">
        <x:v>Earlier-Production Carry-In Cohort</x:v>
      </x:c>
      <x:c r="K40" s="14" t="n">
        <x:v>2024</x:v>
      </x:c>
      <x:c r="L40" s="14" t="str">
        <x:v>Used in 2025 annual analysis</x:v>
      </x:c>
      <x:c r="M40" s="15" t="n">
        <x:v>62</x:v>
      </x:c>
      <x:c r="N40" s="14" t="str">
        <x:v>Ed Jones</x:v>
      </x:c>
      <x:c r="O40" s="14" t="str">
        <x:v>nm9195817</x:v>
      </x:c>
      <x:c r="P40" s="14" t="str">
        <x:v>Gary</x:v>
      </x:c>
      <x:c r="Q40" s="15" t="n">
        <x:v>1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Explicit source first year retained</x:v>
      </x:c>
      <x:c r="V40" s="14" t="str">
        <x:v>Earliest supplied year is 2025.</x:v>
      </x:c>
      <x:c r="W40" s="14"/>
      <x:c r="X40" s="14" t="str">
        <x:v>Included</x:v>
      </x:c>
      <x:c r="Y40" s="14"/>
      <x:c r="Z40" s="14" t="str">
        <x:v>Daddy Issues.docx</x:v>
      </x:c>
      <x:c r="AA40" s="14" t="str">
        <x:v>HYPERLINK is not implemented. linkLocation=https://www.imdb.com/title/tt30450743/fullcredits/,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HYPERLINK("https://en.wikipedia.org/wiki/Daddy_Issues","Open source")</x:f>
        <x:v>HYPERLINK is not implemented. linkLocation=https://en.wikipedia.org/wiki/Daddy_Issues,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 t="str">
        <x:v>No established-register match</x:v>
      </x:c>
      <x:c r="AT40" s="14"/>
      <x:c r="AU40" s="14"/>
      <x:c r="AV40" s="14" t="str">
        <x:v>No established apparent-disability match</x:v>
      </x:c>
      <x:c r="AW40" s="14"/>
      <x:c r="AX40" s="14" t="str">
        <x:v>No</x:v>
      </x:c>
      <x:c r="AY40" s="14" t="str">
        <x:v>Unmatched</x:v>
      </x:c>
      <x:c r="AZ40" s="14" t="str">
        <x:v>Final supplied register</x:v>
      </x:c>
      <x:c r="BA40" s="14" t="str">
        <x:v>Absence from the register is not evidence that the performer is not disabled.</x:v>
      </x:c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0.08333333333333333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HYPERLINK is not implemented. linkLocation=https://www.imdb.com/title/tt30450743/fullcredits/,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tt30450743|nm0700312|hal ford</x:v>
      </x:c>
      <x:c r="B41" s="14" t="str">
        <x:v>01</x:v>
      </x:c>
      <x:c r="C41" s="14" t="str">
        <x:v>2024_IMDb_Cast_Lists_Batch_01(1).xlsx</x:v>
      </x:c>
      <x:c r="D41" s="14" t="str">
        <x:v>Daddy Issues</x:v>
      </x:c>
      <x:c r="E41" s="14" t="n">
        <x:v>70</x:v>
      </x:c>
      <x:c r="F41" s="14" t="str">
        <x:v>Daddy Issues</x:v>
      </x:c>
      <x:c r="G41" s="14" t="str">
        <x:v>tt30450743</x:v>
      </x:c>
      <x:c r="H41" s="14" t="n">
        <x:v>2024</x:v>
      </x:c>
      <x:c r="I41" s="14" t="n">
        <x:v>2025</x:v>
      </x:c>
      <x:c r="J41" s="14" t="str">
        <x:v>Earlier-Production Carry-In Cohort</x:v>
      </x:c>
      <x:c r="K41" s="14" t="n">
        <x:v>2024</x:v>
      </x:c>
      <x:c r="L41" s="14" t="str">
        <x:v>Used in 2025 annual analysis</x:v>
      </x:c>
      <x:c r="M41" s="15" t="n">
        <x:v>63</x:v>
      </x:c>
      <x:c r="N41" s="14" t="str">
        <x:v>Ian Puleston-Davies</x:v>
      </x:c>
      <x:c r="O41" s="14" t="str">
        <x:v>nm0700312</x:v>
      </x:c>
      <x:c r="P41" s="14" t="str">
        <x:v>Hal Ford</x:v>
      </x:c>
      <x:c r="Q41" s="15" t="n">
        <x:v>1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Explicit source first year retained</x:v>
      </x:c>
      <x:c r="V41" s="14" t="str">
        <x:v>Earliest supplied year is 2025.</x:v>
      </x:c>
      <x:c r="W41" s="14"/>
      <x:c r="X41" s="14" t="str">
        <x:v>Included</x:v>
      </x:c>
      <x:c r="Y41" s="14"/>
      <x:c r="Z41" s="14" t="str">
        <x:v>Daddy Issues.docx</x:v>
      </x:c>
      <x:c r="AA41" s="14" t="str">
        <x:v>HYPERLINK is not implemented. linkLocation=https://www.imdb.com/title/tt30450743/fullcredits/,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HYPERLINK("https://en.wikipedia.org/wiki/Daddy_Issues","Open source")</x:f>
        <x:v>HYPERLINK is not implemented. linkLocation=https://en.wikipedia.org/wiki/Daddy_Issues,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 t="str">
        <x:v>No established-register match</x:v>
      </x:c>
      <x:c r="AT41" s="14"/>
      <x:c r="AU41" s="14"/>
      <x:c r="AV41" s="14" t="str">
        <x:v>No established apparent-disability match</x:v>
      </x:c>
      <x:c r="AW41" s="14"/>
      <x:c r="AX41" s="14" t="str">
        <x:v>No</x:v>
      </x:c>
      <x:c r="AY41" s="14" t="str">
        <x:v>Unmatched</x:v>
      </x:c>
      <x:c r="AZ41" s="14" t="str">
        <x:v>Final supplied register</x:v>
      </x:c>
      <x:c r="BA41" s="14" t="str">
        <x:v>Absence from the register is not evidence that the performer is not disabled.</x:v>
      </x:c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12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0.08333333333333333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HYPERLINK is not implemented. linkLocation=https://www.imdb.com/title/tt30450743/fullcredits/,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tt30450743|nm0752800|debs</x:v>
      </x:c>
      <x:c r="B42" s="14" t="str">
        <x:v>01</x:v>
      </x:c>
      <x:c r="C42" s="14" t="str">
        <x:v>2024_IMDb_Cast_Lists_Batch_01(1).xlsx</x:v>
      </x:c>
      <x:c r="D42" s="14" t="str">
        <x:v>Daddy Issues</x:v>
      </x:c>
      <x:c r="E42" s="14" t="n">
        <x:v>71</x:v>
      </x:c>
      <x:c r="F42" s="14" t="str">
        <x:v>Daddy Issues</x:v>
      </x:c>
      <x:c r="G42" s="14" t="str">
        <x:v>tt30450743</x:v>
      </x:c>
      <x:c r="H42" s="14" t="n">
        <x:v>2024</x:v>
      </x:c>
      <x:c r="I42" s="14" t="n">
        <x:v>2025</x:v>
      </x:c>
      <x:c r="J42" s="14" t="str">
        <x:v>Earlier-Production Carry-In Cohort</x:v>
      </x:c>
      <x:c r="K42" s="14" t="n">
        <x:v>2024</x:v>
      </x:c>
      <x:c r="L42" s="14" t="str">
        <x:v>Used in 2025 annual analysis</x:v>
      </x:c>
      <x:c r="M42" s="15" t="n">
        <x:v>64</x:v>
      </x:c>
      <x:c r="N42" s="14" t="str">
        <x:v>Rebecca Ryan</x:v>
      </x:c>
      <x:c r="O42" s="14" t="str">
        <x:v>nm0752800</x:v>
      </x:c>
      <x:c r="P42" s="14" t="str">
        <x:v>Debs</x:v>
      </x:c>
      <x:c r="Q42" s="15" t="n">
        <x:v>1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Explicit source first year retained</x:v>
      </x:c>
      <x:c r="V42" s="14" t="str">
        <x:v>Earliest supplied year is 2025.</x:v>
      </x:c>
      <x:c r="W42" s="14"/>
      <x:c r="X42" s="14" t="str">
        <x:v>Included</x:v>
      </x:c>
      <x:c r="Y42" s="14"/>
      <x:c r="Z42" s="14" t="str">
        <x:v>Daddy Issues.docx</x:v>
      </x:c>
      <x:c r="AA42" s="14" t="str">
        <x:v>HYPERLINK is not implemented. linkLocation=https://www.imdb.com/title/tt30450743/fullcredits/,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HYPERLINK("https://en.wikipedia.org/wiki/Daddy_Issues","Open source")</x:f>
        <x:v>HYPERLINK is not implemented. linkLocation=https://en.wikipedia.org/wiki/Daddy_Issues,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 t="str">
        <x:v>No established-register match</x:v>
      </x:c>
      <x:c r="AT42" s="14"/>
      <x:c r="AU42" s="14"/>
      <x:c r="AV42" s="14" t="str">
        <x:v>No established apparent-disability match</x:v>
      </x:c>
      <x:c r="AW42" s="14"/>
      <x:c r="AX42" s="14" t="str">
        <x:v>No</x:v>
      </x:c>
      <x:c r="AY42" s="14" t="str">
        <x:v>Unmatched</x:v>
      </x:c>
      <x:c r="AZ42" s="14" t="str">
        <x:v>Final supplied register</x:v>
      </x:c>
      <x:c r="BA42" s="14" t="str">
        <x:v>Absence from the register is not evidence that the performer is not disabled.</x:v>
      </x:c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0.08333333333333333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HYPERLINK is not implemented. linkLocation=https://www.imdb.com/title/tt30450743/fullcredits/,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tt30450743|nm13339986|becky</x:v>
      </x:c>
      <x:c r="B43" s="14" t="str">
        <x:v>01</x:v>
      </x:c>
      <x:c r="C43" s="14" t="str">
        <x:v>2024_IMDb_Cast_Lists_Batch_01(1).xlsx</x:v>
      </x:c>
      <x:c r="D43" s="14" t="str">
        <x:v>Daddy Issues</x:v>
      </x:c>
      <x:c r="E43" s="14" t="n">
        <x:v>72</x:v>
      </x:c>
      <x:c r="F43" s="14" t="str">
        <x:v>Daddy Issues</x:v>
      </x:c>
      <x:c r="G43" s="14" t="str">
        <x:v>tt30450743</x:v>
      </x:c>
      <x:c r="H43" s="14" t="n">
        <x:v>2024</x:v>
      </x:c>
      <x:c r="I43" s="14" t="n">
        <x:v>2025</x:v>
      </x:c>
      <x:c r="J43" s="14" t="str">
        <x:v>Earlier-Production Carry-In Cohort</x:v>
      </x:c>
      <x:c r="K43" s="14" t="n">
        <x:v>2024</x:v>
      </x:c>
      <x:c r="L43" s="14" t="str">
        <x:v>Used in 2025 annual analysis</x:v>
      </x:c>
      <x:c r="M43" s="15" t="n">
        <x:v>65</x:v>
      </x:c>
      <x:c r="N43" s="14" t="str">
        <x:v>Rumi Sutton</x:v>
      </x:c>
      <x:c r="O43" s="14" t="str">
        <x:v>nm13339986</x:v>
      </x:c>
      <x:c r="P43" s="14" t="str">
        <x:v>Becky</x:v>
      </x:c>
      <x:c r="Q43" s="15" t="n">
        <x:v>1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Explicit source first year retained</x:v>
      </x:c>
      <x:c r="V43" s="14" t="str">
        <x:v>Earliest supplied year is 2025.</x:v>
      </x:c>
      <x:c r="W43" s="14"/>
      <x:c r="X43" s="14" t="str">
        <x:v>Included</x:v>
      </x:c>
      <x:c r="Y43" s="14"/>
      <x:c r="Z43" s="14" t="str">
        <x:v>Daddy Issues.docx</x:v>
      </x:c>
      <x:c r="AA43" s="14" t="str">
        <x:v>HYPERLINK is not implemented. linkLocation=https://www.imdb.com/title/tt30450743/fullcredits/,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HYPERLINK("https://en.wikipedia.org/wiki/Daddy_Issues","Open source")</x:f>
        <x:v>HYPERLINK is not implemented. linkLocation=https://en.wikipedia.org/wiki/Daddy_Issues,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 t="str">
        <x:v>No established-register match</x:v>
      </x:c>
      <x:c r="AT43" s="14"/>
      <x:c r="AU43" s="14"/>
      <x:c r="AV43" s="14" t="str">
        <x:v>No established apparent-disability match</x:v>
      </x:c>
      <x:c r="AW43" s="14"/>
      <x:c r="AX43" s="14" t="str">
        <x:v>No</x:v>
      </x:c>
      <x:c r="AY43" s="14" t="str">
        <x:v>Unmatched</x:v>
      </x:c>
      <x:c r="AZ43" s="14" t="str">
        <x:v>Final supplied register</x:v>
      </x:c>
      <x:c r="BA43" s="14" t="str">
        <x:v>Absence from the register is not evidence that the performer is not disabled.</x:v>
      </x:c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0.08333333333333333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HYPERLINK is not implemented. linkLocation=https://www.imdb.com/title/tt30450743/fullcredits/,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tt30450743|nm2382197|sue</x:v>
      </x:c>
      <x:c r="B44" s="14" t="str">
        <x:v>01</x:v>
      </x:c>
      <x:c r="C44" s="14" t="str">
        <x:v>2024_IMDb_Cast_Lists_Batch_01(1).xlsx</x:v>
      </x:c>
      <x:c r="D44" s="14" t="str">
        <x:v>Daddy Issues</x:v>
      </x:c>
      <x:c r="E44" s="14" t="n">
        <x:v>75</x:v>
      </x:c>
      <x:c r="F44" s="14" t="str">
        <x:v>Daddy Issues</x:v>
      </x:c>
      <x:c r="G44" s="14" t="str">
        <x:v>tt30450743</x:v>
      </x:c>
      <x:c r="H44" s="14" t="n">
        <x:v>2024</x:v>
      </x:c>
      <x:c r="I44" s="14" t="n">
        <x:v>2025</x:v>
      </x:c>
      <x:c r="J44" s="14" t="str">
        <x:v>Earlier-Production Carry-In Cohort</x:v>
      </x:c>
      <x:c r="K44" s="14" t="n">
        <x:v>2024</x:v>
      </x:c>
      <x:c r="L44" s="14" t="str">
        <x:v>Used in 2025 annual analysis</x:v>
      </x:c>
      <x:c r="M44" s="15" t="n">
        <x:v>68</x:v>
      </x:c>
      <x:c r="N44" s="14" t="str">
        <x:v>Debbie Rush</x:v>
      </x:c>
      <x:c r="O44" s="14" t="str">
        <x:v>nm2382197</x:v>
      </x:c>
      <x:c r="P44" s="14" t="str">
        <x:v>Sue</x:v>
      </x:c>
      <x:c r="Q44" s="15" t="n">
        <x:v>1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Explicit source first year retained</x:v>
      </x:c>
      <x:c r="V44" s="14" t="str">
        <x:v>Earliest supplied year is 2025.</x:v>
      </x:c>
      <x:c r="W44" s="14"/>
      <x:c r="X44" s="14" t="str">
        <x:v>Included</x:v>
      </x:c>
      <x:c r="Y44" s="14"/>
      <x:c r="Z44" s="14" t="str">
        <x:v>Daddy Issues.docx</x:v>
      </x:c>
      <x:c r="AA44" s="14" t="str">
        <x:v>HYPERLINK is not implemented. linkLocation=https://www.imdb.com/title/tt30450743/fullcredits/,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HYPERLINK("https://en.wikipedia.org/wiki/Daddy_Issues","Open source")</x:f>
        <x:v>HYPERLINK is not implemented. linkLocation=https://en.wikipedia.org/wiki/Daddy_Issues,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 t="str">
        <x:v>No established-register match</x:v>
      </x:c>
      <x:c r="AT44" s="14"/>
      <x:c r="AU44" s="14"/>
      <x:c r="AV44" s="14" t="str">
        <x:v>No established apparent-disability match</x:v>
      </x:c>
      <x:c r="AW44" s="14"/>
      <x:c r="AX44" s="14" t="str">
        <x:v>No</x:v>
      </x:c>
      <x:c r="AY44" s="14" t="str">
        <x:v>Unmatched</x:v>
      </x:c>
      <x:c r="AZ44" s="14" t="str">
        <x:v>Final supplied register</x:v>
      </x:c>
      <x:c r="BA44" s="14" t="str">
        <x:v>Absence from the register is not evidence that the performer is not disabled.</x:v>
      </x:c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0.08333333333333333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HYPERLINK is not implemented. linkLocation=https://www.imdb.com/title/tt30450743/fullcredits/,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tt30450743|nm3146378|red lion patron</x:v>
      </x:c>
      <x:c r="B45" s="14" t="str">
        <x:v>01</x:v>
      </x:c>
      <x:c r="C45" s="14" t="str">
        <x:v>2024_IMDb_Cast_Lists_Batch_01(1).xlsx</x:v>
      </x:c>
      <x:c r="D45" s="14" t="str">
        <x:v>Daddy Issues</x:v>
      </x:c>
      <x:c r="E45" s="14" t="n">
        <x:v>76</x:v>
      </x:c>
      <x:c r="F45" s="14" t="str">
        <x:v>Daddy Issues</x:v>
      </x:c>
      <x:c r="G45" s="14" t="str">
        <x:v>tt30450743</x:v>
      </x:c>
      <x:c r="H45" s="14" t="n">
        <x:v>2024</x:v>
      </x:c>
      <x:c r="I45" s="14" t="n">
        <x:v>2025</x:v>
      </x:c>
      <x:c r="J45" s="14" t="str">
        <x:v>Earlier-Production Carry-In Cohort</x:v>
      </x:c>
      <x:c r="K45" s="14" t="n">
        <x:v>2024</x:v>
      </x:c>
      <x:c r="L45" s="14" t="str">
        <x:v>Used in 2025 annual analysis</x:v>
      </x:c>
      <x:c r="M45" s="15" t="n">
        <x:v>69</x:v>
      </x:c>
      <x:c r="N45" s="14" t="str">
        <x:v>Mark Sheals</x:v>
      </x:c>
      <x:c r="O45" s="14" t="str">
        <x:v>nm3146378</x:v>
      </x:c>
      <x:c r="P45" s="14" t="str">
        <x:v>Red Lion Patron</x:v>
      </x:c>
      <x:c r="Q45" s="15" t="n">
        <x:v>1</x:v>
      </x:c>
      <x:c r="R45" s="14" t="str">
        <x:v>2025</x:v>
      </x:c>
      <x:c r="S45" s="14" t="n">
        <x:v>2025</x:v>
      </x:c>
      <x:c r="T45" s="14" t="n">
        <x:v>2025</x:v>
      </x:c>
      <x:c r="U45" s="14" t="str">
        <x:v>Explicit source first year retained</x:v>
      </x:c>
      <x:c r="V45" s="14" t="str">
        <x:v>Earliest supplied year is 2025.</x:v>
      </x:c>
      <x:c r="W45" s="14"/>
      <x:c r="X45" s="14" t="str">
        <x:v>Included</x:v>
      </x:c>
      <x:c r="Y45" s="14"/>
      <x:c r="Z45" s="14" t="str">
        <x:v>Daddy Issues.docx</x:v>
      </x:c>
      <x:c r="AA45" s="14" t="str">
        <x:v>HYPERLINK is not implemented. linkLocation=https://www.imdb.com/title/tt30450743/fullcredits/,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HYPERLINK("https://en.wikipedia.org/wiki/Daddy_Issues","Open source")</x:f>
        <x:v>HYPERLINK is not implemented. linkLocation=https://en.wikipedia.org/wiki/Daddy_Issues,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 t="str">
        <x:v>No established-register match</x:v>
      </x:c>
      <x:c r="AT45" s="14"/>
      <x:c r="AU45" s="14"/>
      <x:c r="AV45" s="14" t="str">
        <x:v>No established apparent-disability match</x:v>
      </x:c>
      <x:c r="AW45" s="14"/>
      <x:c r="AX45" s="14" t="str">
        <x:v>No</x:v>
      </x:c>
      <x:c r="AY45" s="14" t="str">
        <x:v>Unmatched</x:v>
      </x:c>
      <x:c r="AZ45" s="14" t="str">
        <x:v>Final supplied register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0.08333333333333333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HYPERLINK is not implemented. linkLocation=https://www.imdb.com/title/tt30450743/fullcredits/,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tt30450743|nm5037326|young jackie</x:v>
      </x:c>
      <x:c r="B46" s="14" t="str">
        <x:v>01</x:v>
      </x:c>
      <x:c r="C46" s="14" t="str">
        <x:v>2024_IMDb_Cast_Lists_Batch_01(1).xlsx</x:v>
      </x:c>
      <x:c r="D46" s="14" t="str">
        <x:v>Daddy Issues</x:v>
      </x:c>
      <x:c r="E46" s="14" t="n">
        <x:v>77</x:v>
      </x:c>
      <x:c r="F46" s="14" t="str">
        <x:v>Daddy Issues</x:v>
      </x:c>
      <x:c r="G46" s="14" t="str">
        <x:v>tt30450743</x:v>
      </x:c>
      <x:c r="H46" s="14" t="n">
        <x:v>2024</x:v>
      </x:c>
      <x:c r="I46" s="14" t="n">
        <x:v>2025</x:v>
      </x:c>
      <x:c r="J46" s="14" t="str">
        <x:v>Earlier-Production Carry-In Cohort</x:v>
      </x:c>
      <x:c r="K46" s="14" t="n">
        <x:v>2024</x:v>
      </x:c>
      <x:c r="L46" s="14" t="str">
        <x:v>Used in 2025 annual analysis</x:v>
      </x:c>
      <x:c r="M46" s="15" t="n">
        <x:v>70</x:v>
      </x:c>
      <x:c r="N46" s="14" t="str">
        <x:v>Tom Machell</x:v>
      </x:c>
      <x:c r="O46" s="14" t="str">
        <x:v>nm5037326</x:v>
      </x:c>
      <x:c r="P46" s="14" t="str">
        <x:v>Young Jackie</x:v>
      </x:c>
      <x:c r="Q46" s="15" t="n">
        <x:v>1</x:v>
      </x:c>
      <x:c r="R46" s="14" t="str">
        <x:v>2025</x:v>
      </x:c>
      <x:c r="S46" s="14" t="n">
        <x:v>2025</x:v>
      </x:c>
      <x:c r="T46" s="14" t="n">
        <x:v>2025</x:v>
      </x:c>
      <x:c r="U46" s="14" t="str">
        <x:v>Explicit source first year retained</x:v>
      </x:c>
      <x:c r="V46" s="14" t="str">
        <x:v>Earliest supplied year is 2025.</x:v>
      </x:c>
      <x:c r="W46" s="14"/>
      <x:c r="X46" s="14" t="str">
        <x:v>Included</x:v>
      </x:c>
      <x:c r="Y46" s="14"/>
      <x:c r="Z46" s="14" t="str">
        <x:v>Daddy Issues.docx</x:v>
      </x:c>
      <x:c r="AA46" s="14" t="str">
        <x:v>HYPERLINK is not implemented. linkLocation=https://www.imdb.com/title/tt30450743/fullcredits/,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HYPERLINK("https://en.wikipedia.org/wiki/Daddy_Issues","Open source")</x:f>
        <x:v>HYPERLINK is not implemented. linkLocation=https://en.wikipedia.org/wiki/Daddy_Issues,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 t="str">
        <x:v>No established-register match</x:v>
      </x:c>
      <x:c r="AT46" s="14"/>
      <x:c r="AU46" s="14"/>
      <x:c r="AV46" s="14" t="str">
        <x:v>No established apparent-disability match</x:v>
      </x:c>
      <x:c r="AW46" s="14"/>
      <x:c r="AX46" s="14" t="str">
        <x:v>No</x:v>
      </x:c>
      <x:c r="AY46" s="14" t="str">
        <x:v>Unmatched</x:v>
      </x:c>
      <x:c r="AZ46" s="14" t="str">
        <x:v>Final supplied register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0.08333333333333333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HYPERLINK is not implemented. linkLocation=https://www.imdb.com/title/tt30450743/fullcredits/,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tt30450743|nm2050746|cyndi</x:v>
      </x:c>
      <x:c r="B47" s="14" t="str">
        <x:v>01</x:v>
      </x:c>
      <x:c r="C47" s="14" t="str">
        <x:v>2024_IMDb_Cast_Lists_Batch_01(1).xlsx</x:v>
      </x:c>
      <x:c r="D47" s="14" t="str">
        <x:v>Daddy Issues</x:v>
      </x:c>
      <x:c r="E47" s="14" t="n">
        <x:v>80</x:v>
      </x:c>
      <x:c r="F47" s="14" t="str">
        <x:v>Daddy Issues</x:v>
      </x:c>
      <x:c r="G47" s="14" t="str">
        <x:v>tt30450743</x:v>
      </x:c>
      <x:c r="H47" s="14" t="n">
        <x:v>2024</x:v>
      </x:c>
      <x:c r="I47" s="14" t="n">
        <x:v>2025</x:v>
      </x:c>
      <x:c r="J47" s="14" t="str">
        <x:v>Earlier-Production Carry-In Cohort</x:v>
      </x:c>
      <x:c r="K47" s="14" t="n">
        <x:v>2024</x:v>
      </x:c>
      <x:c r="L47" s="14" t="str">
        <x:v>Used in 2025 annual analysis</x:v>
      </x:c>
      <x:c r="M47" s="15" t="n">
        <x:v>73</x:v>
      </x:c>
      <x:c r="N47" s="14" t="str">
        <x:v>Emma Rigby</x:v>
      </x:c>
      <x:c r="O47" s="14" t="str">
        <x:v>nm2050746</x:v>
      </x:c>
      <x:c r="P47" s="14" t="str">
        <x:v>Cyndi</x:v>
      </x:c>
      <x:c r="Q47" s="15" t="n">
        <x:v>1</x:v>
      </x:c>
      <x:c r="R47" s="14" t="str">
        <x:v>2025</x:v>
      </x:c>
      <x:c r="S47" s="14" t="n">
        <x:v>2025</x:v>
      </x:c>
      <x:c r="T47" s="14" t="n">
        <x:v>2025</x:v>
      </x:c>
      <x:c r="U47" s="14" t="str">
        <x:v>Explicit source first year retained</x:v>
      </x:c>
      <x:c r="V47" s="14" t="str">
        <x:v>Earliest supplied year is 2025.</x:v>
      </x:c>
      <x:c r="W47" s="14"/>
      <x:c r="X47" s="14" t="str">
        <x:v>Included</x:v>
      </x:c>
      <x:c r="Y47" s="14"/>
      <x:c r="Z47" s="14" t="str">
        <x:v>Daddy Issues.docx</x:v>
      </x:c>
      <x:c r="AA47" s="14" t="str">
        <x:v>HYPERLINK is not implemented. linkLocation=https://www.imdb.com/title/tt30450743/fullcredits/,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HYPERLINK("https://en.wikipedia.org/wiki/Daddy_Issues","Open source")</x:f>
        <x:v>HYPERLINK is not implemented. linkLocation=https://en.wikipedia.org/wiki/Daddy_Issues,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 t="str">
        <x:v>No established-register match</x:v>
      </x:c>
      <x:c r="AT47" s="14"/>
      <x:c r="AU47" s="14"/>
      <x:c r="AV47" s="14" t="str">
        <x:v>No established apparent-disability match</x:v>
      </x:c>
      <x:c r="AW47" s="14"/>
      <x:c r="AX47" s="14" t="str">
        <x:v>No</x:v>
      </x:c>
      <x:c r="AY47" s="14" t="str">
        <x:v>Unmatched</x:v>
      </x:c>
      <x:c r="AZ47" s="14" t="str">
        <x:v>Final supplied register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0.08333333333333333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HYPERLINK is not implemented. linkLocation=https://www.imdb.com/title/tt30450743/fullcredits/,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tt30450743|nm1277450|elodie</x:v>
      </x:c>
      <x:c r="B48" s="14" t="str">
        <x:v>01</x:v>
      </x:c>
      <x:c r="C48" s="14" t="str">
        <x:v>2024_IMDb_Cast_Lists_Batch_01(1).xlsx</x:v>
      </x:c>
      <x:c r="D48" s="14" t="str">
        <x:v>Daddy Issues</x:v>
      </x:c>
      <x:c r="E48" s="14" t="n">
        <x:v>82</x:v>
      </x:c>
      <x:c r="F48" s="14" t="str">
        <x:v>Daddy Issues</x:v>
      </x:c>
      <x:c r="G48" s="14" t="str">
        <x:v>tt30450743</x:v>
      </x:c>
      <x:c r="H48" s="14" t="n">
        <x:v>2024</x:v>
      </x:c>
      <x:c r="I48" s="14" t="n">
        <x:v>2025</x:v>
      </x:c>
      <x:c r="J48" s="14" t="str">
        <x:v>Earlier-Production Carry-In Cohort</x:v>
      </x:c>
      <x:c r="K48" s="14" t="n">
        <x:v>2024</x:v>
      </x:c>
      <x:c r="L48" s="14" t="str">
        <x:v>Used in 2025 annual analysis</x:v>
      </x:c>
      <x:c r="M48" s="15" t="n">
        <x:v>75</x:v>
      </x:c>
      <x:c r="N48" s="14" t="str">
        <x:v>Kellie Shirley</x:v>
      </x:c>
      <x:c r="O48" s="14" t="str">
        <x:v>nm1277450</x:v>
      </x:c>
      <x:c r="P48" s="14" t="str">
        <x:v>Elodie</x:v>
      </x:c>
      <x:c r="Q48" s="15" t="n">
        <x:v>1</x:v>
      </x:c>
      <x:c r="R48" s="14" t="str">
        <x:v>2025</x:v>
      </x:c>
      <x:c r="S48" s="14" t="n">
        <x:v>2025</x:v>
      </x:c>
      <x:c r="T48" s="14" t="n">
        <x:v>2025</x:v>
      </x:c>
      <x:c r="U48" s="14" t="str">
        <x:v>Explicit source first year retained</x:v>
      </x:c>
      <x:c r="V48" s="14" t="str">
        <x:v>Earliest supplied year is 2025.</x:v>
      </x:c>
      <x:c r="W48" s="14"/>
      <x:c r="X48" s="14" t="str">
        <x:v>Included</x:v>
      </x:c>
      <x:c r="Y48" s="14"/>
      <x:c r="Z48" s="14" t="str">
        <x:v>Daddy Issues.docx</x:v>
      </x:c>
      <x:c r="AA48" s="14" t="str">
        <x:v>HYPERLINK is not implemented. linkLocation=https://www.imdb.com/title/tt30450743/fullcredits/,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HYPERLINK("https://en.wikipedia.org/wiki/Daddy_Issues","Open source")</x:f>
        <x:v>HYPERLINK is not implemented. linkLocation=https://en.wikipedia.org/wiki/Daddy_Issues,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 t="str">
        <x:v>No established-register match</x:v>
      </x:c>
      <x:c r="AT48" s="14"/>
      <x:c r="AU48" s="14"/>
      <x:c r="AV48" s="14" t="str">
        <x:v>No established apparent-disability match</x:v>
      </x:c>
      <x:c r="AW48" s="14"/>
      <x:c r="AX48" s="14" t="str">
        <x:v>No</x:v>
      </x:c>
      <x:c r="AY48" s="14" t="str">
        <x:v>Unmatched</x:v>
      </x:c>
      <x:c r="AZ48" s="14" t="str">
        <x:v>Final supplied register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0.08333333333333333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HYPERLINK is not implemented. linkLocation=https://www.imdb.com/title/tt30450743/fullcredits/,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tt30226479|nm0377905|pam</x:v>
      </x:c>
      <x:c r="B49" s="14" t="str">
        <x:v>03</x:v>
      </x:c>
      <x:c r="C49" s="14" t="str">
        <x:v>2024_IMDb_Cast_Lists_Batch_03(1).xlsx</x:v>
      </x:c>
      <x:c r="D49" s="14" t="str">
        <x:v>Mr Bigstuff</x:v>
      </x:c>
      <x:c r="E49" s="14" t="n">
        <x:v>18</x:v>
      </x:c>
      <x:c r="F49" s="14" t="str">
        <x:v>Mr Bigstuff</x:v>
      </x:c>
      <x:c r="G49" s="14" t="str">
        <x:v>tt30226479</x:v>
      </x:c>
      <x:c r="H49" s="14" t="n">
        <x:v>2024</x:v>
      </x:c>
      <x:c r="I49" s="14" t="n">
        <x:v>2025</x:v>
      </x:c>
      <x:c r="J49" s="14" t="str">
        <x:v>Earlier-Production Carry-In Cohort</x:v>
      </x:c>
      <x:c r="K49" s="14" t="n">
        <x:v>2024</x:v>
      </x:c>
      <x:c r="L49" s="14" t="str">
        <x:v>Used in 2025 annual analysis</x:v>
      </x:c>
      <x:c r="M49" s="15" t="n">
        <x:v>11</x:v>
      </x:c>
      <x:c r="N49" s="14" t="str">
        <x:v>Linda Henry</x:v>
      </x:c>
      <x:c r="O49" s="14" t="str">
        <x:v>nm0377905</x:v>
      </x:c>
      <x:c r="P49" s="14" t="str">
        <x:v>Pam</x:v>
      </x:c>
      <x:c r="Q49" s="15" t="n">
        <x:v>3</x:v>
      </x:c>
      <x:c r="R49" s="14" t="str">
        <x:v>2025</x:v>
      </x:c>
      <x:c r="S49" s="14" t="n">
        <x:v>2025</x:v>
      </x:c>
      <x:c r="T49" s="14" t="n">
        <x:v>2025</x:v>
      </x:c>
      <x:c r="U49" s="14" t="str">
        <x:v>Explicit source first year retained</x:v>
      </x:c>
      <x:c r="V49" s="14" t="str">
        <x:v>Earliest supplied year is 2025.</x:v>
      </x:c>
      <x:c r="W49" s="14"/>
      <x:c r="X49" s="14" t="str">
        <x:v>Included</x:v>
      </x:c>
      <x:c r="Y49" s="14"/>
      <x:c r="Z49" s="14" t="str">
        <x:v>Mr Bigstuff(1).docx</x:v>
      </x:c>
      <x:c r="AA49" s="14" t="str">
        <x:v>HYPERLINK is not implemented. linkLocation=https://www.imdb.com/title/tt30226479/fullcredits/,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Sky / NOW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HYPERLINK("https://en.wikipedia.org/wiki/Mr._Bigstuff","Open source")</x:f>
        <x:v>HYPERLINK is not implemented. linkLocation=https://en.wikipedia.org/wiki/Mr._Bigstuff, friendlyName=Open source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 t="str">
        <x:v>No established-register match</x:v>
      </x:c>
      <x:c r="AT49" s="14"/>
      <x:c r="AU49" s="14"/>
      <x:c r="AV49" s="14" t="str">
        <x:v>No established apparent-disability match</x:v>
      </x:c>
      <x:c r="AW49" s="14"/>
      <x:c r="AX49" s="14" t="str">
        <x:v>No</x:v>
      </x:c>
      <x:c r="AY49" s="14" t="str">
        <x:v>Unmatched</x:v>
      </x:c>
      <x:c r="AZ49" s="14" t="str">
        <x:v>Final supplied register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HYPERLINK is not implemented. linkLocation=https://www.imdb.com/title/tt30226479/fullcredits/,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tt30226479|nm4176253|el-baz</x:v>
      </x:c>
      <x:c r="B50" s="14" t="str">
        <x:v>03</x:v>
      </x:c>
      <x:c r="C50" s="14" t="str">
        <x:v>2024_IMDb_Cast_Lists_Batch_03(1).xlsx</x:v>
      </x:c>
      <x:c r="D50" s="14" t="str">
        <x:v>Mr Bigstuff</x:v>
      </x:c>
      <x:c r="E50" s="14" t="n">
        <x:v>19</x:v>
      </x:c>
      <x:c r="F50" s="14" t="str">
        <x:v>Mr Bigstuff</x:v>
      </x:c>
      <x:c r="G50" s="14" t="str">
        <x:v>tt30226479</x:v>
      </x:c>
      <x:c r="H50" s="14" t="n">
        <x:v>2024</x:v>
      </x:c>
      <x:c r="I50" s="14" t="n">
        <x:v>2025</x:v>
      </x:c>
      <x:c r="J50" s="14" t="str">
        <x:v>Earlier-Production Carry-In Cohort</x:v>
      </x:c>
      <x:c r="K50" s="14" t="n">
        <x:v>2024</x:v>
      </x:c>
      <x:c r="L50" s="14" t="str">
        <x:v>Used in 2025 annual analysis</x:v>
      </x:c>
      <x:c r="M50" s="15" t="n">
        <x:v>12</x:v>
      </x:c>
      <x:c r="N50" s="14" t="str">
        <x:v>David Mumeni</x:v>
      </x:c>
      <x:c r="O50" s="14" t="str">
        <x:v>nm4176253</x:v>
      </x:c>
      <x:c r="P50" s="14" t="str">
        <x:v>El-Baz</x:v>
      </x:c>
      <x:c r="Q50" s="15" t="n">
        <x:v>2</x:v>
      </x:c>
      <x:c r="R50" s="14" t="str">
        <x:v>2025</x:v>
      </x:c>
      <x:c r="S50" s="14" t="n">
        <x:v>2025</x:v>
      </x:c>
      <x:c r="T50" s="14" t="n">
        <x:v>2025</x:v>
      </x:c>
      <x:c r="U50" s="14" t="str">
        <x:v>Explicit source first year retained</x:v>
      </x:c>
      <x:c r="V50" s="14" t="str">
        <x:v>Earliest supplied year is 2025.</x:v>
      </x:c>
      <x:c r="W50" s="14"/>
      <x:c r="X50" s="14" t="str">
        <x:v>Included</x:v>
      </x:c>
      <x:c r="Y50" s="14"/>
      <x:c r="Z50" s="14" t="str">
        <x:v>Mr Bigstuff(1).docx</x:v>
      </x:c>
      <x:c r="AA50" s="14" t="str">
        <x:v>HYPERLINK is not implemented. linkLocation=https://www.imdb.com/title/tt30226479/fullcredits/,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Sky / NOW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HYPERLINK("https://en.wikipedia.org/wiki/Mr._Bigstuff","Open source")</x:f>
        <x:v>HYPERLINK is not implemented. linkLocation=https://en.wikipedia.org/wiki/Mr._Bigstuff, friendlyName=Open source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 t="str">
        <x:v>No established-register match</x:v>
      </x:c>
      <x:c r="AT50" s="14"/>
      <x:c r="AU50" s="14"/>
      <x:c r="AV50" s="14" t="str">
        <x:v>No established apparent-disability match</x:v>
      </x:c>
      <x:c r="AW50" s="14"/>
      <x:c r="AX50" s="14" t="str">
        <x:v>No</x:v>
      </x:c>
      <x:c r="AY50" s="14" t="str">
        <x:v>Unmatched</x:v>
      </x:c>
      <x:c r="AZ50" s="14" t="str">
        <x:v>Final supplied register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2</x:v>
      </x:c>
      <x:c r="BS50" s="16" t="n">
        <x:v>0.16666666666666666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HYPERLINK is not implemented. linkLocation=https://www.imdb.com/title/tt30226479/fullcredits/,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tt30226479|nm0285495|frank</x:v>
      </x:c>
      <x:c r="B51" s="14" t="str">
        <x:v>03</x:v>
      </x:c>
      <x:c r="C51" s="14" t="str">
        <x:v>2024_IMDb_Cast_Lists_Batch_03(1).xlsx</x:v>
      </x:c>
      <x:c r="D51" s="14" t="str">
        <x:v>Mr Bigstuff</x:v>
      </x:c>
      <x:c r="E51" s="14" t="n">
        <x:v>23</x:v>
      </x:c>
      <x:c r="F51" s="14" t="str">
        <x:v>Mr Bigstuff</x:v>
      </x:c>
      <x:c r="G51" s="14" t="str">
        <x:v>tt30226479</x:v>
      </x:c>
      <x:c r="H51" s="14" t="n">
        <x:v>2024</x:v>
      </x:c>
      <x:c r="I51" s="14" t="n">
        <x:v>2025</x:v>
      </x:c>
      <x:c r="J51" s="14" t="str">
        <x:v>Earlier-Production Carry-In Cohort</x:v>
      </x:c>
      <x:c r="K51" s="14" t="n">
        <x:v>2024</x:v>
      </x:c>
      <x:c r="L51" s="14" t="str">
        <x:v>Used in 2025 annual analysis</x:v>
      </x:c>
      <x:c r="M51" s="15" t="n">
        <x:v>16</x:v>
      </x:c>
      <x:c r="N51" s="14" t="str">
        <x:v>Alan Ford</x:v>
      </x:c>
      <x:c r="O51" s="14" t="str">
        <x:v>nm0285495</x:v>
      </x:c>
      <x:c r="P51" s="14" t="str">
        <x:v>Frank</x:v>
      </x:c>
      <x:c r="Q51" s="15" t="n">
        <x:v>1</x:v>
      </x:c>
      <x:c r="R51" s="14" t="str">
        <x:v>2025</x:v>
      </x:c>
      <x:c r="S51" s="14" t="n">
        <x:v>2025</x:v>
      </x:c>
      <x:c r="T51" s="14" t="n">
        <x:v>2025</x:v>
      </x:c>
      <x:c r="U51" s="14" t="str">
        <x:v>Explicit source first year retained</x:v>
      </x:c>
      <x:c r="V51" s="14" t="str">
        <x:v>Earliest supplied year is 2025.</x:v>
      </x:c>
      <x:c r="W51" s="14"/>
      <x:c r="X51" s="14" t="str">
        <x:v>Included</x:v>
      </x:c>
      <x:c r="Y51" s="14"/>
      <x:c r="Z51" s="14" t="str">
        <x:v>Mr Bigstuff(1).docx</x:v>
      </x:c>
      <x:c r="AA51" s="14" t="str">
        <x:v>HYPERLINK is not implemented. linkLocation=https://www.imdb.com/title/tt30226479/fullcredits/,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Sky / NOW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HYPERLINK("https://en.wikipedia.org/wiki/Mr._Bigstuff","Open source")</x:f>
        <x:v>HYPERLINK is not implemented. linkLocation=https://en.wikipedia.org/wiki/Mr._Bigstuff, friendlyName=Open source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 t="str">
        <x:v>No established-register match</x:v>
      </x:c>
      <x:c r="AT51" s="14"/>
      <x:c r="AU51" s="14"/>
      <x:c r="AV51" s="14" t="str">
        <x:v>No established apparent-disability match</x:v>
      </x:c>
      <x:c r="AW51" s="14"/>
      <x:c r="AX51" s="14" t="str">
        <x:v>No</x:v>
      </x:c>
      <x:c r="AY51" s="14" t="str">
        <x:v>Unmatched</x:v>
      </x:c>
      <x:c r="AZ51" s="14" t="str">
        <x:v>Final supplied register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0.08333333333333333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HYPERLINK is not implemented. linkLocation=https://www.imdb.com/title/tt30226479/fullcredits/,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tt30226479|nm7735920|petrol cashier</x:v>
      </x:c>
      <x:c r="B52" s="14" t="str">
        <x:v>03</x:v>
      </x:c>
      <x:c r="C52" s="14" t="str">
        <x:v>2024_IMDb_Cast_Lists_Batch_03(1).xlsx</x:v>
      </x:c>
      <x:c r="D52" s="14" t="str">
        <x:v>Mr Bigstuff</x:v>
      </x:c>
      <x:c r="E52" s="14" t="n">
        <x:v>27</x:v>
      </x:c>
      <x:c r="F52" s="14" t="str">
        <x:v>Mr Bigstuff</x:v>
      </x:c>
      <x:c r="G52" s="14" t="str">
        <x:v>tt30226479</x:v>
      </x:c>
      <x:c r="H52" s="14" t="n">
        <x:v>2024</x:v>
      </x:c>
      <x:c r="I52" s="14" t="n">
        <x:v>2025</x:v>
      </x:c>
      <x:c r="J52" s="14" t="str">
        <x:v>Earlier-Production Carry-In Cohort</x:v>
      </x:c>
      <x:c r="K52" s="14" t="n">
        <x:v>2024</x:v>
      </x:c>
      <x:c r="L52" s="14" t="str">
        <x:v>Used in 2025 annual analysis</x:v>
      </x:c>
      <x:c r="M52" s="15" t="n">
        <x:v>20</x:v>
      </x:c>
      <x:c r="N52" s="14" t="str">
        <x:v>Mark Silcox</x:v>
      </x:c>
      <x:c r="O52" s="14" t="str">
        <x:v>nm7735920</x:v>
      </x:c>
      <x:c r="P52" s="14" t="str">
        <x:v>Petrol Cashier</x:v>
      </x:c>
      <x:c r="Q52" s="15" t="n">
        <x:v>1</x:v>
      </x:c>
      <x:c r="R52" s="14" t="str">
        <x:v>2025</x:v>
      </x:c>
      <x:c r="S52" s="14" t="n">
        <x:v>2025</x:v>
      </x:c>
      <x:c r="T52" s="14" t="n">
        <x:v>2025</x:v>
      </x:c>
      <x:c r="U52" s="14" t="str">
        <x:v>Explicit source first year retained</x:v>
      </x:c>
      <x:c r="V52" s="14" t="str">
        <x:v>Earliest supplied year is 2025.</x:v>
      </x:c>
      <x:c r="W52" s="14"/>
      <x:c r="X52" s="14" t="str">
        <x:v>Included</x:v>
      </x:c>
      <x:c r="Y52" s="14"/>
      <x:c r="Z52" s="14" t="str">
        <x:v>Mr Bigstuff(1).docx</x:v>
      </x:c>
      <x:c r="AA52" s="14" t="str">
        <x:v>HYPERLINK is not implemented. linkLocation=https://www.imdb.com/title/tt30226479/fullcredits/,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Sky / NOW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HYPERLINK("https://en.wikipedia.org/wiki/Mr._Bigstuff","Open source")</x:f>
        <x:v>HYPERLINK is not implemented. linkLocation=https://en.wikipedia.org/wiki/Mr._Bigstuff, friendlyName=Open source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 t="str">
        <x:v>No established-register match</x:v>
      </x:c>
      <x:c r="AT52" s="14"/>
      <x:c r="AU52" s="14"/>
      <x:c r="AV52" s="14" t="str">
        <x:v>No established apparent-disability match</x:v>
      </x:c>
      <x:c r="AW52" s="14"/>
      <x:c r="AX52" s="14" t="str">
        <x:v>No</x:v>
      </x:c>
      <x:c r="AY52" s="14" t="str">
        <x:v>Unmatched</x:v>
      </x:c>
      <x:c r="AZ52" s="14" t="str">
        <x:v>Final supplied register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0.08333333333333333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HYPERLINK is not implemented. linkLocation=https://www.imdb.com/title/tt30226479/fullcredits/,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tt30226479|nm17531917|schoolkid</x:v>
      </x:c>
      <x:c r="B53" s="14" t="str">
        <x:v>03</x:v>
      </x:c>
      <x:c r="C53" s="14" t="str">
        <x:v>2024_IMDb_Cast_Lists_Batch_03(1).xlsx</x:v>
      </x:c>
      <x:c r="D53" s="14" t="str">
        <x:v>Mr Bigstuff</x:v>
      </x:c>
      <x:c r="E53" s="14" t="n">
        <x:v>32</x:v>
      </x:c>
      <x:c r="F53" s="14" t="str">
        <x:v>Mr Bigstuff</x:v>
      </x:c>
      <x:c r="G53" s="14" t="str">
        <x:v>tt30226479</x:v>
      </x:c>
      <x:c r="H53" s="14" t="n">
        <x:v>2024</x:v>
      </x:c>
      <x:c r="I53" s="14" t="n">
        <x:v>2025</x:v>
      </x:c>
      <x:c r="J53" s="14" t="str">
        <x:v>Earlier-Production Carry-In Cohort</x:v>
      </x:c>
      <x:c r="K53" s="14" t="n">
        <x:v>2024</x:v>
      </x:c>
      <x:c r="L53" s="14" t="str">
        <x:v>Used in 2025 annual analysis</x:v>
      </x:c>
      <x:c r="M53" s="15" t="n">
        <x:v>25</x:v>
      </x:c>
      <x:c r="N53" s="14" t="str">
        <x:v>Akinlolu Akinsaya</x:v>
      </x:c>
      <x:c r="O53" s="14" t="str">
        <x:v>nm17531917</x:v>
      </x:c>
      <x:c r="P53" s="14" t="str">
        <x:v>Schoolkid</x:v>
      </x:c>
      <x:c r="Q53" s="15" t="n">
        <x:v>1</x:v>
      </x:c>
      <x:c r="R53" s="14" t="str">
        <x:v>2025</x:v>
      </x:c>
      <x:c r="S53" s="14" t="n">
        <x:v>2025</x:v>
      </x:c>
      <x:c r="T53" s="14" t="n">
        <x:v>2025</x:v>
      </x:c>
      <x:c r="U53" s="14" t="str">
        <x:v>Explicit source first year retained</x:v>
      </x:c>
      <x:c r="V53" s="14" t="str">
        <x:v>Earliest supplied year is 2025.</x:v>
      </x:c>
      <x:c r="W53" s="14"/>
      <x:c r="X53" s="14" t="str">
        <x:v>Included</x:v>
      </x:c>
      <x:c r="Y53" s="14"/>
      <x:c r="Z53" s="14" t="str">
        <x:v>Mr Bigstuff(1).docx</x:v>
      </x:c>
      <x:c r="AA53" s="14" t="str">
        <x:v>HYPERLINK is not implemented. linkLocation=https://www.imdb.com/title/tt30226479/fullcredits/,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Sky / NOW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HYPERLINK("https://en.wikipedia.org/wiki/Mr._Bigstuff","Open source")</x:f>
        <x:v>HYPERLINK is not implemented. linkLocation=https://en.wikipedia.org/wiki/Mr._Bigstuff, friendlyName=Open source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 t="str">
        <x:v>No established-register match</x:v>
      </x:c>
      <x:c r="AT53" s="14"/>
      <x:c r="AU53" s="14"/>
      <x:c r="AV53" s="14" t="str">
        <x:v>No established apparent-disability match</x:v>
      </x:c>
      <x:c r="AW53" s="14"/>
      <x:c r="AX53" s="14" t="str">
        <x:v>No</x:v>
      </x:c>
      <x:c r="AY53" s="14" t="str">
        <x:v>Unmatched</x:v>
      </x:c>
      <x:c r="AZ53" s="14" t="str">
        <x:v>Final supplied register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0.08333333333333333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HYPERLINK is not implemented. linkLocation=https://www.imdb.com/title/tt30226479/fullcredits/,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tt30226479|nm0502218|rita</x:v>
      </x:c>
      <x:c r="B54" s="14" t="str">
        <x:v>03</x:v>
      </x:c>
      <x:c r="C54" s="14" t="str">
        <x:v>2024_IMDb_Cast_Lists_Batch_03(1).xlsx</x:v>
      </x:c>
      <x:c r="D54" s="14" t="str">
        <x:v>Mr Bigstuff</x:v>
      </x:c>
      <x:c r="E54" s="14" t="n">
        <x:v>37</x:v>
      </x:c>
      <x:c r="F54" s="14" t="str">
        <x:v>Mr Bigstuff</x:v>
      </x:c>
      <x:c r="G54" s="14" t="str">
        <x:v>tt30226479</x:v>
      </x:c>
      <x:c r="H54" s="14" t="n">
        <x:v>2024</x:v>
      </x:c>
      <x:c r="I54" s="14" t="n">
        <x:v>2025</x:v>
      </x:c>
      <x:c r="J54" s="14" t="str">
        <x:v>Earlier-Production Carry-In Cohort</x:v>
      </x:c>
      <x:c r="K54" s="14" t="n">
        <x:v>2024</x:v>
      </x:c>
      <x:c r="L54" s="14" t="str">
        <x:v>Used in 2025 annual analysis</x:v>
      </x:c>
      <x:c r="M54" s="15" t="n">
        <x:v>30</x:v>
      </x:c>
      <x:c r="N54" s="14" t="str">
        <x:v>Rula Lenska</x:v>
      </x:c>
      <x:c r="O54" s="14" t="str">
        <x:v>nm0502218</x:v>
      </x:c>
      <x:c r="P54" s="14" t="str">
        <x:v>Rita</x:v>
      </x:c>
      <x:c r="Q54" s="15" t="n">
        <x:v>1</x:v>
      </x:c>
      <x:c r="R54" s="14" t="str">
        <x:v>2025</x:v>
      </x:c>
      <x:c r="S54" s="14" t="n">
        <x:v>2025</x:v>
      </x:c>
      <x:c r="T54" s="14" t="n">
        <x:v>2025</x:v>
      </x:c>
      <x:c r="U54" s="14" t="str">
        <x:v>Explicit source first year retained</x:v>
      </x:c>
      <x:c r="V54" s="14" t="str">
        <x:v>Earliest supplied year is 2025.</x:v>
      </x:c>
      <x:c r="W54" s="14"/>
      <x:c r="X54" s="14" t="str">
        <x:v>Included</x:v>
      </x:c>
      <x:c r="Y54" s="14"/>
      <x:c r="Z54" s="14" t="str">
        <x:v>Mr Bigstuff(1).docx</x:v>
      </x:c>
      <x:c r="AA54" s="14" t="str">
        <x:v>HYPERLINK is not implemented. linkLocation=https://www.imdb.com/title/tt30226479/fullcredits/,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Sky / NOW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HYPERLINK("https://en.wikipedia.org/wiki/Mr._Bigstuff","Open source")</x:f>
        <x:v>HYPERLINK is not implemented. linkLocation=https://en.wikipedia.org/wiki/Mr._Bigstuff, friendlyName=Open source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 t="str">
        <x:v>No established-register match</x:v>
      </x:c>
      <x:c r="AT54" s="14"/>
      <x:c r="AU54" s="14"/>
      <x:c r="AV54" s="14" t="str">
        <x:v>No established apparent-disability match</x:v>
      </x:c>
      <x:c r="AW54" s="14"/>
      <x:c r="AX54" s="14" t="str">
        <x:v>No</x:v>
      </x:c>
      <x:c r="AY54" s="14" t="str">
        <x:v>Unmatched</x:v>
      </x:c>
      <x:c r="AZ54" s="14" t="str">
        <x:v>Final supplied register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0.08333333333333333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HYPERLINK is not implemented. linkLocation=https://www.imdb.com/title/tt30226479/fullcredits/,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tt30226479|nm2351696|woman</x:v>
      </x:c>
      <x:c r="B55" s="14" t="str">
        <x:v>03</x:v>
      </x:c>
      <x:c r="C55" s="14" t="str">
        <x:v>2024_IMDb_Cast_Lists_Batch_03(1).xlsx</x:v>
      </x:c>
      <x:c r="D55" s="14" t="str">
        <x:v>Mr Bigstuff</x:v>
      </x:c>
      <x:c r="E55" s="14" t="n">
        <x:v>38</x:v>
      </x:c>
      <x:c r="F55" s="14" t="str">
        <x:v>Mr Bigstuff</x:v>
      </x:c>
      <x:c r="G55" s="14" t="str">
        <x:v>tt30226479</x:v>
      </x:c>
      <x:c r="H55" s="14" t="n">
        <x:v>2024</x:v>
      </x:c>
      <x:c r="I55" s="14" t="n">
        <x:v>2025</x:v>
      </x:c>
      <x:c r="J55" s="14" t="str">
        <x:v>Earlier-Production Carry-In Cohort</x:v>
      </x:c>
      <x:c r="K55" s="14" t="n">
        <x:v>2024</x:v>
      </x:c>
      <x:c r="L55" s="14" t="str">
        <x:v>Used in 2025 annual analysis</x:v>
      </x:c>
      <x:c r="M55" s="15" t="n">
        <x:v>31</x:v>
      </x:c>
      <x:c r="N55" s="14" t="str">
        <x:v>Kim Barry</x:v>
      </x:c>
      <x:c r="O55" s="14" t="str">
        <x:v>nm2351696</x:v>
      </x:c>
      <x:c r="P55" s="14" t="str">
        <x:v>Woman</x:v>
      </x:c>
      <x:c r="Q55" s="15" t="n">
        <x:v>1</x:v>
      </x:c>
      <x:c r="R55" s="14" t="str">
        <x:v>2025</x:v>
      </x:c>
      <x:c r="S55" s="14" t="n">
        <x:v>2025</x:v>
      </x:c>
      <x:c r="T55" s="14" t="n">
        <x:v>2025</x:v>
      </x:c>
      <x:c r="U55" s="14" t="str">
        <x:v>Explicit source first year retained</x:v>
      </x:c>
      <x:c r="V55" s="14" t="str">
        <x:v>Earliest supplied year is 2025.</x:v>
      </x:c>
      <x:c r="W55" s="14"/>
      <x:c r="X55" s="14" t="str">
        <x:v>Included</x:v>
      </x:c>
      <x:c r="Y55" s="14"/>
      <x:c r="Z55" s="14" t="str">
        <x:v>Mr Bigstuff(1).docx</x:v>
      </x:c>
      <x:c r="AA55" s="14" t="str">
        <x:v>HYPERLINK is not implemented. linkLocation=https://www.imdb.com/title/tt30226479/fullcredits/,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Sky / NOW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HYPERLINK("https://en.wikipedia.org/wiki/Mr._Bigstuff","Open source")</x:f>
        <x:v>HYPERLINK is not implemented. linkLocation=https://en.wikipedia.org/wiki/Mr._Bigstuff, friendlyName=Open source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 t="str">
        <x:v>No established-register match</x:v>
      </x:c>
      <x:c r="AT55" s="14"/>
      <x:c r="AU55" s="14"/>
      <x:c r="AV55" s="14" t="str">
        <x:v>No established apparent-disability match</x:v>
      </x:c>
      <x:c r="AW55" s="14"/>
      <x:c r="AX55" s="14" t="str">
        <x:v>No</x:v>
      </x:c>
      <x:c r="AY55" s="14" t="str">
        <x:v>Unmatched</x:v>
      </x:c>
      <x:c r="AZ55" s="14" t="str">
        <x:v>Final supplied register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0.08333333333333333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HYPERLINK is not implemented. linkLocation=https://www.imdb.com/title/tt30226479/fullcredits/,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tt30226479|nm0614120|sweet old man</x:v>
      </x:c>
      <x:c r="B56" s="14" t="str">
        <x:v>03</x:v>
      </x:c>
      <x:c r="C56" s="14" t="str">
        <x:v>2024_IMDb_Cast_Lists_Batch_03(1).xlsx</x:v>
      </x:c>
      <x:c r="D56" s="14" t="str">
        <x:v>Mr Bigstuff</x:v>
      </x:c>
      <x:c r="E56" s="14" t="n">
        <x:v>41</x:v>
      </x:c>
      <x:c r="F56" s="14" t="str">
        <x:v>Mr Bigstuff</x:v>
      </x:c>
      <x:c r="G56" s="14" t="str">
        <x:v>tt30226479</x:v>
      </x:c>
      <x:c r="H56" s="14" t="n">
        <x:v>2024</x:v>
      </x:c>
      <x:c r="I56" s="14" t="n">
        <x:v>2025</x:v>
      </x:c>
      <x:c r="J56" s="14" t="str">
        <x:v>Earlier-Production Carry-In Cohort</x:v>
      </x:c>
      <x:c r="K56" s="14" t="n">
        <x:v>2024</x:v>
      </x:c>
      <x:c r="L56" s="14" t="str">
        <x:v>Used in 2025 annual analysis</x:v>
      </x:c>
      <x:c r="M56" s="15" t="n">
        <x:v>34</x:v>
      </x:c>
      <x:c r="N56" s="14" t="str">
        <x:v>Brian Murphy</x:v>
      </x:c>
      <x:c r="O56" s="14" t="str">
        <x:v>nm0614120</x:v>
      </x:c>
      <x:c r="P56" s="14" t="str">
        <x:v>Sweet Old Man</x:v>
      </x:c>
      <x:c r="Q56" s="15" t="n">
        <x:v>1</x:v>
      </x:c>
      <x:c r="R56" s="14" t="str">
        <x:v>2025</x:v>
      </x:c>
      <x:c r="S56" s="14" t="n">
        <x:v>2025</x:v>
      </x:c>
      <x:c r="T56" s="14" t="n">
        <x:v>2025</x:v>
      </x:c>
      <x:c r="U56" s="14" t="str">
        <x:v>Explicit source first year retained</x:v>
      </x:c>
      <x:c r="V56" s="14" t="str">
        <x:v>Earliest supplied year is 2025.</x:v>
      </x:c>
      <x:c r="W56" s="14"/>
      <x:c r="X56" s="14" t="str">
        <x:v>Included</x:v>
      </x:c>
      <x:c r="Y56" s="14"/>
      <x:c r="Z56" s="14" t="str">
        <x:v>Mr Bigstuff(1).docx</x:v>
      </x:c>
      <x:c r="AA56" s="14" t="str">
        <x:v>HYPERLINK is not implemented. linkLocation=https://www.imdb.com/title/tt30226479/fullcredits/,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Sky / NOW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HYPERLINK("https://en.wikipedia.org/wiki/Mr._Bigstuff","Open source")</x:f>
        <x:v>HYPERLINK is not implemented. linkLocation=https://en.wikipedia.org/wiki/Mr._Bigstuff, friendlyName=Open source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 t="str">
        <x:v>No established-register match</x:v>
      </x:c>
      <x:c r="AT56" s="14"/>
      <x:c r="AU56" s="14"/>
      <x:c r="AV56" s="14" t="str">
        <x:v>No established apparent-disability match</x:v>
      </x:c>
      <x:c r="AW56" s="14"/>
      <x:c r="AX56" s="14" t="str">
        <x:v>No</x:v>
      </x:c>
      <x:c r="AY56" s="14" t="str">
        <x:v>Unmatched</x:v>
      </x:c>
      <x:c r="AZ56" s="14" t="str">
        <x:v>Final supplied register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HYPERLINK is not implemented. linkLocation=https://www.imdb.com/title/tt30226479/fullcredits/,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tt30226479|nm5720829|female customer</x:v>
      </x:c>
      <x:c r="B57" s="14" t="str">
        <x:v>03</x:v>
      </x:c>
      <x:c r="C57" s="14" t="str">
        <x:v>2024_IMDb_Cast_Lists_Batch_03(1).xlsx</x:v>
      </x:c>
      <x:c r="D57" s="14" t="str">
        <x:v>Mr Bigstuff</x:v>
      </x:c>
      <x:c r="E57" s="14" t="n">
        <x:v>42</x:v>
      </x:c>
      <x:c r="F57" s="14" t="str">
        <x:v>Mr Bigstuff</x:v>
      </x:c>
      <x:c r="G57" s="14" t="str">
        <x:v>tt30226479</x:v>
      </x:c>
      <x:c r="H57" s="14" t="n">
        <x:v>2024</x:v>
      </x:c>
      <x:c r="I57" s="14" t="n">
        <x:v>2025</x:v>
      </x:c>
      <x:c r="J57" s="14" t="str">
        <x:v>Earlier-Production Carry-In Cohort</x:v>
      </x:c>
      <x:c r="K57" s="14" t="n">
        <x:v>2024</x:v>
      </x:c>
      <x:c r="L57" s="14" t="str">
        <x:v>Used in 2025 annual analysis</x:v>
      </x:c>
      <x:c r="M57" s="15" t="n">
        <x:v>35</x:v>
      </x:c>
      <x:c r="N57" s="14" t="str">
        <x:v>Kathryn Bond</x:v>
      </x:c>
      <x:c r="O57" s="14" t="str">
        <x:v>nm5720829</x:v>
      </x:c>
      <x:c r="P57" s="14" t="str">
        <x:v>Female Customer</x:v>
      </x:c>
      <x:c r="Q57" s="15" t="n">
        <x:v>1</x:v>
      </x:c>
      <x:c r="R57" s="14" t="str">
        <x:v>2025</x:v>
      </x:c>
      <x:c r="S57" s="14" t="n">
        <x:v>2025</x:v>
      </x:c>
      <x:c r="T57" s="14" t="n">
        <x:v>2025</x:v>
      </x:c>
      <x:c r="U57" s="14" t="str">
        <x:v>Explicit source first year retained</x:v>
      </x:c>
      <x:c r="V57" s="14" t="str">
        <x:v>Earliest supplied year is 2025.</x:v>
      </x:c>
      <x:c r="W57" s="14"/>
      <x:c r="X57" s="14" t="str">
        <x:v>Included</x:v>
      </x:c>
      <x:c r="Y57" s="14"/>
      <x:c r="Z57" s="14" t="str">
        <x:v>Mr Bigstuff(1).docx</x:v>
      </x:c>
      <x:c r="AA57" s="14" t="str">
        <x:v>HYPERLINK is not implemented. linkLocation=https://www.imdb.com/title/tt30226479/fullcredits/,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Sky / NOW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HYPERLINK("https://en.wikipedia.org/wiki/Mr._Bigstuff","Open source")</x:f>
        <x:v>HYPERLINK is not implemented. linkLocation=https://en.wikipedia.org/wiki/Mr._Bigstuff, friendlyName=Open source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 t="str">
        <x:v>No established-register match</x:v>
      </x:c>
      <x:c r="AT57" s="14"/>
      <x:c r="AU57" s="14"/>
      <x:c r="AV57" s="14" t="str">
        <x:v>No established apparent-disability match</x:v>
      </x:c>
      <x:c r="AW57" s="14"/>
      <x:c r="AX57" s="14" t="str">
        <x:v>No</x:v>
      </x:c>
      <x:c r="AY57" s="14" t="str">
        <x:v>Unmatched</x:v>
      </x:c>
      <x:c r="AZ57" s="14" t="str">
        <x:v>Final supplied register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HYPERLINK is not implemented. linkLocation=https://www.imdb.com/title/tt30226479/fullcredits/,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tt30226479|nm0244086|des cusanelli</x:v>
      </x:c>
      <x:c r="B58" s="14" t="str">
        <x:v>03</x:v>
      </x:c>
      <x:c r="C58" s="14" t="str">
        <x:v>2024_IMDb_Cast_Lists_Batch_03(1).xlsx</x:v>
      </x:c>
      <x:c r="D58" s="14" t="str">
        <x:v>Mr Bigstuff</x:v>
      </x:c>
      <x:c r="E58" s="14" t="n">
        <x:v>45</x:v>
      </x:c>
      <x:c r="F58" s="14" t="str">
        <x:v>Mr Bigstuff</x:v>
      </x:c>
      <x:c r="G58" s="14" t="str">
        <x:v>tt30226479</x:v>
      </x:c>
      <x:c r="H58" s="14" t="n">
        <x:v>2024</x:v>
      </x:c>
      <x:c r="I58" s="14" t="n">
        <x:v>2025</x:v>
      </x:c>
      <x:c r="J58" s="14" t="str">
        <x:v>Earlier-Production Carry-In Cohort</x:v>
      </x:c>
      <x:c r="K58" s="14" t="n">
        <x:v>2024</x:v>
      </x:c>
      <x:c r="L58" s="14" t="str">
        <x:v>Used in 2025 annual analysis</x:v>
      </x:c>
      <x:c r="M58" s="15" t="n">
        <x:v>38</x:v>
      </x:c>
      <x:c r="N58" s="14" t="str">
        <x:v>Kim Durham</x:v>
      </x:c>
      <x:c r="O58" s="14" t="str">
        <x:v>nm0244086</x:v>
      </x:c>
      <x:c r="P58" s="14" t="str">
        <x:v>Des Cusanelli</x:v>
      </x:c>
      <x:c r="Q58" s="15" t="n">
        <x:v>1</x:v>
      </x:c>
      <x:c r="R58" s="14" t="str">
        <x:v>2025</x:v>
      </x:c>
      <x:c r="S58" s="14" t="n">
        <x:v>2025</x:v>
      </x:c>
      <x:c r="T58" s="14" t="n">
        <x:v>2025</x:v>
      </x:c>
      <x:c r="U58" s="14" t="str">
        <x:v>Explicit source first year retained</x:v>
      </x:c>
      <x:c r="V58" s="14" t="str">
        <x:v>Earliest supplied year is 2025.</x:v>
      </x:c>
      <x:c r="W58" s="14"/>
      <x:c r="X58" s="14" t="str">
        <x:v>Included</x:v>
      </x:c>
      <x:c r="Y58" s="14"/>
      <x:c r="Z58" s="14" t="str">
        <x:v>Mr Bigstuff(1).docx</x:v>
      </x:c>
      <x:c r="AA58" s="14" t="str">
        <x:v>HYPERLINK is not implemented. linkLocation=https://www.imdb.com/title/tt30226479/fullcredits/,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Sky / NOW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HYPERLINK("https://en.wikipedia.org/wiki/Mr._Bigstuff","Open source")</x:f>
        <x:v>HYPERLINK is not implemented. linkLocation=https://en.wikipedia.org/wiki/Mr._Bigstuff, friendlyName=Open source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 t="str">
        <x:v>No established-register match</x:v>
      </x:c>
      <x:c r="AT58" s="14"/>
      <x:c r="AU58" s="14"/>
      <x:c r="AV58" s="14" t="str">
        <x:v>No established apparent-disability match</x:v>
      </x:c>
      <x:c r="AW58" s="14"/>
      <x:c r="AX58" s="14" t="str">
        <x:v>No</x:v>
      </x:c>
      <x:c r="AY58" s="14" t="str">
        <x:v>Unmatched</x:v>
      </x:c>
      <x:c r="AZ58" s="14" t="str">
        <x:v>Final supplied register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0.08333333333333333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HYPERLINK is not implemented. linkLocation=https://www.imdb.com/title/tt30226479/fullcredits/,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tt30226479|nm6596413|tyler</x:v>
      </x:c>
      <x:c r="B59" s="14" t="str">
        <x:v>03</x:v>
      </x:c>
      <x:c r="C59" s="14" t="str">
        <x:v>2024_IMDb_Cast_Lists_Batch_03(1).xlsx</x:v>
      </x:c>
      <x:c r="D59" s="14" t="str">
        <x:v>Mr Bigstuff</x:v>
      </x:c>
      <x:c r="E59" s="14" t="n">
        <x:v>52</x:v>
      </x:c>
      <x:c r="F59" s="14" t="str">
        <x:v>Mr Bigstuff</x:v>
      </x:c>
      <x:c r="G59" s="14" t="str">
        <x:v>tt30226479</x:v>
      </x:c>
      <x:c r="H59" s="14" t="n">
        <x:v>2024</x:v>
      </x:c>
      <x:c r="I59" s="14" t="n">
        <x:v>2025</x:v>
      </x:c>
      <x:c r="J59" s="14" t="str">
        <x:v>Earlier-Production Carry-In Cohort</x:v>
      </x:c>
      <x:c r="K59" s="14" t="n">
        <x:v>2024</x:v>
      </x:c>
      <x:c r="L59" s="14" t="str">
        <x:v>Used in 2025 annual analysis</x:v>
      </x:c>
      <x:c r="M59" s="15" t="n">
        <x:v>45</x:v>
      </x:c>
      <x:c r="N59" s="14" t="str">
        <x:v>Tom Hanson</x:v>
      </x:c>
      <x:c r="O59" s="14" t="str">
        <x:v>nm6596413</x:v>
      </x:c>
      <x:c r="P59" s="14" t="str">
        <x:v>Tyler</x:v>
      </x:c>
      <x:c r="Q59" s="15" t="n">
        <x:v>1</x:v>
      </x:c>
      <x:c r="R59" s="14" t="str">
        <x:v>2025</x:v>
      </x:c>
      <x:c r="S59" s="14" t="n">
        <x:v>2025</x:v>
      </x:c>
      <x:c r="T59" s="14" t="n">
        <x:v>2025</x:v>
      </x:c>
      <x:c r="U59" s="14" t="str">
        <x:v>Explicit source first year retained</x:v>
      </x:c>
      <x:c r="V59" s="14" t="str">
        <x:v>Earliest supplied year is 2025.</x:v>
      </x:c>
      <x:c r="W59" s="14"/>
      <x:c r="X59" s="14" t="str">
        <x:v>Included</x:v>
      </x:c>
      <x:c r="Y59" s="14"/>
      <x:c r="Z59" s="14" t="str">
        <x:v>Mr Bigstuff(1).docx</x:v>
      </x:c>
      <x:c r="AA59" s="14" t="str">
        <x:v>HYPERLINK is not implemented. linkLocation=https://www.imdb.com/title/tt30226479/fullcredits/,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Sky / NOW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HYPERLINK("https://en.wikipedia.org/wiki/Mr._Bigstuff","Open source")</x:f>
        <x:v>HYPERLINK is not implemented. linkLocation=https://en.wikipedia.org/wiki/Mr._Bigstuff, friendlyName=Open source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 t="str">
        <x:v>No established-register match</x:v>
      </x:c>
      <x:c r="AT59" s="14"/>
      <x:c r="AU59" s="14"/>
      <x:c r="AV59" s="14" t="str">
        <x:v>No established apparent-disability match</x:v>
      </x:c>
      <x:c r="AW59" s="14"/>
      <x:c r="AX59" s="14" t="str">
        <x:v>No</x:v>
      </x:c>
      <x:c r="AY59" s="14" t="str">
        <x:v>Unmatched</x:v>
      </x:c>
      <x:c r="AZ59" s="14" t="str">
        <x:v>Final supplied register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HYPERLINK is not implemented. linkLocation=https://www.imdb.com/title/tt30226479/fullcredits/,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tt30226479|nm7276747|julian</x:v>
      </x:c>
      <x:c r="B60" s="14" t="str">
        <x:v>03</x:v>
      </x:c>
      <x:c r="C60" s="14" t="str">
        <x:v>2024_IMDb_Cast_Lists_Batch_03(1).xlsx</x:v>
      </x:c>
      <x:c r="D60" s="14" t="str">
        <x:v>Mr Bigstuff</x:v>
      </x:c>
      <x:c r="E60" s="14" t="n">
        <x:v>53</x:v>
      </x:c>
      <x:c r="F60" s="14" t="str">
        <x:v>Mr Bigstuff</x:v>
      </x:c>
      <x:c r="G60" s="14" t="str">
        <x:v>tt30226479</x:v>
      </x:c>
      <x:c r="H60" s="14" t="n">
        <x:v>2024</x:v>
      </x:c>
      <x:c r="I60" s="14" t="n">
        <x:v>2025</x:v>
      </x:c>
      <x:c r="J60" s="14" t="str">
        <x:v>Earlier-Production Carry-In Cohort</x:v>
      </x:c>
      <x:c r="K60" s="14" t="n">
        <x:v>2024</x:v>
      </x:c>
      <x:c r="L60" s="14" t="str">
        <x:v>Used in 2025 annual analysis</x:v>
      </x:c>
      <x:c r="M60" s="15" t="n">
        <x:v>46</x:v>
      </x:c>
      <x:c r="N60" s="14" t="str">
        <x:v>Parth Thakerar</x:v>
      </x:c>
      <x:c r="O60" s="14" t="str">
        <x:v>nm7276747</x:v>
      </x:c>
      <x:c r="P60" s="14" t="str">
        <x:v>Julian</x:v>
      </x:c>
      <x:c r="Q60" s="15" t="n">
        <x:v>1</x:v>
      </x:c>
      <x:c r="R60" s="14" t="str">
        <x:v>2025</x:v>
      </x:c>
      <x:c r="S60" s="14" t="n">
        <x:v>2025</x:v>
      </x:c>
      <x:c r="T60" s="14" t="n">
        <x:v>2025</x:v>
      </x:c>
      <x:c r="U60" s="14" t="str">
        <x:v>Explicit source first year retained</x:v>
      </x:c>
      <x:c r="V60" s="14" t="str">
        <x:v>Earliest supplied year is 2025.</x:v>
      </x:c>
      <x:c r="W60" s="14"/>
      <x:c r="X60" s="14" t="str">
        <x:v>Included</x:v>
      </x:c>
      <x:c r="Y60" s="14"/>
      <x:c r="Z60" s="14" t="str">
        <x:v>Mr Bigstuff(1).docx</x:v>
      </x:c>
      <x:c r="AA60" s="14" t="str">
        <x:v>HYPERLINK is not implemented. linkLocation=https://www.imdb.com/title/tt30226479/fullcredits/,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Sky / NOW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HYPERLINK("https://en.wikipedia.org/wiki/Mr._Bigstuff","Open source")</x:f>
        <x:v>HYPERLINK is not implemented. linkLocation=https://en.wikipedia.org/wiki/Mr._Bigstuff, friendlyName=Open source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 t="str">
        <x:v>No established-register match</x:v>
      </x:c>
      <x:c r="AT60" s="14"/>
      <x:c r="AU60" s="14"/>
      <x:c r="AV60" s="14" t="str">
        <x:v>No established apparent-disability match</x:v>
      </x:c>
      <x:c r="AW60" s="14"/>
      <x:c r="AX60" s="14" t="str">
        <x:v>No</x:v>
      </x:c>
      <x:c r="AY60" s="14" t="str">
        <x:v>Unmatched</x:v>
      </x:c>
      <x:c r="AZ60" s="14" t="str">
        <x:v>Final supplied register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HYPERLINK is not implemented. linkLocation=https://www.imdb.com/title/tt30226479/fullcredits/,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tt30226479|nm3379444|matt</x:v>
      </x:c>
      <x:c r="B61" s="14" t="str">
        <x:v>03</x:v>
      </x:c>
      <x:c r="C61" s="14" t="str">
        <x:v>2024_IMDb_Cast_Lists_Batch_03(1).xlsx</x:v>
      </x:c>
      <x:c r="D61" s="14" t="str">
        <x:v>Mr Bigstuff</x:v>
      </x:c>
      <x:c r="E61" s="14" t="n">
        <x:v>54</x:v>
      </x:c>
      <x:c r="F61" s="14" t="str">
        <x:v>Mr Bigstuff</x:v>
      </x:c>
      <x:c r="G61" s="14" t="str">
        <x:v>tt30226479</x:v>
      </x:c>
      <x:c r="H61" s="14" t="n">
        <x:v>2024</x:v>
      </x:c>
      <x:c r="I61" s="14" t="n">
        <x:v>2025</x:v>
      </x:c>
      <x:c r="J61" s="14" t="str">
        <x:v>Earlier-Production Carry-In Cohort</x:v>
      </x:c>
      <x:c r="K61" s="14" t="n">
        <x:v>2024</x:v>
      </x:c>
      <x:c r="L61" s="14" t="str">
        <x:v>Used in 2025 annual analysis</x:v>
      </x:c>
      <x:c r="M61" s="15" t="n">
        <x:v>47</x:v>
      </x:c>
      <x:c r="N61" s="14" t="str">
        <x:v>Antonio Aakeel</x:v>
      </x:c>
      <x:c r="O61" s="14" t="str">
        <x:v>nm3379444</x:v>
      </x:c>
      <x:c r="P61" s="14" t="str">
        <x:v>Matt</x:v>
      </x:c>
      <x:c r="Q61" s="15" t="n">
        <x:v>1</x:v>
      </x:c>
      <x:c r="R61" s="14" t="str">
        <x:v>2025</x:v>
      </x:c>
      <x:c r="S61" s="14" t="n">
        <x:v>2025</x:v>
      </x:c>
      <x:c r="T61" s="14" t="n">
        <x:v>2025</x:v>
      </x:c>
      <x:c r="U61" s="14" t="str">
        <x:v>Explicit source first year retained</x:v>
      </x:c>
      <x:c r="V61" s="14" t="str">
        <x:v>Earliest supplied year is 2025.</x:v>
      </x:c>
      <x:c r="W61" s="14"/>
      <x:c r="X61" s="14" t="str">
        <x:v>Included</x:v>
      </x:c>
      <x:c r="Y61" s="14"/>
      <x:c r="Z61" s="14" t="str">
        <x:v>Mr Bigstuff(1).docx</x:v>
      </x:c>
      <x:c r="AA61" s="14" t="str">
        <x:v>HYPERLINK is not implemented. linkLocation=https://www.imdb.com/title/tt30226479/fullcredits/,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Sky / NOW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HYPERLINK("https://en.wikipedia.org/wiki/Mr._Bigstuff","Open source")</x:f>
        <x:v>HYPERLINK is not implemented. linkLocation=https://en.wikipedia.org/wiki/Mr._Bigstuff, friendlyName=Open source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 t="str">
        <x:v>No established-register match</x:v>
      </x:c>
      <x:c r="AT61" s="14"/>
      <x:c r="AU61" s="14"/>
      <x:c r="AV61" s="14" t="str">
        <x:v>No established apparent-disability match</x:v>
      </x:c>
      <x:c r="AW61" s="14"/>
      <x:c r="AX61" s="14" t="str">
        <x:v>No</x:v>
      </x:c>
      <x:c r="AY61" s="14" t="str">
        <x:v>Unmatched</x:v>
      </x:c>
      <x:c r="AZ61" s="14" t="str">
        <x:v>Final supplied register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HYPERLINK is not implemented. linkLocation=https://www.imdb.com/title/tt30226479/fullcredits/,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tt30226479|nm0347666|sheryl</x:v>
      </x:c>
      <x:c r="B62" s="14" t="str">
        <x:v>03</x:v>
      </x:c>
      <x:c r="C62" s="14" t="str">
        <x:v>2024_IMDb_Cast_Lists_Batch_03(1).xlsx</x:v>
      </x:c>
      <x:c r="D62" s="14" t="str">
        <x:v>Mr Bigstuff</x:v>
      </x:c>
      <x:c r="E62" s="14" t="n">
        <x:v>55</x:v>
      </x:c>
      <x:c r="F62" s="14" t="str">
        <x:v>Mr Bigstuff</x:v>
      </x:c>
      <x:c r="G62" s="14" t="str">
        <x:v>tt30226479</x:v>
      </x:c>
      <x:c r="H62" s="14" t="n">
        <x:v>2024</x:v>
      </x:c>
      <x:c r="I62" s="14" t="n">
        <x:v>2025</x:v>
      </x:c>
      <x:c r="J62" s="14" t="str">
        <x:v>Earlier-Production Carry-In Cohort</x:v>
      </x:c>
      <x:c r="K62" s="14" t="n">
        <x:v>2024</x:v>
      </x:c>
      <x:c r="L62" s="14" t="str">
        <x:v>Used in 2025 annual analysis</x:v>
      </x:c>
      <x:c r="M62" s="15" t="n">
        <x:v>48</x:v>
      </x:c>
      <x:c r="N62" s="14" t="str">
        <x:v>Shobna Gulati</x:v>
      </x:c>
      <x:c r="O62" s="14" t="str">
        <x:v>nm0347666</x:v>
      </x:c>
      <x:c r="P62" s="14" t="str">
        <x:v>Sheryl</x:v>
      </x:c>
      <x:c r="Q62" s="15" t="n">
        <x:v>1</x:v>
      </x:c>
      <x:c r="R62" s="14" t="str">
        <x:v>2025</x:v>
      </x:c>
      <x:c r="S62" s="14" t="n">
        <x:v>2025</x:v>
      </x:c>
      <x:c r="T62" s="14" t="n">
        <x:v>2025</x:v>
      </x:c>
      <x:c r="U62" s="14" t="str">
        <x:v>Explicit source first year retained</x:v>
      </x:c>
      <x:c r="V62" s="14" t="str">
        <x:v>Earliest supplied year is 2025.</x:v>
      </x:c>
      <x:c r="W62" s="14"/>
      <x:c r="X62" s="14" t="str">
        <x:v>Included</x:v>
      </x:c>
      <x:c r="Y62" s="14"/>
      <x:c r="Z62" s="14" t="str">
        <x:v>Mr Bigstuff(1).docx</x:v>
      </x:c>
      <x:c r="AA62" s="14" t="str">
        <x:v>HYPERLINK is not implemented. linkLocation=https://www.imdb.com/title/tt30226479/fullcredits/,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Sky / NOW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HYPERLINK("https://en.wikipedia.org/wiki/Mr._Bigstuff","Open source")</x:f>
        <x:v>HYPERLINK is not implemented. linkLocation=https://en.wikipedia.org/wiki/Mr._Bigstuff, friendlyName=Open source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 t="str">
        <x:v>No established-register match</x:v>
      </x:c>
      <x:c r="AT62" s="14"/>
      <x:c r="AU62" s="14"/>
      <x:c r="AV62" s="14" t="str">
        <x:v>No established apparent-disability match</x:v>
      </x:c>
      <x:c r="AW62" s="14"/>
      <x:c r="AX62" s="14" t="str">
        <x:v>No</x:v>
      </x:c>
      <x:c r="AY62" s="14" t="str">
        <x:v>Unmatched</x:v>
      </x:c>
      <x:c r="AZ62" s="14" t="str">
        <x:v>Final supplied register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HYPERLINK is not implemented. linkLocation=https://www.imdb.com/title/tt30226479/fullcredits/,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tt30226479|nm0932143|clown</x:v>
      </x:c>
      <x:c r="B63" s="14" t="str">
        <x:v>03</x:v>
      </x:c>
      <x:c r="C63" s="14" t="str">
        <x:v>2024_IMDb_Cast_Lists_Batch_03(1).xlsx</x:v>
      </x:c>
      <x:c r="D63" s="14" t="str">
        <x:v>Mr Bigstuff</x:v>
      </x:c>
      <x:c r="E63" s="14" t="n">
        <x:v>56</x:v>
      </x:c>
      <x:c r="F63" s="14" t="str">
        <x:v>Mr Bigstuff</x:v>
      </x:c>
      <x:c r="G63" s="14" t="str">
        <x:v>tt30226479</x:v>
      </x:c>
      <x:c r="H63" s="14" t="n">
        <x:v>2024</x:v>
      </x:c>
      <x:c r="I63" s="14" t="n">
        <x:v>2025</x:v>
      </x:c>
      <x:c r="J63" s="14" t="str">
        <x:v>Earlier-Production Carry-In Cohort</x:v>
      </x:c>
      <x:c r="K63" s="14" t="n">
        <x:v>2024</x:v>
      </x:c>
      <x:c r="L63" s="14" t="str">
        <x:v>Used in 2025 annual analysis</x:v>
      </x:c>
      <x:c r="M63" s="15" t="n">
        <x:v>49</x:v>
      </x:c>
      <x:c r="N63" s="14" t="str">
        <x:v>Shaun Williamson</x:v>
      </x:c>
      <x:c r="O63" s="14" t="str">
        <x:v>nm0932143</x:v>
      </x:c>
      <x:c r="P63" s="14" t="str">
        <x:v>Clown</x:v>
      </x:c>
      <x:c r="Q63" s="15" t="n">
        <x:v>1</x:v>
      </x:c>
      <x:c r="R63" s="14" t="str">
        <x:v>2025</x:v>
      </x:c>
      <x:c r="S63" s="14" t="n">
        <x:v>2025</x:v>
      </x:c>
      <x:c r="T63" s="14" t="n">
        <x:v>2025</x:v>
      </x:c>
      <x:c r="U63" s="14" t="str">
        <x:v>Explicit source first year retained</x:v>
      </x:c>
      <x:c r="V63" s="14" t="str">
        <x:v>Earliest supplied year is 2025.</x:v>
      </x:c>
      <x:c r="W63" s="14"/>
      <x:c r="X63" s="14" t="str">
        <x:v>Included</x:v>
      </x:c>
      <x:c r="Y63" s="14"/>
      <x:c r="Z63" s="14" t="str">
        <x:v>Mr Bigstuff(1).docx</x:v>
      </x:c>
      <x:c r="AA63" s="14" t="str">
        <x:v>HYPERLINK is not implemented. linkLocation=https://www.imdb.com/title/tt30226479/fullcredits/,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Sky / NOW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HYPERLINK("https://en.wikipedia.org/wiki/Mr._Bigstuff","Open source")</x:f>
        <x:v>HYPERLINK is not implemented. linkLocation=https://en.wikipedia.org/wiki/Mr._Bigstuff, friendlyName=Open source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 t="str">
        <x:v>No established-register match</x:v>
      </x:c>
      <x:c r="AT63" s="14"/>
      <x:c r="AU63" s="14"/>
      <x:c r="AV63" s="14" t="str">
        <x:v>No established apparent-disability match</x:v>
      </x:c>
      <x:c r="AW63" s="14"/>
      <x:c r="AX63" s="14" t="str">
        <x:v>No</x:v>
      </x:c>
      <x:c r="AY63" s="14" t="str">
        <x:v>Unmatched</x:v>
      </x:c>
      <x:c r="AZ63" s="14" t="str">
        <x:v>Final supplied register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HYPERLINK is not implemented. linkLocation=https://www.imdb.com/title/tt30226479/fullcredits/,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tt30226479|nm4571449|maryam</x:v>
      </x:c>
      <x:c r="B64" s="14" t="str">
        <x:v>03</x:v>
      </x:c>
      <x:c r="C64" s="14" t="str">
        <x:v>2024_IMDb_Cast_Lists_Batch_03(1).xlsx</x:v>
      </x:c>
      <x:c r="D64" s="14" t="str">
        <x:v>Mr Bigstuff</x:v>
      </x:c>
      <x:c r="E64" s="14" t="n">
        <x:v>57</x:v>
      </x:c>
      <x:c r="F64" s="14" t="str">
        <x:v>Mr Bigstuff</x:v>
      </x:c>
      <x:c r="G64" s="14" t="str">
        <x:v>tt30226479</x:v>
      </x:c>
      <x:c r="H64" s="14" t="n">
        <x:v>2024</x:v>
      </x:c>
      <x:c r="I64" s="14" t="n">
        <x:v>2025</x:v>
      </x:c>
      <x:c r="J64" s="14" t="str">
        <x:v>Earlier-Production Carry-In Cohort</x:v>
      </x:c>
      <x:c r="K64" s="14" t="n">
        <x:v>2024</x:v>
      </x:c>
      <x:c r="L64" s="14" t="str">
        <x:v>Used in 2025 annual analysis</x:v>
      </x:c>
      <x:c r="M64" s="15" t="n">
        <x:v>50</x:v>
      </x:c>
      <x:c r="N64" s="14" t="str">
        <x:v>Laila Alj</x:v>
      </x:c>
      <x:c r="O64" s="14" t="str">
        <x:v>nm4571449</x:v>
      </x:c>
      <x:c r="P64" s="14" t="str">
        <x:v>Maryam</x:v>
      </x:c>
      <x:c r="Q64" s="15" t="n">
        <x:v>1</x:v>
      </x:c>
      <x:c r="R64" s="14" t="str">
        <x:v>2025</x:v>
      </x:c>
      <x:c r="S64" s="14" t="n">
        <x:v>2025</x:v>
      </x:c>
      <x:c r="T64" s="14" t="n">
        <x:v>2025</x:v>
      </x:c>
      <x:c r="U64" s="14" t="str">
        <x:v>Explicit source first year retained</x:v>
      </x:c>
      <x:c r="V64" s="14" t="str">
        <x:v>Earliest supplied year is 2025.</x:v>
      </x:c>
      <x:c r="W64" s="14"/>
      <x:c r="X64" s="14" t="str">
        <x:v>Included</x:v>
      </x:c>
      <x:c r="Y64" s="14"/>
      <x:c r="Z64" s="14" t="str">
        <x:v>Mr Bigstuff(1).docx</x:v>
      </x:c>
      <x:c r="AA64" s="14" t="str">
        <x:v>HYPERLINK is not implemented. linkLocation=https://www.imdb.com/title/tt30226479/fullcredits/,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Sky / NOW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HYPERLINK("https://en.wikipedia.org/wiki/Mr._Bigstuff","Open source")</x:f>
        <x:v>HYPERLINK is not implemented. linkLocation=https://en.wikipedia.org/wiki/Mr._Bigstuff, friendlyName=Open source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 t="str">
        <x:v>No established-register match</x:v>
      </x:c>
      <x:c r="AT64" s="14"/>
      <x:c r="AU64" s="14"/>
      <x:c r="AV64" s="14" t="str">
        <x:v>No established apparent-disability match</x:v>
      </x:c>
      <x:c r="AW64" s="14"/>
      <x:c r="AX64" s="14" t="str">
        <x:v>No</x:v>
      </x:c>
      <x:c r="AY64" s="14" t="str">
        <x:v>Unmatched</x:v>
      </x:c>
      <x:c r="AZ64" s="14" t="str">
        <x:v>Final supplied register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HYPERLINK is not implemented. linkLocation=https://www.imdb.com/title/tt30226479/fullcredits/,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tt30226479|nm5157380|yohannes</x:v>
      </x:c>
      <x:c r="B65" s="14" t="str">
        <x:v>03</x:v>
      </x:c>
      <x:c r="C65" s="14" t="str">
        <x:v>2024_IMDb_Cast_Lists_Batch_03(1).xlsx</x:v>
      </x:c>
      <x:c r="D65" s="14" t="str">
        <x:v>Mr Bigstuff</x:v>
      </x:c>
      <x:c r="E65" s="14" t="n">
        <x:v>58</x:v>
      </x:c>
      <x:c r="F65" s="14" t="str">
        <x:v>Mr Bigstuff</x:v>
      </x:c>
      <x:c r="G65" s="14" t="str">
        <x:v>tt30226479</x:v>
      </x:c>
      <x:c r="H65" s="14" t="n">
        <x:v>2024</x:v>
      </x:c>
      <x:c r="I65" s="14" t="n">
        <x:v>2025</x:v>
      </x:c>
      <x:c r="J65" s="14" t="str">
        <x:v>Earlier-Production Carry-In Cohort</x:v>
      </x:c>
      <x:c r="K65" s="14" t="n">
        <x:v>2024</x:v>
      </x:c>
      <x:c r="L65" s="14" t="str">
        <x:v>Used in 2025 annual analysis</x:v>
      </x:c>
      <x:c r="M65" s="15" t="n">
        <x:v>51</x:v>
      </x:c>
      <x:c r="N65" s="14" t="str">
        <x:v>Neil Alexander Smith</x:v>
      </x:c>
      <x:c r="O65" s="14" t="str">
        <x:v>nm5157380</x:v>
      </x:c>
      <x:c r="P65" s="14" t="str">
        <x:v>Yohannes</x:v>
      </x:c>
      <x:c r="Q65" s="15" t="n">
        <x:v>1</x:v>
      </x:c>
      <x:c r="R65" s="14" t="str">
        <x:v>2025</x:v>
      </x:c>
      <x:c r="S65" s="14" t="n">
        <x:v>2025</x:v>
      </x:c>
      <x:c r="T65" s="14" t="n">
        <x:v>2025</x:v>
      </x:c>
      <x:c r="U65" s="14" t="str">
        <x:v>Explicit source first year retained</x:v>
      </x:c>
      <x:c r="V65" s="14" t="str">
        <x:v>Earliest supplied year is 2025.</x:v>
      </x:c>
      <x:c r="W65" s="14"/>
      <x:c r="X65" s="14" t="str">
        <x:v>Included</x:v>
      </x:c>
      <x:c r="Y65" s="14"/>
      <x:c r="Z65" s="14" t="str">
        <x:v>Mr Bigstuff(1).docx</x:v>
      </x:c>
      <x:c r="AA65" s="14" t="str">
        <x:v>HYPERLINK is not implemented. linkLocation=https://www.imdb.com/title/tt30226479/fullcredits/,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Sky / NOW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HYPERLINK("https://en.wikipedia.org/wiki/Mr._Bigstuff","Open source")</x:f>
        <x:v>HYPERLINK is not implemented. linkLocation=https://en.wikipedia.org/wiki/Mr._Bigstuff, friendlyName=Open source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 t="str">
        <x:v>No established-register match</x:v>
      </x:c>
      <x:c r="AT65" s="14"/>
      <x:c r="AU65" s="14"/>
      <x:c r="AV65" s="14" t="str">
        <x:v>No established apparent-disability match</x:v>
      </x:c>
      <x:c r="AW65" s="14"/>
      <x:c r="AX65" s="14" t="str">
        <x:v>No</x:v>
      </x:c>
      <x:c r="AY65" s="14" t="str">
        <x:v>Unmatched</x:v>
      </x:c>
      <x:c r="AZ65" s="14" t="str">
        <x:v>Final supplied register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HYPERLINK is not implemented. linkLocation=https://www.imdb.com/title/tt30226479/fullcredits/,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tt30226479|nm5044078|simon</x:v>
      </x:c>
      <x:c r="B66" s="14" t="str">
        <x:v>03</x:v>
      </x:c>
      <x:c r="C66" s="14" t="str">
        <x:v>2024_IMDb_Cast_Lists_Batch_03(1).xlsx</x:v>
      </x:c>
      <x:c r="D66" s="14" t="str">
        <x:v>Mr Bigstuff</x:v>
      </x:c>
      <x:c r="E66" s="14" t="n">
        <x:v>59</x:v>
      </x:c>
      <x:c r="F66" s="14" t="str">
        <x:v>Mr Bigstuff</x:v>
      </x:c>
      <x:c r="G66" s="14" t="str">
        <x:v>tt30226479</x:v>
      </x:c>
      <x:c r="H66" s="14" t="n">
        <x:v>2024</x:v>
      </x:c>
      <x:c r="I66" s="14" t="n">
        <x:v>2025</x:v>
      </x:c>
      <x:c r="J66" s="14" t="str">
        <x:v>Earlier-Production Carry-In Cohort</x:v>
      </x:c>
      <x:c r="K66" s="14" t="n">
        <x:v>2024</x:v>
      </x:c>
      <x:c r="L66" s="14" t="str">
        <x:v>Used in 2025 annual analysis</x:v>
      </x:c>
      <x:c r="M66" s="15" t="n">
        <x:v>52</x:v>
      </x:c>
      <x:c r="N66" s="14" t="str">
        <x:v>Alim Jadavji</x:v>
      </x:c>
      <x:c r="O66" s="14" t="str">
        <x:v>nm5044078</x:v>
      </x:c>
      <x:c r="P66" s="14" t="str">
        <x:v>Simon</x:v>
      </x:c>
      <x:c r="Q66" s="15" t="n">
        <x:v>1</x:v>
      </x:c>
      <x:c r="R66" s="14" t="str">
        <x:v>2025</x:v>
      </x:c>
      <x:c r="S66" s="14" t="n">
        <x:v>2025</x:v>
      </x:c>
      <x:c r="T66" s="14" t="n">
        <x:v>2025</x:v>
      </x:c>
      <x:c r="U66" s="14" t="str">
        <x:v>Explicit source first year retained</x:v>
      </x:c>
      <x:c r="V66" s="14" t="str">
        <x:v>Earliest supplied year is 2025.</x:v>
      </x:c>
      <x:c r="W66" s="14"/>
      <x:c r="X66" s="14" t="str">
        <x:v>Included</x:v>
      </x:c>
      <x:c r="Y66" s="14"/>
      <x:c r="Z66" s="14" t="str">
        <x:v>Mr Bigstuff(1).docx</x:v>
      </x:c>
      <x:c r="AA66" s="14" t="str">
        <x:v>HYPERLINK is not implemented. linkLocation=https://www.imdb.com/title/tt30226479/fullcredits/,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Sky / NOW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HYPERLINK("https://en.wikipedia.org/wiki/Mr._Bigstuff","Open source")</x:f>
        <x:v>HYPERLINK is not implemented. linkLocation=https://en.wikipedia.org/wiki/Mr._Bigstuff, friendlyName=Open source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 t="str">
        <x:v>Exact IMDb performer ID match</x:v>
      </x:c>
      <x:c r="AT66" s="14" t="str">
        <x:v>nm5044078</x:v>
      </x:c>
      <x:c r="AU66" s="14" t="str">
        <x:v>Deaf, deaf or hard of hearing</x:v>
      </x:c>
      <x:c r="AV66" s="14" t="str">
        <x:v>Yes</x:v>
      </x:c>
      <x:c r="AW66" s="14" t="str">
        <x:v>Deaf, deaf or hard of hearing</x:v>
      </x:c>
      <x:c r="AX66" s="14" t="str">
        <x:v>No</x:v>
      </x:c>
      <x:c r="AY66" s="14" t="str">
        <x:v>Matched</x:v>
      </x:c>
      <x:c r="AZ66" s="14" t="str">
        <x:v>Final supplied register</x:v>
      </x:c>
      <x:c r="BA66" s="14" t="str">
        <x:v>User-supplied terminology: hearing impaired.</x:v>
      </x:c>
      <x:c r="BB66" s="14" t="str">
        <x:v>Exact IMDb performer ID match</x:v>
      </x:c>
      <x:c r="BC66" s="14" t="str">
        <x:v>nm5044078</x:v>
      </x:c>
      <x:c r="BD66" s="14" t="str">
        <x:v>Alim Jadavji</x:v>
      </x:c>
      <x:c r="BE66" s="14" t="str">
        <x:v>Deaf, deaf or hard of hearing</x:v>
      </x:c>
      <x:c r="BF66" s="14" t="str">
        <x:v>Yes</x:v>
      </x:c>
      <x:c r="BG66" s="14" t="str">
        <x:v>Deaf, deaf or hard of hearing</x:v>
      </x:c>
      <x:c r="BH66" s="14" t="str">
        <x:v>No</x:v>
      </x:c>
      <x:c r="BI66" s="14" t="str">
        <x:v>User-supplied established classification</x:v>
      </x:c>
      <x:c r="BJ66" s="14" t="str">
        <x:v>New IMDB Data.csv</x:v>
      </x:c>
      <x:c r="BK66" s="14"/>
      <x:c r="BL66" s="14" t="str">
        <x:v>Matched</x:v>
      </x:c>
      <x:c r="BM66" s="14" t="str">
        <x:v>Final supplied register</x:v>
      </x:c>
      <x:c r="BN66" s="14" t="str">
        <x:v>User-supplied terminology: hearing impaired.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HYPERLINK is not implemented. linkLocation=https://www.imdb.com/title/tt30226479/fullcredits/,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tt27950663|nm0702934|darius gifford / professor gifford</x:v>
      </x:c>
      <x:c r="B67" s="14" t="str">
        <x:v>05</x:v>
      </x:c>
      <x:c r="C67" s="14" t="str">
        <x:v>2024_IMDb_Cast_Lists_Batch_05(1).xlsx</x:v>
      </x:c>
      <x:c r="D67" s="14" t="str">
        <x:v>The Marlow Murder Club</x:v>
      </x:c>
      <x:c r="E67" s="14" t="n">
        <x:v>22</x:v>
      </x:c>
      <x:c r="F67" s="14" t="str">
        <x:v>The Marlow Murder Club</x:v>
      </x:c>
      <x:c r="G67" s="14" t="str">
        <x:v>tt27950663</x:v>
      </x:c>
      <x:c r="H67" s="14" t="n">
        <x:v>2024</x:v>
      </x:c>
      <x:c r="I67" s="14" t="n">
        <x:v>2025</x:v>
      </x:c>
      <x:c r="J67" s="14" t="str">
        <x:v>Earlier-Production Carry-In Cohort</x:v>
      </x:c>
      <x:c r="K67" s="14" t="n">
        <x:v>2024</x:v>
      </x:c>
      <x:c r="L67" s="14" t="str">
        <x:v>Used in 2025 annual analysis</x:v>
      </x:c>
      <x:c r="M67" s="15" t="n">
        <x:v>15</x:v>
      </x:c>
      <x:c r="N67" s="14" t="str">
        <x:v>Hugh Quarshie</x:v>
      </x:c>
      <x:c r="O67" s="14" t="str">
        <x:v>nm0702934</x:v>
      </x:c>
      <x:c r="P67" s="14" t="str">
        <x:v>Darius Gifford / Professor Gifford</x:v>
      </x:c>
      <x:c r="Q67" s="15" t="n">
        <x:v>6</x:v>
      </x:c>
      <x:c r="R67" s="14" t="str">
        <x:v>2025–2026</x:v>
      </x:c>
      <x:c r="S67" s="14" t="n">
        <x:v>2025</x:v>
      </x:c>
      <x:c r="T67" s="14" t="n">
        <x:v>2025</x:v>
      </x:c>
      <x:c r="U67" s="14" t="str">
        <x:v>Explicit source first year retained</x:v>
      </x:c>
      <x:c r="V67" s="14" t="str">
        <x:v>Earliest supplied year is 2025.</x:v>
      </x:c>
      <x:c r="W67" s="14"/>
      <x:c r="X67" s="14" t="str">
        <x:v>Included</x:v>
      </x:c>
      <x:c r="Y67" s="14"/>
      <x:c r="Z67" s="14" t="str">
        <x:v>The Marlow Murder Club.docx</x:v>
      </x:c>
      <x:c r="AA67" s="14" t="str">
        <x:v>HYPERLINK is not implemented. linkLocation=https://www.imdb.com/title/tt27950663/fullcredits/,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Channel 5 / 5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HYPERLINK("https://en.wikipedia.org/wiki/Robert_Thorogood","Open source")</x:f>
        <x:v>HYPERLINK is not implemented. linkLocation=https://en.wikipedia.org/wiki/Robert_Thorogood, friendlyName=Open source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 t="str">
        <x:v>No established-register match</x:v>
      </x:c>
      <x:c r="AT67" s="14"/>
      <x:c r="AU67" s="14"/>
      <x:c r="AV67" s="14" t="str">
        <x:v>No established apparent-disability match</x:v>
      </x:c>
      <x:c r="AW67" s="14"/>
      <x:c r="AX67" s="14" t="str">
        <x:v>No</x:v>
      </x:c>
      <x:c r="AY67" s="14" t="str">
        <x:v>Unmatched</x:v>
      </x:c>
      <x:c r="AZ67" s="14" t="str">
        <x:v>Final supplied register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22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6</x:v>
      </x:c>
      <x:c r="BS67" s="16" t="n">
        <x:v>0.2727272727272727</x:v>
      </x:c>
      <x:c r="BT67" s="14" t="str">
        <x:v>Minority of episodes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HYPERLINK is not implemented. linkLocation=https://www.imdb.com/title/tt27950663/fullcredits/,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tt27950663|nm1575301|lynne hawkins</x:v>
      </x:c>
      <x:c r="B68" s="14" t="str">
        <x:v>05</x:v>
      </x:c>
      <x:c r="C68" s="14" t="str">
        <x:v>2024_IMDb_Cast_Lists_Batch_05(1).xlsx</x:v>
      </x:c>
      <x:c r="D68" s="14" t="str">
        <x:v>The Marlow Murder Club</x:v>
      </x:c>
      <x:c r="E68" s="14" t="n">
        <x:v>32</x:v>
      </x:c>
      <x:c r="F68" s="14" t="str">
        <x:v>The Marlow Murder Club</x:v>
      </x:c>
      <x:c r="G68" s="14" t="str">
        <x:v>tt27950663</x:v>
      </x:c>
      <x:c r="H68" s="14" t="n">
        <x:v>2024</x:v>
      </x:c>
      <x:c r="I68" s="14" t="n">
        <x:v>2025</x:v>
      </x:c>
      <x:c r="J68" s="14" t="str">
        <x:v>Earlier-Production Carry-In Cohort</x:v>
      </x:c>
      <x:c r="K68" s="14" t="n">
        <x:v>2024</x:v>
      </x:c>
      <x:c r="L68" s="14" t="str">
        <x:v>Used in 2025 annual analysis</x:v>
      </x:c>
      <x:c r="M68" s="15" t="n">
        <x:v>25</x:v>
      </x:c>
      <x:c r="N68" s="14" t="str">
        <x:v>Lizzie Roper</x:v>
      </x:c>
      <x:c r="O68" s="14" t="str">
        <x:v>nm1575301</x:v>
      </x:c>
      <x:c r="P68" s="14" t="str">
        <x:v>Lynne Hawkins</x:v>
      </x:c>
      <x:c r="Q68" s="15" t="n">
        <x:v>3</x:v>
      </x:c>
      <x:c r="R68" s="14" t="str">
        <x:v>2025</x:v>
      </x:c>
      <x:c r="S68" s="14" t="n">
        <x:v>2025</x:v>
      </x:c>
      <x:c r="T68" s="14" t="n">
        <x:v>2025</x:v>
      </x:c>
      <x:c r="U68" s="14" t="str">
        <x:v>Explicit source first year retained</x:v>
      </x:c>
      <x:c r="V68" s="14" t="str">
        <x:v>Earliest supplied year is 2025.</x:v>
      </x:c>
      <x:c r="W68" s="14"/>
      <x:c r="X68" s="14" t="str">
        <x:v>Included</x:v>
      </x:c>
      <x:c r="Y68" s="14"/>
      <x:c r="Z68" s="14" t="str">
        <x:v>The Marlow Murder Club.docx</x:v>
      </x:c>
      <x:c r="AA68" s="14" t="str">
        <x:v>HYPERLINK is not implemented. linkLocation=https://www.imdb.com/title/tt27950663/fullcredits/,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Channel 5 / 5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HYPERLINK("https://en.wikipedia.org/wiki/Robert_Thorogood","Open source")</x:f>
        <x:v>HYPERLINK is not implemented. linkLocation=https://en.wikipedia.org/wiki/Robert_Thorogood, friendlyName=Open source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 t="str">
        <x:v>No established-register match</x:v>
      </x:c>
      <x:c r="AT68" s="14"/>
      <x:c r="AU68" s="14"/>
      <x:c r="AV68" s="14" t="str">
        <x:v>No established apparent-disability match</x:v>
      </x:c>
      <x:c r="AW68" s="14"/>
      <x:c r="AX68" s="14" t="str">
        <x:v>No</x:v>
      </x:c>
      <x:c r="AY68" s="14" t="str">
        <x:v>Unmatched</x:v>
      </x:c>
      <x:c r="AZ68" s="14" t="str">
        <x:v>Final supplied register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22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3</x:v>
      </x:c>
      <x:c r="BS68" s="16" t="n">
        <x:v>0.13636363636363635</x:v>
      </x:c>
      <x:c r="BT68" s="14" t="str">
        <x:v>Minority of episodes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HYPERLINK is not implemented. linkLocation=https://www.imdb.com/title/tt27950663/fullcredits/,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tt27950663|nm2876300|rosanna bailey</x:v>
      </x:c>
      <x:c r="B69" s="14" t="str">
        <x:v>05</x:v>
      </x:c>
      <x:c r="C69" s="14" t="str">
        <x:v>2024_IMDb_Cast_Lists_Batch_05(1).xlsx</x:v>
      </x:c>
      <x:c r="D69" s="14" t="str">
        <x:v>The Marlow Murder Club</x:v>
      </x:c>
      <x:c r="E69" s="14" t="n">
        <x:v>36</x:v>
      </x:c>
      <x:c r="F69" s="14" t="str">
        <x:v>The Marlow Murder Club</x:v>
      </x:c>
      <x:c r="G69" s="14" t="str">
        <x:v>tt27950663</x:v>
      </x:c>
      <x:c r="H69" s="14" t="n">
        <x:v>2024</x:v>
      </x:c>
      <x:c r="I69" s="14" t="n">
        <x:v>2025</x:v>
      </x:c>
      <x:c r="J69" s="14" t="str">
        <x:v>Earlier-Production Carry-In Cohort</x:v>
      </x:c>
      <x:c r="K69" s="14" t="n">
        <x:v>2024</x:v>
      </x:c>
      <x:c r="L69" s="14" t="str">
        <x:v>Used in 2025 annual analysis</x:v>
      </x:c>
      <x:c r="M69" s="15" t="n">
        <x:v>29</x:v>
      </x:c>
      <x:c r="N69" s="14" t="str">
        <x:v>Emily Bevan</x:v>
      </x:c>
      <x:c r="O69" s="14" t="str">
        <x:v>nm2876300</x:v>
      </x:c>
      <x:c r="P69" s="14" t="str">
        <x:v>Rosanna Bailey</x:v>
      </x:c>
      <x:c r="Q69" s="15" t="n">
        <x:v>2</x:v>
      </x:c>
      <x:c r="R69" s="14" t="str">
        <x:v>2025</x:v>
      </x:c>
      <x:c r="S69" s="14" t="n">
        <x:v>2025</x:v>
      </x:c>
      <x:c r="T69" s="14" t="n">
        <x:v>2025</x:v>
      </x:c>
      <x:c r="U69" s="14" t="str">
        <x:v>Explicit source first year retained</x:v>
      </x:c>
      <x:c r="V69" s="14" t="str">
        <x:v>Earliest supplied year is 2025.</x:v>
      </x:c>
      <x:c r="W69" s="14"/>
      <x:c r="X69" s="14" t="str">
        <x:v>Included</x:v>
      </x:c>
      <x:c r="Y69" s="14"/>
      <x:c r="Z69" s="14" t="str">
        <x:v>The Marlow Murder Club.docx</x:v>
      </x:c>
      <x:c r="AA69" s="14" t="str">
        <x:v>HYPERLINK is not implemented. linkLocation=https://www.imdb.com/title/tt27950663/fullcredits/,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Channel 5 / 5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HYPERLINK("https://en.wikipedia.org/wiki/Robert_Thorogood","Open source")</x:f>
        <x:v>HYPERLINK is not implemented. linkLocation=https://en.wikipedia.org/wiki/Robert_Thorogood, friendlyName=Open source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 t="str">
        <x:v>No established-register match</x:v>
      </x:c>
      <x:c r="AT69" s="14"/>
      <x:c r="AU69" s="14"/>
      <x:c r="AV69" s="14" t="str">
        <x:v>No established apparent-disability match</x:v>
      </x:c>
      <x:c r="AW69" s="14"/>
      <x:c r="AX69" s="14" t="str">
        <x:v>No</x:v>
      </x:c>
      <x:c r="AY69" s="14" t="str">
        <x:v>Unmatched</x:v>
      </x:c>
      <x:c r="AZ69" s="14" t="str">
        <x:v>Final supplied register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22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2</x:v>
      </x:c>
      <x:c r="BS69" s="16" t="n">
        <x:v>0.09090909090909091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HYPERLINK is not implemented. linkLocation=https://www.imdb.com/title/tt27950663/fullcredits/,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tt27950663|nm11210678|kit harcourt</x:v>
      </x:c>
      <x:c r="B70" s="14" t="str">
        <x:v>05</x:v>
      </x:c>
      <x:c r="C70" s="14" t="str">
        <x:v>2024_IMDb_Cast_Lists_Batch_05(1).xlsx</x:v>
      </x:c>
      <x:c r="D70" s="14" t="str">
        <x:v>The Marlow Murder Club</x:v>
      </x:c>
      <x:c r="E70" s="14" t="n">
        <x:v>38</x:v>
      </x:c>
      <x:c r="F70" s="14" t="str">
        <x:v>The Marlow Murder Club</x:v>
      </x:c>
      <x:c r="G70" s="14" t="str">
        <x:v>tt27950663</x:v>
      </x:c>
      <x:c r="H70" s="14" t="n">
        <x:v>2024</x:v>
      </x:c>
      <x:c r="I70" s="14" t="n">
        <x:v>2025</x:v>
      </x:c>
      <x:c r="J70" s="14" t="str">
        <x:v>Earlier-Production Carry-In Cohort</x:v>
      </x:c>
      <x:c r="K70" s="14" t="n">
        <x:v>2024</x:v>
      </x:c>
      <x:c r="L70" s="14" t="str">
        <x:v>Used in 2025 annual analysis</x:v>
      </x:c>
      <x:c r="M70" s="15" t="n">
        <x:v>31</x:v>
      </x:c>
      <x:c r="N70" s="14" t="str">
        <x:v>Raphael Akuwudike</x:v>
      </x:c>
      <x:c r="O70" s="14" t="str">
        <x:v>nm11210678</x:v>
      </x:c>
      <x:c r="P70" s="14" t="str">
        <x:v>Kit Harcourt</x:v>
      </x:c>
      <x:c r="Q70" s="15" t="n">
        <x:v>2</x:v>
      </x:c>
      <x:c r="R70" s="14" t="str">
        <x:v>2025</x:v>
      </x:c>
      <x:c r="S70" s="14" t="n">
        <x:v>2025</x:v>
      </x:c>
      <x:c r="T70" s="14" t="n">
        <x:v>2025</x:v>
      </x:c>
      <x:c r="U70" s="14" t="str">
        <x:v>Explicit source first year retained</x:v>
      </x:c>
      <x:c r="V70" s="14" t="str">
        <x:v>Earliest supplied year is 2025.</x:v>
      </x:c>
      <x:c r="W70" s="14"/>
      <x:c r="X70" s="14" t="str">
        <x:v>Included</x:v>
      </x:c>
      <x:c r="Y70" s="14"/>
      <x:c r="Z70" s="14" t="str">
        <x:v>The Marlow Murder Club.docx</x:v>
      </x:c>
      <x:c r="AA70" s="14" t="str">
        <x:v>HYPERLINK is not implemented. linkLocation=https://www.imdb.com/title/tt27950663/fullcredits/,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Channel 5 / 5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HYPERLINK("https://en.wikipedia.org/wiki/Robert_Thorogood","Open source")</x:f>
        <x:v>HYPERLINK is not implemented. linkLocation=https://en.wikipedia.org/wiki/Robert_Thorogood, friendlyName=Open source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 t="str">
        <x:v>No established-register match</x:v>
      </x:c>
      <x:c r="AT70" s="14"/>
      <x:c r="AU70" s="14"/>
      <x:c r="AV70" s="14" t="str">
        <x:v>No established apparent-disability match</x:v>
      </x:c>
      <x:c r="AW70" s="14"/>
      <x:c r="AX70" s="14" t="str">
        <x:v>No</x:v>
      </x:c>
      <x:c r="AY70" s="14" t="str">
        <x:v>Unmatched</x:v>
      </x:c>
      <x:c r="AZ70" s="14" t="str">
        <x:v>Final supplied register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22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2</x:v>
      </x:c>
      <x:c r="BS70" s="16" t="n">
        <x:v>0.09090909090909091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HYPERLINK is not implemented. linkLocation=https://www.imdb.com/title/tt27950663/fullcredits/,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tt27950663|nm0047257|gregg cooper</x:v>
      </x:c>
      <x:c r="B71" s="14" t="str">
        <x:v>05</x:v>
      </x:c>
      <x:c r="C71" s="14" t="str">
        <x:v>2024_IMDb_Cast_Lists_Batch_05(1).xlsx</x:v>
      </x:c>
      <x:c r="D71" s="14" t="str">
        <x:v>The Marlow Murder Club</x:v>
      </x:c>
      <x:c r="E71" s="14" t="n">
        <x:v>41</x:v>
      </x:c>
      <x:c r="F71" s="14" t="str">
        <x:v>The Marlow Murder Club</x:v>
      </x:c>
      <x:c r="G71" s="14" t="str">
        <x:v>tt27950663</x:v>
      </x:c>
      <x:c r="H71" s="14" t="n">
        <x:v>2024</x:v>
      </x:c>
      <x:c r="I71" s="14" t="n">
        <x:v>2025</x:v>
      </x:c>
      <x:c r="J71" s="14" t="str">
        <x:v>Earlier-Production Carry-In Cohort</x:v>
      </x:c>
      <x:c r="K71" s="14" t="n">
        <x:v>2024</x:v>
      </x:c>
      <x:c r="L71" s="14" t="str">
        <x:v>Used in 2025 annual analysis</x:v>
      </x:c>
      <x:c r="M71" s="15" t="n">
        <x:v>34</x:v>
      </x:c>
      <x:c r="N71" s="14" t="str">
        <x:v>Ewan Bailey</x:v>
      </x:c>
      <x:c r="O71" s="14" t="str">
        <x:v>nm0047257</x:v>
      </x:c>
      <x:c r="P71" s="14" t="str">
        <x:v>Gregg Cooper</x:v>
      </x:c>
      <x:c r="Q71" s="15" t="n">
        <x:v>2</x:v>
      </x:c>
      <x:c r="R71" s="14" t="str">
        <x:v>2025</x:v>
      </x:c>
      <x:c r="S71" s="14" t="n">
        <x:v>2025</x:v>
      </x:c>
      <x:c r="T71" s="14" t="n">
        <x:v>2025</x:v>
      </x:c>
      <x:c r="U71" s="14" t="str">
        <x:v>Explicit source first year retained</x:v>
      </x:c>
      <x:c r="V71" s="14" t="str">
        <x:v>Earliest supplied year is 2025.</x:v>
      </x:c>
      <x:c r="W71" s="14"/>
      <x:c r="X71" s="14" t="str">
        <x:v>Included</x:v>
      </x:c>
      <x:c r="Y71" s="14"/>
      <x:c r="Z71" s="14" t="str">
        <x:v>The Marlow Murder Club.docx</x:v>
      </x:c>
      <x:c r="AA71" s="14" t="str">
        <x:v>HYPERLINK is not implemented. linkLocation=https://www.imdb.com/title/tt27950663/fullcredits/,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Channel 5 / 5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HYPERLINK("https://en.wikipedia.org/wiki/Robert_Thorogood","Open source")</x:f>
        <x:v>HYPERLINK is not implemented. linkLocation=https://en.wikipedia.org/wiki/Robert_Thorogood, friendlyName=Open source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 t="str">
        <x:v>No established-register match</x:v>
      </x:c>
      <x:c r="AT71" s="14"/>
      <x:c r="AU71" s="14"/>
      <x:c r="AV71" s="14" t="str">
        <x:v>No established apparent-disability match</x:v>
      </x:c>
      <x:c r="AW71" s="14"/>
      <x:c r="AX71" s="14" t="str">
        <x:v>No</x:v>
      </x:c>
      <x:c r="AY71" s="14" t="str">
        <x:v>Unmatched</x:v>
      </x:c>
      <x:c r="AZ71" s="14" t="str">
        <x:v>Final supplied register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22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0.09090909090909091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HYPERLINK is not implemented. linkLocation=https://www.imdb.com/title/tt27950663/fullcredits/,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tt27950663|nm0461409|dean butler</x:v>
      </x:c>
      <x:c r="B72" s="14" t="str">
        <x:v>05</x:v>
      </x:c>
      <x:c r="C72" s="14" t="str">
        <x:v>2024_IMDb_Cast_Lists_Batch_05(1).xlsx</x:v>
      </x:c>
      <x:c r="D72" s="14" t="str">
        <x:v>The Marlow Murder Club</x:v>
      </x:c>
      <x:c r="E72" s="14" t="n">
        <x:v>44</x:v>
      </x:c>
      <x:c r="F72" s="14" t="str">
        <x:v>The Marlow Murder Club</x:v>
      </x:c>
      <x:c r="G72" s="14" t="str">
        <x:v>tt27950663</x:v>
      </x:c>
      <x:c r="H72" s="14" t="n">
        <x:v>2024</x:v>
      </x:c>
      <x:c r="I72" s="14" t="n">
        <x:v>2025</x:v>
      </x:c>
      <x:c r="J72" s="14" t="str">
        <x:v>Earlier-Production Carry-In Cohort</x:v>
      </x:c>
      <x:c r="K72" s="14" t="n">
        <x:v>2024</x:v>
      </x:c>
      <x:c r="L72" s="14" t="str">
        <x:v>Used in 2025 annual analysis</x:v>
      </x:c>
      <x:c r="M72" s="15" t="n">
        <x:v>37</x:v>
      </x:c>
      <x:c r="N72" s="14" t="str">
        <x:v>Andrew Knott</x:v>
      </x:c>
      <x:c r="O72" s="14" t="str">
        <x:v>nm0461409</x:v>
      </x:c>
      <x:c r="P72" s="14" t="str">
        <x:v>Dean Butler</x:v>
      </x:c>
      <x:c r="Q72" s="15" t="n">
        <x:v>2</x:v>
      </x:c>
      <x:c r="R72" s="14" t="str">
        <x:v>2025</x:v>
      </x:c>
      <x:c r="S72" s="14" t="n">
        <x:v>2025</x:v>
      </x:c>
      <x:c r="T72" s="14" t="n">
        <x:v>2025</x:v>
      </x:c>
      <x:c r="U72" s="14" t="str">
        <x:v>Explicit source first year retained</x:v>
      </x:c>
      <x:c r="V72" s="14" t="str">
        <x:v>Earliest supplied year is 2025.</x:v>
      </x:c>
      <x:c r="W72" s="14"/>
      <x:c r="X72" s="14" t="str">
        <x:v>Included</x:v>
      </x:c>
      <x:c r="Y72" s="14"/>
      <x:c r="Z72" s="14" t="str">
        <x:v>The Marlow Murder Club.docx</x:v>
      </x:c>
      <x:c r="AA72" s="14" t="str">
        <x:v>HYPERLINK is not implemented. linkLocation=https://www.imdb.com/title/tt27950663/fullcredits/,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Channel 5 / 5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HYPERLINK("https://en.wikipedia.org/wiki/Robert_Thorogood","Open source")</x:f>
        <x:v>HYPERLINK is not implemented. linkLocation=https://en.wikipedia.org/wiki/Robert_Thorogood, friendlyName=Open source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 t="str">
        <x:v>No established-register match</x:v>
      </x:c>
      <x:c r="AT72" s="14"/>
      <x:c r="AU72" s="14"/>
      <x:c r="AV72" s="14" t="str">
        <x:v>No established apparent-disability match</x:v>
      </x:c>
      <x:c r="AW72" s="14"/>
      <x:c r="AX72" s="14" t="str">
        <x:v>No</x:v>
      </x:c>
      <x:c r="AY72" s="14" t="str">
        <x:v>Unmatched</x:v>
      </x:c>
      <x:c r="AZ72" s="14" t="str">
        <x:v>Final supplied register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22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0.09090909090909091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HYPERLINK is not implemented. linkLocation=https://www.imdb.com/title/tt27950663/fullcredits/,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tt27950663|nm1433660|adam warner</x:v>
      </x:c>
      <x:c r="B73" s="14" t="str">
        <x:v>05</x:v>
      </x:c>
      <x:c r="C73" s="14" t="str">
        <x:v>2024_IMDb_Cast_Lists_Batch_05(1).xlsx</x:v>
      </x:c>
      <x:c r="D73" s="14" t="str">
        <x:v>The Marlow Murder Club</x:v>
      </x:c>
      <x:c r="E73" s="14" t="n">
        <x:v>45</x:v>
      </x:c>
      <x:c r="F73" s="14" t="str">
        <x:v>The Marlow Murder Club</x:v>
      </x:c>
      <x:c r="G73" s="14" t="str">
        <x:v>tt27950663</x:v>
      </x:c>
      <x:c r="H73" s="14" t="n">
        <x:v>2024</x:v>
      </x:c>
      <x:c r="I73" s="14" t="n">
        <x:v>2025</x:v>
      </x:c>
      <x:c r="J73" s="14" t="str">
        <x:v>Earlier-Production Carry-In Cohort</x:v>
      </x:c>
      <x:c r="K73" s="14" t="n">
        <x:v>2024</x:v>
      </x:c>
      <x:c r="L73" s="14" t="str">
        <x:v>Used in 2025 annual analysis</x:v>
      </x:c>
      <x:c r="M73" s="15" t="n">
        <x:v>38</x:v>
      </x:c>
      <x:c r="N73" s="14" t="str">
        <x:v>Tom Fisher</x:v>
      </x:c>
      <x:c r="O73" s="14" t="str">
        <x:v>nm1433660</x:v>
      </x:c>
      <x:c r="P73" s="14" t="str">
        <x:v>Adam Warner</x:v>
      </x:c>
      <x:c r="Q73" s="15" t="n">
        <x:v>2</x:v>
      </x:c>
      <x:c r="R73" s="14" t="str">
        <x:v>2025</x:v>
      </x:c>
      <x:c r="S73" s="14" t="n">
        <x:v>2025</x:v>
      </x:c>
      <x:c r="T73" s="14" t="n">
        <x:v>2025</x:v>
      </x:c>
      <x:c r="U73" s="14" t="str">
        <x:v>Explicit source first year retained</x:v>
      </x:c>
      <x:c r="V73" s="14" t="str">
        <x:v>Earliest supplied year is 2025.</x:v>
      </x:c>
      <x:c r="W73" s="14"/>
      <x:c r="X73" s="14" t="str">
        <x:v>Included</x:v>
      </x:c>
      <x:c r="Y73" s="14"/>
      <x:c r="Z73" s="14" t="str">
        <x:v>The Marlow Murder Club.docx</x:v>
      </x:c>
      <x:c r="AA73" s="14" t="str">
        <x:v>HYPERLINK is not implemented. linkLocation=https://www.imdb.com/title/tt27950663/fullcredits/,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Channel 5 / 5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HYPERLINK("https://en.wikipedia.org/wiki/Robert_Thorogood","Open source")</x:f>
        <x:v>HYPERLINK is not implemented. linkLocation=https://en.wikipedia.org/wiki/Robert_Thorogood, friendlyName=Open source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 t="str">
        <x:v>No established-register match</x:v>
      </x:c>
      <x:c r="AT73" s="14"/>
      <x:c r="AU73" s="14"/>
      <x:c r="AV73" s="14" t="str">
        <x:v>No established apparent-disability match</x:v>
      </x:c>
      <x:c r="AW73" s="14"/>
      <x:c r="AX73" s="14" t="str">
        <x:v>No</x:v>
      </x:c>
      <x:c r="AY73" s="14" t="str">
        <x:v>Unmatched</x:v>
      </x:c>
      <x:c r="AZ73" s="14" t="str">
        <x:v>Final supplied register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22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0.09090909090909091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HYPERLINK is not implemented. linkLocation=https://www.imdb.com/title/tt27950663/fullcredits/,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tt27950663|nm1326375|jackie tynham</x:v>
      </x:c>
      <x:c r="B74" s="14" t="str">
        <x:v>05</x:v>
      </x:c>
      <x:c r="C74" s="14" t="str">
        <x:v>2024_IMDb_Cast_Lists_Batch_05(1).xlsx</x:v>
      </x:c>
      <x:c r="D74" s="14" t="str">
        <x:v>The Marlow Murder Club</x:v>
      </x:c>
      <x:c r="E74" s="14" t="n">
        <x:v>46</x:v>
      </x:c>
      <x:c r="F74" s="14" t="str">
        <x:v>The Marlow Murder Club</x:v>
      </x:c>
      <x:c r="G74" s="14" t="str">
        <x:v>tt27950663</x:v>
      </x:c>
      <x:c r="H74" s="14" t="n">
        <x:v>2024</x:v>
      </x:c>
      <x:c r="I74" s="14" t="n">
        <x:v>2025</x:v>
      </x:c>
      <x:c r="J74" s="14" t="str">
        <x:v>Earlier-Production Carry-In Cohort</x:v>
      </x:c>
      <x:c r="K74" s="14" t="n">
        <x:v>2024</x:v>
      </x:c>
      <x:c r="L74" s="14" t="str">
        <x:v>Used in 2025 annual analysis</x:v>
      </x:c>
      <x:c r="M74" s="15" t="n">
        <x:v>39</x:v>
      </x:c>
      <x:c r="N74" s="14" t="str">
        <x:v>Camilla Beeput</x:v>
      </x:c>
      <x:c r="O74" s="14" t="str">
        <x:v>nm1326375</x:v>
      </x:c>
      <x:c r="P74" s="14" t="str">
        <x:v>Jackie Tynham</x:v>
      </x:c>
      <x:c r="Q74" s="15" t="n">
        <x:v>2</x:v>
      </x:c>
      <x:c r="R74" s="14" t="str">
        <x:v>2025</x:v>
      </x:c>
      <x:c r="S74" s="14" t="n">
        <x:v>2025</x:v>
      </x:c>
      <x:c r="T74" s="14" t="n">
        <x:v>2025</x:v>
      </x:c>
      <x:c r="U74" s="14" t="str">
        <x:v>Explicit source first year retained</x:v>
      </x:c>
      <x:c r="V74" s="14" t="str">
        <x:v>Earliest supplied year is 2025.</x:v>
      </x:c>
      <x:c r="W74" s="14"/>
      <x:c r="X74" s="14" t="str">
        <x:v>Included</x:v>
      </x:c>
      <x:c r="Y74" s="14"/>
      <x:c r="Z74" s="14" t="str">
        <x:v>The Marlow Murder Club.docx</x:v>
      </x:c>
      <x:c r="AA74" s="14" t="str">
        <x:v>HYPERLINK is not implemented. linkLocation=https://www.imdb.com/title/tt27950663/fullcredits/,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Channel 5 / 5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HYPERLINK("https://en.wikipedia.org/wiki/Robert_Thorogood","Open source")</x:f>
        <x:v>HYPERLINK is not implemented. linkLocation=https://en.wikipedia.org/wiki/Robert_Thorogood, friendlyName=Open source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 t="str">
        <x:v>No established-register match</x:v>
      </x:c>
      <x:c r="AT74" s="14"/>
      <x:c r="AU74" s="14"/>
      <x:c r="AV74" s="14" t="str">
        <x:v>No established apparent-disability match</x:v>
      </x:c>
      <x:c r="AW74" s="14"/>
      <x:c r="AX74" s="14" t="str">
        <x:v>No</x:v>
      </x:c>
      <x:c r="AY74" s="14" t="str">
        <x:v>Unmatched</x:v>
      </x:c>
      <x:c r="AZ74" s="14" t="str">
        <x:v>Final supplied register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22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0.09090909090909091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HYPERLINK is not implemented. linkLocation=https://www.imdb.com/title/tt27950663/fullcredits/,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tt27950663|nm0071739|ursula liddington</x:v>
      </x:c>
      <x:c r="B75" s="14" t="str">
        <x:v>05</x:v>
      </x:c>
      <x:c r="C75" s="14" t="str">
        <x:v>2024_IMDb_Cast_Lists_Batch_05(1).xlsx</x:v>
      </x:c>
      <x:c r="D75" s="14" t="str">
        <x:v>The Marlow Murder Club</x:v>
      </x:c>
      <x:c r="E75" s="14" t="n">
        <x:v>50</x:v>
      </x:c>
      <x:c r="F75" s="14" t="str">
        <x:v>The Marlow Murder Club</x:v>
      </x:c>
      <x:c r="G75" s="14" t="str">
        <x:v>tt27950663</x:v>
      </x:c>
      <x:c r="H75" s="14" t="n">
        <x:v>2024</x:v>
      </x:c>
      <x:c r="I75" s="14" t="n">
        <x:v>2025</x:v>
      </x:c>
      <x:c r="J75" s="14" t="str">
        <x:v>Earlier-Production Carry-In Cohort</x:v>
      </x:c>
      <x:c r="K75" s="14" t="n">
        <x:v>2024</x:v>
      </x:c>
      <x:c r="L75" s="14" t="str">
        <x:v>Used in 2025 annual analysis</x:v>
      </x:c>
      <x:c r="M75" s="15" t="n">
        <x:v>43</x:v>
      </x:c>
      <x:c r="N75" s="14" t="str">
        <x:v>Elizabeth Bennett</x:v>
      </x:c>
      <x:c r="O75" s="14" t="str">
        <x:v>nm0071739</x:v>
      </x:c>
      <x:c r="P75" s="14" t="str">
        <x:v>Ursula Liddington</x:v>
      </x:c>
      <x:c r="Q75" s="15" t="n">
        <x:v>2</x:v>
      </x:c>
      <x:c r="R75" s="14" t="str">
        <x:v>2025</x:v>
      </x:c>
      <x:c r="S75" s="14" t="n">
        <x:v>2025</x:v>
      </x:c>
      <x:c r="T75" s="14" t="n">
        <x:v>2025</x:v>
      </x:c>
      <x:c r="U75" s="14" t="str">
        <x:v>Explicit source first year retained</x:v>
      </x:c>
      <x:c r="V75" s="14" t="str">
        <x:v>Earliest supplied year is 2025.</x:v>
      </x:c>
      <x:c r="W75" s="14"/>
      <x:c r="X75" s="14" t="str">
        <x:v>Included</x:v>
      </x:c>
      <x:c r="Y75" s="14"/>
      <x:c r="Z75" s="14" t="str">
        <x:v>The Marlow Murder Club.docx</x:v>
      </x:c>
      <x:c r="AA75" s="14" t="str">
        <x:v>HYPERLINK is not implemented. linkLocation=https://www.imdb.com/title/tt27950663/fullcredits/,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Channel 5 / 5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HYPERLINK("https://en.wikipedia.org/wiki/Robert_Thorogood","Open source")</x:f>
        <x:v>HYPERLINK is not implemented. linkLocation=https://en.wikipedia.org/wiki/Robert_Thorogood, friendlyName=Open source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 t="str">
        <x:v>No established-register match</x:v>
      </x:c>
      <x:c r="AT75" s="14"/>
      <x:c r="AU75" s="14"/>
      <x:c r="AV75" s="14" t="str">
        <x:v>No established apparent-disability match</x:v>
      </x:c>
      <x:c r="AW75" s="14"/>
      <x:c r="AX75" s="14" t="str">
        <x:v>No</x:v>
      </x:c>
      <x:c r="AY75" s="14" t="str">
        <x:v>Unmatched</x:v>
      </x:c>
      <x:c r="AZ75" s="14" t="str">
        <x:v>Final supplied register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22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0.09090909090909091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HYPERLINK is not implemented. linkLocation=https://www.imdb.com/title/tt27950663/fullcredits/,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tt27950663|nm0190206|hayley wyckham</x:v>
      </x:c>
      <x:c r="B76" s="14" t="str">
        <x:v>05</x:v>
      </x:c>
      <x:c r="C76" s="14" t="str">
        <x:v>2024_IMDb_Cast_Lists_Batch_05(1).xlsx</x:v>
      </x:c>
      <x:c r="D76" s="14" t="str">
        <x:v>The Marlow Murder Club</x:v>
      </x:c>
      <x:c r="E76" s="14" t="n">
        <x:v>55</x:v>
      </x:c>
      <x:c r="F76" s="14" t="str">
        <x:v>The Marlow Murder Club</x:v>
      </x:c>
      <x:c r="G76" s="14" t="str">
        <x:v>tt27950663</x:v>
      </x:c>
      <x:c r="H76" s="14" t="n">
        <x:v>2024</x:v>
      </x:c>
      <x:c r="I76" s="14" t="n">
        <x:v>2025</x:v>
      </x:c>
      <x:c r="J76" s="14" t="str">
        <x:v>Earlier-Production Carry-In Cohort</x:v>
      </x:c>
      <x:c r="K76" s="14" t="n">
        <x:v>2024</x:v>
      </x:c>
      <x:c r="L76" s="14" t="str">
        <x:v>Used in 2025 annual analysis</x:v>
      </x:c>
      <x:c r="M76" s="15" t="n">
        <x:v>48</x:v>
      </x:c>
      <x:c r="N76" s="14" t="str">
        <x:v>Abigail Cruttenden</x:v>
      </x:c>
      <x:c r="O76" s="14" t="str">
        <x:v>nm0190206</x:v>
      </x:c>
      <x:c r="P76" s="14" t="str">
        <x:v>Hayley Wyckham</x:v>
      </x:c>
      <x:c r="Q76" s="15" t="n">
        <x:v>2</x:v>
      </x:c>
      <x:c r="R76" s="14" t="str">
        <x:v>2025</x:v>
      </x:c>
      <x:c r="S76" s="14" t="n">
        <x:v>2025</x:v>
      </x:c>
      <x:c r="T76" s="14" t="n">
        <x:v>2025</x:v>
      </x:c>
      <x:c r="U76" s="14" t="str">
        <x:v>Explicit source first year retained</x:v>
      </x:c>
      <x:c r="V76" s="14" t="str">
        <x:v>Earliest supplied year is 2025.</x:v>
      </x:c>
      <x:c r="W76" s="14"/>
      <x:c r="X76" s="14" t="str">
        <x:v>Included</x:v>
      </x:c>
      <x:c r="Y76" s="14"/>
      <x:c r="Z76" s="14" t="str">
        <x:v>The Marlow Murder Club.docx</x:v>
      </x:c>
      <x:c r="AA76" s="14" t="str">
        <x:v>HYPERLINK is not implemented. linkLocation=https://www.imdb.com/title/tt27950663/fullcredits/,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Channel 5 / 5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HYPERLINK("https://en.wikipedia.org/wiki/Robert_Thorogood","Open source")</x:f>
        <x:v>HYPERLINK is not implemented. linkLocation=https://en.wikipedia.org/wiki/Robert_Thorogood, friendlyName=Open source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 t="str">
        <x:v>No established-register match</x:v>
      </x:c>
      <x:c r="AT76" s="14"/>
      <x:c r="AU76" s="14"/>
      <x:c r="AV76" s="14" t="str">
        <x:v>No established apparent-disability match</x:v>
      </x:c>
      <x:c r="AW76" s="14"/>
      <x:c r="AX76" s="14" t="str">
        <x:v>No</x:v>
      </x:c>
      <x:c r="AY76" s="14" t="str">
        <x:v>Unmatched</x:v>
      </x:c>
      <x:c r="AZ76" s="14" t="str">
        <x:v>Final supplied register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22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0.09090909090909091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HYPERLINK is not implemented. linkLocation=https://www.imdb.com/title/tt27950663/fullcredits/,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tt27950663|nm5265140|kerry butler</x:v>
      </x:c>
      <x:c r="B77" s="14" t="str">
        <x:v>05</x:v>
      </x:c>
      <x:c r="C77" s="14" t="str">
        <x:v>2024_IMDb_Cast_Lists_Batch_05(1).xlsx</x:v>
      </x:c>
      <x:c r="D77" s="14" t="str">
        <x:v>The Marlow Murder Club</x:v>
      </x:c>
      <x:c r="E77" s="14" t="n">
        <x:v>56</x:v>
      </x:c>
      <x:c r="F77" s="14" t="str">
        <x:v>The Marlow Murder Club</x:v>
      </x:c>
      <x:c r="G77" s="14" t="str">
        <x:v>tt27950663</x:v>
      </x:c>
      <x:c r="H77" s="14" t="n">
        <x:v>2024</x:v>
      </x:c>
      <x:c r="I77" s="14" t="n">
        <x:v>2025</x:v>
      </x:c>
      <x:c r="J77" s="14" t="str">
        <x:v>Earlier-Production Carry-In Cohort</x:v>
      </x:c>
      <x:c r="K77" s="14" t="n">
        <x:v>2024</x:v>
      </x:c>
      <x:c r="L77" s="14" t="str">
        <x:v>Used in 2025 annual analysis</x:v>
      </x:c>
      <x:c r="M77" s="15" t="n">
        <x:v>49</x:v>
      </x:c>
      <x:c r="N77" s="14" t="str">
        <x:v>Florence Keith-Roach</x:v>
      </x:c>
      <x:c r="O77" s="14" t="str">
        <x:v>nm5265140</x:v>
      </x:c>
      <x:c r="P77" s="14" t="str">
        <x:v>Kerry Butler</x:v>
      </x:c>
      <x:c r="Q77" s="15" t="n">
        <x:v>2</x:v>
      </x:c>
      <x:c r="R77" s="14" t="str">
        <x:v>2025</x:v>
      </x:c>
      <x:c r="S77" s="14" t="n">
        <x:v>2025</x:v>
      </x:c>
      <x:c r="T77" s="14" t="n">
        <x:v>2025</x:v>
      </x:c>
      <x:c r="U77" s="14" t="str">
        <x:v>Explicit source first year retained</x:v>
      </x:c>
      <x:c r="V77" s="14" t="str">
        <x:v>Earliest supplied year is 2025.</x:v>
      </x:c>
      <x:c r="W77" s="14"/>
      <x:c r="X77" s="14" t="str">
        <x:v>Included</x:v>
      </x:c>
      <x:c r="Y77" s="14" t="str">
        <x:v>(as Florence Keith Roach)</x:v>
      </x:c>
      <x:c r="Z77" s="14" t="str">
        <x:v>The Marlow Murder Club.docx</x:v>
      </x:c>
      <x:c r="AA77" s="14" t="str">
        <x:v>HYPERLINK is not implemented. linkLocation=https://www.imdb.com/title/tt27950663/fullcredits/,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Channel 5 / 5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HYPERLINK("https://en.wikipedia.org/wiki/Robert_Thorogood","Open source")</x:f>
        <x:v>HYPERLINK is not implemented. linkLocation=https://en.wikipedia.org/wiki/Robert_Thorogood, friendlyName=Open source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 t="str">
        <x:v>No established-register match</x:v>
      </x:c>
      <x:c r="AT77" s="14"/>
      <x:c r="AU77" s="14"/>
      <x:c r="AV77" s="14" t="str">
        <x:v>No established apparent-disability match</x:v>
      </x:c>
      <x:c r="AW77" s="14"/>
      <x:c r="AX77" s="14" t="str">
        <x:v>No</x:v>
      </x:c>
      <x:c r="AY77" s="14" t="str">
        <x:v>Unmatched</x:v>
      </x:c>
      <x:c r="AZ77" s="14" t="str">
        <x:v>Final supplied register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22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2</x:v>
      </x:c>
      <x:c r="BS77" s="16" t="n">
        <x:v>0.09090909090909091</x:v>
      </x:c>
      <x:c r="BT77" s="14" t="str">
        <x:v>Minority of episodes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HYPERLINK is not implemented. linkLocation=https://www.imdb.com/title/tt27950663/fullcredits/,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tt27950663|nm0486674|lady bailey</x:v>
      </x:c>
      <x:c r="B78" s="14" t="str">
        <x:v>05</x:v>
      </x:c>
      <x:c r="C78" s="14" t="str">
        <x:v>2024_IMDb_Cast_Lists_Batch_05(1).xlsx</x:v>
      </x:c>
      <x:c r="D78" s="14" t="str">
        <x:v>The Marlow Murder Club</x:v>
      </x:c>
      <x:c r="E78" s="14" t="n">
        <x:v>60</x:v>
      </x:c>
      <x:c r="F78" s="14" t="str">
        <x:v>The Marlow Murder Club</x:v>
      </x:c>
      <x:c r="G78" s="14" t="str">
        <x:v>tt27950663</x:v>
      </x:c>
      <x:c r="H78" s="14" t="n">
        <x:v>2024</x:v>
      </x:c>
      <x:c r="I78" s="14" t="n">
        <x:v>2025</x:v>
      </x:c>
      <x:c r="J78" s="14" t="str">
        <x:v>Earlier-Production Carry-In Cohort</x:v>
      </x:c>
      <x:c r="K78" s="14" t="n">
        <x:v>2024</x:v>
      </x:c>
      <x:c r="L78" s="14" t="str">
        <x:v>Used in 2025 annual analysis</x:v>
      </x:c>
      <x:c r="M78" s="15" t="n">
        <x:v>53</x:v>
      </x:c>
      <x:c r="N78" s="14" t="str">
        <x:v>Caroline Langrishe</x:v>
      </x:c>
      <x:c r="O78" s="14" t="str">
        <x:v>nm0486674</x:v>
      </x:c>
      <x:c r="P78" s="14" t="str">
        <x:v>Lady Bailey</x:v>
      </x:c>
      <x:c r="Q78" s="15" t="n">
        <x:v>2</x:v>
      </x:c>
      <x:c r="R78" s="14" t="str">
        <x:v>2025</x:v>
      </x:c>
      <x:c r="S78" s="14" t="n">
        <x:v>2025</x:v>
      </x:c>
      <x:c r="T78" s="14" t="n">
        <x:v>2025</x:v>
      </x:c>
      <x:c r="U78" s="14" t="str">
        <x:v>Explicit source first year retained</x:v>
      </x:c>
      <x:c r="V78" s="14" t="str">
        <x:v>Earliest supplied year is 2025.</x:v>
      </x:c>
      <x:c r="W78" s="14"/>
      <x:c r="X78" s="14" t="str">
        <x:v>Included</x:v>
      </x:c>
      <x:c r="Y78" s="14"/>
      <x:c r="Z78" s="14" t="str">
        <x:v>The Marlow Murder Club.docx</x:v>
      </x:c>
      <x:c r="AA78" s="14" t="str">
        <x:v>HYPERLINK is not implemented. linkLocation=https://www.imdb.com/title/tt27950663/fullcredits/,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Channel 5 / 5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HYPERLINK("https://en.wikipedia.org/wiki/Robert_Thorogood","Open source")</x:f>
        <x:v>HYPERLINK is not implemented. linkLocation=https://en.wikipedia.org/wiki/Robert_Thorogood, friendlyName=Open source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 t="str">
        <x:v>No established-register match</x:v>
      </x:c>
      <x:c r="AT78" s="14"/>
      <x:c r="AU78" s="14"/>
      <x:c r="AV78" s="14" t="str">
        <x:v>No established apparent-disability match</x:v>
      </x:c>
      <x:c r="AW78" s="14"/>
      <x:c r="AX78" s="14" t="str">
        <x:v>No</x:v>
      </x:c>
      <x:c r="AY78" s="14" t="str">
        <x:v>Unmatched</x:v>
      </x:c>
      <x:c r="AZ78" s="14" t="str">
        <x:v>Final supplied register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22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2</x:v>
      </x:c>
      <x:c r="BS78" s="16" t="n">
        <x:v>0.09090909090909091</x:v>
      </x:c>
      <x:c r="BT78" s="14" t="str">
        <x:v>Minority of episodes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HYPERLINK is not implemented. linkLocation=https://www.imdb.com/title/tt27950663/fullcredits/,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tt27950663|nm0732959|phil wingrove</x:v>
      </x:c>
      <x:c r="B79" s="14" t="str">
        <x:v>05</x:v>
      </x:c>
      <x:c r="C79" s="14" t="str">
        <x:v>2024_IMDb_Cast_Lists_Batch_05(1).xlsx</x:v>
      </x:c>
      <x:c r="D79" s="14" t="str">
        <x:v>The Marlow Murder Club</x:v>
      </x:c>
      <x:c r="E79" s="14" t="n">
        <x:v>61</x:v>
      </x:c>
      <x:c r="F79" s="14" t="str">
        <x:v>The Marlow Murder Club</x:v>
      </x:c>
      <x:c r="G79" s="14" t="str">
        <x:v>tt27950663</x:v>
      </x:c>
      <x:c r="H79" s="14" t="n">
        <x:v>2024</x:v>
      </x:c>
      <x:c r="I79" s="14" t="n">
        <x:v>2025</x:v>
      </x:c>
      <x:c r="J79" s="14" t="str">
        <x:v>Earlier-Production Carry-In Cohort</x:v>
      </x:c>
      <x:c r="K79" s="14" t="n">
        <x:v>2024</x:v>
      </x:c>
      <x:c r="L79" s="14" t="str">
        <x:v>Used in 2025 annual analysis</x:v>
      </x:c>
      <x:c r="M79" s="15" t="n">
        <x:v>54</x:v>
      </x:c>
      <x:c r="N79" s="14" t="str">
        <x:v>Patrick Robinson</x:v>
      </x:c>
      <x:c r="O79" s="14" t="str">
        <x:v>nm0732959</x:v>
      </x:c>
      <x:c r="P79" s="14" t="str">
        <x:v>Phil Wingrove</x:v>
      </x:c>
      <x:c r="Q79" s="15" t="n">
        <x:v>2</x:v>
      </x:c>
      <x:c r="R79" s="14" t="str">
        <x:v>2025</x:v>
      </x:c>
      <x:c r="S79" s="14" t="n">
        <x:v>2025</x:v>
      </x:c>
      <x:c r="T79" s="14" t="n">
        <x:v>2025</x:v>
      </x:c>
      <x:c r="U79" s="14" t="str">
        <x:v>Explicit source first year retained</x:v>
      </x:c>
      <x:c r="V79" s="14" t="str">
        <x:v>Earliest supplied year is 2025.</x:v>
      </x:c>
      <x:c r="W79" s="14"/>
      <x:c r="X79" s="14" t="str">
        <x:v>Included</x:v>
      </x:c>
      <x:c r="Y79" s="14"/>
      <x:c r="Z79" s="14" t="str">
        <x:v>The Marlow Murder Club.docx</x:v>
      </x:c>
      <x:c r="AA79" s="14" t="str">
        <x:v>HYPERLINK is not implemented. linkLocation=https://www.imdb.com/title/tt27950663/fullcredits/,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Channel 5 / 5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HYPERLINK("https://en.wikipedia.org/wiki/Robert_Thorogood","Open source")</x:f>
        <x:v>HYPERLINK is not implemented. linkLocation=https://en.wikipedia.org/wiki/Robert_Thorogood, friendlyName=Open source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 t="str">
        <x:v>No established-register match</x:v>
      </x:c>
      <x:c r="AT79" s="14"/>
      <x:c r="AU79" s="14"/>
      <x:c r="AV79" s="14" t="str">
        <x:v>No established apparent-disability match</x:v>
      </x:c>
      <x:c r="AW79" s="14"/>
      <x:c r="AX79" s="14" t="str">
        <x:v>No</x:v>
      </x:c>
      <x:c r="AY79" s="14" t="str">
        <x:v>Unmatched</x:v>
      </x:c>
      <x:c r="AZ79" s="14" t="str">
        <x:v>Final supplied register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22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2</x:v>
      </x:c>
      <x:c r="BS79" s="16" t="n">
        <x:v>0.09090909090909091</x:v>
      </x:c>
      <x:c r="BT79" s="14" t="str">
        <x:v>Minority of episodes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HYPERLINK is not implemented. linkLocation=https://www.imdb.com/title/tt27950663/fullcredits/,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tt27950663|nm7067240|daniel / daniel bradley</x:v>
      </x:c>
      <x:c r="B80" s="14" t="str">
        <x:v>05</x:v>
      </x:c>
      <x:c r="C80" s="14" t="str">
        <x:v>2024_IMDb_Cast_Lists_Batch_05(1).xlsx</x:v>
      </x:c>
      <x:c r="D80" s="14" t="str">
        <x:v>The Marlow Murder Club</x:v>
      </x:c>
      <x:c r="E80" s="14" t="n">
        <x:v>63</x:v>
      </x:c>
      <x:c r="F80" s="14" t="str">
        <x:v>The Marlow Murder Club</x:v>
      </x:c>
      <x:c r="G80" s="14" t="str">
        <x:v>tt27950663</x:v>
      </x:c>
      <x:c r="H80" s="14" t="n">
        <x:v>2024</x:v>
      </x:c>
      <x:c r="I80" s="14" t="n">
        <x:v>2025</x:v>
      </x:c>
      <x:c r="J80" s="14" t="str">
        <x:v>Earlier-Production Carry-In Cohort</x:v>
      </x:c>
      <x:c r="K80" s="14" t="n">
        <x:v>2024</x:v>
      </x:c>
      <x:c r="L80" s="14" t="str">
        <x:v>Used in 2025 annual analysis</x:v>
      </x:c>
      <x:c r="M80" s="15" t="n">
        <x:v>56</x:v>
      </x:c>
      <x:c r="N80" s="14" t="str">
        <x:v>Steve Chusak</x:v>
      </x:c>
      <x:c r="O80" s="14" t="str">
        <x:v>nm7067240</x:v>
      </x:c>
      <x:c r="P80" s="14" t="str">
        <x:v>Daniel / Daniel Bradley</x:v>
      </x:c>
      <x:c r="Q80" s="15" t="n">
        <x:v>2</x:v>
      </x:c>
      <x:c r="R80" s="14" t="str">
        <x:v>2025</x:v>
      </x:c>
      <x:c r="S80" s="14" t="n">
        <x:v>2025</x:v>
      </x:c>
      <x:c r="T80" s="14" t="n">
        <x:v>2025</x:v>
      </x:c>
      <x:c r="U80" s="14" t="str">
        <x:v>Explicit source first year retained</x:v>
      </x:c>
      <x:c r="V80" s="14" t="str">
        <x:v>Earliest supplied year is 2025.</x:v>
      </x:c>
      <x:c r="W80" s="14"/>
      <x:c r="X80" s="14" t="str">
        <x:v>Included</x:v>
      </x:c>
      <x:c r="Y80" s="14"/>
      <x:c r="Z80" s="14" t="str">
        <x:v>The Marlow Murder Club.docx</x:v>
      </x:c>
      <x:c r="AA80" s="14" t="str">
        <x:v>HYPERLINK is not implemented. linkLocation=https://www.imdb.com/title/tt27950663/fullcredits/,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Channel 5 / 5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HYPERLINK("https://en.wikipedia.org/wiki/Robert_Thorogood","Open source")</x:f>
        <x:v>HYPERLINK is not implemented. linkLocation=https://en.wikipedia.org/wiki/Robert_Thorogood, friendlyName=Open source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 t="str">
        <x:v>No established-register match</x:v>
      </x:c>
      <x:c r="AT80" s="14"/>
      <x:c r="AU80" s="14"/>
      <x:c r="AV80" s="14" t="str">
        <x:v>No established apparent-disability match</x:v>
      </x:c>
      <x:c r="AW80" s="14"/>
      <x:c r="AX80" s="14" t="str">
        <x:v>No</x:v>
      </x:c>
      <x:c r="AY80" s="14" t="str">
        <x:v>Unmatched</x:v>
      </x:c>
      <x:c r="AZ80" s="14" t="str">
        <x:v>Final supplied register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22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2</x:v>
      </x:c>
      <x:c r="BS80" s="16" t="n">
        <x:v>0.09090909090909091</x:v>
      </x:c>
      <x:c r="BT80" s="14" t="str">
        <x:v>Minority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HYPERLINK is not implemented. linkLocation=https://www.imdb.com/title/tt27950663/fullcredits/,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tt27950663|nm0300518|harry tynham</x:v>
      </x:c>
      <x:c r="B81" s="14" t="str">
        <x:v>05</x:v>
      </x:c>
      <x:c r="C81" s="14" t="str">
        <x:v>2024_IMDb_Cast_Lists_Batch_05(1).xlsx</x:v>
      </x:c>
      <x:c r="D81" s="14" t="str">
        <x:v>The Marlow Murder Club</x:v>
      </x:c>
      <x:c r="E81" s="14" t="n">
        <x:v>66</x:v>
      </x:c>
      <x:c r="F81" s="14" t="str">
        <x:v>The Marlow Murder Club</x:v>
      </x:c>
      <x:c r="G81" s="14" t="str">
        <x:v>tt27950663</x:v>
      </x:c>
      <x:c r="H81" s="14" t="n">
        <x:v>2024</x:v>
      </x:c>
      <x:c r="I81" s="14" t="n">
        <x:v>2025</x:v>
      </x:c>
      <x:c r="J81" s="14" t="str">
        <x:v>Earlier-Production Carry-In Cohort</x:v>
      </x:c>
      <x:c r="K81" s="14" t="n">
        <x:v>2024</x:v>
      </x:c>
      <x:c r="L81" s="14" t="str">
        <x:v>Used in 2025 annual analysis</x:v>
      </x:c>
      <x:c r="M81" s="15" t="n">
        <x:v>59</x:v>
      </x:c>
      <x:c r="N81" s="14" t="str">
        <x:v>James Gaddas</x:v>
      </x:c>
      <x:c r="O81" s="14" t="str">
        <x:v>nm0300518</x:v>
      </x:c>
      <x:c r="P81" s="14" t="str">
        <x:v>Harry Tynham</x:v>
      </x:c>
      <x:c r="Q81" s="15" t="n">
        <x:v>2</x:v>
      </x:c>
      <x:c r="R81" s="14" t="str">
        <x:v>2025</x:v>
      </x:c>
      <x:c r="S81" s="14" t="n">
        <x:v>2025</x:v>
      </x:c>
      <x:c r="T81" s="14" t="n">
        <x:v>2025</x:v>
      </x:c>
      <x:c r="U81" s="14" t="str">
        <x:v>Explicit source first year retained</x:v>
      </x:c>
      <x:c r="V81" s="14" t="str">
        <x:v>Earliest supplied year is 2025.</x:v>
      </x:c>
      <x:c r="W81" s="14"/>
      <x:c r="X81" s="14" t="str">
        <x:v>Included</x:v>
      </x:c>
      <x:c r="Y81" s="14"/>
      <x:c r="Z81" s="14" t="str">
        <x:v>The Marlow Murder Club.docx</x:v>
      </x:c>
      <x:c r="AA81" s="14" t="str">
        <x:v>HYPERLINK is not implemented. linkLocation=https://www.imdb.com/title/tt27950663/fullcredits/,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Channel 5 / 5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HYPERLINK("https://en.wikipedia.org/wiki/Robert_Thorogood","Open source")</x:f>
        <x:v>HYPERLINK is not implemented. linkLocation=https://en.wikipedia.org/wiki/Robert_Thorogood, friendlyName=Open source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 t="str">
        <x:v>No established-register match</x:v>
      </x:c>
      <x:c r="AT81" s="14"/>
      <x:c r="AU81" s="14"/>
      <x:c r="AV81" s="14" t="str">
        <x:v>No established apparent-disability match</x:v>
      </x:c>
      <x:c r="AW81" s="14"/>
      <x:c r="AX81" s="14" t="str">
        <x:v>No</x:v>
      </x:c>
      <x:c r="AY81" s="14" t="str">
        <x:v>Unmatched</x:v>
      </x:c>
      <x:c r="AZ81" s="14" t="str">
        <x:v>Final supplied register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22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2</x:v>
      </x:c>
      <x:c r="BS81" s="16" t="n">
        <x:v>0.09090909090909091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HYPERLINK is not implemented. linkLocation=https://www.imdb.com/title/tt27950663/fullcredits/,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tt27950663|nm5105375|sarah fitzherbert</x:v>
      </x:c>
      <x:c r="B82" s="14" t="str">
        <x:v>05</x:v>
      </x:c>
      <x:c r="C82" s="14" t="str">
        <x:v>2024_IMDb_Cast_Lists_Batch_05(1).xlsx</x:v>
      </x:c>
      <x:c r="D82" s="14" t="str">
        <x:v>The Marlow Murder Club</x:v>
      </x:c>
      <x:c r="E82" s="14" t="n">
        <x:v>69</x:v>
      </x:c>
      <x:c r="F82" s="14" t="str">
        <x:v>The Marlow Murder Club</x:v>
      </x:c>
      <x:c r="G82" s="14" t="str">
        <x:v>tt27950663</x:v>
      </x:c>
      <x:c r="H82" s="14" t="n">
        <x:v>2024</x:v>
      </x:c>
      <x:c r="I82" s="14" t="n">
        <x:v>2025</x:v>
      </x:c>
      <x:c r="J82" s="14" t="str">
        <x:v>Earlier-Production Carry-In Cohort</x:v>
      </x:c>
      <x:c r="K82" s="14" t="n">
        <x:v>2024</x:v>
      </x:c>
      <x:c r="L82" s="14" t="str">
        <x:v>Used in 2025 annual analysis</x:v>
      </x:c>
      <x:c r="M82" s="15" t="n">
        <x:v>62</x:v>
      </x:c>
      <x:c r="N82" s="14" t="str">
        <x:v>Mogali Masuku</x:v>
      </x:c>
      <x:c r="O82" s="14" t="str">
        <x:v>nm5105375</x:v>
      </x:c>
      <x:c r="P82" s="14" t="str">
        <x:v>Sarah Fitzherbert</x:v>
      </x:c>
      <x:c r="Q82" s="15" t="n">
        <x:v>2</x:v>
      </x:c>
      <x:c r="R82" s="14" t="str">
        <x:v>2025</x:v>
      </x:c>
      <x:c r="S82" s="14" t="n">
        <x:v>2025</x:v>
      </x:c>
      <x:c r="T82" s="14" t="n">
        <x:v>2025</x:v>
      </x:c>
      <x:c r="U82" s="14" t="str">
        <x:v>Explicit source first year retained</x:v>
      </x:c>
      <x:c r="V82" s="14" t="str">
        <x:v>Earliest supplied year is 2025.</x:v>
      </x:c>
      <x:c r="W82" s="14"/>
      <x:c r="X82" s="14" t="str">
        <x:v>Included</x:v>
      </x:c>
      <x:c r="Y82" s="14"/>
      <x:c r="Z82" s="14" t="str">
        <x:v>The Marlow Murder Club.docx</x:v>
      </x:c>
      <x:c r="AA82" s="14" t="str">
        <x:v>HYPERLINK is not implemented. linkLocation=https://www.imdb.com/title/tt27950663/fullcredits/,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Channel 5 / 5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HYPERLINK("https://en.wikipedia.org/wiki/Robert_Thorogood","Open source")</x:f>
        <x:v>HYPERLINK is not implemented. linkLocation=https://en.wikipedia.org/wiki/Robert_Thorogood, friendlyName=Open source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 t="str">
        <x:v>No established-register match</x:v>
      </x:c>
      <x:c r="AT82" s="14"/>
      <x:c r="AU82" s="14"/>
      <x:c r="AV82" s="14" t="str">
        <x:v>No established apparent-disability match</x:v>
      </x:c>
      <x:c r="AW82" s="14"/>
      <x:c r="AX82" s="14" t="str">
        <x:v>No</x:v>
      </x:c>
      <x:c r="AY82" s="14" t="str">
        <x:v>Unmatched</x:v>
      </x:c>
      <x:c r="AZ82" s="14" t="str">
        <x:v>Final supplied register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22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2</x:v>
      </x:c>
      <x:c r="BS82" s="16" t="n">
        <x:v>0.09090909090909091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HYPERLINK is not implemented. linkLocation=https://www.imdb.com/title/tt27950663/fullcredits/,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tt27950663|nm0815317|grace wellingborough</x:v>
      </x:c>
      <x:c r="B83" s="14" t="str">
        <x:v>05</x:v>
      </x:c>
      <x:c r="C83" s="14" t="str">
        <x:v>2024_IMDb_Cast_Lists_Batch_05(1).xlsx</x:v>
      </x:c>
      <x:c r="D83" s="14" t="str">
        <x:v>The Marlow Murder Club</x:v>
      </x:c>
      <x:c r="E83" s="14" t="n">
        <x:v>70</x:v>
      </x:c>
      <x:c r="F83" s="14" t="str">
        <x:v>The Marlow Murder Club</x:v>
      </x:c>
      <x:c r="G83" s="14" t="str">
        <x:v>tt27950663</x:v>
      </x:c>
      <x:c r="H83" s="14" t="n">
        <x:v>2024</x:v>
      </x:c>
      <x:c r="I83" s="14" t="n">
        <x:v>2025</x:v>
      </x:c>
      <x:c r="J83" s="14" t="str">
        <x:v>Earlier-Production Carry-In Cohort</x:v>
      </x:c>
      <x:c r="K83" s="14" t="n">
        <x:v>2024</x:v>
      </x:c>
      <x:c r="L83" s="14" t="str">
        <x:v>Used in 2025 annual analysis</x:v>
      </x:c>
      <x:c r="M83" s="15" t="n">
        <x:v>63</x:v>
      </x:c>
      <x:c r="N83" s="14" t="str">
        <x:v>Nina Sosanya</x:v>
      </x:c>
      <x:c r="O83" s="14" t="str">
        <x:v>nm0815317</x:v>
      </x:c>
      <x:c r="P83" s="14" t="str">
        <x:v>Grace Wellingborough</x:v>
      </x:c>
      <x:c r="Q83" s="15" t="n">
        <x:v>2</x:v>
      </x:c>
      <x:c r="R83" s="14" t="str">
        <x:v>2025</x:v>
      </x:c>
      <x:c r="S83" s="14" t="n">
        <x:v>2025</x:v>
      </x:c>
      <x:c r="T83" s="14" t="n">
        <x:v>2025</x:v>
      </x:c>
      <x:c r="U83" s="14" t="str">
        <x:v>Explicit source first year retained</x:v>
      </x:c>
      <x:c r="V83" s="14" t="str">
        <x:v>Earliest supplied year is 2025.</x:v>
      </x:c>
      <x:c r="W83" s="14"/>
      <x:c r="X83" s="14" t="str">
        <x:v>Included</x:v>
      </x:c>
      <x:c r="Y83" s="14"/>
      <x:c r="Z83" s="14" t="str">
        <x:v>The Marlow Murder Club.docx</x:v>
      </x:c>
      <x:c r="AA83" s="14" t="str">
        <x:v>HYPERLINK is not implemented. linkLocation=https://www.imdb.com/title/tt27950663/fullcredits/,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5 / 5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HYPERLINK("https://en.wikipedia.org/wiki/Robert_Thorogood","Open source")</x:f>
        <x:v>HYPERLINK is not implemented. linkLocation=https://en.wikipedia.org/wiki/Robert_Thorogood,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 t="str">
        <x:v>No established-register match</x:v>
      </x:c>
      <x:c r="AT83" s="14"/>
      <x:c r="AU83" s="14"/>
      <x:c r="AV83" s="14" t="str">
        <x:v>No established apparent-disability match</x:v>
      </x:c>
      <x:c r="AW83" s="14"/>
      <x:c r="AX83" s="14" t="str">
        <x:v>No</x:v>
      </x:c>
      <x:c r="AY83" s="14" t="str">
        <x:v>Unmatched</x:v>
      </x:c>
      <x:c r="AZ83" s="14" t="str">
        <x:v>Final supplied register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22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2</x:v>
      </x:c>
      <x:c r="BS83" s="16" t="n">
        <x:v>0.09090909090909091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HYPERLINK is not implemented. linkLocation=https://www.imdb.com/title/tt27950663/fullcredits/,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tt27950663|nm0932598|louis oldham</x:v>
      </x:c>
      <x:c r="B84" s="14" t="str">
        <x:v>05</x:v>
      </x:c>
      <x:c r="C84" s="14" t="str">
        <x:v>2024_IMDb_Cast_Lists_Batch_05(1).xlsx</x:v>
      </x:c>
      <x:c r="D84" s="14" t="str">
        <x:v>The Marlow Murder Club</x:v>
      </x:c>
      <x:c r="E84" s="14" t="n">
        <x:v>72</x:v>
      </x:c>
      <x:c r="F84" s="14" t="str">
        <x:v>The Marlow Murder Club</x:v>
      </x:c>
      <x:c r="G84" s="14" t="str">
        <x:v>tt27950663</x:v>
      </x:c>
      <x:c r="H84" s="14" t="n">
        <x:v>2024</x:v>
      </x:c>
      <x:c r="I84" s="14" t="n">
        <x:v>2025</x:v>
      </x:c>
      <x:c r="J84" s="14" t="str">
        <x:v>Earlier-Production Carry-In Cohort</x:v>
      </x:c>
      <x:c r="K84" s="14" t="n">
        <x:v>2024</x:v>
      </x:c>
      <x:c r="L84" s="14" t="str">
        <x:v>Used in 2025 annual analysis</x:v>
      </x:c>
      <x:c r="M84" s="15" t="n">
        <x:v>65</x:v>
      </x:c>
      <x:c r="N84" s="14" t="str">
        <x:v>William Willoughby</x:v>
      </x:c>
      <x:c r="O84" s="14" t="str">
        <x:v>nm0932598</x:v>
      </x:c>
      <x:c r="P84" s="14" t="str">
        <x:v>Louis Oldham</x:v>
      </x:c>
      <x:c r="Q84" s="15" t="n">
        <x:v>2</x:v>
      </x:c>
      <x:c r="R84" s="14" t="str">
        <x:v>2025</x:v>
      </x:c>
      <x:c r="S84" s="14" t="n">
        <x:v>2025</x:v>
      </x:c>
      <x:c r="T84" s="14" t="n">
        <x:v>2025</x:v>
      </x:c>
      <x:c r="U84" s="14" t="str">
        <x:v>Explicit source first year retained</x:v>
      </x:c>
      <x:c r="V84" s="14" t="str">
        <x:v>Earliest supplied year is 2025.</x:v>
      </x:c>
      <x:c r="W84" s="14"/>
      <x:c r="X84" s="14" t="str">
        <x:v>Included</x:v>
      </x:c>
      <x:c r="Y84" s="14" t="str">
        <x:v>(as Will Willoughby)</x:v>
      </x:c>
      <x:c r="Z84" s="14" t="str">
        <x:v>The Marlow Murder Club.docx</x:v>
      </x:c>
      <x:c r="AA84" s="14" t="str">
        <x:v>HYPERLINK is not implemented. linkLocation=https://www.imdb.com/title/tt27950663/fullcredits/,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5 / 5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HYPERLINK("https://en.wikipedia.org/wiki/Robert_Thorogood","Open source")</x:f>
        <x:v>HYPERLINK is not implemented. linkLocation=https://en.wikipedia.org/wiki/Robert_Thorogood,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 t="str">
        <x:v>No established-register match</x:v>
      </x:c>
      <x:c r="AT84" s="14"/>
      <x:c r="AU84" s="14"/>
      <x:c r="AV84" s="14" t="str">
        <x:v>No established apparent-disability match</x:v>
      </x:c>
      <x:c r="AW84" s="14"/>
      <x:c r="AX84" s="14" t="str">
        <x:v>No</x:v>
      </x:c>
      <x:c r="AY84" s="14" t="str">
        <x:v>Unmatched</x:v>
      </x:c>
      <x:c r="AZ84" s="14" t="str">
        <x:v>Final supplied register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22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2</x:v>
      </x:c>
      <x:c r="BS84" s="16" t="n">
        <x:v>0.09090909090909091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HYPERLINK is not implemented. linkLocation=https://www.imdb.com/title/tt27950663/fullcredits/,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tt27950663|nm0498523|john teller</x:v>
      </x:c>
      <x:c r="B85" s="14" t="str">
        <x:v>05</x:v>
      </x:c>
      <x:c r="C85" s="14" t="str">
        <x:v>2024_IMDb_Cast_Lists_Batch_05(1).xlsx</x:v>
      </x:c>
      <x:c r="D85" s="14" t="str">
        <x:v>The Marlow Murder Club</x:v>
      </x:c>
      <x:c r="E85" s="14" t="n">
        <x:v>76</x:v>
      </x:c>
      <x:c r="F85" s="14" t="str">
        <x:v>The Marlow Murder Club</x:v>
      </x:c>
      <x:c r="G85" s="14" t="str">
        <x:v>tt27950663</x:v>
      </x:c>
      <x:c r="H85" s="14" t="n">
        <x:v>2024</x:v>
      </x:c>
      <x:c r="I85" s="14" t="n">
        <x:v>2025</x:v>
      </x:c>
      <x:c r="J85" s="14" t="str">
        <x:v>Earlier-Production Carry-In Cohort</x:v>
      </x:c>
      <x:c r="K85" s="14" t="n">
        <x:v>2024</x:v>
      </x:c>
      <x:c r="L85" s="14" t="str">
        <x:v>Used in 2025 annual analysis</x:v>
      </x:c>
      <x:c r="M85" s="15" t="n">
        <x:v>69</x:v>
      </x:c>
      <x:c r="N85" s="14" t="str">
        <x:v>Pete Lee-Wilson</x:v>
      </x:c>
      <x:c r="O85" s="14" t="str">
        <x:v>nm0498523</x:v>
      </x:c>
      <x:c r="P85" s="14" t="str">
        <x:v>John Teller</x:v>
      </x:c>
      <x:c r="Q85" s="15" t="n">
        <x:v>2</x:v>
      </x:c>
      <x:c r="R85" s="14" t="str">
        <x:v>2025</x:v>
      </x:c>
      <x:c r="S85" s="14" t="n">
        <x:v>2025</x:v>
      </x:c>
      <x:c r="T85" s="14" t="n">
        <x:v>2025</x:v>
      </x:c>
      <x:c r="U85" s="14" t="str">
        <x:v>Explicit source first year retained</x:v>
      </x:c>
      <x:c r="V85" s="14" t="str">
        <x:v>Earliest supplied year is 2025.</x:v>
      </x:c>
      <x:c r="W85" s="14"/>
      <x:c r="X85" s="14" t="str">
        <x:v>Included</x:v>
      </x:c>
      <x:c r="Y85" s="14" t="str">
        <x:v>(as Pete Lee Wilson)</x:v>
      </x:c>
      <x:c r="Z85" s="14" t="str">
        <x:v>The Marlow Murder Club.docx</x:v>
      </x:c>
      <x:c r="AA85" s="14" t="str">
        <x:v>HYPERLINK is not implemented. linkLocation=https://www.imdb.com/title/tt27950663/fullcredits/,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5 / 5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HYPERLINK("https://en.wikipedia.org/wiki/Robert_Thorogood","Open source")</x:f>
        <x:v>HYPERLINK is not implemented. linkLocation=https://en.wikipedia.org/wiki/Robert_Thorogood,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 t="str">
        <x:v>No established-register match</x:v>
      </x:c>
      <x:c r="AT85" s="14"/>
      <x:c r="AU85" s="14"/>
      <x:c r="AV85" s="14" t="str">
        <x:v>No established apparent-disability match</x:v>
      </x:c>
      <x:c r="AW85" s="14"/>
      <x:c r="AX85" s="14" t="str">
        <x:v>No</x:v>
      </x:c>
      <x:c r="AY85" s="14" t="str">
        <x:v>Unmatched</x:v>
      </x:c>
      <x:c r="AZ85" s="14" t="str">
        <x:v>Final supplied register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22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2</x:v>
      </x:c>
      <x:c r="BS85" s="16" t="n">
        <x:v>0.09090909090909091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HYPERLINK is not implemented. linkLocation=https://www.imdb.com/title/tt27950663/fullcredits/,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tt27950663|nm0418379|caroline wingrove</x:v>
      </x:c>
      <x:c r="B86" s="14" t="str">
        <x:v>05</x:v>
      </x:c>
      <x:c r="C86" s="14" t="str">
        <x:v>2024_IMDb_Cast_Lists_Batch_05(1).xlsx</x:v>
      </x:c>
      <x:c r="D86" s="14" t="str">
        <x:v>The Marlow Murder Club</x:v>
      </x:c>
      <x:c r="E86" s="14" t="n">
        <x:v>78</x:v>
      </x:c>
      <x:c r="F86" s="14" t="str">
        <x:v>The Marlow Murder Club</x:v>
      </x:c>
      <x:c r="G86" s="14" t="str">
        <x:v>tt27950663</x:v>
      </x:c>
      <x:c r="H86" s="14" t="n">
        <x:v>2024</x:v>
      </x:c>
      <x:c r="I86" s="14" t="n">
        <x:v>2025</x:v>
      </x:c>
      <x:c r="J86" s="14" t="str">
        <x:v>Earlier-Production Carry-In Cohort</x:v>
      </x:c>
      <x:c r="K86" s="14" t="n">
        <x:v>2024</x:v>
      </x:c>
      <x:c r="L86" s="14" t="str">
        <x:v>Used in 2025 annual analysis</x:v>
      </x:c>
      <x:c r="M86" s="15" t="n">
        <x:v>71</x:v>
      </x:c>
      <x:c r="N86" s="14" t="str">
        <x:v>Samantha Womack</x:v>
      </x:c>
      <x:c r="O86" s="14" t="str">
        <x:v>nm0418379</x:v>
      </x:c>
      <x:c r="P86" s="14" t="str">
        <x:v>Caroline Wingrove</x:v>
      </x:c>
      <x:c r="Q86" s="15" t="n">
        <x:v>2</x:v>
      </x:c>
      <x:c r="R86" s="14" t="str">
        <x:v>2025</x:v>
      </x:c>
      <x:c r="S86" s="14" t="n">
        <x:v>2025</x:v>
      </x:c>
      <x:c r="T86" s="14" t="n">
        <x:v>2025</x:v>
      </x:c>
      <x:c r="U86" s="14" t="str">
        <x:v>Explicit source first year retained</x:v>
      </x:c>
      <x:c r="V86" s="14" t="str">
        <x:v>Earliest supplied year is 2025.</x:v>
      </x:c>
      <x:c r="W86" s="14"/>
      <x:c r="X86" s="14" t="str">
        <x:v>Included</x:v>
      </x:c>
      <x:c r="Y86" s="14"/>
      <x:c r="Z86" s="14" t="str">
        <x:v>The Marlow Murder Club.docx</x:v>
      </x:c>
      <x:c r="AA86" s="14" t="str">
        <x:v>HYPERLINK is not implemented. linkLocation=https://www.imdb.com/title/tt27950663/fullcredits/,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5 / 5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HYPERLINK("https://en.wikipedia.org/wiki/Robert_Thorogood","Open source")</x:f>
        <x:v>HYPERLINK is not implemented. linkLocation=https://en.wikipedia.org/wiki/Robert_Thorogood,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 t="str">
        <x:v>No established-register match</x:v>
      </x:c>
      <x:c r="AT86" s="14"/>
      <x:c r="AU86" s="14"/>
      <x:c r="AV86" s="14" t="str">
        <x:v>No established apparent-disability match</x:v>
      </x:c>
      <x:c r="AW86" s="14"/>
      <x:c r="AX86" s="14" t="str">
        <x:v>No</x:v>
      </x:c>
      <x:c r="AY86" s="14" t="str">
        <x:v>Unmatched</x:v>
      </x:c>
      <x:c r="AZ86" s="14" t="str">
        <x:v>Final supplied register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22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2</x:v>
      </x:c>
      <x:c r="BS86" s="16" t="n">
        <x:v>0.09090909090909091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HYPERLINK is not implemented. linkLocation=https://www.imdb.com/title/tt27950663/fullcredits/,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tt27950663|nm0535582|james wyckham</x:v>
      </x:c>
      <x:c r="B87" s="14" t="str">
        <x:v>05</x:v>
      </x:c>
      <x:c r="C87" s="14" t="str">
        <x:v>2024_IMDb_Cast_Lists_Batch_05(1).xlsx</x:v>
      </x:c>
      <x:c r="D87" s="14" t="str">
        <x:v>The Marlow Murder Club</x:v>
      </x:c>
      <x:c r="E87" s="14" t="n">
        <x:v>79</x:v>
      </x:c>
      <x:c r="F87" s="14" t="str">
        <x:v>The Marlow Murder Club</x:v>
      </x:c>
      <x:c r="G87" s="14" t="str">
        <x:v>tt27950663</x:v>
      </x:c>
      <x:c r="H87" s="14" t="n">
        <x:v>2024</x:v>
      </x:c>
      <x:c r="I87" s="14" t="n">
        <x:v>2025</x:v>
      </x:c>
      <x:c r="J87" s="14" t="str">
        <x:v>Earlier-Production Carry-In Cohort</x:v>
      </x:c>
      <x:c r="K87" s="14" t="n">
        <x:v>2024</x:v>
      </x:c>
      <x:c r="L87" s="14" t="str">
        <x:v>Used in 2025 annual analysis</x:v>
      </x:c>
      <x:c r="M87" s="15" t="n">
        <x:v>72</x:v>
      </x:c>
      <x:c r="N87" s="14" t="str">
        <x:v>Dominic Mafham</x:v>
      </x:c>
      <x:c r="O87" s="14" t="str">
        <x:v>nm0535582</x:v>
      </x:c>
      <x:c r="P87" s="14" t="str">
        <x:v>James Wyckham</x:v>
      </x:c>
      <x:c r="Q87" s="15" t="n">
        <x:v>2</x:v>
      </x:c>
      <x:c r="R87" s="14" t="str">
        <x:v>2025</x:v>
      </x:c>
      <x:c r="S87" s="14" t="n">
        <x:v>2025</x:v>
      </x:c>
      <x:c r="T87" s="14" t="n">
        <x:v>2025</x:v>
      </x:c>
      <x:c r="U87" s="14" t="str">
        <x:v>Explicit source first year retained</x:v>
      </x:c>
      <x:c r="V87" s="14" t="str">
        <x:v>Earliest supplied year is 2025.</x:v>
      </x:c>
      <x:c r="W87" s="14"/>
      <x:c r="X87" s="14" t="str">
        <x:v>Included</x:v>
      </x:c>
      <x:c r="Y87" s="14"/>
      <x:c r="Z87" s="14" t="str">
        <x:v>The Marlow Murder Club.docx</x:v>
      </x:c>
      <x:c r="AA87" s="14" t="str">
        <x:v>HYPERLINK is not implemented. linkLocation=https://www.imdb.com/title/tt27950663/fullcredits/,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5 / 5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HYPERLINK("https://en.wikipedia.org/wiki/Robert_Thorogood","Open source")</x:f>
        <x:v>HYPERLINK is not implemented. linkLocation=https://en.wikipedia.org/wiki/Robert_Thorogood,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 t="str">
        <x:v>No established-register match</x:v>
      </x:c>
      <x:c r="AT87" s="14"/>
      <x:c r="AU87" s="14"/>
      <x:c r="AV87" s="14" t="str">
        <x:v>No established apparent-disability match</x:v>
      </x:c>
      <x:c r="AW87" s="14"/>
      <x:c r="AX87" s="14" t="str">
        <x:v>No</x:v>
      </x:c>
      <x:c r="AY87" s="14" t="str">
        <x:v>Unmatched</x:v>
      </x:c>
      <x:c r="AZ87" s="14" t="str">
        <x:v>Final supplied register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22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2</x:v>
      </x:c>
      <x:c r="BS87" s="16" t="n">
        <x:v>0.09090909090909091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HYPERLINK is not implemented. linkLocation=https://www.imdb.com/title/tt27950663/fullcredits/,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tt27950663|nm3604619|jenny page</x:v>
      </x:c>
      <x:c r="B88" s="14" t="str">
        <x:v>05</x:v>
      </x:c>
      <x:c r="C88" s="14" t="str">
        <x:v>2024_IMDb_Cast_Lists_Batch_05(1).xlsx</x:v>
      </x:c>
      <x:c r="D88" s="14" t="str">
        <x:v>The Marlow Murder Club</x:v>
      </x:c>
      <x:c r="E88" s="14" t="n">
        <x:v>80</x:v>
      </x:c>
      <x:c r="F88" s="14" t="str">
        <x:v>The Marlow Murder Club</x:v>
      </x:c>
      <x:c r="G88" s="14" t="str">
        <x:v>tt27950663</x:v>
      </x:c>
      <x:c r="H88" s="14" t="n">
        <x:v>2024</x:v>
      </x:c>
      <x:c r="I88" s="14" t="n">
        <x:v>2025</x:v>
      </x:c>
      <x:c r="J88" s="14" t="str">
        <x:v>Earlier-Production Carry-In Cohort</x:v>
      </x:c>
      <x:c r="K88" s="14" t="n">
        <x:v>2024</x:v>
      </x:c>
      <x:c r="L88" s="14" t="str">
        <x:v>Used in 2025 annual analysis</x:v>
      </x:c>
      <x:c r="M88" s="15" t="n">
        <x:v>73</x:v>
      </x:c>
      <x:c r="N88" s="14" t="str">
        <x:v>Yuna Shin</x:v>
      </x:c>
      <x:c r="O88" s="14" t="str">
        <x:v>nm3604619</x:v>
      </x:c>
      <x:c r="P88" s="14" t="str">
        <x:v>Jenny Page</x:v>
      </x:c>
      <x:c r="Q88" s="15" t="n">
        <x:v>2</x:v>
      </x:c>
      <x:c r="R88" s="14" t="str">
        <x:v>2025</x:v>
      </x:c>
      <x:c r="S88" s="14" t="n">
        <x:v>2025</x:v>
      </x:c>
      <x:c r="T88" s="14" t="n">
        <x:v>2025</x:v>
      </x:c>
      <x:c r="U88" s="14" t="str">
        <x:v>Explicit source first year retained</x:v>
      </x:c>
      <x:c r="V88" s="14" t="str">
        <x:v>Earliest supplied year is 2025.</x:v>
      </x:c>
      <x:c r="W88" s="14"/>
      <x:c r="X88" s="14" t="str">
        <x:v>Included</x:v>
      </x:c>
      <x:c r="Y88" s="14"/>
      <x:c r="Z88" s="14" t="str">
        <x:v>The Marlow Murder Club.docx</x:v>
      </x:c>
      <x:c r="AA88" s="14" t="str">
        <x:v>HYPERLINK is not implemented. linkLocation=https://www.imdb.com/title/tt27950663/fullcredits/,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5 / 5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HYPERLINK("https://en.wikipedia.org/wiki/Robert_Thorogood","Open source")</x:f>
        <x:v>HYPERLINK is not implemented. linkLocation=https://en.wikipedia.org/wiki/Robert_Thorogood,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 t="str">
        <x:v>No established-register match</x:v>
      </x:c>
      <x:c r="AT88" s="14"/>
      <x:c r="AU88" s="14"/>
      <x:c r="AV88" s="14" t="str">
        <x:v>No established apparent-disability match</x:v>
      </x:c>
      <x:c r="AW88" s="14"/>
      <x:c r="AX88" s="14" t="str">
        <x:v>No</x:v>
      </x:c>
      <x:c r="AY88" s="14" t="str">
        <x:v>Unmatched</x:v>
      </x:c>
      <x:c r="AZ88" s="14" t="str">
        <x:v>Final supplied register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22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2</x:v>
      </x:c>
      <x:c r="BS88" s="16" t="n">
        <x:v>0.09090909090909091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HYPERLINK is not implemented. linkLocation=https://www.imdb.com/title/tt27950663/fullcredits/,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tt27950663|nm4494491|tristram bailey</x:v>
      </x:c>
      <x:c r="B89" s="14" t="str">
        <x:v>05</x:v>
      </x:c>
      <x:c r="C89" s="14" t="str">
        <x:v>2024_IMDb_Cast_Lists_Batch_05(1).xlsx</x:v>
      </x:c>
      <x:c r="D89" s="14" t="str">
        <x:v>The Marlow Murder Club</x:v>
      </x:c>
      <x:c r="E89" s="14" t="n">
        <x:v>81</x:v>
      </x:c>
      <x:c r="F89" s="14" t="str">
        <x:v>The Marlow Murder Club</x:v>
      </x:c>
      <x:c r="G89" s="14" t="str">
        <x:v>tt27950663</x:v>
      </x:c>
      <x:c r="H89" s="14" t="n">
        <x:v>2024</x:v>
      </x:c>
      <x:c r="I89" s="14" t="n">
        <x:v>2025</x:v>
      </x:c>
      <x:c r="J89" s="14" t="str">
        <x:v>Earlier-Production Carry-In Cohort</x:v>
      </x:c>
      <x:c r="K89" s="14" t="n">
        <x:v>2024</x:v>
      </x:c>
      <x:c r="L89" s="14" t="str">
        <x:v>Used in 2025 annual analysis</x:v>
      </x:c>
      <x:c r="M89" s="15" t="n">
        <x:v>74</x:v>
      </x:c>
      <x:c r="N89" s="14" t="str">
        <x:v>Tom Stourton</x:v>
      </x:c>
      <x:c r="O89" s="14" t="str">
        <x:v>nm4494491</x:v>
      </x:c>
      <x:c r="P89" s="14" t="str">
        <x:v>Tristram Bailey</x:v>
      </x:c>
      <x:c r="Q89" s="15" t="n">
        <x:v>2</x:v>
      </x:c>
      <x:c r="R89" s="14" t="str">
        <x:v>2025</x:v>
      </x:c>
      <x:c r="S89" s="14" t="n">
        <x:v>2025</x:v>
      </x:c>
      <x:c r="T89" s="14" t="n">
        <x:v>2025</x:v>
      </x:c>
      <x:c r="U89" s="14" t="str">
        <x:v>Explicit source first year retained</x:v>
      </x:c>
      <x:c r="V89" s="14" t="str">
        <x:v>Earliest supplied year is 2025.</x:v>
      </x:c>
      <x:c r="W89" s="14"/>
      <x:c r="X89" s="14" t="str">
        <x:v>Included</x:v>
      </x:c>
      <x:c r="Y89" s="14"/>
      <x:c r="Z89" s="14" t="str">
        <x:v>The Marlow Murder Club.docx</x:v>
      </x:c>
      <x:c r="AA89" s="14" t="str">
        <x:v>HYPERLINK is not implemented. linkLocation=https://www.imdb.com/title/tt27950663/fullcredits/,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5 / 5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HYPERLINK("https://en.wikipedia.org/wiki/Robert_Thorogood","Open source")</x:f>
        <x:v>HYPERLINK is not implemented. linkLocation=https://en.wikipedia.org/wiki/Robert_Thorogood,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 t="str">
        <x:v>No established-register match</x:v>
      </x:c>
      <x:c r="AT89" s="14"/>
      <x:c r="AU89" s="14"/>
      <x:c r="AV89" s="14" t="str">
        <x:v>No established apparent-disability match</x:v>
      </x:c>
      <x:c r="AW89" s="14"/>
      <x:c r="AX89" s="14" t="str">
        <x:v>No</x:v>
      </x:c>
      <x:c r="AY89" s="14" t="str">
        <x:v>Unmatched</x:v>
      </x:c>
      <x:c r="AZ89" s="14" t="str">
        <x:v>Final supplied register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22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2</x:v>
      </x:c>
      <x:c r="BS89" s="16" t="n">
        <x:v>0.09090909090909091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HYPERLINK is not implemented. linkLocation=https://www.imdb.com/title/tt27950663/fullcredits/,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tt27950663|nm5913306|jed hawkins</x:v>
      </x:c>
      <x:c r="B90" s="14" t="str">
        <x:v>05</x:v>
      </x:c>
      <x:c r="C90" s="14" t="str">
        <x:v>2024_IMDb_Cast_Lists_Batch_05(1).xlsx</x:v>
      </x:c>
      <x:c r="D90" s="14" t="str">
        <x:v>The Marlow Murder Club</x:v>
      </x:c>
      <x:c r="E90" s="14" t="n">
        <x:v>82</x:v>
      </x:c>
      <x:c r="F90" s="14" t="str">
        <x:v>The Marlow Murder Club</x:v>
      </x:c>
      <x:c r="G90" s="14" t="str">
        <x:v>tt27950663</x:v>
      </x:c>
      <x:c r="H90" s="14" t="n">
        <x:v>2024</x:v>
      </x:c>
      <x:c r="I90" s="14" t="n">
        <x:v>2025</x:v>
      </x:c>
      <x:c r="J90" s="14" t="str">
        <x:v>Earlier-Production Carry-In Cohort</x:v>
      </x:c>
      <x:c r="K90" s="14" t="n">
        <x:v>2024</x:v>
      </x:c>
      <x:c r="L90" s="14" t="str">
        <x:v>Used in 2025 annual analysis</x:v>
      </x:c>
      <x:c r="M90" s="15" t="n">
        <x:v>75</x:v>
      </x:c>
      <x:c r="N90" s="14" t="str">
        <x:v>Mark Quartley</x:v>
      </x:c>
      <x:c r="O90" s="14" t="str">
        <x:v>nm5913306</x:v>
      </x:c>
      <x:c r="P90" s="14" t="str">
        <x:v>Jed Hawkins</x:v>
      </x:c>
      <x:c r="Q90" s="15" t="n">
        <x:v>2</x:v>
      </x:c>
      <x:c r="R90" s="14" t="str">
        <x:v>2025</x:v>
      </x:c>
      <x:c r="S90" s="14" t="n">
        <x:v>2025</x:v>
      </x:c>
      <x:c r="T90" s="14" t="n">
        <x:v>2025</x:v>
      </x:c>
      <x:c r="U90" s="14" t="str">
        <x:v>Explicit source first year retained</x:v>
      </x:c>
      <x:c r="V90" s="14" t="str">
        <x:v>Earliest supplied year is 2025.</x:v>
      </x:c>
      <x:c r="W90" s="14"/>
      <x:c r="X90" s="14" t="str">
        <x:v>Included</x:v>
      </x:c>
      <x:c r="Y90" s="14"/>
      <x:c r="Z90" s="14" t="str">
        <x:v>The Marlow Murder Club.docx</x:v>
      </x:c>
      <x:c r="AA90" s="14" t="str">
        <x:v>HYPERLINK is not implemented. linkLocation=https://www.imdb.com/title/tt27950663/fullcredits/,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Channel 5 / 5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HYPERLINK("https://en.wikipedia.org/wiki/Robert_Thorogood","Open source")</x:f>
        <x:v>HYPERLINK is not implemented. linkLocation=https://en.wikipedia.org/wiki/Robert_Thorogood, friendlyName=Open source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 t="str">
        <x:v>No established-register match</x:v>
      </x:c>
      <x:c r="AT90" s="14"/>
      <x:c r="AU90" s="14"/>
      <x:c r="AV90" s="14" t="str">
        <x:v>No established apparent-disability match</x:v>
      </x:c>
      <x:c r="AW90" s="14"/>
      <x:c r="AX90" s="14" t="str">
        <x:v>No</x:v>
      </x:c>
      <x:c r="AY90" s="14" t="str">
        <x:v>Unmatched</x:v>
      </x:c>
      <x:c r="AZ90" s="14" t="str">
        <x:v>Final supplied register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22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2</x:v>
      </x:c>
      <x:c r="BS90" s="16" t="n">
        <x:v>0.09090909090909091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HYPERLINK is not implemented. linkLocation=https://www.imdb.com/title/tt27950663/fullcredits/,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tt27950663|nm0928134|sir peter bailey</x:v>
      </x:c>
      <x:c r="B91" s="14" t="str">
        <x:v>05</x:v>
      </x:c>
      <x:c r="C91" s="14" t="str">
        <x:v>2024_IMDb_Cast_Lists_Batch_05(1).xlsx</x:v>
      </x:c>
      <x:c r="D91" s="14" t="str">
        <x:v>The Marlow Murder Club</x:v>
      </x:c>
      <x:c r="E91" s="14" t="n">
        <x:v>83</x:v>
      </x:c>
      <x:c r="F91" s="14" t="str">
        <x:v>The Marlow Murder Club</x:v>
      </x:c>
      <x:c r="G91" s="14" t="str">
        <x:v>tt27950663</x:v>
      </x:c>
      <x:c r="H91" s="14" t="n">
        <x:v>2024</x:v>
      </x:c>
      <x:c r="I91" s="14" t="n">
        <x:v>2025</x:v>
      </x:c>
      <x:c r="J91" s="14" t="str">
        <x:v>Earlier-Production Carry-In Cohort</x:v>
      </x:c>
      <x:c r="K91" s="14" t="n">
        <x:v>2024</x:v>
      </x:c>
      <x:c r="L91" s="14" t="str">
        <x:v>Used in 2025 annual analysis</x:v>
      </x:c>
      <x:c r="M91" s="15" t="n">
        <x:v>76</x:v>
      </x:c>
      <x:c r="N91" s="14" t="str">
        <x:v>James Wilby</x:v>
      </x:c>
      <x:c r="O91" s="14" t="str">
        <x:v>nm0928134</x:v>
      </x:c>
      <x:c r="P91" s="14" t="str">
        <x:v>Sir Peter Bailey</x:v>
      </x:c>
      <x:c r="Q91" s="15" t="n">
        <x:v>2</x:v>
      </x:c>
      <x:c r="R91" s="14" t="str">
        <x:v>2025</x:v>
      </x:c>
      <x:c r="S91" s="14" t="n">
        <x:v>2025</x:v>
      </x:c>
      <x:c r="T91" s="14" t="n">
        <x:v>2025</x:v>
      </x:c>
      <x:c r="U91" s="14" t="str">
        <x:v>Explicit source first year retained</x:v>
      </x:c>
      <x:c r="V91" s="14" t="str">
        <x:v>Earliest supplied year is 2025.</x:v>
      </x:c>
      <x:c r="W91" s="14"/>
      <x:c r="X91" s="14" t="str">
        <x:v>Included</x:v>
      </x:c>
      <x:c r="Y91" s="14"/>
      <x:c r="Z91" s="14" t="str">
        <x:v>The Marlow Murder Club.docx</x:v>
      </x:c>
      <x:c r="AA91" s="14" t="str">
        <x:v>HYPERLINK is not implemented. linkLocation=https://www.imdb.com/title/tt27950663/fullcredits/,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Channel 5 / 5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HYPERLINK("https://en.wikipedia.org/wiki/Robert_Thorogood","Open source")</x:f>
        <x:v>HYPERLINK is not implemented. linkLocation=https://en.wikipedia.org/wiki/Robert_Thorogood, friendlyName=Open source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 t="str">
        <x:v>No established-register match</x:v>
      </x:c>
      <x:c r="AT91" s="14"/>
      <x:c r="AU91" s="14"/>
      <x:c r="AV91" s="14" t="str">
        <x:v>No established apparent-disability match</x:v>
      </x:c>
      <x:c r="AW91" s="14"/>
      <x:c r="AX91" s="14" t="str">
        <x:v>No</x:v>
      </x:c>
      <x:c r="AY91" s="14" t="str">
        <x:v>Unmatched</x:v>
      </x:c>
      <x:c r="AZ91" s="14" t="str">
        <x:v>Final supplied register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22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2</x:v>
      </x:c>
      <x:c r="BS91" s="16" t="n">
        <x:v>0.09090909090909091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HYPERLINK is not implemented. linkLocation=https://www.imdb.com/title/tt27950663/fullcredits/,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tt27950663|nm6054918|des adams</x:v>
      </x:c>
      <x:c r="B92" s="14" t="str">
        <x:v>05</x:v>
      </x:c>
      <x:c r="C92" s="14" t="str">
        <x:v>2024_IMDb_Cast_Lists_Batch_05(1).xlsx</x:v>
      </x:c>
      <x:c r="D92" s="14" t="str">
        <x:v>The Marlow Murder Club</x:v>
      </x:c>
      <x:c r="E92" s="14" t="n">
        <x:v>86</x:v>
      </x:c>
      <x:c r="F92" s="14" t="str">
        <x:v>The Marlow Murder Club</x:v>
      </x:c>
      <x:c r="G92" s="14" t="str">
        <x:v>tt27950663</x:v>
      </x:c>
      <x:c r="H92" s="14" t="n">
        <x:v>2024</x:v>
      </x:c>
      <x:c r="I92" s="14" t="n">
        <x:v>2025</x:v>
      </x:c>
      <x:c r="J92" s="14" t="str">
        <x:v>Earlier-Production Carry-In Cohort</x:v>
      </x:c>
      <x:c r="K92" s="14" t="n">
        <x:v>2024</x:v>
      </x:c>
      <x:c r="L92" s="14" t="str">
        <x:v>Used in 2025 annual analysis</x:v>
      </x:c>
      <x:c r="M92" s="15" t="n">
        <x:v>79</x:v>
      </x:c>
      <x:c r="N92" s="14" t="str">
        <x:v>Stephen Agnew</x:v>
      </x:c>
      <x:c r="O92" s="14" t="str">
        <x:v>nm6054918</x:v>
      </x:c>
      <x:c r="P92" s="14" t="str">
        <x:v>Des Adams</x:v>
      </x:c>
      <x:c r="Q92" s="15" t="n">
        <x:v>1</x:v>
      </x:c>
      <x:c r="R92" s="14" t="str">
        <x:v>2025</x:v>
      </x:c>
      <x:c r="S92" s="14" t="n">
        <x:v>2025</x:v>
      </x:c>
      <x:c r="T92" s="14" t="n">
        <x:v>2025</x:v>
      </x:c>
      <x:c r="U92" s="14" t="str">
        <x:v>Explicit source first year retained</x:v>
      </x:c>
      <x:c r="V92" s="14" t="str">
        <x:v>Earliest supplied year is 2025.</x:v>
      </x:c>
      <x:c r="W92" s="14"/>
      <x:c r="X92" s="14" t="str">
        <x:v>Included</x:v>
      </x:c>
      <x:c r="Y92" s="14"/>
      <x:c r="Z92" s="14" t="str">
        <x:v>The Marlow Murder Club.docx</x:v>
      </x:c>
      <x:c r="AA92" s="14" t="str">
        <x:v>HYPERLINK is not implemented. linkLocation=https://www.imdb.com/title/tt27950663/fullcredits/,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Channel 5 / 5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HYPERLINK("https://en.wikipedia.org/wiki/Robert_Thorogood","Open source")</x:f>
        <x:v>HYPERLINK is not implemented. linkLocation=https://en.wikipedia.org/wiki/Robert_Thorogood, friendlyName=Open source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 t="str">
        <x:v>No established-register match</x:v>
      </x:c>
      <x:c r="AT92" s="14"/>
      <x:c r="AU92" s="14"/>
      <x:c r="AV92" s="14" t="str">
        <x:v>No established apparent-disability match</x:v>
      </x:c>
      <x:c r="AW92" s="14"/>
      <x:c r="AX92" s="14" t="str">
        <x:v>No</x:v>
      </x:c>
      <x:c r="AY92" s="14" t="str">
        <x:v>Unmatched</x:v>
      </x:c>
      <x:c r="AZ92" s="14" t="str">
        <x:v>Final supplied register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22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0.045454545454545456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HYPERLINK is not implemented. linkLocation=https://www.imdb.com/title/tt27950663/fullcredits/,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tt27950663|nm7905717|evie wingrove</x:v>
      </x:c>
      <x:c r="B93" s="14" t="str">
        <x:v>05</x:v>
      </x:c>
      <x:c r="C93" s="14" t="str">
        <x:v>2024_IMDb_Cast_Lists_Batch_05(1).xlsx</x:v>
      </x:c>
      <x:c r="D93" s="14" t="str">
        <x:v>The Marlow Murder Club</x:v>
      </x:c>
      <x:c r="E93" s="14" t="n">
        <x:v>87</x:v>
      </x:c>
      <x:c r="F93" s="14" t="str">
        <x:v>The Marlow Murder Club</x:v>
      </x:c>
      <x:c r="G93" s="14" t="str">
        <x:v>tt27950663</x:v>
      </x:c>
      <x:c r="H93" s="14" t="n">
        <x:v>2024</x:v>
      </x:c>
      <x:c r="I93" s="14" t="n">
        <x:v>2025</x:v>
      </x:c>
      <x:c r="J93" s="14" t="str">
        <x:v>Earlier-Production Carry-In Cohort</x:v>
      </x:c>
      <x:c r="K93" s="14" t="n">
        <x:v>2024</x:v>
      </x:c>
      <x:c r="L93" s="14" t="str">
        <x:v>Used in 2025 annual analysis</x:v>
      </x:c>
      <x:c r="M93" s="15" t="n">
        <x:v>80</x:v>
      </x:c>
      <x:c r="N93" s="14" t="str">
        <x:v>Koko Basigara</x:v>
      </x:c>
      <x:c r="O93" s="14" t="str">
        <x:v>nm7905717</x:v>
      </x:c>
      <x:c r="P93" s="14" t="str">
        <x:v>Evie Wingrove</x:v>
      </x:c>
      <x:c r="Q93" s="15" t="n">
        <x:v>1</x:v>
      </x:c>
      <x:c r="R93" s="14" t="str">
        <x:v>2025</x:v>
      </x:c>
      <x:c r="S93" s="14" t="n">
        <x:v>2025</x:v>
      </x:c>
      <x:c r="T93" s="14" t="n">
        <x:v>2025</x:v>
      </x:c>
      <x:c r="U93" s="14" t="str">
        <x:v>Explicit source first year retained</x:v>
      </x:c>
      <x:c r="V93" s="14" t="str">
        <x:v>Earliest supplied year is 2025.</x:v>
      </x:c>
      <x:c r="W93" s="14"/>
      <x:c r="X93" s="14" t="str">
        <x:v>Included</x:v>
      </x:c>
      <x:c r="Y93" s="14"/>
      <x:c r="Z93" s="14" t="str">
        <x:v>The Marlow Murder Club.docx</x:v>
      </x:c>
      <x:c r="AA93" s="14" t="str">
        <x:v>HYPERLINK is not implemented. linkLocation=https://www.imdb.com/title/tt27950663/fullcredits/,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Channel 5 / 5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HYPERLINK("https://en.wikipedia.org/wiki/Robert_Thorogood","Open source")</x:f>
        <x:v>HYPERLINK is not implemented. linkLocation=https://en.wikipedia.org/wiki/Robert_Thorogood, friendlyName=Open source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 t="str">
        <x:v>No established-register match</x:v>
      </x:c>
      <x:c r="AT93" s="14"/>
      <x:c r="AU93" s="14"/>
      <x:c r="AV93" s="14" t="str">
        <x:v>No established apparent-disability match</x:v>
      </x:c>
      <x:c r="AW93" s="14"/>
      <x:c r="AX93" s="14" t="str">
        <x:v>No</x:v>
      </x:c>
      <x:c r="AY93" s="14" t="str">
        <x:v>Unmatched</x:v>
      </x:c>
      <x:c r="AZ93" s="14" t="str">
        <x:v>Final supplied register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22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0.045454545454545456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HYPERLINK is not implemented. linkLocation=https://www.imdb.com/title/tt27950663/fullcredits/,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tt27950663|nm10428296|seb teller</x:v>
      </x:c>
      <x:c r="B94" s="14" t="str">
        <x:v>05</x:v>
      </x:c>
      <x:c r="C94" s="14" t="str">
        <x:v>2024_IMDb_Cast_Lists_Batch_05(1).xlsx</x:v>
      </x:c>
      <x:c r="D94" s="14" t="str">
        <x:v>The Marlow Murder Club</x:v>
      </x:c>
      <x:c r="E94" s="14" t="n">
        <x:v>89</x:v>
      </x:c>
      <x:c r="F94" s="14" t="str">
        <x:v>The Marlow Murder Club</x:v>
      </x:c>
      <x:c r="G94" s="14" t="str">
        <x:v>tt27950663</x:v>
      </x:c>
      <x:c r="H94" s="14" t="n">
        <x:v>2024</x:v>
      </x:c>
      <x:c r="I94" s="14" t="n">
        <x:v>2025</x:v>
      </x:c>
      <x:c r="J94" s="14" t="str">
        <x:v>Earlier-Production Carry-In Cohort</x:v>
      </x:c>
      <x:c r="K94" s="14" t="n">
        <x:v>2024</x:v>
      </x:c>
      <x:c r="L94" s="14" t="str">
        <x:v>Used in 2025 annual analysis</x:v>
      </x:c>
      <x:c r="M94" s="15" t="n">
        <x:v>82</x:v>
      </x:c>
      <x:c r="N94" s="14" t="str">
        <x:v>Doren John Farmer</x:v>
      </x:c>
      <x:c r="O94" s="14" t="str">
        <x:v>nm10428296</x:v>
      </x:c>
      <x:c r="P94" s="14" t="str">
        <x:v>Seb Teller</x:v>
      </x:c>
      <x:c r="Q94" s="15" t="n">
        <x:v>1</x:v>
      </x:c>
      <x:c r="R94" s="14" t="str">
        <x:v>2025</x:v>
      </x:c>
      <x:c r="S94" s="14" t="n">
        <x:v>2025</x:v>
      </x:c>
      <x:c r="T94" s="14" t="n">
        <x:v>2025</x:v>
      </x:c>
      <x:c r="U94" s="14" t="str">
        <x:v>Explicit source first year retained</x:v>
      </x:c>
      <x:c r="V94" s="14" t="str">
        <x:v>Earliest supplied year is 2025.</x:v>
      </x:c>
      <x:c r="W94" s="14"/>
      <x:c r="X94" s="14" t="str">
        <x:v>Included</x:v>
      </x:c>
      <x:c r="Y94" s="14" t="str">
        <x:v>(as Doren Farmer)</x:v>
      </x:c>
      <x:c r="Z94" s="14" t="str">
        <x:v>The Marlow Murder Club.docx</x:v>
      </x:c>
      <x:c r="AA94" s="14" t="str">
        <x:v>HYPERLINK is not implemented. linkLocation=https://www.imdb.com/title/tt27950663/fullcredits/,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Channel 5 / 5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HYPERLINK("https://en.wikipedia.org/wiki/Robert_Thorogood","Open source")</x:f>
        <x:v>HYPERLINK is not implemented. linkLocation=https://en.wikipedia.org/wiki/Robert_Thorogood, friendlyName=Open source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 t="str">
        <x:v>No established-register match</x:v>
      </x:c>
      <x:c r="AT94" s="14"/>
      <x:c r="AU94" s="14"/>
      <x:c r="AV94" s="14" t="str">
        <x:v>No established apparent-disability match</x:v>
      </x:c>
      <x:c r="AW94" s="14"/>
      <x:c r="AX94" s="14" t="str">
        <x:v>No</x:v>
      </x:c>
      <x:c r="AY94" s="14" t="str">
        <x:v>Unmatched</x:v>
      </x:c>
      <x:c r="AZ94" s="14" t="str">
        <x:v>Final supplied register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22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0.045454545454545456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HYPERLINK is not implemented. linkLocation=https://www.imdb.com/title/tt27950663/fullcredits/,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tt27950663|nm0267256|sue whybrow</x:v>
      </x:c>
      <x:c r="B95" s="14" t="str">
        <x:v>05</x:v>
      </x:c>
      <x:c r="C95" s="14" t="str">
        <x:v>2024_IMDb_Cast_Lists_Batch_05(1).xlsx</x:v>
      </x:c>
      <x:c r="D95" s="14" t="str">
        <x:v>The Marlow Murder Club</x:v>
      </x:c>
      <x:c r="E95" s="14" t="n">
        <x:v>92</x:v>
      </x:c>
      <x:c r="F95" s="14" t="str">
        <x:v>The Marlow Murder Club</x:v>
      </x:c>
      <x:c r="G95" s="14" t="str">
        <x:v>tt27950663</x:v>
      </x:c>
      <x:c r="H95" s="14" t="n">
        <x:v>2024</x:v>
      </x:c>
      <x:c r="I95" s="14" t="n">
        <x:v>2025</x:v>
      </x:c>
      <x:c r="J95" s="14" t="str">
        <x:v>Earlier-Production Carry-In Cohort</x:v>
      </x:c>
      <x:c r="K95" s="14" t="n">
        <x:v>2024</x:v>
      </x:c>
      <x:c r="L95" s="14" t="str">
        <x:v>Used in 2025 annual analysis</x:v>
      </x:c>
      <x:c r="M95" s="15" t="n">
        <x:v>85</x:v>
      </x:c>
      <x:c r="N95" s="14" t="str">
        <x:v>Souad Faress</x:v>
      </x:c>
      <x:c r="O95" s="14" t="str">
        <x:v>nm0267256</x:v>
      </x:c>
      <x:c r="P95" s="14" t="str">
        <x:v>Sue Whybrow</x:v>
      </x:c>
      <x:c r="Q95" s="15" t="n">
        <x:v>1</x:v>
      </x:c>
      <x:c r="R95" s="14" t="str">
        <x:v>2025</x:v>
      </x:c>
      <x:c r="S95" s="14" t="n">
        <x:v>2025</x:v>
      </x:c>
      <x:c r="T95" s="14" t="n">
        <x:v>2025</x:v>
      </x:c>
      <x:c r="U95" s="14" t="str">
        <x:v>Explicit source first year retained</x:v>
      </x:c>
      <x:c r="V95" s="14" t="str">
        <x:v>Earliest supplied year is 2025.</x:v>
      </x:c>
      <x:c r="W95" s="14"/>
      <x:c r="X95" s="14" t="str">
        <x:v>Included</x:v>
      </x:c>
      <x:c r="Y95" s="14"/>
      <x:c r="Z95" s="14" t="str">
        <x:v>The Marlow Murder Club.docx</x:v>
      </x:c>
      <x:c r="AA95" s="14" t="str">
        <x:v>HYPERLINK is not implemented. linkLocation=https://www.imdb.com/title/tt27950663/fullcredits/,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Channel 5 / 5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HYPERLINK("https://en.wikipedia.org/wiki/Robert_Thorogood","Open source")</x:f>
        <x:v>HYPERLINK is not implemented. linkLocation=https://en.wikipedia.org/wiki/Robert_Thorogood, friendlyName=Open source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 t="str">
        <x:v>No established-register match</x:v>
      </x:c>
      <x:c r="AT95" s="14"/>
      <x:c r="AU95" s="14"/>
      <x:c r="AV95" s="14" t="str">
        <x:v>No established apparent-disability match</x:v>
      </x:c>
      <x:c r="AW95" s="14"/>
      <x:c r="AX95" s="14" t="str">
        <x:v>No</x:v>
      </x:c>
      <x:c r="AY95" s="14" t="str">
        <x:v>Unmatched</x:v>
      </x:c>
      <x:c r="AZ95" s="14" t="str">
        <x:v>Final supplied register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22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0.045454545454545456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HYPERLINK is not implemented. linkLocation=https://www.imdb.com/title/tt27950663/fullcredits/,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tt27950663|nm0120550|william locke</x:v>
      </x:c>
      <x:c r="B96" s="14" t="str">
        <x:v>05</x:v>
      </x:c>
      <x:c r="C96" s="14" t="str">
        <x:v>2024_IMDb_Cast_Lists_Batch_05(1).xlsx</x:v>
      </x:c>
      <x:c r="D96" s="14" t="str">
        <x:v>The Marlow Murder Club</x:v>
      </x:c>
      <x:c r="E96" s="14" t="n">
        <x:v>94</x:v>
      </x:c>
      <x:c r="F96" s="14" t="str">
        <x:v>The Marlow Murder Club</x:v>
      </x:c>
      <x:c r="G96" s="14" t="str">
        <x:v>tt27950663</x:v>
      </x:c>
      <x:c r="H96" s="14" t="n">
        <x:v>2024</x:v>
      </x:c>
      <x:c r="I96" s="14" t="n">
        <x:v>2025</x:v>
      </x:c>
      <x:c r="J96" s="14" t="str">
        <x:v>Earlier-Production Carry-In Cohort</x:v>
      </x:c>
      <x:c r="K96" s="14" t="n">
        <x:v>2024</x:v>
      </x:c>
      <x:c r="L96" s="14" t="str">
        <x:v>Used in 2025 annual analysis</x:v>
      </x:c>
      <x:c r="M96" s="15" t="n">
        <x:v>87</x:v>
      </x:c>
      <x:c r="N96" s="14" t="str">
        <x:v>Antony Bunsee</x:v>
      </x:c>
      <x:c r="O96" s="14" t="str">
        <x:v>nm0120550</x:v>
      </x:c>
      <x:c r="P96" s="14" t="str">
        <x:v>William Locke</x:v>
      </x:c>
      <x:c r="Q96" s="15" t="n">
        <x:v>1</x:v>
      </x:c>
      <x:c r="R96" s="14" t="str">
        <x:v>2025</x:v>
      </x:c>
      <x:c r="S96" s="14" t="n">
        <x:v>2025</x:v>
      </x:c>
      <x:c r="T96" s="14" t="n">
        <x:v>2025</x:v>
      </x:c>
      <x:c r="U96" s="14" t="str">
        <x:v>Explicit source first year retained</x:v>
      </x:c>
      <x:c r="V96" s="14" t="str">
        <x:v>Earliest supplied year is 2025.</x:v>
      </x:c>
      <x:c r="W96" s="14"/>
      <x:c r="X96" s="14" t="str">
        <x:v>Included</x:v>
      </x:c>
      <x:c r="Y96" s="14"/>
      <x:c r="Z96" s="14" t="str">
        <x:v>The Marlow Murder Club.docx</x:v>
      </x:c>
      <x:c r="AA96" s="14" t="str">
        <x:v>HYPERLINK is not implemented. linkLocation=https://www.imdb.com/title/tt27950663/fullcredits/,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Channel 5 / 5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HYPERLINK("https://en.wikipedia.org/wiki/Robert_Thorogood","Open source")</x:f>
        <x:v>HYPERLINK is not implemented. linkLocation=https://en.wikipedia.org/wiki/Robert_Thorogood, friendlyName=Open source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 t="str">
        <x:v>No established-register match</x:v>
      </x:c>
      <x:c r="AT96" s="14"/>
      <x:c r="AU96" s="14"/>
      <x:c r="AV96" s="14" t="str">
        <x:v>No established apparent-disability match</x:v>
      </x:c>
      <x:c r="AW96" s="14"/>
      <x:c r="AX96" s="14" t="str">
        <x:v>No</x:v>
      </x:c>
      <x:c r="AY96" s="14" t="str">
        <x:v>Unmatched</x:v>
      </x:c>
      <x:c r="AZ96" s="14" t="str">
        <x:v>Final supplied register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22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0.045454545454545456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HYPERLINK is not implemented. linkLocation=https://www.imdb.com/title/tt27950663/fullcredits/,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tt27950663|nm7863184|imani</x:v>
      </x:c>
      <x:c r="B97" s="14" t="str">
        <x:v>05</x:v>
      </x:c>
      <x:c r="C97" s="14" t="str">
        <x:v>2024_IMDb_Cast_Lists_Batch_05(1).xlsx</x:v>
      </x:c>
      <x:c r="D97" s="14" t="str">
        <x:v>The Marlow Murder Club</x:v>
      </x:c>
      <x:c r="E97" s="14" t="n">
        <x:v>95</x:v>
      </x:c>
      <x:c r="F97" s="14" t="str">
        <x:v>The Marlow Murder Club</x:v>
      </x:c>
      <x:c r="G97" s="14" t="str">
        <x:v>tt27950663</x:v>
      </x:c>
      <x:c r="H97" s="14" t="n">
        <x:v>2024</x:v>
      </x:c>
      <x:c r="I97" s="14" t="n">
        <x:v>2025</x:v>
      </x:c>
      <x:c r="J97" s="14" t="str">
        <x:v>Earlier-Production Carry-In Cohort</x:v>
      </x:c>
      <x:c r="K97" s="14" t="n">
        <x:v>2024</x:v>
      </x:c>
      <x:c r="L97" s="14" t="str">
        <x:v>Used in 2025 annual analysis</x:v>
      </x:c>
      <x:c r="M97" s="15" t="n">
        <x:v>88</x:v>
      </x:c>
      <x:c r="N97" s="14" t="str">
        <x:v>Shermin Hassan</x:v>
      </x:c>
      <x:c r="O97" s="14" t="str">
        <x:v>nm7863184</x:v>
      </x:c>
      <x:c r="P97" s="14" t="str">
        <x:v>Imani</x:v>
      </x:c>
      <x:c r="Q97" s="15" t="n">
        <x:v>1</x:v>
      </x:c>
      <x:c r="R97" s="14" t="str">
        <x:v>2025</x:v>
      </x:c>
      <x:c r="S97" s="14" t="n">
        <x:v>2025</x:v>
      </x:c>
      <x:c r="T97" s="14" t="n">
        <x:v>2025</x:v>
      </x:c>
      <x:c r="U97" s="14" t="str">
        <x:v>Explicit source first year retained</x:v>
      </x:c>
      <x:c r="V97" s="14" t="str">
        <x:v>Earliest supplied year is 2025.</x:v>
      </x:c>
      <x:c r="W97" s="14"/>
      <x:c r="X97" s="14" t="str">
        <x:v>Included</x:v>
      </x:c>
      <x:c r="Y97" s="14"/>
      <x:c r="Z97" s="14" t="str">
        <x:v>The Marlow Murder Club.docx</x:v>
      </x:c>
      <x:c r="AA97" s="14" t="str">
        <x:v>HYPERLINK is not implemented. linkLocation=https://www.imdb.com/title/tt27950663/fullcredits/,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Channel 5 / 5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HYPERLINK("https://en.wikipedia.org/wiki/Robert_Thorogood","Open source")</x:f>
        <x:v>HYPERLINK is not implemented. linkLocation=https://en.wikipedia.org/wiki/Robert_Thorogood, friendlyName=Open source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 t="str">
        <x:v>No established-register match</x:v>
      </x:c>
      <x:c r="AT97" s="14"/>
      <x:c r="AU97" s="14"/>
      <x:c r="AV97" s="14" t="str">
        <x:v>No established apparent-disability match</x:v>
      </x:c>
      <x:c r="AW97" s="14"/>
      <x:c r="AX97" s="14" t="str">
        <x:v>No</x:v>
      </x:c>
      <x:c r="AY97" s="14" t="str">
        <x:v>Unmatched</x:v>
      </x:c>
      <x:c r="AZ97" s="14" t="str">
        <x:v>Final supplied register</x:v>
      </x:c>
      <x:c r="BA97" s="14" t="str">
        <x:v>Absence from the register is not evidence that the performer is not disabled.</x:v>
      </x:c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22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0.045454545454545456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4" t="str">
        <x:v>HYPERLINK is not implemented. linkLocation=https://www.imdb.com/title/tt27950663/fullcredits/,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tt27950663|nm11131988|dr. kay stonham</x:v>
      </x:c>
      <x:c r="B98" s="14" t="str">
        <x:v>05</x:v>
      </x:c>
      <x:c r="C98" s="14" t="str">
        <x:v>2024_IMDb_Cast_Lists_Batch_05(1).xlsx</x:v>
      </x:c>
      <x:c r="D98" s="14" t="str">
        <x:v>The Marlow Murder Club</x:v>
      </x:c>
      <x:c r="E98" s="14" t="n">
        <x:v>96</x:v>
      </x:c>
      <x:c r="F98" s="14" t="str">
        <x:v>The Marlow Murder Club</x:v>
      </x:c>
      <x:c r="G98" s="14" t="str">
        <x:v>tt27950663</x:v>
      </x:c>
      <x:c r="H98" s="14" t="n">
        <x:v>2024</x:v>
      </x:c>
      <x:c r="I98" s="14" t="n">
        <x:v>2025</x:v>
      </x:c>
      <x:c r="J98" s="14" t="str">
        <x:v>Earlier-Production Carry-In Cohort</x:v>
      </x:c>
      <x:c r="K98" s="14" t="n">
        <x:v>2024</x:v>
      </x:c>
      <x:c r="L98" s="14" t="str">
        <x:v>Used in 2025 annual analysis</x:v>
      </x:c>
      <x:c r="M98" s="15" t="n">
        <x:v>89</x:v>
      </x:c>
      <x:c r="N98" s="14" t="str">
        <x:v>Imogen Reeve-Tucker</x:v>
      </x:c>
      <x:c r="O98" s="14" t="str">
        <x:v>nm11131988</x:v>
      </x:c>
      <x:c r="P98" s="14" t="str">
        <x:v>Dr. Kay Stonham</x:v>
      </x:c>
      <x:c r="Q98" s="15" t="n">
        <x:v>1</x:v>
      </x:c>
      <x:c r="R98" s="14" t="str">
        <x:v>2025</x:v>
      </x:c>
      <x:c r="S98" s="14" t="n">
        <x:v>2025</x:v>
      </x:c>
      <x:c r="T98" s="14" t="n">
        <x:v>2025</x:v>
      </x:c>
      <x:c r="U98" s="14" t="str">
        <x:v>Explicit source first year retained</x:v>
      </x:c>
      <x:c r="V98" s="14" t="str">
        <x:v>Earliest supplied year is 2025.</x:v>
      </x:c>
      <x:c r="W98" s="14"/>
      <x:c r="X98" s="14" t="str">
        <x:v>Included</x:v>
      </x:c>
      <x:c r="Y98" s="14"/>
      <x:c r="Z98" s="14" t="str">
        <x:v>The Marlow Murder Club.docx</x:v>
      </x:c>
      <x:c r="AA98" s="14" t="str">
        <x:v>HYPERLINK is not implemented. linkLocation=https://www.imdb.com/title/tt27950663/fullcredits/,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Channel 5 / 5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HYPERLINK("https://en.wikipedia.org/wiki/Robert_Thorogood","Open source")</x:f>
        <x:v>HYPERLINK is not implemented. linkLocation=https://en.wikipedia.org/wiki/Robert_Thorogood, friendlyName=Open source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 t="str">
        <x:v>No established-register match</x:v>
      </x:c>
      <x:c r="AT98" s="14"/>
      <x:c r="AU98" s="14"/>
      <x:c r="AV98" s="14" t="str">
        <x:v>No established apparent-disability match</x:v>
      </x:c>
      <x:c r="AW98" s="14"/>
      <x:c r="AX98" s="14" t="str">
        <x:v>No</x:v>
      </x:c>
      <x:c r="AY98" s="14" t="str">
        <x:v>Unmatched</x:v>
      </x:c>
      <x:c r="AZ98" s="14" t="str">
        <x:v>Final supplied register</x:v>
      </x:c>
      <x:c r="BA98" s="14" t="str">
        <x:v>Absence from the register is not evidence that the performer is not disabled.</x:v>
      </x:c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22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0.045454545454545456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4" t="str">
        <x:v>HYPERLINK is not implemented. linkLocation=https://www.imdb.com/title/tt27950663/fullcredits/,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tt27950663|nm0512232|roger whybrow</x:v>
      </x:c>
      <x:c r="B99" s="14" t="str">
        <x:v>05</x:v>
      </x:c>
      <x:c r="C99" s="14" t="str">
        <x:v>2024_IMDb_Cast_Lists_Batch_05(1).xlsx</x:v>
      </x:c>
      <x:c r="D99" s="14" t="str">
        <x:v>The Marlow Murder Club</x:v>
      </x:c>
      <x:c r="E99" s="14" t="n">
        <x:v>98</x:v>
      </x:c>
      <x:c r="F99" s="14" t="str">
        <x:v>The Marlow Murder Club</x:v>
      </x:c>
      <x:c r="G99" s="14" t="str">
        <x:v>tt27950663</x:v>
      </x:c>
      <x:c r="H99" s="14" t="n">
        <x:v>2024</x:v>
      </x:c>
      <x:c r="I99" s="14" t="n">
        <x:v>2025</x:v>
      </x:c>
      <x:c r="J99" s="14" t="str">
        <x:v>Earlier-Production Carry-In Cohort</x:v>
      </x:c>
      <x:c r="K99" s="14" t="n">
        <x:v>2024</x:v>
      </x:c>
      <x:c r="L99" s="14" t="str">
        <x:v>Used in 2025 annual analysis</x:v>
      </x:c>
      <x:c r="M99" s="15" t="n">
        <x:v>91</x:v>
      </x:c>
      <x:c r="N99" s="14" t="str">
        <x:v>Ian Lindsay</x:v>
      </x:c>
      <x:c r="O99" s="14" t="str">
        <x:v>nm0512232</x:v>
      </x:c>
      <x:c r="P99" s="14" t="str">
        <x:v>Roger Whybrow</x:v>
      </x:c>
      <x:c r="Q99" s="15" t="n">
        <x:v>1</x:v>
      </x:c>
      <x:c r="R99" s="14" t="str">
        <x:v>2025</x:v>
      </x:c>
      <x:c r="S99" s="14" t="n">
        <x:v>2025</x:v>
      </x:c>
      <x:c r="T99" s="14" t="n">
        <x:v>2025</x:v>
      </x:c>
      <x:c r="U99" s="14" t="str">
        <x:v>Explicit source first year retained</x:v>
      </x:c>
      <x:c r="V99" s="14" t="str">
        <x:v>Earliest supplied year is 2025.</x:v>
      </x:c>
      <x:c r="W99" s="14"/>
      <x:c r="X99" s="14" t="str">
        <x:v>Included</x:v>
      </x:c>
      <x:c r="Y99" s="14"/>
      <x:c r="Z99" s="14" t="str">
        <x:v>The Marlow Murder Club.docx</x:v>
      </x:c>
      <x:c r="AA99" s="14" t="str">
        <x:v>HYPERLINK is not implemented. linkLocation=https://www.imdb.com/title/tt27950663/fullcredits/,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Channel 5 / 5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HYPERLINK("https://en.wikipedia.org/wiki/Robert_Thorogood","Open source")</x:f>
        <x:v>HYPERLINK is not implemented. linkLocation=https://en.wikipedia.org/wiki/Robert_Thorogood, friendlyName=Open source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 t="str">
        <x:v>No established-register match</x:v>
      </x:c>
      <x:c r="AT99" s="14"/>
      <x:c r="AU99" s="14"/>
      <x:c r="AV99" s="14" t="str">
        <x:v>No established apparent-disability match</x:v>
      </x:c>
      <x:c r="AW99" s="14"/>
      <x:c r="AX99" s="14" t="str">
        <x:v>No</x:v>
      </x:c>
      <x:c r="AY99" s="14" t="str">
        <x:v>Unmatched</x:v>
      </x:c>
      <x:c r="AZ99" s="14" t="str">
        <x:v>Final supplied register</x:v>
      </x:c>
      <x:c r="BA99" s="14" t="str">
        <x:v>Absence from the register is not evidence that the performer is not disabled.</x:v>
      </x:c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22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0.045454545454545456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4" t="str">
        <x:v>HYPERLINK is not implemented. linkLocation=https://www.imdb.com/title/tt27950663/fullcredits/,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tt27950663|nm0691928|andrew husselbee</x:v>
      </x:c>
      <x:c r="B100" s="14" t="str">
        <x:v>05</x:v>
      </x:c>
      <x:c r="C100" s="14" t="str">
        <x:v>2024_IMDb_Cast_Lists_Batch_05(1).xlsx</x:v>
      </x:c>
      <x:c r="D100" s="14" t="str">
        <x:v>The Marlow Murder Club</x:v>
      </x:c>
      <x:c r="E100" s="14" t="n">
        <x:v>100</x:v>
      </x:c>
      <x:c r="F100" s="14" t="str">
        <x:v>The Marlow Murder Club</x:v>
      </x:c>
      <x:c r="G100" s="14" t="str">
        <x:v>tt27950663</x:v>
      </x:c>
      <x:c r="H100" s="14" t="n">
        <x:v>2024</x:v>
      </x:c>
      <x:c r="I100" s="14" t="n">
        <x:v>2025</x:v>
      </x:c>
      <x:c r="J100" s="14" t="str">
        <x:v>Earlier-Production Carry-In Cohort</x:v>
      </x:c>
      <x:c r="K100" s="14" t="n">
        <x:v>2024</x:v>
      </x:c>
      <x:c r="L100" s="14" t="str">
        <x:v>Used in 2025 annual analysis</x:v>
      </x:c>
      <x:c r="M100" s="15" t="n">
        <x:v>93</x:v>
      </x:c>
      <x:c r="N100" s="14" t="str">
        <x:v>Robert Portal</x:v>
      </x:c>
      <x:c r="O100" s="14" t="str">
        <x:v>nm0691928</x:v>
      </x:c>
      <x:c r="P100" s="14" t="str">
        <x:v>Andrew Husselbee</x:v>
      </x:c>
      <x:c r="Q100" s="15" t="n">
        <x:v>1</x:v>
      </x:c>
      <x:c r="R100" s="14" t="str">
        <x:v>2025</x:v>
      </x:c>
      <x:c r="S100" s="14" t="n">
        <x:v>2025</x:v>
      </x:c>
      <x:c r="T100" s="14" t="n">
        <x:v>2025</x:v>
      </x:c>
      <x:c r="U100" s="14" t="str">
        <x:v>Explicit source first year retained</x:v>
      </x:c>
      <x:c r="V100" s="14" t="str">
        <x:v>Earliest supplied year is 2025.</x:v>
      </x:c>
      <x:c r="W100" s="14"/>
      <x:c r="X100" s="14" t="str">
        <x:v>Included</x:v>
      </x:c>
      <x:c r="Y100" s="14"/>
      <x:c r="Z100" s="14" t="str">
        <x:v>The Marlow Murder Club.docx</x:v>
      </x:c>
      <x:c r="AA100" s="14" t="str">
        <x:v>HYPERLINK is not implemented. linkLocation=https://www.imdb.com/title/tt27950663/fullcredits/,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Channel 5 / 5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HYPERLINK("https://en.wikipedia.org/wiki/Robert_Thorogood","Open source")</x:f>
        <x:v>HYPERLINK is not implemented. linkLocation=https://en.wikipedia.org/wiki/Robert_Thorogood, friendlyName=Open source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 t="str">
        <x:v>No established-register match</x:v>
      </x:c>
      <x:c r="AT100" s="14"/>
      <x:c r="AU100" s="14"/>
      <x:c r="AV100" s="14" t="str">
        <x:v>No established apparent-disability match</x:v>
      </x:c>
      <x:c r="AW100" s="14"/>
      <x:c r="AX100" s="14" t="str">
        <x:v>No</x:v>
      </x:c>
      <x:c r="AY100" s="14" t="str">
        <x:v>Unmatched</x:v>
      </x:c>
      <x:c r="AZ100" s="14" t="str">
        <x:v>Final supplied register</x:v>
      </x:c>
      <x:c r="BA100" s="14" t="str">
        <x:v>Absence from the register is not evidence that the performer is not disabled.</x:v>
      </x:c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22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0.045454545454545456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4" t="str">
        <x:v>HYPERLINK is not implemented. linkLocation=https://www.imdb.com/title/tt27950663/fullcredits/,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tt27950663|nm14607225|kevin twyler</x:v>
      </x:c>
      <x:c r="B101" s="14" t="str">
        <x:v>05</x:v>
      </x:c>
      <x:c r="C101" s="14" t="str">
        <x:v>2024_IMDb_Cast_Lists_Batch_05(1).xlsx</x:v>
      </x:c>
      <x:c r="D101" s="14" t="str">
        <x:v>The Marlow Murder Club</x:v>
      </x:c>
      <x:c r="E101" s="14" t="n">
        <x:v>101</x:v>
      </x:c>
      <x:c r="F101" s="14" t="str">
        <x:v>The Marlow Murder Club</x:v>
      </x:c>
      <x:c r="G101" s="14" t="str">
        <x:v>tt27950663</x:v>
      </x:c>
      <x:c r="H101" s="14" t="n">
        <x:v>2024</x:v>
      </x:c>
      <x:c r="I101" s="14" t="n">
        <x:v>2025</x:v>
      </x:c>
      <x:c r="J101" s="14" t="str">
        <x:v>Earlier-Production Carry-In Cohort</x:v>
      </x:c>
      <x:c r="K101" s="14" t="n">
        <x:v>2024</x:v>
      </x:c>
      <x:c r="L101" s="14" t="str">
        <x:v>Used in 2025 annual analysis</x:v>
      </x:c>
      <x:c r="M101" s="15" t="n">
        <x:v>94</x:v>
      </x:c>
      <x:c r="N101" s="14" t="str">
        <x:v>Surya Kempadoo-Millar</x:v>
      </x:c>
      <x:c r="O101" s="14" t="str">
        <x:v>nm14607225</x:v>
      </x:c>
      <x:c r="P101" s="14" t="str">
        <x:v>Kevin Twyler</x:v>
      </x:c>
      <x:c r="Q101" s="15" t="n">
        <x:v>1</x:v>
      </x:c>
      <x:c r="R101" s="14" t="str">
        <x:v>2025</x:v>
      </x:c>
      <x:c r="S101" s="14" t="n">
        <x:v>2025</x:v>
      </x:c>
      <x:c r="T101" s="14" t="n">
        <x:v>2025</x:v>
      </x:c>
      <x:c r="U101" s="14" t="str">
        <x:v>Explicit source first year retained</x:v>
      </x:c>
      <x:c r="V101" s="14" t="str">
        <x:v>Earliest supplied year is 2025.</x:v>
      </x:c>
      <x:c r="W101" s="14"/>
      <x:c r="X101" s="14" t="str">
        <x:v>Included</x:v>
      </x:c>
      <x:c r="Y101" s="14"/>
      <x:c r="Z101" s="14" t="str">
        <x:v>The Marlow Murder Club.docx</x:v>
      </x:c>
      <x:c r="AA101" s="14" t="str">
        <x:v>HYPERLINK is not implemented. linkLocation=https://www.imdb.com/title/tt27950663/fullcredits/,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Channel 5 / 5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HYPERLINK("https://en.wikipedia.org/wiki/Robert_Thorogood","Open source")</x:f>
        <x:v>HYPERLINK is not implemented. linkLocation=https://en.wikipedia.org/wiki/Robert_Thorogood, friendlyName=Open source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 t="str">
        <x:v>No established-register match</x:v>
      </x:c>
      <x:c r="AT101" s="14"/>
      <x:c r="AU101" s="14"/>
      <x:c r="AV101" s="14" t="str">
        <x:v>No established apparent-disability match</x:v>
      </x:c>
      <x:c r="AW101" s="14"/>
      <x:c r="AX101" s="14" t="str">
        <x:v>No</x:v>
      </x:c>
      <x:c r="AY101" s="14" t="str">
        <x:v>Unmatched</x:v>
      </x:c>
      <x:c r="AZ101" s="14" t="str">
        <x:v>Final supplied register</x:v>
      </x:c>
      <x:c r="BA101" s="14" t="str">
        <x:v>Absence from the register is not evidence that the performer is not disabled.</x:v>
      </x:c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22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0.045454545454545456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4" t="str">
        <x:v>HYPERLINK is not implemented. linkLocation=https://www.imdb.com/title/tt27950663/fullcredits/,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tt27950663|nm7150152|dc jess nichols</x:v>
      </x:c>
      <x:c r="B102" s="14" t="str">
        <x:v>05</x:v>
      </x:c>
      <x:c r="C102" s="14" t="str">
        <x:v>2024_IMDb_Cast_Lists_Batch_05(1).xlsx</x:v>
      </x:c>
      <x:c r="D102" s="14" t="str">
        <x:v>The Marlow Murder Club</x:v>
      </x:c>
      <x:c r="E102" s="14" t="n">
        <x:v>103</x:v>
      </x:c>
      <x:c r="F102" s="14" t="str">
        <x:v>The Marlow Murder Club</x:v>
      </x:c>
      <x:c r="G102" s="14" t="str">
        <x:v>tt27950663</x:v>
      </x:c>
      <x:c r="H102" s="14" t="n">
        <x:v>2024</x:v>
      </x:c>
      <x:c r="I102" s="14" t="n">
        <x:v>2025</x:v>
      </x:c>
      <x:c r="J102" s="14" t="str">
        <x:v>Earlier-Production Carry-In Cohort</x:v>
      </x:c>
      <x:c r="K102" s="14" t="n">
        <x:v>2024</x:v>
      </x:c>
      <x:c r="L102" s="14" t="str">
        <x:v>Used in 2025 annual analysis</x:v>
      </x:c>
      <x:c r="M102" s="15" t="n">
        <x:v>96</x:v>
      </x:c>
      <x:c r="N102" s="14" t="str">
        <x:v>Abbie Murphy</x:v>
      </x:c>
      <x:c r="O102" s="14" t="str">
        <x:v>nm7150152</x:v>
      </x:c>
      <x:c r="P102" s="14" t="str">
        <x:v>DC Jess Nichols</x:v>
      </x:c>
      <x:c r="Q102" s="15" t="n">
        <x:v>1</x:v>
      </x:c>
      <x:c r="R102" s="14" t="str">
        <x:v>2025</x:v>
      </x:c>
      <x:c r="S102" s="14" t="n">
        <x:v>2025</x:v>
      </x:c>
      <x:c r="T102" s="14" t="n">
        <x:v>2025</x:v>
      </x:c>
      <x:c r="U102" s="14" t="str">
        <x:v>Explicit source first year retained</x:v>
      </x:c>
      <x:c r="V102" s="14" t="str">
        <x:v>Earliest supplied year is 2025.</x:v>
      </x:c>
      <x:c r="W102" s="14"/>
      <x:c r="X102" s="14" t="str">
        <x:v>Included</x:v>
      </x:c>
      <x:c r="Y102" s="14"/>
      <x:c r="Z102" s="14" t="str">
        <x:v>The Marlow Murder Club.docx</x:v>
      </x:c>
      <x:c r="AA102" s="14" t="str">
        <x:v>HYPERLINK is not implemented. linkLocation=https://www.imdb.com/title/tt27950663/fullcredits/,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Channel 5 / 5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HYPERLINK("https://en.wikipedia.org/wiki/Robert_Thorogood","Open source")</x:f>
        <x:v>HYPERLINK is not implemented. linkLocation=https://en.wikipedia.org/wiki/Robert_Thorogood, friendlyName=Open source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 t="str">
        <x:v>No established-register match</x:v>
      </x:c>
      <x:c r="AT102" s="14"/>
      <x:c r="AU102" s="14"/>
      <x:c r="AV102" s="14" t="str">
        <x:v>No established apparent-disability match</x:v>
      </x:c>
      <x:c r="AW102" s="14"/>
      <x:c r="AX102" s="14" t="str">
        <x:v>No</x:v>
      </x:c>
      <x:c r="AY102" s="14" t="str">
        <x:v>Unmatched</x:v>
      </x:c>
      <x:c r="AZ102" s="14" t="str">
        <x:v>Final supplied register</x:v>
      </x:c>
      <x:c r="BA102" s="14" t="str">
        <x:v>Absence from the register is not evidence that the performer is not disabled.</x:v>
      </x:c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22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0.045454545454545456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4" t="str">
        <x:v>HYPERLINK is not implemented. linkLocation=https://www.imdb.com/title/tt27950663/fullcredits/,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tt29427309|nm3438370|ruth</x:v>
      </x:c>
      <x:c r="B103" s="14" t="str">
        <x:v>06</x:v>
      </x:c>
      <x:c r="C103" s="14" t="str">
        <x:v>2024_IMDb_Cast_Lists_Batch_06(1).xlsx</x:v>
      </x:c>
      <x:c r="D103" s="14" t="str">
        <x:v>Things You Should Have Done</x:v>
      </x:c>
      <x:c r="E103" s="14" t="n">
        <x:v>15</x:v>
      </x:c>
      <x:c r="F103" s="14" t="str">
        <x:v>Things You Should Have Done</x:v>
      </x:c>
      <x:c r="G103" s="14" t="str">
        <x:v>tt29427309</x:v>
      </x:c>
      <x:c r="H103" s="14" t="n">
        <x:v>2024</x:v>
      </x:c>
      <x:c r="I103" s="14" t="n">
        <x:v>2025</x:v>
      </x:c>
      <x:c r="J103" s="14" t="str">
        <x:v>Earlier-Production Carry-In Cohort</x:v>
      </x:c>
      <x:c r="K103" s="14" t="n">
        <x:v>2024</x:v>
      </x:c>
      <x:c r="L103" s="14" t="str">
        <x:v>Used in 2025 annual analysis</x:v>
      </x:c>
      <x:c r="M103" s="15" t="n">
        <x:v>8</x:v>
      </x:c>
      <x:c r="N103" s="14" t="str">
        <x:v>Bridget Christie</x:v>
      </x:c>
      <x:c r="O103" s="14" t="str">
        <x:v>nm3438370</x:v>
      </x:c>
      <x:c r="P103" s="14" t="str">
        <x:v>Ruth</x:v>
      </x:c>
      <x:c r="Q103" s="15" t="n">
        <x:v>6</x:v>
      </x:c>
      <x:c r="R103" s="14" t="str">
        <x:v>2025–2026</x:v>
      </x:c>
      <x:c r="S103" s="14" t="n">
        <x:v>2025</x:v>
      </x:c>
      <x:c r="T103" s="14" t="n">
        <x:v>2025</x:v>
      </x:c>
      <x:c r="U103" s="14" t="str">
        <x:v>Explicit source first year retained</x:v>
      </x:c>
      <x:c r="V103" s="14" t="str">
        <x:v>Earliest supplied year is 2025.</x:v>
      </x:c>
      <x:c r="W103" s="14"/>
      <x:c r="X103" s="14" t="str">
        <x:v>Included</x:v>
      </x:c>
      <x:c r="Y103" s="14"/>
      <x:c r="Z103" s="14" t="str">
        <x:v>Things You Should Have Done.docx</x:v>
      </x:c>
      <x:c r="AA103" s="14" t="str">
        <x:v>HYPERLINK is not implemented. linkLocation=https://www.imdb.com/title/tt29427309/fullcredits/,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 t="str">
        <x:v>No established-register match</x:v>
      </x:c>
      <x:c r="AT103" s="14"/>
      <x:c r="AU103" s="14"/>
      <x:c r="AV103" s="14" t="str">
        <x:v>No established apparent-disability match</x:v>
      </x:c>
      <x:c r="AW103" s="14"/>
      <x:c r="AX103" s="14" t="str">
        <x:v>No</x:v>
      </x:c>
      <x:c r="AY103" s="14" t="str">
        <x:v>Unmatched</x:v>
      </x:c>
      <x:c r="AZ103" s="14" t="str">
        <x:v>Final supplied register</x:v>
      </x:c>
      <x:c r="BA103" s="14" t="str">
        <x:v>Absence from the register is not evidence that the performer is not disabled.</x:v>
      </x:c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12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6</x:v>
      </x:c>
      <x:c r="BS103" s="16" t="n">
        <x:v>0.5</x:v>
      </x:c>
      <x:c r="BT103" s="14" t="str">
        <x:v>Minority of episodes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4" t="str">
        <x:v>HYPERLINK is not implemented. linkLocation=https://www.imdb.com/title/tt29427309/fullcredits/,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tt29427309|nm2668439|shelley</x:v>
      </x:c>
      <x:c r="B104" s="14" t="str">
        <x:v>06</x:v>
      </x:c>
      <x:c r="C104" s="14" t="str">
        <x:v>2024_IMDb_Cast_Lists_Batch_06(1).xlsx</x:v>
      </x:c>
      <x:c r="D104" s="14" t="str">
        <x:v>Things You Should Have Done</x:v>
      </x:c>
      <x:c r="E104" s="14" t="n">
        <x:v>17</x:v>
      </x:c>
      <x:c r="F104" s="14" t="str">
        <x:v>Things You Should Have Done</x:v>
      </x:c>
      <x:c r="G104" s="14" t="str">
        <x:v>tt29427309</x:v>
      </x:c>
      <x:c r="H104" s="14" t="n">
        <x:v>2024</x:v>
      </x:c>
      <x:c r="I104" s="14" t="n">
        <x:v>2025</x:v>
      </x:c>
      <x:c r="J104" s="14" t="str">
        <x:v>Earlier-Production Carry-In Cohort</x:v>
      </x:c>
      <x:c r="K104" s="14" t="n">
        <x:v>2024</x:v>
      </x:c>
      <x:c r="L104" s="14" t="str">
        <x:v>Used in 2025 annual analysis</x:v>
      </x:c>
      <x:c r="M104" s="15" t="n">
        <x:v>10</x:v>
      </x:c>
      <x:c r="N104" s="14" t="str">
        <x:v>Annie Aldington</x:v>
      </x:c>
      <x:c r="O104" s="14" t="str">
        <x:v>nm2668439</x:v>
      </x:c>
      <x:c r="P104" s="14" t="str">
        <x:v>Shelley</x:v>
      </x:c>
      <x:c r="Q104" s="15" t="n">
        <x:v>5</x:v>
      </x:c>
      <x:c r="R104" s="14" t="str">
        <x:v>2025</x:v>
      </x:c>
      <x:c r="S104" s="14" t="n">
        <x:v>2025</x:v>
      </x:c>
      <x:c r="T104" s="14" t="n">
        <x:v>2025</x:v>
      </x:c>
      <x:c r="U104" s="14" t="str">
        <x:v>Explicit source first year retained</x:v>
      </x:c>
      <x:c r="V104" s="14" t="str">
        <x:v>Earliest supplied year is 2025.</x:v>
      </x:c>
      <x:c r="W104" s="14"/>
      <x:c r="X104" s="14" t="str">
        <x:v>Included</x:v>
      </x:c>
      <x:c r="Y104" s="14"/>
      <x:c r="Z104" s="14" t="str">
        <x:v>Things You Should Have Done.docx</x:v>
      </x:c>
      <x:c r="AA104" s="14" t="str">
        <x:v>HYPERLINK is not implemented. linkLocation=https://www.imdb.com/title/tt29427309/fullcredits/,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 t="str">
        <x:v>No established-register match</x:v>
      </x:c>
      <x:c r="AT104" s="14"/>
      <x:c r="AU104" s="14"/>
      <x:c r="AV104" s="14" t="str">
        <x:v>No established apparent-disability match</x:v>
      </x:c>
      <x:c r="AW104" s="14"/>
      <x:c r="AX104" s="14" t="str">
        <x:v>No</x:v>
      </x:c>
      <x:c r="AY104" s="14" t="str">
        <x:v>Unmatched</x:v>
      </x:c>
      <x:c r="AZ104" s="14" t="str">
        <x:v>Final supplied register</x:v>
      </x:c>
      <x:c r="BA104" s="14" t="str">
        <x:v>Absence from the register is not evidence that the performer is not disabled.</x:v>
      </x:c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12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5</x:v>
      </x:c>
      <x:c r="BS104" s="16" t="n">
        <x:v>0.4166666666666667</x:v>
      </x:c>
      <x:c r="BT104" s="14" t="str">
        <x:v>Minority of episodes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4" t="str">
        <x:v>HYPERLINK is not implemented. linkLocation=https://www.imdb.com/title/tt29427309/fullcredits/,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tt29427309|nm6711206|stuart the bingo caller</x:v>
      </x:c>
      <x:c r="B105" s="14" t="str">
        <x:v>06</x:v>
      </x:c>
      <x:c r="C105" s="14" t="str">
        <x:v>2024_IMDb_Cast_Lists_Batch_06(1).xlsx</x:v>
      </x:c>
      <x:c r="D105" s="14" t="str">
        <x:v>Things You Should Have Done</x:v>
      </x:c>
      <x:c r="E105" s="14" t="n">
        <x:v>18</x:v>
      </x:c>
      <x:c r="F105" s="14" t="str">
        <x:v>Things You Should Have Done</x:v>
      </x:c>
      <x:c r="G105" s="14" t="str">
        <x:v>tt29427309</x:v>
      </x:c>
      <x:c r="H105" s="14" t="n">
        <x:v>2024</x:v>
      </x:c>
      <x:c r="I105" s="14" t="n">
        <x:v>2025</x:v>
      </x:c>
      <x:c r="J105" s="14" t="str">
        <x:v>Earlier-Production Carry-In Cohort</x:v>
      </x:c>
      <x:c r="K105" s="14" t="n">
        <x:v>2024</x:v>
      </x:c>
      <x:c r="L105" s="14" t="str">
        <x:v>Used in 2025 annual analysis</x:v>
      </x:c>
      <x:c r="M105" s="15" t="n">
        <x:v>11</x:v>
      </x:c>
      <x:c r="N105" s="14" t="str">
        <x:v>Alistair Green</x:v>
      </x:c>
      <x:c r="O105" s="14" t="str">
        <x:v>nm6711206</x:v>
      </x:c>
      <x:c r="P105" s="14" t="str">
        <x:v>Stuart the Bingo Caller</x:v>
      </x:c>
      <x:c r="Q105" s="15" t="n">
        <x:v>5</x:v>
      </x:c>
      <x:c r="R105" s="14" t="str">
        <x:v>2025</x:v>
      </x:c>
      <x:c r="S105" s="14" t="n">
        <x:v>2025</x:v>
      </x:c>
      <x:c r="T105" s="14" t="n">
        <x:v>2025</x:v>
      </x:c>
      <x:c r="U105" s="14" t="str">
        <x:v>Explicit source first year retained</x:v>
      </x:c>
      <x:c r="V105" s="14" t="str">
        <x:v>Earliest supplied year is 2025.</x:v>
      </x:c>
      <x:c r="W105" s="14"/>
      <x:c r="X105" s="14" t="str">
        <x:v>Included</x:v>
      </x:c>
      <x:c r="Y105" s="14"/>
      <x:c r="Z105" s="14" t="str">
        <x:v>Things You Should Have Done.docx</x:v>
      </x:c>
      <x:c r="AA105" s="14" t="str">
        <x:v>HYPERLINK is not implemented. linkLocation=https://www.imdb.com/title/tt29427309/fullcredits/,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 t="str">
        <x:v>No established-register match</x:v>
      </x:c>
      <x:c r="AT105" s="14"/>
      <x:c r="AU105" s="14"/>
      <x:c r="AV105" s="14" t="str">
        <x:v>No established apparent-disability match</x:v>
      </x:c>
      <x:c r="AW105" s="14"/>
      <x:c r="AX105" s="14" t="str">
        <x:v>No</x:v>
      </x:c>
      <x:c r="AY105" s="14" t="str">
        <x:v>Unmatched</x:v>
      </x:c>
      <x:c r="AZ105" s="14" t="str">
        <x:v>Final supplied register</x:v>
      </x:c>
      <x:c r="BA105" s="14" t="str">
        <x:v>Absence from the register is not evidence that the performer is not disabled.</x:v>
      </x:c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12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5</x:v>
      </x:c>
      <x:c r="BS105" s="16" t="n">
        <x:v>0.4166666666666667</x:v>
      </x:c>
      <x:c r="BT105" s="14" t="str">
        <x:v>Minority of episodes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4" t="str">
        <x:v>HYPERLINK is not implemented. linkLocation=https://www.imdb.com/title/tt29427309/fullcredits/,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tt29427309|nm1304592|role not listed</x:v>
      </x:c>
      <x:c r="B106" s="14" t="str">
        <x:v>06</x:v>
      </x:c>
      <x:c r="C106" s="14" t="str">
        <x:v>2024_IMDb_Cast_Lists_Batch_06(1).xlsx</x:v>
      </x:c>
      <x:c r="D106" s="14" t="str">
        <x:v>Things You Should Have Done</x:v>
      </x:c>
      <x:c r="E106" s="14" t="n">
        <x:v>20</x:v>
      </x:c>
      <x:c r="F106" s="14" t="str">
        <x:v>Things You Should Have Done</x:v>
      </x:c>
      <x:c r="G106" s="14" t="str">
        <x:v>tt29427309</x:v>
      </x:c>
      <x:c r="H106" s="14" t="n">
        <x:v>2024</x:v>
      </x:c>
      <x:c r="I106" s="14" t="n">
        <x:v>2025</x:v>
      </x:c>
      <x:c r="J106" s="14" t="str">
        <x:v>Earlier-Production Carry-In Cohort</x:v>
      </x:c>
      <x:c r="K106" s="14" t="n">
        <x:v>2024</x:v>
      </x:c>
      <x:c r="L106" s="14" t="str">
        <x:v>Used in 2025 annual analysis</x:v>
      </x:c>
      <x:c r="M106" s="15" t="n">
        <x:v>13</x:v>
      </x:c>
      <x:c r="N106" s="14" t="str">
        <x:v>Maggie Daniels</x:v>
      </x:c>
      <x:c r="O106" s="14" t="str">
        <x:v>nm1304592</x:v>
      </x:c>
      <x:c r="P106" s="14" t="str">
        <x:v>Role not listed</x:v>
      </x:c>
      <x:c r="Q106" s="15" t="n">
        <x:v>4</x:v>
      </x:c>
      <x:c r="R106" s="14" t="str">
        <x:v>2025</x:v>
      </x:c>
      <x:c r="S106" s="14" t="n">
        <x:v>2025</x:v>
      </x:c>
      <x:c r="T106" s="14" t="n">
        <x:v>2025</x:v>
      </x:c>
      <x:c r="U106" s="14" t="str">
        <x:v>Explicit source first year retained</x:v>
      </x:c>
      <x:c r="V106" s="14" t="str">
        <x:v>Earliest supplied year is 2025.</x:v>
      </x:c>
      <x:c r="W106" s="14"/>
      <x:c r="X106" s="14" t="str">
        <x:v>Included</x:v>
      </x:c>
      <x:c r="Y106" s="14"/>
      <x:c r="Z106" s="14" t="str">
        <x:v>Things You Should Have Done.docx</x:v>
      </x:c>
      <x:c r="AA106" s="14" t="str">
        <x:v>HYPERLINK is not implemented. linkLocation=https://www.imdb.com/title/tt29427309/fullcredits/,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 t="str">
        <x:v>No established-register match</x:v>
      </x:c>
      <x:c r="AT106" s="14"/>
      <x:c r="AU106" s="14"/>
      <x:c r="AV106" s="14" t="str">
        <x:v>No established apparent-disability match</x:v>
      </x:c>
      <x:c r="AW106" s="14"/>
      <x:c r="AX106" s="14" t="str">
        <x:v>No</x:v>
      </x:c>
      <x:c r="AY106" s="14" t="str">
        <x:v>Unmatched</x:v>
      </x:c>
      <x:c r="AZ106" s="14" t="str">
        <x:v>Final supplied register</x:v>
      </x:c>
      <x:c r="BA106" s="14" t="str">
        <x:v>Absence from the register is not evidence that the performer is not disabled.</x:v>
      </x:c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12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4</x:v>
      </x:c>
      <x:c r="BS106" s="16" t="n">
        <x:v>0.3333333333333333</x:v>
      </x:c>
      <x:c r="BT106" s="14" t="str">
        <x:v>Minority of episodes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4" t="str">
        <x:v>HYPERLINK is not implemented. linkLocation=https://www.imdb.com/title/tt29427309/fullcredits/,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tt29427309|nm0184588|claudia</x:v>
      </x:c>
      <x:c r="B107" s="14" t="str">
        <x:v>06</x:v>
      </x:c>
      <x:c r="C107" s="14" t="str">
        <x:v>2024_IMDb_Cast_Lists_Batch_06(1).xlsx</x:v>
      </x:c>
      <x:c r="D107" s="14" t="str">
        <x:v>Things You Should Have Done</x:v>
      </x:c>
      <x:c r="E107" s="14" t="n">
        <x:v>24</x:v>
      </x:c>
      <x:c r="F107" s="14" t="str">
        <x:v>Things You Should Have Done</x:v>
      </x:c>
      <x:c r="G107" s="14" t="str">
        <x:v>tt29427309</x:v>
      </x:c>
      <x:c r="H107" s="14" t="n">
        <x:v>2024</x:v>
      </x:c>
      <x:c r="I107" s="14" t="n">
        <x:v>2025</x:v>
      </x:c>
      <x:c r="J107" s="14" t="str">
        <x:v>Earlier-Production Carry-In Cohort</x:v>
      </x:c>
      <x:c r="K107" s="14" t="n">
        <x:v>2024</x:v>
      </x:c>
      <x:c r="L107" s="14" t="str">
        <x:v>Used in 2025 annual analysis</x:v>
      </x:c>
      <x:c r="M107" s="15" t="n">
        <x:v>17</x:v>
      </x:c>
      <x:c r="N107" s="14" t="str">
        <x:v>Juliet Cowan</x:v>
      </x:c>
      <x:c r="O107" s="14" t="str">
        <x:v>nm0184588</x:v>
      </x:c>
      <x:c r="P107" s="14" t="str">
        <x:v>Claudia</x:v>
      </x:c>
      <x:c r="Q107" s="15" t="n">
        <x:v>2</x:v>
      </x:c>
      <x:c r="R107" s="14" t="str">
        <x:v>2025</x:v>
      </x:c>
      <x:c r="S107" s="14" t="n">
        <x:v>2025</x:v>
      </x:c>
      <x:c r="T107" s="14" t="n">
        <x:v>2025</x:v>
      </x:c>
      <x:c r="U107" s="14" t="str">
        <x:v>Explicit source first year retained</x:v>
      </x:c>
      <x:c r="V107" s="14" t="str">
        <x:v>Earliest supplied year is 2025.</x:v>
      </x:c>
      <x:c r="W107" s="14"/>
      <x:c r="X107" s="14" t="str">
        <x:v>Included</x:v>
      </x:c>
      <x:c r="Y107" s="14"/>
      <x:c r="Z107" s="14" t="str">
        <x:v>Things You Should Have Done.docx</x:v>
      </x:c>
      <x:c r="AA107" s="14" t="str">
        <x:v>HYPERLINK is not implemented. linkLocation=https://www.imdb.com/title/tt29427309/fullcredits/,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 t="str">
        <x:v>No established-register match</x:v>
      </x:c>
      <x:c r="AT107" s="14"/>
      <x:c r="AU107" s="14"/>
      <x:c r="AV107" s="14" t="str">
        <x:v>No established apparent-disability match</x:v>
      </x:c>
      <x:c r="AW107" s="14"/>
      <x:c r="AX107" s="14" t="str">
        <x:v>No</x:v>
      </x:c>
      <x:c r="AY107" s="14" t="str">
        <x:v>Unmatched</x:v>
      </x:c>
      <x:c r="AZ107" s="14" t="str">
        <x:v>Final supplied register</x:v>
      </x:c>
      <x:c r="BA107" s="14" t="str">
        <x:v>Absence from the register is not evidence that the performer is not disabled.</x:v>
      </x:c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12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2</x:v>
      </x:c>
      <x:c r="BS107" s="16" t="n">
        <x:v>0.16666666666666666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4" t="str">
        <x:v>HYPERLINK is not implemented. linkLocation=https://www.imdb.com/title/tt29427309/fullcredits/,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tt29427309|nm7926702|perry</x:v>
      </x:c>
      <x:c r="B108" s="14" t="str">
        <x:v>06</x:v>
      </x:c>
      <x:c r="C108" s="14" t="str">
        <x:v>2024_IMDb_Cast_Lists_Batch_06(1).xlsx</x:v>
      </x:c>
      <x:c r="D108" s="14" t="str">
        <x:v>Things You Should Have Done</x:v>
      </x:c>
      <x:c r="E108" s="14" t="n">
        <x:v>27</x:v>
      </x:c>
      <x:c r="F108" s="14" t="str">
        <x:v>Things You Should Have Done</x:v>
      </x:c>
      <x:c r="G108" s="14" t="str">
        <x:v>tt29427309</x:v>
      </x:c>
      <x:c r="H108" s="14" t="n">
        <x:v>2024</x:v>
      </x:c>
      <x:c r="I108" s="14" t="n">
        <x:v>2025</x:v>
      </x:c>
      <x:c r="J108" s="14" t="str">
        <x:v>Earlier-Production Carry-In Cohort</x:v>
      </x:c>
      <x:c r="K108" s="14" t="n">
        <x:v>2024</x:v>
      </x:c>
      <x:c r="L108" s="14" t="str">
        <x:v>Used in 2025 annual analysis</x:v>
      </x:c>
      <x:c r="M108" s="15" t="n">
        <x:v>20</x:v>
      </x:c>
      <x:c r="N108" s="14" t="str">
        <x:v>Nathan Foad</x:v>
      </x:c>
      <x:c r="O108" s="14" t="str">
        <x:v>nm7926702</x:v>
      </x:c>
      <x:c r="P108" s="14" t="str">
        <x:v>Perry</x:v>
      </x:c>
      <x:c r="Q108" s="15" t="n">
        <x:v>1</x:v>
      </x:c>
      <x:c r="R108" s="14" t="str">
        <x:v>2025</x:v>
      </x:c>
      <x:c r="S108" s="14" t="n">
        <x:v>2025</x:v>
      </x:c>
      <x:c r="T108" s="14" t="n">
        <x:v>2025</x:v>
      </x:c>
      <x:c r="U108" s="14" t="str">
        <x:v>Explicit source first year retained</x:v>
      </x:c>
      <x:c r="V108" s="14" t="str">
        <x:v>Earliest supplied year is 2025.</x:v>
      </x:c>
      <x:c r="W108" s="14"/>
      <x:c r="X108" s="14" t="str">
        <x:v>Included</x:v>
      </x:c>
      <x:c r="Y108" s="14"/>
      <x:c r="Z108" s="14" t="str">
        <x:v>Things You Should Have Done.docx</x:v>
      </x:c>
      <x:c r="AA108" s="14" t="str">
        <x:v>HYPERLINK is not implemented. linkLocation=https://www.imdb.com/title/tt29427309/fullcredits/,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 t="str">
        <x:v>No established-register match</x:v>
      </x:c>
      <x:c r="AT108" s="14"/>
      <x:c r="AU108" s="14"/>
      <x:c r="AV108" s="14" t="str">
        <x:v>No established apparent-disability match</x:v>
      </x:c>
      <x:c r="AW108" s="14"/>
      <x:c r="AX108" s="14" t="str">
        <x:v>No</x:v>
      </x:c>
      <x:c r="AY108" s="14" t="str">
        <x:v>Unmatched</x:v>
      </x:c>
      <x:c r="AZ108" s="14" t="str">
        <x:v>Final supplied register</x:v>
      </x:c>
      <x:c r="BA108" s="14" t="str">
        <x:v>Absence from the register is not evidence that the performer is not disabled.</x:v>
      </x:c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12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0.08333333333333333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4" t="str">
        <x:v>HYPERLINK is not implemented. linkLocation=https://www.imdb.com/title/tt29427309/fullcredits/,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tt29427309|nm1742630|kenneth</x:v>
      </x:c>
      <x:c r="B109" s="14" t="str">
        <x:v>06</x:v>
      </x:c>
      <x:c r="C109" s="14" t="str">
        <x:v>2024_IMDb_Cast_Lists_Batch_06(1).xlsx</x:v>
      </x:c>
      <x:c r="D109" s="14" t="str">
        <x:v>Things You Should Have Done</x:v>
      </x:c>
      <x:c r="E109" s="14" t="n">
        <x:v>28</x:v>
      </x:c>
      <x:c r="F109" s="14" t="str">
        <x:v>Things You Should Have Done</x:v>
      </x:c>
      <x:c r="G109" s="14" t="str">
        <x:v>tt29427309</x:v>
      </x:c>
      <x:c r="H109" s="14" t="n">
        <x:v>2024</x:v>
      </x:c>
      <x:c r="I109" s="14" t="n">
        <x:v>2025</x:v>
      </x:c>
      <x:c r="J109" s="14" t="str">
        <x:v>Earlier-Production Carry-In Cohort</x:v>
      </x:c>
      <x:c r="K109" s="14" t="n">
        <x:v>2024</x:v>
      </x:c>
      <x:c r="L109" s="14" t="str">
        <x:v>Used in 2025 annual analysis</x:v>
      </x:c>
      <x:c r="M109" s="15" t="n">
        <x:v>21</x:v>
      </x:c>
      <x:c r="N109" s="14" t="str">
        <x:v>Marc Wootton</x:v>
      </x:c>
      <x:c r="O109" s="14" t="str">
        <x:v>nm1742630</x:v>
      </x:c>
      <x:c r="P109" s="14" t="str">
        <x:v>Kenneth</x:v>
      </x:c>
      <x:c r="Q109" s="15" t="n">
        <x:v>1</x:v>
      </x:c>
      <x:c r="R109" s="14" t="str">
        <x:v>2025</x:v>
      </x:c>
      <x:c r="S109" s="14" t="n">
        <x:v>2025</x:v>
      </x:c>
      <x:c r="T109" s="14" t="n">
        <x:v>2025</x:v>
      </x:c>
      <x:c r="U109" s="14" t="str">
        <x:v>Explicit source first year retained</x:v>
      </x:c>
      <x:c r="V109" s="14" t="str">
        <x:v>Earliest supplied year is 2025.</x:v>
      </x:c>
      <x:c r="W109" s="14"/>
      <x:c r="X109" s="14" t="str">
        <x:v>Included</x:v>
      </x:c>
      <x:c r="Y109" s="14"/>
      <x:c r="Z109" s="14" t="str">
        <x:v>Things You Should Have Done.docx</x:v>
      </x:c>
      <x:c r="AA109" s="14" t="str">
        <x:v>HYPERLINK is not implemented. linkLocation=https://www.imdb.com/title/tt29427309/fullcredits/,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 t="str">
        <x:v>No established-register match</x:v>
      </x:c>
      <x:c r="AT109" s="14"/>
      <x:c r="AU109" s="14"/>
      <x:c r="AV109" s="14" t="str">
        <x:v>No established apparent-disability match</x:v>
      </x:c>
      <x:c r="AW109" s="14"/>
      <x:c r="AX109" s="14" t="str">
        <x:v>No</x:v>
      </x:c>
      <x:c r="AY109" s="14" t="str">
        <x:v>Unmatched</x:v>
      </x:c>
      <x:c r="AZ109" s="14" t="str">
        <x:v>Final supplied register</x:v>
      </x:c>
      <x:c r="BA109" s="14" t="str">
        <x:v>Absence from the register is not evidence that the performer is not disabled.</x:v>
      </x:c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12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0.08333333333333333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4" t="str">
        <x:v>HYPERLINK is not implemented. linkLocation=https://www.imdb.com/title/tt29427309/fullcredits/,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tt29427309|nm2703676|chris</x:v>
      </x:c>
      <x:c r="B110" s="14" t="str">
        <x:v>06</x:v>
      </x:c>
      <x:c r="C110" s="14" t="str">
        <x:v>2024_IMDb_Cast_Lists_Batch_06(1).xlsx</x:v>
      </x:c>
      <x:c r="D110" s="14" t="str">
        <x:v>Things You Should Have Done</x:v>
      </x:c>
      <x:c r="E110" s="14" t="n">
        <x:v>29</x:v>
      </x:c>
      <x:c r="F110" s="14" t="str">
        <x:v>Things You Should Have Done</x:v>
      </x:c>
      <x:c r="G110" s="14" t="str">
        <x:v>tt29427309</x:v>
      </x:c>
      <x:c r="H110" s="14" t="n">
        <x:v>2024</x:v>
      </x:c>
      <x:c r="I110" s="14" t="n">
        <x:v>2025</x:v>
      </x:c>
      <x:c r="J110" s="14" t="str">
        <x:v>Earlier-Production Carry-In Cohort</x:v>
      </x:c>
      <x:c r="K110" s="14" t="n">
        <x:v>2024</x:v>
      </x:c>
      <x:c r="L110" s="14" t="str">
        <x:v>Used in 2025 annual analysis</x:v>
      </x:c>
      <x:c r="M110" s="15" t="n">
        <x:v>22</x:v>
      </x:c>
      <x:c r="N110" s="14" t="str">
        <x:v>Tom Bell</x:v>
      </x:c>
      <x:c r="O110" s="14" t="str">
        <x:v>nm2703676</x:v>
      </x:c>
      <x:c r="P110" s="14" t="str">
        <x:v>Chris</x:v>
      </x:c>
      <x:c r="Q110" s="15" t="n">
        <x:v>1</x:v>
      </x:c>
      <x:c r="R110" s="14" t="str">
        <x:v>2025</x:v>
      </x:c>
      <x:c r="S110" s="14" t="n">
        <x:v>2025</x:v>
      </x:c>
      <x:c r="T110" s="14" t="n">
        <x:v>2025</x:v>
      </x:c>
      <x:c r="U110" s="14" t="str">
        <x:v>Explicit source first year retained</x:v>
      </x:c>
      <x:c r="V110" s="14" t="str">
        <x:v>Earliest supplied year is 2025.</x:v>
      </x:c>
      <x:c r="W110" s="14"/>
      <x:c r="X110" s="14" t="str">
        <x:v>Included</x:v>
      </x:c>
      <x:c r="Y110" s="14"/>
      <x:c r="Z110" s="14" t="str">
        <x:v>Things You Should Have Done.docx</x:v>
      </x:c>
      <x:c r="AA110" s="14" t="str">
        <x:v>HYPERLINK is not implemented. linkLocation=https://www.imdb.com/title/tt29427309/fullcredits/,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 t="str">
        <x:v>No established-register match</x:v>
      </x:c>
      <x:c r="AT110" s="14"/>
      <x:c r="AU110" s="14"/>
      <x:c r="AV110" s="14" t="str">
        <x:v>No established apparent-disability match</x:v>
      </x:c>
      <x:c r="AW110" s="14"/>
      <x:c r="AX110" s="14" t="str">
        <x:v>No</x:v>
      </x:c>
      <x:c r="AY110" s="14" t="str">
        <x:v>Unmatched</x:v>
      </x:c>
      <x:c r="AZ110" s="14" t="str">
        <x:v>Final supplied register</x:v>
      </x:c>
      <x:c r="BA110" s="14" t="str">
        <x:v>Absence from the register is not evidence that the performer is not disabled.</x:v>
      </x:c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12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0.08333333333333333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4" t="str">
        <x:v>HYPERLINK is not implemented. linkLocation=https://www.imdb.com/title/tt29427309/fullcredits/,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tt29427309|nm7863184|parita</x:v>
      </x:c>
      <x:c r="B111" s="14" t="str">
        <x:v>06</x:v>
      </x:c>
      <x:c r="C111" s="14" t="str">
        <x:v>2024_IMDb_Cast_Lists_Batch_06(1).xlsx</x:v>
      </x:c>
      <x:c r="D111" s="14" t="str">
        <x:v>Things You Should Have Done</x:v>
      </x:c>
      <x:c r="E111" s="14" t="n">
        <x:v>30</x:v>
      </x:c>
      <x:c r="F111" s="14" t="str">
        <x:v>Things You Should Have Done</x:v>
      </x:c>
      <x:c r="G111" s="14" t="str">
        <x:v>tt29427309</x:v>
      </x:c>
      <x:c r="H111" s="14" t="n">
        <x:v>2024</x:v>
      </x:c>
      <x:c r="I111" s="14" t="n">
        <x:v>2025</x:v>
      </x:c>
      <x:c r="J111" s="14" t="str">
        <x:v>Earlier-Production Carry-In Cohort</x:v>
      </x:c>
      <x:c r="K111" s="14" t="n">
        <x:v>2024</x:v>
      </x:c>
      <x:c r="L111" s="14" t="str">
        <x:v>Used in 2025 annual analysis</x:v>
      </x:c>
      <x:c r="M111" s="15" t="n">
        <x:v>23</x:v>
      </x:c>
      <x:c r="N111" s="14" t="str">
        <x:v>Shermin Hassan</x:v>
      </x:c>
      <x:c r="O111" s="14" t="str">
        <x:v>nm7863184</x:v>
      </x:c>
      <x:c r="P111" s="14" t="str">
        <x:v>Parita</x:v>
      </x:c>
      <x:c r="Q111" s="15" t="n">
        <x:v>1</x:v>
      </x:c>
      <x:c r="R111" s="14" t="str">
        <x:v>2025</x:v>
      </x:c>
      <x:c r="S111" s="14" t="n">
        <x:v>2025</x:v>
      </x:c>
      <x:c r="T111" s="14" t="n">
        <x:v>2025</x:v>
      </x:c>
      <x:c r="U111" s="14" t="str">
        <x:v>Explicit source first year retained</x:v>
      </x:c>
      <x:c r="V111" s="14" t="str">
        <x:v>Earliest supplied year is 2025.</x:v>
      </x:c>
      <x:c r="W111" s="14"/>
      <x:c r="X111" s="14" t="str">
        <x:v>Included</x:v>
      </x:c>
      <x:c r="Y111" s="14"/>
      <x:c r="Z111" s="14" t="str">
        <x:v>Things You Should Have Done.docx</x:v>
      </x:c>
      <x:c r="AA111" s="14" t="str">
        <x:v>HYPERLINK is not implemented. linkLocation=https://www.imdb.com/title/tt29427309/fullcredits/,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 t="str">
        <x:v>No established-register match</x:v>
      </x:c>
      <x:c r="AT111" s="14"/>
      <x:c r="AU111" s="14"/>
      <x:c r="AV111" s="14" t="str">
        <x:v>No established apparent-disability match</x:v>
      </x:c>
      <x:c r="AW111" s="14"/>
      <x:c r="AX111" s="14" t="str">
        <x:v>No</x:v>
      </x:c>
      <x:c r="AY111" s="14" t="str">
        <x:v>Unmatched</x:v>
      </x:c>
      <x:c r="AZ111" s="14" t="str">
        <x:v>Final supplied register</x:v>
      </x:c>
      <x:c r="BA111" s="14" t="str">
        <x:v>Absence from the register is not evidence that the performer is not disabled.</x:v>
      </x:c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12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0.08333333333333333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4" t="str">
        <x:v>HYPERLINK is not implemented. linkLocation=https://www.imdb.com/title/tt29427309/fullcredits/,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tt29427309|nm0815420|rosa</x:v>
      </x:c>
      <x:c r="B112" s="14" t="str">
        <x:v>06</x:v>
      </x:c>
      <x:c r="C112" s="14" t="str">
        <x:v>2024_IMDb_Cast_Lists_Batch_06(1).xlsx</x:v>
      </x:c>
      <x:c r="D112" s="14" t="str">
        <x:v>Things You Should Have Done</x:v>
      </x:c>
      <x:c r="E112" s="14" t="n">
        <x:v>31</x:v>
      </x:c>
      <x:c r="F112" s="14" t="str">
        <x:v>Things You Should Have Done</x:v>
      </x:c>
      <x:c r="G112" s="14" t="str">
        <x:v>tt29427309</x:v>
      </x:c>
      <x:c r="H112" s="14" t="n">
        <x:v>2024</x:v>
      </x:c>
      <x:c r="I112" s="14" t="n">
        <x:v>2025</x:v>
      </x:c>
      <x:c r="J112" s="14" t="str">
        <x:v>Earlier-Production Carry-In Cohort</x:v>
      </x:c>
      <x:c r="K112" s="14" t="n">
        <x:v>2024</x:v>
      </x:c>
      <x:c r="L112" s="14" t="str">
        <x:v>Used in 2025 annual analysis</x:v>
      </x:c>
      <x:c r="M112" s="15" t="n">
        <x:v>24</x:v>
      </x:c>
      <x:c r="N112" s="14" t="str">
        <x:v>Mia Soteriou</x:v>
      </x:c>
      <x:c r="O112" s="14" t="str">
        <x:v>nm0815420</x:v>
      </x:c>
      <x:c r="P112" s="14" t="str">
        <x:v>Rosa</x:v>
      </x:c>
      <x:c r="Q112" s="15" t="n">
        <x:v>1</x:v>
      </x:c>
      <x:c r="R112" s="14" t="str">
        <x:v>2025</x:v>
      </x:c>
      <x:c r="S112" s="14" t="n">
        <x:v>2025</x:v>
      </x:c>
      <x:c r="T112" s="14" t="n">
        <x:v>2025</x:v>
      </x:c>
      <x:c r="U112" s="14" t="str">
        <x:v>Explicit source first year retained</x:v>
      </x:c>
      <x:c r="V112" s="14" t="str">
        <x:v>Earliest supplied year is 2025.</x:v>
      </x:c>
      <x:c r="W112" s="14"/>
      <x:c r="X112" s="14" t="str">
        <x:v>Included</x:v>
      </x:c>
      <x:c r="Y112" s="14"/>
      <x:c r="Z112" s="14" t="str">
        <x:v>Things You Should Have Done.docx</x:v>
      </x:c>
      <x:c r="AA112" s="14" t="str">
        <x:v>HYPERLINK is not implemented. linkLocation=https://www.imdb.com/title/tt29427309/fullcredits/,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 t="str">
        <x:v>No established-register match</x:v>
      </x:c>
      <x:c r="AT112" s="14"/>
      <x:c r="AU112" s="14"/>
      <x:c r="AV112" s="14" t="str">
        <x:v>No established apparent-disability match</x:v>
      </x:c>
      <x:c r="AW112" s="14"/>
      <x:c r="AX112" s="14" t="str">
        <x:v>No</x:v>
      </x:c>
      <x:c r="AY112" s="14" t="str">
        <x:v>Unmatched</x:v>
      </x:c>
      <x:c r="AZ112" s="14" t="str">
        <x:v>Final supplied register</x:v>
      </x:c>
      <x:c r="BA112" s="14" t="str">
        <x:v>Absence from the register is not evidence that the performer is not disabled.</x:v>
      </x:c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12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0.08333333333333333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4" t="str">
        <x:v>HYPERLINK is not implemented. linkLocation=https://www.imdb.com/title/tt29427309/fullcredits/,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tt29427309|nm0361846|mitra</x:v>
      </x:c>
      <x:c r="B113" s="14" t="str">
        <x:v>06</x:v>
      </x:c>
      <x:c r="C113" s="14" t="str">
        <x:v>2024_IMDb_Cast_Lists_Batch_06(1).xlsx</x:v>
      </x:c>
      <x:c r="D113" s="14" t="str">
        <x:v>Things You Should Have Done</x:v>
      </x:c>
      <x:c r="E113" s="14" t="n">
        <x:v>32</x:v>
      </x:c>
      <x:c r="F113" s="14" t="str">
        <x:v>Things You Should Have Done</x:v>
      </x:c>
      <x:c r="G113" s="14" t="str">
        <x:v>tt29427309</x:v>
      </x:c>
      <x:c r="H113" s="14" t="n">
        <x:v>2024</x:v>
      </x:c>
      <x:c r="I113" s="14" t="n">
        <x:v>2025</x:v>
      </x:c>
      <x:c r="J113" s="14" t="str">
        <x:v>Earlier-Production Carry-In Cohort</x:v>
      </x:c>
      <x:c r="K113" s="14" t="n">
        <x:v>2024</x:v>
      </x:c>
      <x:c r="L113" s="14" t="str">
        <x:v>Used in 2025 annual analysis</x:v>
      </x:c>
      <x:c r="M113" s="15" t="n">
        <x:v>25</x:v>
      </x:c>
      <x:c r="N113" s="14" t="str">
        <x:v>Nimmi Harasgama</x:v>
      </x:c>
      <x:c r="O113" s="14" t="str">
        <x:v>nm0361846</x:v>
      </x:c>
      <x:c r="P113" s="14" t="str">
        <x:v>Mitra</x:v>
      </x:c>
      <x:c r="Q113" s="15" t="n">
        <x:v>1</x:v>
      </x:c>
      <x:c r="R113" s="14" t="str">
        <x:v>2025</x:v>
      </x:c>
      <x:c r="S113" s="14" t="n">
        <x:v>2025</x:v>
      </x:c>
      <x:c r="T113" s="14" t="n">
        <x:v>2025</x:v>
      </x:c>
      <x:c r="U113" s="14" t="str">
        <x:v>Explicit source first year retained</x:v>
      </x:c>
      <x:c r="V113" s="14" t="str">
        <x:v>Earliest supplied year is 2025.</x:v>
      </x:c>
      <x:c r="W113" s="14"/>
      <x:c r="X113" s="14" t="str">
        <x:v>Included</x:v>
      </x:c>
      <x:c r="Y113" s="14"/>
      <x:c r="Z113" s="14" t="str">
        <x:v>Things You Should Have Done.docx</x:v>
      </x:c>
      <x:c r="AA113" s="14" t="str">
        <x:v>HYPERLINK is not implemented. linkLocation=https://www.imdb.com/title/tt29427309/fullcredits/,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 t="str">
        <x:v>No established-register match</x:v>
      </x:c>
      <x:c r="AT113" s="14"/>
      <x:c r="AU113" s="14"/>
      <x:c r="AV113" s="14" t="str">
        <x:v>No established apparent-disability match</x:v>
      </x:c>
      <x:c r="AW113" s="14"/>
      <x:c r="AX113" s="14" t="str">
        <x:v>No</x:v>
      </x:c>
      <x:c r="AY113" s="14" t="str">
        <x:v>Unmatched</x:v>
      </x:c>
      <x:c r="AZ113" s="14" t="str">
        <x:v>Final supplied register</x:v>
      </x:c>
      <x:c r="BA113" s="14" t="str">
        <x:v>Absence from the register is not evidence that the performer is not disabled.</x:v>
      </x:c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12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0.08333333333333333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4" t="str">
        <x:v>HYPERLINK is not implemented. linkLocation=https://www.imdb.com/title/tt29427309/fullcredits/,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tt29427309|nm1445529|sean</x:v>
      </x:c>
      <x:c r="B114" s="14" t="str">
        <x:v>06</x:v>
      </x:c>
      <x:c r="C114" s="14" t="str">
        <x:v>2024_IMDb_Cast_Lists_Batch_06(1).xlsx</x:v>
      </x:c>
      <x:c r="D114" s="14" t="str">
        <x:v>Things You Should Have Done</x:v>
      </x:c>
      <x:c r="E114" s="14" t="n">
        <x:v>33</x:v>
      </x:c>
      <x:c r="F114" s="14" t="str">
        <x:v>Things You Should Have Done</x:v>
      </x:c>
      <x:c r="G114" s="14" t="str">
        <x:v>tt29427309</x:v>
      </x:c>
      <x:c r="H114" s="14" t="n">
        <x:v>2024</x:v>
      </x:c>
      <x:c r="I114" s="14" t="n">
        <x:v>2025</x:v>
      </x:c>
      <x:c r="J114" s="14" t="str">
        <x:v>Earlier-Production Carry-In Cohort</x:v>
      </x:c>
      <x:c r="K114" s="14" t="n">
        <x:v>2024</x:v>
      </x:c>
      <x:c r="L114" s="14" t="str">
        <x:v>Used in 2025 annual analysis</x:v>
      </x:c>
      <x:c r="M114" s="15" t="n">
        <x:v>26</x:v>
      </x:c>
      <x:c r="N114" s="14" t="str">
        <x:v>Glenn Hanning</x:v>
      </x:c>
      <x:c r="O114" s="14" t="str">
        <x:v>nm1445529</x:v>
      </x:c>
      <x:c r="P114" s="14" t="str">
        <x:v>Sean</x:v>
      </x:c>
      <x:c r="Q114" s="15" t="n">
        <x:v>1</x:v>
      </x:c>
      <x:c r="R114" s="14" t="str">
        <x:v>2025</x:v>
      </x:c>
      <x:c r="S114" s="14" t="n">
        <x:v>2025</x:v>
      </x:c>
      <x:c r="T114" s="14" t="n">
        <x:v>2025</x:v>
      </x:c>
      <x:c r="U114" s="14" t="str">
        <x:v>Explicit source first year retained</x:v>
      </x:c>
      <x:c r="V114" s="14" t="str">
        <x:v>Earliest supplied year is 2025.</x:v>
      </x:c>
      <x:c r="W114" s="14"/>
      <x:c r="X114" s="14" t="str">
        <x:v>Included</x:v>
      </x:c>
      <x:c r="Y114" s="14"/>
      <x:c r="Z114" s="14" t="str">
        <x:v>Things You Should Have Done.docx</x:v>
      </x:c>
      <x:c r="AA114" s="14" t="str">
        <x:v>HYPERLINK is not implemented. linkLocation=https://www.imdb.com/title/tt29427309/fullcredits/,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BBC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4" s="14" t="str">
        <x:v>BBC public-service commission</x:v>
      </x:c>
      <x:c r="AO114" s="14" t="str">
        <x:v>Yes</x:v>
      </x:c>
      <x:c r="AP114" s="14" t="str">
        <x:v>Direct BBC public-service scope</x:v>
      </x:c>
      <x:c r="AQ114" s="14" t="str">
        <x:v>Yes</x:v>
      </x:c>
      <x:c r="AR114" s="14" t="str">
        <x:v>Resolved from master register</x:v>
      </x:c>
      <x:c r="AS114" s="14" t="str">
        <x:v>No established-register match</x:v>
      </x:c>
      <x:c r="AT114" s="14"/>
      <x:c r="AU114" s="14"/>
      <x:c r="AV114" s="14" t="str">
        <x:v>No established apparent-disability match</x:v>
      </x:c>
      <x:c r="AW114" s="14"/>
      <x:c r="AX114" s="14" t="str">
        <x:v>No</x:v>
      </x:c>
      <x:c r="AY114" s="14" t="str">
        <x:v>Unmatched</x:v>
      </x:c>
      <x:c r="AZ114" s="14" t="str">
        <x:v>Final supplied register</x:v>
      </x:c>
      <x:c r="BA114" s="14" t="str">
        <x:v>Absence from the register is not evidence that the performer is not disabled.</x:v>
      </x:c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0.08333333333333333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4" t="str">
        <x:v>HYPERLINK is not implemented. linkLocation=https://www.imdb.com/title/tt29427309/fullcredits/,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tt29427309|nm3065321|pippa</x:v>
      </x:c>
      <x:c r="B115" s="14" t="str">
        <x:v>06</x:v>
      </x:c>
      <x:c r="C115" s="14" t="str">
        <x:v>2024_IMDb_Cast_Lists_Batch_06(1).xlsx</x:v>
      </x:c>
      <x:c r="D115" s="14" t="str">
        <x:v>Things You Should Have Done</x:v>
      </x:c>
      <x:c r="E115" s="14" t="n">
        <x:v>34</x:v>
      </x:c>
      <x:c r="F115" s="14" t="str">
        <x:v>Things You Should Have Done</x:v>
      </x:c>
      <x:c r="G115" s="14" t="str">
        <x:v>tt29427309</x:v>
      </x:c>
      <x:c r="H115" s="14" t="n">
        <x:v>2024</x:v>
      </x:c>
      <x:c r="I115" s="14" t="n">
        <x:v>2025</x:v>
      </x:c>
      <x:c r="J115" s="14" t="str">
        <x:v>Earlier-Production Carry-In Cohort</x:v>
      </x:c>
      <x:c r="K115" s="14" t="n">
        <x:v>2024</x:v>
      </x:c>
      <x:c r="L115" s="14" t="str">
        <x:v>Used in 2025 annual analysis</x:v>
      </x:c>
      <x:c r="M115" s="15" t="n">
        <x:v>27</x:v>
      </x:c>
      <x:c r="N115" s="14" t="str">
        <x:v>Joanne Sandi</x:v>
      </x:c>
      <x:c r="O115" s="14" t="str">
        <x:v>nm3065321</x:v>
      </x:c>
      <x:c r="P115" s="14" t="str">
        <x:v>Pippa</x:v>
      </x:c>
      <x:c r="Q115" s="15" t="n">
        <x:v>1</x:v>
      </x:c>
      <x:c r="R115" s="14" t="str">
        <x:v>2025</x:v>
      </x:c>
      <x:c r="S115" s="14" t="n">
        <x:v>2025</x:v>
      </x:c>
      <x:c r="T115" s="14" t="n">
        <x:v>2025</x:v>
      </x:c>
      <x:c r="U115" s="14" t="str">
        <x:v>Explicit source first year retained</x:v>
      </x:c>
      <x:c r="V115" s="14" t="str">
        <x:v>Earliest supplied year is 2025.</x:v>
      </x:c>
      <x:c r="W115" s="14"/>
      <x:c r="X115" s="14" t="str">
        <x:v>Included</x:v>
      </x:c>
      <x:c r="Y115" s="14"/>
      <x:c r="Z115" s="14" t="str">
        <x:v>Things You Should Have Done.docx</x:v>
      </x:c>
      <x:c r="AA115" s="14" t="str">
        <x:v>HYPERLINK is not implemented. linkLocation=https://www.imdb.com/title/tt29427309/fullcredits/,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BBC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5" s="14" t="str">
        <x:v>BBC public-service commission</x:v>
      </x:c>
      <x:c r="AO115" s="14" t="str">
        <x:v>Yes</x:v>
      </x:c>
      <x:c r="AP115" s="14" t="str">
        <x:v>Direct BBC public-service scope</x:v>
      </x:c>
      <x:c r="AQ115" s="14" t="str">
        <x:v>Yes</x:v>
      </x:c>
      <x:c r="AR115" s="14" t="str">
        <x:v>Resolved from master register</x:v>
      </x:c>
      <x:c r="AS115" s="14" t="str">
        <x:v>No established-register match</x:v>
      </x:c>
      <x:c r="AT115" s="14"/>
      <x:c r="AU115" s="14"/>
      <x:c r="AV115" s="14" t="str">
        <x:v>No established apparent-disability match</x:v>
      </x:c>
      <x:c r="AW115" s="14"/>
      <x:c r="AX115" s="14" t="str">
        <x:v>No</x:v>
      </x:c>
      <x:c r="AY115" s="14" t="str">
        <x:v>Unmatched</x:v>
      </x:c>
      <x:c r="AZ115" s="14" t="str">
        <x:v>Final supplied register</x:v>
      </x:c>
      <x:c r="BA115" s="14" t="str">
        <x:v>Absence from the register is not evidence that the performer is not disabled.</x:v>
      </x:c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0.08333333333333333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4" t="str">
        <x:v>HYPERLINK is not implemented. linkLocation=https://www.imdb.com/title/tt29427309/fullcredits/,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tt29427309|nm7011726|maddie (sarah's girlfriend)</x:v>
      </x:c>
      <x:c r="B116" s="14" t="str">
        <x:v>06</x:v>
      </x:c>
      <x:c r="C116" s="14" t="str">
        <x:v>2024_IMDb_Cast_Lists_Batch_06(1).xlsx</x:v>
      </x:c>
      <x:c r="D116" s="14" t="str">
        <x:v>Things You Should Have Done</x:v>
      </x:c>
      <x:c r="E116" s="14" t="n">
        <x:v>47</x:v>
      </x:c>
      <x:c r="F116" s="14" t="str">
        <x:v>Things You Should Have Done</x:v>
      </x:c>
      <x:c r="G116" s="14" t="str">
        <x:v>tt29427309</x:v>
      </x:c>
      <x:c r="H116" s="14" t="n">
        <x:v>2024</x:v>
      </x:c>
      <x:c r="I116" s="14" t="n">
        <x:v>2025</x:v>
      </x:c>
      <x:c r="J116" s="14" t="str">
        <x:v>Earlier-Production Carry-In Cohort</x:v>
      </x:c>
      <x:c r="K116" s="14" t="n">
        <x:v>2024</x:v>
      </x:c>
      <x:c r="L116" s="14" t="str">
        <x:v>Used in 2025 annual analysis</x:v>
      </x:c>
      <x:c r="M116" s="15" t="n">
        <x:v>40</x:v>
      </x:c>
      <x:c r="N116" s="14" t="str">
        <x:v>Elodie Foray</x:v>
      </x:c>
      <x:c r="O116" s="14" t="str">
        <x:v>nm7011726</x:v>
      </x:c>
      <x:c r="P116" s="14" t="str">
        <x:v>Maddie (Sarah's Girlfriend)</x:v>
      </x:c>
      <x:c r="Q116" s="15" t="n">
        <x:v>1</x:v>
      </x:c>
      <x:c r="R116" s="14" t="str">
        <x:v>2025</x:v>
      </x:c>
      <x:c r="S116" s="14" t="n">
        <x:v>2025</x:v>
      </x:c>
      <x:c r="T116" s="14" t="n">
        <x:v>2025</x:v>
      </x:c>
      <x:c r="U116" s="14" t="str">
        <x:v>Explicit source first year retained</x:v>
      </x:c>
      <x:c r="V116" s="14" t="str">
        <x:v>Earliest supplied year is 2025.</x:v>
      </x:c>
      <x:c r="W116" s="14"/>
      <x:c r="X116" s="14" t="str">
        <x:v>Included</x:v>
      </x:c>
      <x:c r="Y116" s="14"/>
      <x:c r="Z116" s="14" t="str">
        <x:v>Things You Should Have Done.docx</x:v>
      </x:c>
      <x:c r="AA116" s="14" t="str">
        <x:v>HYPERLINK is not implemented. linkLocation=https://www.imdb.com/title/tt29427309/fullcredits/,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BBC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6" s="14" t="str">
        <x:v>BBC public-service commission</x:v>
      </x:c>
      <x:c r="AO116" s="14" t="str">
        <x:v>Yes</x:v>
      </x:c>
      <x:c r="AP116" s="14" t="str">
        <x:v>Direct BBC public-service scope</x:v>
      </x:c>
      <x:c r="AQ116" s="14" t="str">
        <x:v>Yes</x:v>
      </x:c>
      <x:c r="AR116" s="14" t="str">
        <x:v>Resolved from master register</x:v>
      </x:c>
      <x:c r="AS116" s="14" t="str">
        <x:v>No established-register match</x:v>
      </x:c>
      <x:c r="AT116" s="14"/>
      <x:c r="AU116" s="14"/>
      <x:c r="AV116" s="14" t="str">
        <x:v>No established apparent-disability match</x:v>
      </x:c>
      <x:c r="AW116" s="14"/>
      <x:c r="AX116" s="14" t="str">
        <x:v>No</x:v>
      </x:c>
      <x:c r="AY116" s="14" t="str">
        <x:v>Unmatched</x:v>
      </x:c>
      <x:c r="AZ116" s="14" t="str">
        <x:v>Final supplied register</x:v>
      </x:c>
      <x:c r="BA116" s="14" t="str">
        <x:v>Absence from the register is not evidence that the performer is not disabled.</x:v>
      </x:c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0.08333333333333333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4" t="str">
        <x:v>HYPERLINK is not implemented. linkLocation=https://www.imdb.com/title/tt29427309/fullcredits/,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tt21161156|nm17166252|rosie</x:v>
      </x:c>
      <x:c r="B117" s="14" t="str">
        <x:v>01</x:v>
      </x:c>
      <x:c r="C117" s="14" t="str">
        <x:v>2023_IMDb_Cast_Lists_Batch_01(2).xlsx</x:v>
      </x:c>
      <x:c r="D117" s="14" t="str">
        <x:v>Beyond Paradise</x:v>
      </x:c>
      <x:c r="E117" s="14" t="n">
        <x:v>19</x:v>
      </x:c>
      <x:c r="F117" s="14" t="str">
        <x:v>Beyond Paradise</x:v>
      </x:c>
      <x:c r="G117" s="14" t="str">
        <x:v>tt21161156</x:v>
      </x:c>
      <x:c r="H117" s="14" t="n">
        <x:v>2023</x:v>
      </x:c>
      <x:c r="I117" s="14" t="n">
        <x:v>2025</x:v>
      </x:c>
      <x:c r="J117" s="14" t="str">
        <x:v>Earlier-Production Carry-In Cohort</x:v>
      </x:c>
      <x:c r="K117" s="14" t="n">
        <x:v>2023</x:v>
      </x:c>
      <x:c r="L117" s="14" t="str">
        <x:v>Used in 2025 annual analysis</x:v>
      </x:c>
      <x:c r="M117" s="15" t="n">
        <x:v>12</x:v>
      </x:c>
      <x:c r="N117" s="14" t="str">
        <x:v>Bella Rei Blue Stevenson</x:v>
      </x:c>
      <x:c r="O117" s="14" t="str">
        <x:v>nm17166252</x:v>
      </x:c>
      <x:c r="P117" s="14" t="str">
        <x:v>Rosie</x:v>
      </x:c>
      <x:c r="Q117" s="15" t="n">
        <x:v>6</x:v>
      </x:c>
      <x:c r="R117" s="14" t="str">
        <x:v>2025</x:v>
      </x:c>
      <x:c r="S117" s="14" t="n">
        <x:v>2025</x:v>
      </x:c>
      <x:c r="T117" s="14" t="n">
        <x:v>2025</x:v>
      </x:c>
      <x:c r="U117" s="14" t="str">
        <x:v>Explicit source first year retained</x:v>
      </x:c>
      <x:c r="V117" s="14" t="str">
        <x:v>Earliest supplied year is 2025.</x:v>
      </x:c>
      <x:c r="W117" s="14"/>
      <x:c r="X117" s="14" t="str">
        <x:v>Included</x:v>
      </x:c>
      <x:c r="Y117" s="14"/>
      <x:c r="Z117" s="14" t="str">
        <x:v>Beyond Paradise.docx</x:v>
      </x:c>
      <x:c r="AA117" s="14" t="str">
        <x:v>HYPERLINK is not implemented. linkLocation=https://www.imdb.com/title/tt21161156/fullcredits/,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BBC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HYPERLINK("https://en.wikipedia.org/wiki/Beyond_Paradise","Open source")</x:f>
        <x:v>HYPERLINK is not implemented. linkLocation=https://en.wikipedia.org/wiki/Beyond_Paradise, friendlyName=Open source</x:v>
      </x:c>
      <x:c r="AN117" s="14" t="str">
        <x:v>BBC public-service commission</x:v>
      </x:c>
      <x:c r="AO117" s="14" t="str">
        <x:v>Yes</x:v>
      </x:c>
      <x:c r="AP117" s="14" t="str">
        <x:v>Direct BBC public-service scope</x:v>
      </x:c>
      <x:c r="AQ117" s="14" t="str">
        <x:v>Yes</x:v>
      </x:c>
      <x:c r="AR117" s="14" t="str">
        <x:v>Resolved from master register</x:v>
      </x:c>
      <x:c r="AS117" s="14" t="str">
        <x:v>No established-register match</x:v>
      </x:c>
      <x:c r="AT117" s="14"/>
      <x:c r="AU117" s="14"/>
      <x:c r="AV117" s="14" t="str">
        <x:v>No established apparent-disability match</x:v>
      </x:c>
      <x:c r="AW117" s="14"/>
      <x:c r="AX117" s="14" t="str">
        <x:v>No</x:v>
      </x:c>
      <x:c r="AY117" s="14" t="str">
        <x:v>Unmatched</x:v>
      </x:c>
      <x:c r="AZ117" s="14" t="str">
        <x:v>Final supplied register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27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6</x:v>
      </x:c>
      <x:c r="BS117" s="16" t="n">
        <x:v>0.2222222222222222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4" t="str">
        <x:v>HYPERLINK is not implemented. linkLocation=https://www.imdb.com/title/tt21161156/fullcredits/,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tt21161156|nm0249528|david haleton</x:v>
      </x:c>
      <x:c r="B118" s="14" t="str">
        <x:v>01</x:v>
      </x:c>
      <x:c r="C118" s="14" t="str">
        <x:v>2023_IMDb_Cast_Lists_Batch_01(2).xlsx</x:v>
      </x:c>
      <x:c r="D118" s="14" t="str">
        <x:v>Beyond Paradise</x:v>
      </x:c>
      <x:c r="E118" s="14" t="n">
        <x:v>40</x:v>
      </x:c>
      <x:c r="F118" s="14" t="str">
        <x:v>Beyond Paradise</x:v>
      </x:c>
      <x:c r="G118" s="14" t="str">
        <x:v>tt21161156</x:v>
      </x:c>
      <x:c r="H118" s="14" t="n">
        <x:v>2023</x:v>
      </x:c>
      <x:c r="I118" s="14" t="n">
        <x:v>2025</x:v>
      </x:c>
      <x:c r="J118" s="14" t="str">
        <x:v>Earlier-Production Carry-In Cohort</x:v>
      </x:c>
      <x:c r="K118" s="14" t="n">
        <x:v>2023</x:v>
      </x:c>
      <x:c r="L118" s="14" t="str">
        <x:v>Used in 2025 annual analysis</x:v>
      </x:c>
      <x:c r="M118" s="15" t="n">
        <x:v>33</x:v>
      </x:c>
      <x:c r="N118" s="14" t="str">
        <x:v>Adrian Edmondson</x:v>
      </x:c>
      <x:c r="O118" s="14" t="str">
        <x:v>nm0249528</x:v>
      </x:c>
      <x:c r="P118" s="14" t="str">
        <x:v>David Haleton</x:v>
      </x:c>
      <x:c r="Q118" s="15" t="n">
        <x:v>1</x:v>
      </x:c>
      <x:c r="R118" s="14" t="str">
        <x:v>2025</x:v>
      </x:c>
      <x:c r="S118" s="14" t="n">
        <x:v>2025</x:v>
      </x:c>
      <x:c r="T118" s="14" t="n">
        <x:v>2025</x:v>
      </x:c>
      <x:c r="U118" s="14" t="str">
        <x:v>Explicit source first year retained</x:v>
      </x:c>
      <x:c r="V118" s="14" t="str">
        <x:v>Earliest supplied year is 2025.</x:v>
      </x:c>
      <x:c r="W118" s="14"/>
      <x:c r="X118" s="14" t="str">
        <x:v>Included</x:v>
      </x:c>
      <x:c r="Y118" s="14"/>
      <x:c r="Z118" s="14" t="str">
        <x:v>Beyond Paradise.docx</x:v>
      </x:c>
      <x:c r="AA118" s="14" t="str">
        <x:v>HYPERLINK is not implemented. linkLocation=https://www.imdb.com/title/tt21161156/fullcredits/,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BBC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HYPERLINK("https://en.wikipedia.org/wiki/Beyond_Paradise","Open source")</x:f>
        <x:v>HYPERLINK is not implemented. linkLocation=https://en.wikipedia.org/wiki/Beyond_Paradise, friendlyName=Open source</x:v>
      </x:c>
      <x:c r="AN118" s="14" t="str">
        <x:v>BBC public-service commission</x:v>
      </x:c>
      <x:c r="AO118" s="14" t="str">
        <x:v>Yes</x:v>
      </x:c>
      <x:c r="AP118" s="14" t="str">
        <x:v>Direct BBC public-service scope</x:v>
      </x:c>
      <x:c r="AQ118" s="14" t="str">
        <x:v>Yes</x:v>
      </x:c>
      <x:c r="AR118" s="14" t="str">
        <x:v>Resolved from master register</x:v>
      </x:c>
      <x:c r="AS118" s="14" t="str">
        <x:v>No established-register match</x:v>
      </x:c>
      <x:c r="AT118" s="14"/>
      <x:c r="AU118" s="14"/>
      <x:c r="AV118" s="14" t="str">
        <x:v>No established apparent-disability match</x:v>
      </x:c>
      <x:c r="AW118" s="14"/>
      <x:c r="AX118" s="14" t="str">
        <x:v>No</x:v>
      </x:c>
      <x:c r="AY118" s="14" t="str">
        <x:v>Unmatched</x:v>
      </x:c>
      <x:c r="AZ118" s="14" t="str">
        <x:v>Final supplied register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27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0.037037037037037035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4" t="str">
        <x:v>HYPERLINK is not implemented. linkLocation=https://www.imdb.com/title/tt21161156/fullcredits/,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tt21161156|nm0219465|arthur donalan</x:v>
      </x:c>
      <x:c r="B119" s="14" t="str">
        <x:v>01</x:v>
      </x:c>
      <x:c r="C119" s="14" t="str">
        <x:v>2023_IMDb_Cast_Lists_Batch_01(2).xlsx</x:v>
      </x:c>
      <x:c r="D119" s="14" t="str">
        <x:v>Beyond Paradise</x:v>
      </x:c>
      <x:c r="E119" s="14" t="n">
        <x:v>41</x:v>
      </x:c>
      <x:c r="F119" s="14" t="str">
        <x:v>Beyond Paradise</x:v>
      </x:c>
      <x:c r="G119" s="14" t="str">
        <x:v>tt21161156</x:v>
      </x:c>
      <x:c r="H119" s="14" t="n">
        <x:v>2023</x:v>
      </x:c>
      <x:c r="I119" s="14" t="n">
        <x:v>2025</x:v>
      </x:c>
      <x:c r="J119" s="14" t="str">
        <x:v>Earlier-Production Carry-In Cohort</x:v>
      </x:c>
      <x:c r="K119" s="14" t="n">
        <x:v>2023</x:v>
      </x:c>
      <x:c r="L119" s="14" t="str">
        <x:v>Used in 2025 annual analysis</x:v>
      </x:c>
      <x:c r="M119" s="15" t="n">
        <x:v>34</x:v>
      </x:c>
      <x:c r="N119" s="14" t="str">
        <x:v>Hugh Dennis</x:v>
      </x:c>
      <x:c r="O119" s="14" t="str">
        <x:v>nm0219465</x:v>
      </x:c>
      <x:c r="P119" s="14" t="str">
        <x:v>Arthur Donalan</x:v>
      </x:c>
      <x:c r="Q119" s="15" t="n">
        <x:v>1</x:v>
      </x:c>
      <x:c r="R119" s="14" t="str">
        <x:v>2025</x:v>
      </x:c>
      <x:c r="S119" s="14" t="n">
        <x:v>2025</x:v>
      </x:c>
      <x:c r="T119" s="14" t="n">
        <x:v>2025</x:v>
      </x:c>
      <x:c r="U119" s="14" t="str">
        <x:v>Explicit source first year retained</x:v>
      </x:c>
      <x:c r="V119" s="14" t="str">
        <x:v>Earliest supplied year is 2025.</x:v>
      </x:c>
      <x:c r="W119" s="14"/>
      <x:c r="X119" s="14" t="str">
        <x:v>Included</x:v>
      </x:c>
      <x:c r="Y119" s="14"/>
      <x:c r="Z119" s="14" t="str">
        <x:v>Beyond Paradise.docx</x:v>
      </x:c>
      <x:c r="AA119" s="14" t="str">
        <x:v>HYPERLINK is not implemented. linkLocation=https://www.imdb.com/title/tt21161156/fullcredits/,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BBC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HYPERLINK("https://en.wikipedia.org/wiki/Beyond_Paradise","Open source")</x:f>
        <x:v>HYPERLINK is not implemented. linkLocation=https://en.wikipedia.org/wiki/Beyond_Paradise, friendlyName=Open source</x:v>
      </x:c>
      <x:c r="AN119" s="14" t="str">
        <x:v>BBC public-service commission</x:v>
      </x:c>
      <x:c r="AO119" s="14" t="str">
        <x:v>Yes</x:v>
      </x:c>
      <x:c r="AP119" s="14" t="str">
        <x:v>Direct BBC public-service scope</x:v>
      </x:c>
      <x:c r="AQ119" s="14" t="str">
        <x:v>Yes</x:v>
      </x:c>
      <x:c r="AR119" s="14" t="str">
        <x:v>Resolved from master register</x:v>
      </x:c>
      <x:c r="AS119" s="14" t="str">
        <x:v>No established-register match</x:v>
      </x:c>
      <x:c r="AT119" s="14"/>
      <x:c r="AU119" s="14"/>
      <x:c r="AV119" s="14" t="str">
        <x:v>No established apparent-disability match</x:v>
      </x:c>
      <x:c r="AW119" s="14"/>
      <x:c r="AX119" s="14" t="str">
        <x:v>No</x:v>
      </x:c>
      <x:c r="AY119" s="14" t="str">
        <x:v>Unmatched</x:v>
      </x:c>
      <x:c r="AZ119" s="14" t="str">
        <x:v>Final supplied register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27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0.037037037037037035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4" t="str">
        <x:v>HYPERLINK is not implemented. linkLocation=https://www.imdb.com/title/tt21161156/fullcredits/,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tt21161156|nm1632762|stella ellis</x:v>
      </x:c>
      <x:c r="B120" s="14" t="str">
        <x:v>01</x:v>
      </x:c>
      <x:c r="C120" s="14" t="str">
        <x:v>2023_IMDb_Cast_Lists_Batch_01(2).xlsx</x:v>
      </x:c>
      <x:c r="D120" s="14" t="str">
        <x:v>Beyond Paradise</x:v>
      </x:c>
      <x:c r="E120" s="14" t="n">
        <x:v>42</x:v>
      </x:c>
      <x:c r="F120" s="14" t="str">
        <x:v>Beyond Paradise</x:v>
      </x:c>
      <x:c r="G120" s="14" t="str">
        <x:v>tt21161156</x:v>
      </x:c>
      <x:c r="H120" s="14" t="n">
        <x:v>2023</x:v>
      </x:c>
      <x:c r="I120" s="14" t="n">
        <x:v>2025</x:v>
      </x:c>
      <x:c r="J120" s="14" t="str">
        <x:v>Earlier-Production Carry-In Cohort</x:v>
      </x:c>
      <x:c r="K120" s="14" t="n">
        <x:v>2023</x:v>
      </x:c>
      <x:c r="L120" s="14" t="str">
        <x:v>Used in 2025 annual analysis</x:v>
      </x:c>
      <x:c r="M120" s="15" t="n">
        <x:v>35</x:v>
      </x:c>
      <x:c r="N120" s="14" t="str">
        <x:v>Amy Morgan</x:v>
      </x:c>
      <x:c r="O120" s="14" t="str">
        <x:v>nm1632762</x:v>
      </x:c>
      <x:c r="P120" s="14" t="str">
        <x:v>Stella Ellis</x:v>
      </x:c>
      <x:c r="Q120" s="15" t="n">
        <x:v>1</x:v>
      </x:c>
      <x:c r="R120" s="14" t="str">
        <x:v>2025</x:v>
      </x:c>
      <x:c r="S120" s="14" t="n">
        <x:v>2025</x:v>
      </x:c>
      <x:c r="T120" s="14" t="n">
        <x:v>2025</x:v>
      </x:c>
      <x:c r="U120" s="14" t="str">
        <x:v>Explicit source first year retained</x:v>
      </x:c>
      <x:c r="V120" s="14" t="str">
        <x:v>Earliest supplied year is 2025.</x:v>
      </x:c>
      <x:c r="W120" s="14"/>
      <x:c r="X120" s="14" t="str">
        <x:v>Included</x:v>
      </x:c>
      <x:c r="Y120" s="14"/>
      <x:c r="Z120" s="14" t="str">
        <x:v>Beyond Paradise.docx</x:v>
      </x:c>
      <x:c r="AA120" s="14" t="str">
        <x:v>HYPERLINK is not implemented. linkLocation=https://www.imdb.com/title/tt21161156/fullcredits/,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HYPERLINK("https://en.wikipedia.org/wiki/Beyond_Paradise","Open source")</x:f>
        <x:v>HYPERLINK is not implemented. linkLocation=https://en.wikipedia.org/wiki/Beyond_Paradise, friendlyName=Open source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27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0.037037037037037035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4" t="str">
        <x:v>HYPERLINK is not implemented. linkLocation=https://www.imdb.com/title/tt21161156/fullcredits/,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tt21161156|nm5775637|emily buswell</x:v>
      </x:c>
      <x:c r="B121" s="14" t="str">
        <x:v>01</x:v>
      </x:c>
      <x:c r="C121" s="14" t="str">
        <x:v>2023_IMDb_Cast_Lists_Batch_01(2).xlsx</x:v>
      </x:c>
      <x:c r="D121" s="14" t="str">
        <x:v>Beyond Paradise</x:v>
      </x:c>
      <x:c r="E121" s="14" t="n">
        <x:v>43</x:v>
      </x:c>
      <x:c r="F121" s="14" t="str">
        <x:v>Beyond Paradise</x:v>
      </x:c>
      <x:c r="G121" s="14" t="str">
        <x:v>tt21161156</x:v>
      </x:c>
      <x:c r="H121" s="14" t="n">
        <x:v>2023</x:v>
      </x:c>
      <x:c r="I121" s="14" t="n">
        <x:v>2025</x:v>
      </x:c>
      <x:c r="J121" s="14" t="str">
        <x:v>Earlier-Production Carry-In Cohort</x:v>
      </x:c>
      <x:c r="K121" s="14" t="n">
        <x:v>2023</x:v>
      </x:c>
      <x:c r="L121" s="14" t="str">
        <x:v>Used in 2025 annual analysis</x:v>
      </x:c>
      <x:c r="M121" s="15" t="n">
        <x:v>36</x:v>
      </x:c>
      <x:c r="N121" s="14" t="str">
        <x:v>Abra Thompson</x:v>
      </x:c>
      <x:c r="O121" s="14" t="str">
        <x:v>nm5775637</x:v>
      </x:c>
      <x:c r="P121" s="14" t="str">
        <x:v>Emily Buswell</x:v>
      </x:c>
      <x:c r="Q121" s="15" t="n">
        <x:v>1</x:v>
      </x:c>
      <x:c r="R121" s="14" t="str">
        <x:v>2025</x:v>
      </x:c>
      <x:c r="S121" s="14" t="n">
        <x:v>2025</x:v>
      </x:c>
      <x:c r="T121" s="14" t="n">
        <x:v>2025</x:v>
      </x:c>
      <x:c r="U121" s="14" t="str">
        <x:v>Explicit source first year retained</x:v>
      </x:c>
      <x:c r="V121" s="14" t="str">
        <x:v>Earliest supplied year is 2025.</x:v>
      </x:c>
      <x:c r="W121" s="14"/>
      <x:c r="X121" s="14" t="str">
        <x:v>Included</x:v>
      </x:c>
      <x:c r="Y121" s="14"/>
      <x:c r="Z121" s="14" t="str">
        <x:v>Beyond Paradise.docx</x:v>
      </x:c>
      <x:c r="AA121" s="14" t="str">
        <x:v>HYPERLINK is not implemented. linkLocation=https://www.imdb.com/title/tt21161156/fullcredits/,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HYPERLINK("https://en.wikipedia.org/wiki/Beyond_Paradise","Open source")</x:f>
        <x:v>HYPERLINK is not implemented. linkLocation=https://en.wikipedia.org/wiki/Beyond_Paradise, friendlyName=Open source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 t="str">
        <x:v>No established-register match</x:v>
      </x:c>
      <x:c r="AT121" s="14"/>
      <x:c r="AU121" s="14"/>
      <x:c r="AV121" s="14" t="str">
        <x:v>No established apparent-disability match</x:v>
      </x:c>
      <x:c r="AW121" s="14"/>
      <x:c r="AX121" s="14" t="str">
        <x:v>No</x:v>
      </x:c>
      <x:c r="AY121" s="14" t="str">
        <x:v>Unmatched</x:v>
      </x:c>
      <x:c r="AZ121" s="14" t="str">
        <x:v>Final supplied register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27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0.037037037037037035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4" t="str">
        <x:v>HYPERLINK is not implemented. linkLocation=https://www.imdb.com/title/tt21161156/fullcredits/,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tt21161156|nm1763169|gabriella dalmori</x:v>
      </x:c>
      <x:c r="B122" s="14" t="str">
        <x:v>01</x:v>
      </x:c>
      <x:c r="C122" s="14" t="str">
        <x:v>2023_IMDb_Cast_Lists_Batch_01(2).xlsx</x:v>
      </x:c>
      <x:c r="D122" s="14" t="str">
        <x:v>Beyond Paradise</x:v>
      </x:c>
      <x:c r="E122" s="14" t="n">
        <x:v>44</x:v>
      </x:c>
      <x:c r="F122" s="14" t="str">
        <x:v>Beyond Paradise</x:v>
      </x:c>
      <x:c r="G122" s="14" t="str">
        <x:v>tt21161156</x:v>
      </x:c>
      <x:c r="H122" s="14" t="n">
        <x:v>2023</x:v>
      </x:c>
      <x:c r="I122" s="14" t="n">
        <x:v>2025</x:v>
      </x:c>
      <x:c r="J122" s="14" t="str">
        <x:v>Earlier-Production Carry-In Cohort</x:v>
      </x:c>
      <x:c r="K122" s="14" t="n">
        <x:v>2023</x:v>
      </x:c>
      <x:c r="L122" s="14" t="str">
        <x:v>Used in 2025 annual analysis</x:v>
      </x:c>
      <x:c r="M122" s="15" t="n">
        <x:v>37</x:v>
      </x:c>
      <x:c r="N122" s="14" t="str">
        <x:v>Alicia Charles</x:v>
      </x:c>
      <x:c r="O122" s="14" t="str">
        <x:v>nm1763169</x:v>
      </x:c>
      <x:c r="P122" s="14" t="str">
        <x:v>Gabriella Dalmori</x:v>
      </x:c>
      <x:c r="Q122" s="15" t="n">
        <x:v>1</x:v>
      </x:c>
      <x:c r="R122" s="14" t="str">
        <x:v>2025</x:v>
      </x:c>
      <x:c r="S122" s="14" t="n">
        <x:v>2025</x:v>
      </x:c>
      <x:c r="T122" s="14" t="n">
        <x:v>2025</x:v>
      </x:c>
      <x:c r="U122" s="14" t="str">
        <x:v>Explicit source first year retained</x:v>
      </x:c>
      <x:c r="V122" s="14" t="str">
        <x:v>Earliest supplied year is 2025.</x:v>
      </x:c>
      <x:c r="W122" s="14"/>
      <x:c r="X122" s="14" t="str">
        <x:v>Included</x:v>
      </x:c>
      <x:c r="Y122" s="14"/>
      <x:c r="Z122" s="14" t="str">
        <x:v>Beyond Paradise.docx</x:v>
      </x:c>
      <x:c r="AA122" s="14" t="str">
        <x:v>HYPERLINK is not implemented. linkLocation=https://www.imdb.com/title/tt21161156/fullcredits/,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HYPERLINK("https://en.wikipedia.org/wiki/Beyond_Paradise","Open source")</x:f>
        <x:v>HYPERLINK is not implemented. linkLocation=https://en.wikipedia.org/wiki/Beyond_Paradise, friendlyName=Open source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27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0.037037037037037035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4" t="str">
        <x:v>HYPERLINK is not implemented. linkLocation=https://www.imdb.com/title/tt21161156/fullcredits/,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tt21161156|nm0573618|george ellis</x:v>
      </x:c>
      <x:c r="B123" s="14" t="str">
        <x:v>01</x:v>
      </x:c>
      <x:c r="C123" s="14" t="str">
        <x:v>2023_IMDb_Cast_Lists_Batch_01(2).xlsx</x:v>
      </x:c>
      <x:c r="D123" s="14" t="str">
        <x:v>Beyond Paradise</x:v>
      </x:c>
      <x:c r="E123" s="14" t="n">
        <x:v>55</x:v>
      </x:c>
      <x:c r="F123" s="14" t="str">
        <x:v>Beyond Paradise</x:v>
      </x:c>
      <x:c r="G123" s="14" t="str">
        <x:v>tt21161156</x:v>
      </x:c>
      <x:c r="H123" s="14" t="n">
        <x:v>2023</x:v>
      </x:c>
      <x:c r="I123" s="14" t="n">
        <x:v>2025</x:v>
      </x:c>
      <x:c r="J123" s="14" t="str">
        <x:v>Earlier-Production Carry-In Cohort</x:v>
      </x:c>
      <x:c r="K123" s="14" t="n">
        <x:v>2023</x:v>
      </x:c>
      <x:c r="L123" s="14" t="str">
        <x:v>Used in 2025 annual analysis</x:v>
      </x:c>
      <x:c r="M123" s="15" t="n">
        <x:v>48</x:v>
      </x:c>
      <x:c r="N123" s="14" t="str">
        <x:v>Kevin McNally</x:v>
      </x:c>
      <x:c r="O123" s="14" t="str">
        <x:v>nm0573618</x:v>
      </x:c>
      <x:c r="P123" s="14" t="str">
        <x:v>George Ellis</x:v>
      </x:c>
      <x:c r="Q123" s="15" t="n">
        <x:v>1</x:v>
      </x:c>
      <x:c r="R123" s="14" t="str">
        <x:v>2025</x:v>
      </x:c>
      <x:c r="S123" s="14" t="n">
        <x:v>2025</x:v>
      </x:c>
      <x:c r="T123" s="14" t="n">
        <x:v>2025</x:v>
      </x:c>
      <x:c r="U123" s="14" t="str">
        <x:v>Explicit source first year retained</x:v>
      </x:c>
      <x:c r="V123" s="14" t="str">
        <x:v>Earliest supplied year is 2025.</x:v>
      </x:c>
      <x:c r="W123" s="14"/>
      <x:c r="X123" s="14" t="str">
        <x:v>Included</x:v>
      </x:c>
      <x:c r="Y123" s="14" t="str">
        <x:v>(as Kevin R McNally)</x:v>
      </x:c>
      <x:c r="Z123" s="14" t="str">
        <x:v>Beyond Paradise.docx</x:v>
      </x:c>
      <x:c r="AA123" s="14" t="str">
        <x:v>HYPERLINK is not implemented. linkLocation=https://www.imdb.com/title/tt21161156/fullcredits/,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HYPERLINK("https://en.wikipedia.org/wiki/Beyond_Paradise","Open source")</x:f>
        <x:v>HYPERLINK is not implemented. linkLocation=https://en.wikipedia.org/wiki/Beyond_Paradise, friendlyName=Open source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27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0.037037037037037035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4" t="str">
        <x:v>HYPERLINK is not implemented. linkLocation=https://www.imdb.com/title/tt21161156/fullcredits/,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tt21161156|nm1257280|martin gaffney</x:v>
      </x:c>
      <x:c r="B124" s="14" t="str">
        <x:v>01</x:v>
      </x:c>
      <x:c r="C124" s="14" t="str">
        <x:v>2023_IMDb_Cast_Lists_Batch_01(2).xlsx</x:v>
      </x:c>
      <x:c r="D124" s="14" t="str">
        <x:v>Beyond Paradise</x:v>
      </x:c>
      <x:c r="E124" s="14" t="n">
        <x:v>56</x:v>
      </x:c>
      <x:c r="F124" s="14" t="str">
        <x:v>Beyond Paradise</x:v>
      </x:c>
      <x:c r="G124" s="14" t="str">
        <x:v>tt21161156</x:v>
      </x:c>
      <x:c r="H124" s="14" t="n">
        <x:v>2023</x:v>
      </x:c>
      <x:c r="I124" s="14" t="n">
        <x:v>2025</x:v>
      </x:c>
      <x:c r="J124" s="14" t="str">
        <x:v>Earlier-Production Carry-In Cohort</x:v>
      </x:c>
      <x:c r="K124" s="14" t="n">
        <x:v>2023</x:v>
      </x:c>
      <x:c r="L124" s="14" t="str">
        <x:v>Used in 2025 annual analysis</x:v>
      </x:c>
      <x:c r="M124" s="15" t="n">
        <x:v>49</x:v>
      </x:c>
      <x:c r="N124" s="14" t="str">
        <x:v>Matthew Gravelle</x:v>
      </x:c>
      <x:c r="O124" s="14" t="str">
        <x:v>nm1257280</x:v>
      </x:c>
      <x:c r="P124" s="14" t="str">
        <x:v>Martin Gaffney</x:v>
      </x:c>
      <x:c r="Q124" s="15" t="n">
        <x:v>1</x:v>
      </x:c>
      <x:c r="R124" s="14" t="str">
        <x:v>2025</x:v>
      </x:c>
      <x:c r="S124" s="14" t="n">
        <x:v>2025</x:v>
      </x:c>
      <x:c r="T124" s="14" t="n">
        <x:v>2025</x:v>
      </x:c>
      <x:c r="U124" s="14" t="str">
        <x:v>Explicit source first year retained</x:v>
      </x:c>
      <x:c r="V124" s="14" t="str">
        <x:v>Earliest supplied year is 2025.</x:v>
      </x:c>
      <x:c r="W124" s="14"/>
      <x:c r="X124" s="14" t="str">
        <x:v>Included</x:v>
      </x:c>
      <x:c r="Y124" s="14"/>
      <x:c r="Z124" s="14" t="str">
        <x:v>Beyond Paradise.docx</x:v>
      </x:c>
      <x:c r="AA124" s="14" t="str">
        <x:v>HYPERLINK is not implemented. linkLocation=https://www.imdb.com/title/tt21161156/fullcredits/,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HYPERLINK("https://en.wikipedia.org/wiki/Beyond_Paradise","Open source")</x:f>
        <x:v>HYPERLINK is not implemented. linkLocation=https://en.wikipedia.org/wiki/Beyond_Paradise, friendlyName=Open source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27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0.037037037037037035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4" t="str">
        <x:v>HYPERLINK is not implemented. linkLocation=https://www.imdb.com/title/tt21161156/fullcredits/,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tt21161156|nm0400673|hugo digsby</x:v>
      </x:c>
      <x:c r="B125" s="14" t="str">
        <x:v>01</x:v>
      </x:c>
      <x:c r="C125" s="14" t="str">
        <x:v>2023_IMDb_Cast_Lists_Batch_01(2).xlsx</x:v>
      </x:c>
      <x:c r="D125" s="14" t="str">
        <x:v>Beyond Paradise</x:v>
      </x:c>
      <x:c r="E125" s="14" t="n">
        <x:v>62</x:v>
      </x:c>
      <x:c r="F125" s="14" t="str">
        <x:v>Beyond Paradise</x:v>
      </x:c>
      <x:c r="G125" s="14" t="str">
        <x:v>tt21161156</x:v>
      </x:c>
      <x:c r="H125" s="14" t="n">
        <x:v>2023</x:v>
      </x:c>
      <x:c r="I125" s="14" t="n">
        <x:v>2025</x:v>
      </x:c>
      <x:c r="J125" s="14" t="str">
        <x:v>Earlier-Production Carry-In Cohort</x:v>
      </x:c>
      <x:c r="K125" s="14" t="n">
        <x:v>2023</x:v>
      </x:c>
      <x:c r="L125" s="14" t="str">
        <x:v>Used in 2025 annual analysis</x:v>
      </x:c>
      <x:c r="M125" s="15" t="n">
        <x:v>55</x:v>
      </x:c>
      <x:c r="N125" s="14" t="str">
        <x:v>Jason Hughes</x:v>
      </x:c>
      <x:c r="O125" s="14" t="str">
        <x:v>nm0400673</x:v>
      </x:c>
      <x:c r="P125" s="14" t="str">
        <x:v>Hugo Digsby</x:v>
      </x:c>
      <x:c r="Q125" s="15" t="n">
        <x:v>1</x:v>
      </x:c>
      <x:c r="R125" s="14" t="str">
        <x:v>2025</x:v>
      </x:c>
      <x:c r="S125" s="14" t="n">
        <x:v>2025</x:v>
      </x:c>
      <x:c r="T125" s="14" t="n">
        <x:v>2025</x:v>
      </x:c>
      <x:c r="U125" s="14" t="str">
        <x:v>Explicit source first year retained</x:v>
      </x:c>
      <x:c r="V125" s="14" t="str">
        <x:v>Earliest supplied year is 2025.</x:v>
      </x:c>
      <x:c r="W125" s="14"/>
      <x:c r="X125" s="14" t="str">
        <x:v>Included</x:v>
      </x:c>
      <x:c r="Y125" s="14"/>
      <x:c r="Z125" s="14" t="str">
        <x:v>Beyond Paradise.docx</x:v>
      </x:c>
      <x:c r="AA125" s="14" t="str">
        <x:v>HYPERLINK is not implemented. linkLocation=https://www.imdb.com/title/tt21161156/fullcredits/,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BBC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HYPERLINK("https://en.wikipedia.org/wiki/Beyond_Paradise","Open source")</x:f>
        <x:v>HYPERLINK is not implemented. linkLocation=https://en.wikipedia.org/wiki/Beyond_Paradise, friendlyName=Open source</x:v>
      </x:c>
      <x:c r="AN125" s="14" t="str">
        <x:v>BBC public-service commission</x:v>
      </x:c>
      <x:c r="AO125" s="14" t="str">
        <x:v>Yes</x:v>
      </x:c>
      <x:c r="AP125" s="14" t="str">
        <x:v>Direct BBC public-service scope</x:v>
      </x:c>
      <x:c r="AQ125" s="14" t="str">
        <x:v>Yes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27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0.037037037037037035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4" t="str">
        <x:v>HYPERLINK is not implemented. linkLocation=https://www.imdb.com/title/tt21161156/fullcredits/,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tt21161156|nm7184185|kenny pluckley</x:v>
      </x:c>
      <x:c r="B126" s="14" t="str">
        <x:v>01</x:v>
      </x:c>
      <x:c r="C126" s="14" t="str">
        <x:v>2023_IMDb_Cast_Lists_Batch_01(2).xlsx</x:v>
      </x:c>
      <x:c r="D126" s="14" t="str">
        <x:v>Beyond Paradise</x:v>
      </x:c>
      <x:c r="E126" s="14" t="n">
        <x:v>63</x:v>
      </x:c>
      <x:c r="F126" s="14" t="str">
        <x:v>Beyond Paradise</x:v>
      </x:c>
      <x:c r="G126" s="14" t="str">
        <x:v>tt21161156</x:v>
      </x:c>
      <x:c r="H126" s="14" t="n">
        <x:v>2023</x:v>
      </x:c>
      <x:c r="I126" s="14" t="n">
        <x:v>2025</x:v>
      </x:c>
      <x:c r="J126" s="14" t="str">
        <x:v>Earlier-Production Carry-In Cohort</x:v>
      </x:c>
      <x:c r="K126" s="14" t="n">
        <x:v>2023</x:v>
      </x:c>
      <x:c r="L126" s="14" t="str">
        <x:v>Used in 2025 annual analysis</x:v>
      </x:c>
      <x:c r="M126" s="15" t="n">
        <x:v>56</x:v>
      </x:c>
      <x:c r="N126" s="14" t="str">
        <x:v>Brandon Fellows</x:v>
      </x:c>
      <x:c r="O126" s="14" t="str">
        <x:v>nm7184185</x:v>
      </x:c>
      <x:c r="P126" s="14" t="str">
        <x:v>Kenny Pluckley</x:v>
      </x:c>
      <x:c r="Q126" s="15" t="n">
        <x:v>1</x:v>
      </x:c>
      <x:c r="R126" s="14" t="str">
        <x:v>2025</x:v>
      </x:c>
      <x:c r="S126" s="14" t="n">
        <x:v>2025</x:v>
      </x:c>
      <x:c r="T126" s="14" t="n">
        <x:v>2025</x:v>
      </x:c>
      <x:c r="U126" s="14" t="str">
        <x:v>Explicit source first year retained</x:v>
      </x:c>
      <x:c r="V126" s="14" t="str">
        <x:v>Earliest supplied year is 2025.</x:v>
      </x:c>
      <x:c r="W126" s="14"/>
      <x:c r="X126" s="14" t="str">
        <x:v>Included</x:v>
      </x:c>
      <x:c r="Y126" s="14"/>
      <x:c r="Z126" s="14" t="str">
        <x:v>Beyond Paradise.docx</x:v>
      </x:c>
      <x:c r="AA126" s="14" t="str">
        <x:v>HYPERLINK is not implemented. linkLocation=https://www.imdb.com/title/tt21161156/fullcredits/,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BBC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HYPERLINK("https://en.wikipedia.org/wiki/Beyond_Paradise","Open source")</x:f>
        <x:v>HYPERLINK is not implemented. linkLocation=https://en.wikipedia.org/wiki/Beyond_Paradise, friendlyName=Open source</x:v>
      </x:c>
      <x:c r="AN126" s="14" t="str">
        <x:v>BBC public-service commission</x:v>
      </x:c>
      <x:c r="AO126" s="14" t="str">
        <x:v>Yes</x:v>
      </x:c>
      <x:c r="AP126" s="14" t="str">
        <x:v>Direct BBC public-service scope</x:v>
      </x:c>
      <x:c r="AQ126" s="14" t="str">
        <x:v>Yes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27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0.037037037037037035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4" t="str">
        <x:v>HYPERLINK is not implemented. linkLocation=https://www.imdb.com/title/tt21161156/fullcredits/,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tt21161156|nm0040607|sherie howard</x:v>
      </x:c>
      <x:c r="B127" s="14" t="str">
        <x:v>01</x:v>
      </x:c>
      <x:c r="C127" s="14" t="str">
        <x:v>2023_IMDb_Cast_Lists_Batch_01(2).xlsx</x:v>
      </x:c>
      <x:c r="D127" s="14" t="str">
        <x:v>Beyond Paradise</x:v>
      </x:c>
      <x:c r="E127" s="14" t="n">
        <x:v>70</x:v>
      </x:c>
      <x:c r="F127" s="14" t="str">
        <x:v>Beyond Paradise</x:v>
      </x:c>
      <x:c r="G127" s="14" t="str">
        <x:v>tt21161156</x:v>
      </x:c>
      <x:c r="H127" s="14" t="n">
        <x:v>2023</x:v>
      </x:c>
      <x:c r="I127" s="14" t="n">
        <x:v>2025</x:v>
      </x:c>
      <x:c r="J127" s="14" t="str">
        <x:v>Earlier-Production Carry-In Cohort</x:v>
      </x:c>
      <x:c r="K127" s="14" t="n">
        <x:v>2023</x:v>
      </x:c>
      <x:c r="L127" s="14" t="str">
        <x:v>Used in 2025 annual analysis</x:v>
      </x:c>
      <x:c r="M127" s="15" t="n">
        <x:v>63</x:v>
      </x:c>
      <x:c r="N127" s="14" t="str">
        <x:v>Holly Atkins</x:v>
      </x:c>
      <x:c r="O127" s="14" t="str">
        <x:v>nm0040607</x:v>
      </x:c>
      <x:c r="P127" s="14" t="str">
        <x:v>Sherie Howard</x:v>
      </x:c>
      <x:c r="Q127" s="15" t="n">
        <x:v>1</x:v>
      </x:c>
      <x:c r="R127" s="14" t="str">
        <x:v>2025</x:v>
      </x:c>
      <x:c r="S127" s="14" t="n">
        <x:v>2025</x:v>
      </x:c>
      <x:c r="T127" s="14" t="n">
        <x:v>2025</x:v>
      </x:c>
      <x:c r="U127" s="14" t="str">
        <x:v>Explicit source first year retained</x:v>
      </x:c>
      <x:c r="V127" s="14" t="str">
        <x:v>Earliest supplied year is 2025.</x:v>
      </x:c>
      <x:c r="W127" s="14"/>
      <x:c r="X127" s="14" t="str">
        <x:v>Included</x:v>
      </x:c>
      <x:c r="Y127" s="14"/>
      <x:c r="Z127" s="14" t="str">
        <x:v>Beyond Paradise.docx</x:v>
      </x:c>
      <x:c r="AA127" s="14" t="str">
        <x:v>HYPERLINK is not implemented. linkLocation=https://www.imdb.com/title/tt21161156/fullcredits/,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BBC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HYPERLINK("https://en.wikipedia.org/wiki/Beyond_Paradise","Open source")</x:f>
        <x:v>HYPERLINK is not implemented. linkLocation=https://en.wikipedia.org/wiki/Beyond_Paradise, friendlyName=Open source</x:v>
      </x:c>
      <x:c r="AN127" s="14" t="str">
        <x:v>BBC public-service commission</x:v>
      </x:c>
      <x:c r="AO127" s="14" t="str">
        <x:v>Yes</x:v>
      </x:c>
      <x:c r="AP127" s="14" t="str">
        <x:v>Direct BBC public-service scope</x:v>
      </x:c>
      <x:c r="AQ127" s="14" t="str">
        <x:v>Yes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27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0.037037037037037035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4" t="str">
        <x:v>HYPERLINK is not implemented. linkLocation=https://www.imdb.com/title/tt21161156/fullcredits/,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tt21161156|nm10281028|ben taylor</x:v>
      </x:c>
      <x:c r="B128" s="14" t="str">
        <x:v>01</x:v>
      </x:c>
      <x:c r="C128" s="14" t="str">
        <x:v>2023_IMDb_Cast_Lists_Batch_01(2).xlsx</x:v>
      </x:c>
      <x:c r="D128" s="14" t="str">
        <x:v>Beyond Paradise</x:v>
      </x:c>
      <x:c r="E128" s="14" t="n">
        <x:v>71</x:v>
      </x:c>
      <x:c r="F128" s="14" t="str">
        <x:v>Beyond Paradise</x:v>
      </x:c>
      <x:c r="G128" s="14" t="str">
        <x:v>tt21161156</x:v>
      </x:c>
      <x:c r="H128" s="14" t="n">
        <x:v>2023</x:v>
      </x:c>
      <x:c r="I128" s="14" t="n">
        <x:v>2025</x:v>
      </x:c>
      <x:c r="J128" s="14" t="str">
        <x:v>Earlier-Production Carry-In Cohort</x:v>
      </x:c>
      <x:c r="K128" s="14" t="n">
        <x:v>2023</x:v>
      </x:c>
      <x:c r="L128" s="14" t="str">
        <x:v>Used in 2025 annual analysis</x:v>
      </x:c>
      <x:c r="M128" s="15" t="n">
        <x:v>64</x:v>
      </x:c>
      <x:c r="N128" s="14" t="str">
        <x:v>Lance West</x:v>
      </x:c>
      <x:c r="O128" s="14" t="str">
        <x:v>nm10281028</x:v>
      </x:c>
      <x:c r="P128" s="14" t="str">
        <x:v>Ben Taylor</x:v>
      </x:c>
      <x:c r="Q128" s="15" t="n">
        <x:v>1</x:v>
      </x:c>
      <x:c r="R128" s="14" t="str">
        <x:v>2025</x:v>
      </x:c>
      <x:c r="S128" s="14" t="n">
        <x:v>2025</x:v>
      </x:c>
      <x:c r="T128" s="14" t="n">
        <x:v>2025</x:v>
      </x:c>
      <x:c r="U128" s="14" t="str">
        <x:v>Explicit source first year retained</x:v>
      </x:c>
      <x:c r="V128" s="14" t="str">
        <x:v>Earliest supplied year is 2025.</x:v>
      </x:c>
      <x:c r="W128" s="14"/>
      <x:c r="X128" s="14" t="str">
        <x:v>Included</x:v>
      </x:c>
      <x:c r="Y128" s="14"/>
      <x:c r="Z128" s="14" t="str">
        <x:v>Beyond Paradise.docx</x:v>
      </x:c>
      <x:c r="AA128" s="14" t="str">
        <x:v>HYPERLINK is not implemented. linkLocation=https://www.imdb.com/title/tt21161156/fullcredits/,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BBC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HYPERLINK("https://en.wikipedia.org/wiki/Beyond_Paradise","Open source")</x:f>
        <x:v>HYPERLINK is not implemented. linkLocation=https://en.wikipedia.org/wiki/Beyond_Paradise, friendlyName=Open source</x:v>
      </x:c>
      <x:c r="AN128" s="14" t="str">
        <x:v>BBC public-service commission</x:v>
      </x:c>
      <x:c r="AO128" s="14" t="str">
        <x:v>Yes</x:v>
      </x:c>
      <x:c r="AP128" s="14" t="str">
        <x:v>Direct BBC public-service scope</x:v>
      </x:c>
      <x:c r="AQ128" s="14" t="str">
        <x:v>Yes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27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0.037037037037037035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4" t="str">
        <x:v>HYPERLINK is not implemented. linkLocation=https://www.imdb.com/title/tt21161156/fullcredits/,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tt21161156|nm1357414|dr. lionel jennings</x:v>
      </x:c>
      <x:c r="B129" s="14" t="str">
        <x:v>01</x:v>
      </x:c>
      <x:c r="C129" s="14" t="str">
        <x:v>2023_IMDb_Cast_Lists_Batch_01(2).xlsx</x:v>
      </x:c>
      <x:c r="D129" s="14" t="str">
        <x:v>Beyond Paradise</x:v>
      </x:c>
      <x:c r="E129" s="14" t="n">
        <x:v>77</x:v>
      </x:c>
      <x:c r="F129" s="14" t="str">
        <x:v>Beyond Paradise</x:v>
      </x:c>
      <x:c r="G129" s="14" t="str">
        <x:v>tt21161156</x:v>
      </x:c>
      <x:c r="H129" s="14" t="n">
        <x:v>2023</x:v>
      </x:c>
      <x:c r="I129" s="14" t="n">
        <x:v>2025</x:v>
      </x:c>
      <x:c r="J129" s="14" t="str">
        <x:v>Earlier-Production Carry-In Cohort</x:v>
      </x:c>
      <x:c r="K129" s="14" t="n">
        <x:v>2023</x:v>
      </x:c>
      <x:c r="L129" s="14" t="str">
        <x:v>Used in 2025 annual analysis</x:v>
      </x:c>
      <x:c r="M129" s="15" t="n">
        <x:v>70</x:v>
      </x:c>
      <x:c r="N129" s="14" t="str">
        <x:v>Abdul Salis</x:v>
      </x:c>
      <x:c r="O129" s="14" t="str">
        <x:v>nm1357414</x:v>
      </x:c>
      <x:c r="P129" s="14" t="str">
        <x:v>Dr. Lionel Jennings</x:v>
      </x:c>
      <x:c r="Q129" s="15" t="n">
        <x:v>1</x:v>
      </x:c>
      <x:c r="R129" s="14" t="str">
        <x:v>2025</x:v>
      </x:c>
      <x:c r="S129" s="14" t="n">
        <x:v>2025</x:v>
      </x:c>
      <x:c r="T129" s="14" t="n">
        <x:v>2025</x:v>
      </x:c>
      <x:c r="U129" s="14" t="str">
        <x:v>Explicit source first year retained</x:v>
      </x:c>
      <x:c r="V129" s="14" t="str">
        <x:v>Earliest supplied year is 2025.</x:v>
      </x:c>
      <x:c r="W129" s="14"/>
      <x:c r="X129" s="14" t="str">
        <x:v>Included</x:v>
      </x:c>
      <x:c r="Y129" s="14"/>
      <x:c r="Z129" s="14" t="str">
        <x:v>Beyond Paradise.docx</x:v>
      </x:c>
      <x:c r="AA129" s="14" t="str">
        <x:v>HYPERLINK is not implemented. linkLocation=https://www.imdb.com/title/tt21161156/fullcredits/,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BBC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HYPERLINK("https://en.wikipedia.org/wiki/Beyond_Paradise","Open source")</x:f>
        <x:v>HYPERLINK is not implemented. linkLocation=https://en.wikipedia.org/wiki/Beyond_Paradise, friendlyName=Open source</x:v>
      </x:c>
      <x:c r="AN129" s="14" t="str">
        <x:v>BBC public-service commission</x:v>
      </x:c>
      <x:c r="AO129" s="14" t="str">
        <x:v>Yes</x:v>
      </x:c>
      <x:c r="AP129" s="14" t="str">
        <x:v>Direct BBC public-service scope</x:v>
      </x:c>
      <x:c r="AQ129" s="14" t="str">
        <x:v>Yes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27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0.037037037037037035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4" t="str">
        <x:v>HYPERLINK is not implemented. linkLocation=https://www.imdb.com/title/tt21161156/fullcredits/,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tt21161156|nm0192805|angela palmer</x:v>
      </x:c>
      <x:c r="B130" s="14" t="str">
        <x:v>01</x:v>
      </x:c>
      <x:c r="C130" s="14" t="str">
        <x:v>2023_IMDb_Cast_Lists_Batch_01(2).xlsx</x:v>
      </x:c>
      <x:c r="D130" s="14" t="str">
        <x:v>Beyond Paradise</x:v>
      </x:c>
      <x:c r="E130" s="14" t="n">
        <x:v>78</x:v>
      </x:c>
      <x:c r="F130" s="14" t="str">
        <x:v>Beyond Paradise</x:v>
      </x:c>
      <x:c r="G130" s="14" t="str">
        <x:v>tt21161156</x:v>
      </x:c>
      <x:c r="H130" s="14" t="n">
        <x:v>2023</x:v>
      </x:c>
      <x:c r="I130" s="14" t="n">
        <x:v>2025</x:v>
      </x:c>
      <x:c r="J130" s="14" t="str">
        <x:v>Earlier-Production Carry-In Cohort</x:v>
      </x:c>
      <x:c r="K130" s="14" t="n">
        <x:v>2023</x:v>
      </x:c>
      <x:c r="L130" s="14" t="str">
        <x:v>Used in 2025 annual analysis</x:v>
      </x:c>
      <x:c r="M130" s="15" t="n">
        <x:v>71</x:v>
      </x:c>
      <x:c r="N130" s="14" t="str">
        <x:v>Angela Curran</x:v>
      </x:c>
      <x:c r="O130" s="14" t="str">
        <x:v>nm0192805</x:v>
      </x:c>
      <x:c r="P130" s="14" t="str">
        <x:v>Angela Palmer</x:v>
      </x:c>
      <x:c r="Q130" s="15" t="n">
        <x:v>1</x:v>
      </x:c>
      <x:c r="R130" s="14" t="str">
        <x:v>2025</x:v>
      </x:c>
      <x:c r="S130" s="14" t="n">
        <x:v>2025</x:v>
      </x:c>
      <x:c r="T130" s="14" t="n">
        <x:v>2025</x:v>
      </x:c>
      <x:c r="U130" s="14" t="str">
        <x:v>Explicit source first year retained</x:v>
      </x:c>
      <x:c r="V130" s="14" t="str">
        <x:v>Earliest supplied year is 2025.</x:v>
      </x:c>
      <x:c r="W130" s="14"/>
      <x:c r="X130" s="14" t="str">
        <x:v>Included</x:v>
      </x:c>
      <x:c r="Y130" s="14"/>
      <x:c r="Z130" s="14" t="str">
        <x:v>Beyond Paradise.docx</x:v>
      </x:c>
      <x:c r="AA130" s="14" t="str">
        <x:v>HYPERLINK is not implemented. linkLocation=https://www.imdb.com/title/tt21161156/fullcredits/,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BBC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HYPERLINK("https://en.wikipedia.org/wiki/Beyond_Paradise","Open source")</x:f>
        <x:v>HYPERLINK is not implemented. linkLocation=https://en.wikipedia.org/wiki/Beyond_Paradise, friendlyName=Open source</x:v>
      </x:c>
      <x:c r="AN130" s="14" t="str">
        <x:v>BBC public-service commission</x:v>
      </x:c>
      <x:c r="AO130" s="14" t="str">
        <x:v>Yes</x:v>
      </x:c>
      <x:c r="AP130" s="14" t="str">
        <x:v>Direct BBC public-service scope</x:v>
      </x:c>
      <x:c r="AQ130" s="14" t="str">
        <x:v>Yes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27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0.037037037037037035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4" t="str">
        <x:v>HYPERLINK is not implemented. linkLocation=https://www.imdb.com/title/tt21161156/fullcredits/,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tt21161156|nm5220737|lizzie dyer</x:v>
      </x:c>
      <x:c r="B131" s="14" t="str">
        <x:v>01</x:v>
      </x:c>
      <x:c r="C131" s="14" t="str">
        <x:v>2023_IMDb_Cast_Lists_Batch_01(2).xlsx</x:v>
      </x:c>
      <x:c r="D131" s="14" t="str">
        <x:v>Beyond Paradise</x:v>
      </x:c>
      <x:c r="E131" s="14" t="n">
        <x:v>82</x:v>
      </x:c>
      <x:c r="F131" s="14" t="str">
        <x:v>Beyond Paradise</x:v>
      </x:c>
      <x:c r="G131" s="14" t="str">
        <x:v>tt21161156</x:v>
      </x:c>
      <x:c r="H131" s="14" t="n">
        <x:v>2023</x:v>
      </x:c>
      <x:c r="I131" s="14" t="n">
        <x:v>2025</x:v>
      </x:c>
      <x:c r="J131" s="14" t="str">
        <x:v>Earlier-Production Carry-In Cohort</x:v>
      </x:c>
      <x:c r="K131" s="14" t="n">
        <x:v>2023</x:v>
      </x:c>
      <x:c r="L131" s="14" t="str">
        <x:v>Used in 2025 annual analysis</x:v>
      </x:c>
      <x:c r="M131" s="15" t="n">
        <x:v>75</x:v>
      </x:c>
      <x:c r="N131" s="14" t="str">
        <x:v>Bebe Sanders</x:v>
      </x:c>
      <x:c r="O131" s="14" t="str">
        <x:v>nm5220737</x:v>
      </x:c>
      <x:c r="P131" s="14" t="str">
        <x:v>Lizzie Dyer</x:v>
      </x:c>
      <x:c r="Q131" s="15" t="n">
        <x:v>1</x:v>
      </x:c>
      <x:c r="R131" s="14" t="str">
        <x:v>2025</x:v>
      </x:c>
      <x:c r="S131" s="14" t="n">
        <x:v>2025</x:v>
      </x:c>
      <x:c r="T131" s="14" t="n">
        <x:v>2025</x:v>
      </x:c>
      <x:c r="U131" s="14" t="str">
        <x:v>Explicit source first year retained</x:v>
      </x:c>
      <x:c r="V131" s="14" t="str">
        <x:v>Earliest supplied year is 2025.</x:v>
      </x:c>
      <x:c r="W131" s="14"/>
      <x:c r="X131" s="14" t="str">
        <x:v>Included</x:v>
      </x:c>
      <x:c r="Y131" s="14"/>
      <x:c r="Z131" s="14" t="str">
        <x:v>Beyond Paradise.docx</x:v>
      </x:c>
      <x:c r="AA131" s="14" t="str">
        <x:v>HYPERLINK is not implemented. linkLocation=https://www.imdb.com/title/tt21161156/fullcredits/,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BBC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HYPERLINK("https://en.wikipedia.org/wiki/Beyond_Paradise","Open source")</x:f>
        <x:v>HYPERLINK is not implemented. linkLocation=https://en.wikipedia.org/wiki/Beyond_Paradise, friendlyName=Open source</x:v>
      </x:c>
      <x:c r="AN131" s="14" t="str">
        <x:v>BBC public-service commission</x:v>
      </x:c>
      <x:c r="AO131" s="14" t="str">
        <x:v>Yes</x:v>
      </x:c>
      <x:c r="AP131" s="14" t="str">
        <x:v>Direct BBC public-service scope</x:v>
      </x:c>
      <x:c r="AQ131" s="14" t="str">
        <x:v>Yes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27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0.037037037037037035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4" t="str">
        <x:v>HYPERLINK is not implemented. linkLocation=https://www.imdb.com/title/tt21161156/fullcredits/,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tt21161156|nm6521386|danny</x:v>
      </x:c>
      <x:c r="B132" s="14" t="str">
        <x:v>01</x:v>
      </x:c>
      <x:c r="C132" s="14" t="str">
        <x:v>2023_IMDb_Cast_Lists_Batch_01(2).xlsx</x:v>
      </x:c>
      <x:c r="D132" s="14" t="str">
        <x:v>Beyond Paradise</x:v>
      </x:c>
      <x:c r="E132" s="14" t="n">
        <x:v>88</x:v>
      </x:c>
      <x:c r="F132" s="14" t="str">
        <x:v>Beyond Paradise</x:v>
      </x:c>
      <x:c r="G132" s="14" t="str">
        <x:v>tt21161156</x:v>
      </x:c>
      <x:c r="H132" s="14" t="n">
        <x:v>2023</x:v>
      </x:c>
      <x:c r="I132" s="14" t="n">
        <x:v>2025</x:v>
      </x:c>
      <x:c r="J132" s="14" t="str">
        <x:v>Earlier-Production Carry-In Cohort</x:v>
      </x:c>
      <x:c r="K132" s="14" t="n">
        <x:v>2023</x:v>
      </x:c>
      <x:c r="L132" s="14" t="str">
        <x:v>Used in 2025 annual analysis</x:v>
      </x:c>
      <x:c r="M132" s="15" t="n">
        <x:v>81</x:v>
      </x:c>
      <x:c r="N132" s="14" t="str">
        <x:v>Joseph Ollman</x:v>
      </x:c>
      <x:c r="O132" s="14" t="str">
        <x:v>nm6521386</x:v>
      </x:c>
      <x:c r="P132" s="14" t="str">
        <x:v>Danny</x:v>
      </x:c>
      <x:c r="Q132" s="15" t="n">
        <x:v>1</x:v>
      </x:c>
      <x:c r="R132" s="14" t="str">
        <x:v>2025</x:v>
      </x:c>
      <x:c r="S132" s="14" t="n">
        <x:v>2025</x:v>
      </x:c>
      <x:c r="T132" s="14" t="n">
        <x:v>2025</x:v>
      </x:c>
      <x:c r="U132" s="14" t="str">
        <x:v>Explicit source first year retained</x:v>
      </x:c>
      <x:c r="V132" s="14" t="str">
        <x:v>Earliest supplied year is 2025.</x:v>
      </x:c>
      <x:c r="W132" s="14"/>
      <x:c r="X132" s="14" t="str">
        <x:v>Included</x:v>
      </x:c>
      <x:c r="Y132" s="14"/>
      <x:c r="Z132" s="14" t="str">
        <x:v>Beyond Paradise.docx</x:v>
      </x:c>
      <x:c r="AA132" s="14" t="str">
        <x:v>HYPERLINK is not implemented. linkLocation=https://www.imdb.com/title/tt21161156/fullcredits/,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BBC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HYPERLINK("https://en.wikipedia.org/wiki/Beyond_Paradise","Open source")</x:f>
        <x:v>HYPERLINK is not implemented. linkLocation=https://en.wikipedia.org/wiki/Beyond_Paradise, friendlyName=Open source</x:v>
      </x:c>
      <x:c r="AN132" s="14" t="str">
        <x:v>BBC public-service commission</x:v>
      </x:c>
      <x:c r="AO132" s="14" t="str">
        <x:v>Yes</x:v>
      </x:c>
      <x:c r="AP132" s="14" t="str">
        <x:v>Direct BBC public-service scope</x:v>
      </x:c>
      <x:c r="AQ132" s="14" t="str">
        <x:v>Yes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27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0.037037037037037035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4" t="str">
        <x:v>HYPERLINK is not implemented. linkLocation=https://www.imdb.com/title/tt21161156/fullcredits/,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tt21161156|nm0318321|jane buswell</x:v>
      </x:c>
      <x:c r="B133" s="14" t="str">
        <x:v>01</x:v>
      </x:c>
      <x:c r="C133" s="14" t="str">
        <x:v>2023_IMDb_Cast_Lists_Batch_01(2).xlsx</x:v>
      </x:c>
      <x:c r="D133" s="14" t="str">
        <x:v>Beyond Paradise</x:v>
      </x:c>
      <x:c r="E133" s="14" t="n">
        <x:v>95</x:v>
      </x:c>
      <x:c r="F133" s="14" t="str">
        <x:v>Beyond Paradise</x:v>
      </x:c>
      <x:c r="G133" s="14" t="str">
        <x:v>tt21161156</x:v>
      </x:c>
      <x:c r="H133" s="14" t="n">
        <x:v>2023</x:v>
      </x:c>
      <x:c r="I133" s="14" t="n">
        <x:v>2025</x:v>
      </x:c>
      <x:c r="J133" s="14" t="str">
        <x:v>Earlier-Production Carry-In Cohort</x:v>
      </x:c>
      <x:c r="K133" s="14" t="n">
        <x:v>2023</x:v>
      </x:c>
      <x:c r="L133" s="14" t="str">
        <x:v>Used in 2025 annual analysis</x:v>
      </x:c>
      <x:c r="M133" s="15" t="n">
        <x:v>88</x:v>
      </x:c>
      <x:c r="N133" s="14" t="str">
        <x:v>Alexandra Gilbreath</x:v>
      </x:c>
      <x:c r="O133" s="14" t="str">
        <x:v>nm0318321</x:v>
      </x:c>
      <x:c r="P133" s="14" t="str">
        <x:v>Jane Buswell</x:v>
      </x:c>
      <x:c r="Q133" s="15" t="n">
        <x:v>1</x:v>
      </x:c>
      <x:c r="R133" s="14" t="str">
        <x:v>2025</x:v>
      </x:c>
      <x:c r="S133" s="14" t="n">
        <x:v>2025</x:v>
      </x:c>
      <x:c r="T133" s="14" t="n">
        <x:v>2025</x:v>
      </x:c>
      <x:c r="U133" s="14" t="str">
        <x:v>Explicit source first year retained</x:v>
      </x:c>
      <x:c r="V133" s="14" t="str">
        <x:v>Earliest supplied year is 2025.</x:v>
      </x:c>
      <x:c r="W133" s="14"/>
      <x:c r="X133" s="14" t="str">
        <x:v>Included</x:v>
      </x:c>
      <x:c r="Y133" s="14"/>
      <x:c r="Z133" s="14" t="str">
        <x:v>Beyond Paradise.docx</x:v>
      </x:c>
      <x:c r="AA133" s="14" t="str">
        <x:v>HYPERLINK is not implemented. linkLocation=https://www.imdb.com/title/tt21161156/fullcredits/,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BBC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HYPERLINK("https://en.wikipedia.org/wiki/Beyond_Paradise","Open source")</x:f>
        <x:v>HYPERLINK is not implemented. linkLocation=https://en.wikipedia.org/wiki/Beyond_Paradise, friendlyName=Open source</x:v>
      </x:c>
      <x:c r="AN133" s="14" t="str">
        <x:v>BBC public-service commission</x:v>
      </x:c>
      <x:c r="AO133" s="14" t="str">
        <x:v>Yes</x:v>
      </x:c>
      <x:c r="AP133" s="14" t="str">
        <x:v>Direct BBC public-service scope</x:v>
      </x:c>
      <x:c r="AQ133" s="14" t="str">
        <x:v>Yes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27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0.037037037037037035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4" t="str">
        <x:v>HYPERLINK is not implemented. linkLocation=https://www.imdb.com/title/tt21161156/fullcredits/,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tt21161156|nm0484202|terry finch</x:v>
      </x:c>
      <x:c r="B134" s="14" t="str">
        <x:v>01</x:v>
      </x:c>
      <x:c r="C134" s="14" t="str">
        <x:v>2023_IMDb_Cast_Lists_Batch_01(2).xlsx</x:v>
      </x:c>
      <x:c r="D134" s="14" t="str">
        <x:v>Beyond Paradise</x:v>
      </x:c>
      <x:c r="E134" s="14" t="n">
        <x:v>106</x:v>
      </x:c>
      <x:c r="F134" s="14" t="str">
        <x:v>Beyond Paradise</x:v>
      </x:c>
      <x:c r="G134" s="14" t="str">
        <x:v>tt21161156</x:v>
      </x:c>
      <x:c r="H134" s="14" t="n">
        <x:v>2023</x:v>
      </x:c>
      <x:c r="I134" s="14" t="n">
        <x:v>2025</x:v>
      </x:c>
      <x:c r="J134" s="14" t="str">
        <x:v>Earlier-Production Carry-In Cohort</x:v>
      </x:c>
      <x:c r="K134" s="14" t="n">
        <x:v>2023</x:v>
      </x:c>
      <x:c r="L134" s="14" t="str">
        <x:v>Used in 2025 annual analysis</x:v>
      </x:c>
      <x:c r="M134" s="15" t="n">
        <x:v>99</x:v>
      </x:c>
      <x:c r="N134" s="14" t="str">
        <x:v>James Lance</x:v>
      </x:c>
      <x:c r="O134" s="14" t="str">
        <x:v>nm0484202</x:v>
      </x:c>
      <x:c r="P134" s="14" t="str">
        <x:v>Terry Finch</x:v>
      </x:c>
      <x:c r="Q134" s="15" t="n">
        <x:v>1</x:v>
      </x:c>
      <x:c r="R134" s="14" t="str">
        <x:v>2025</x:v>
      </x:c>
      <x:c r="S134" s="14" t="n">
        <x:v>2025</x:v>
      </x:c>
      <x:c r="T134" s="14" t="n">
        <x:v>2025</x:v>
      </x:c>
      <x:c r="U134" s="14" t="str">
        <x:v>Explicit source first year retained</x:v>
      </x:c>
      <x:c r="V134" s="14" t="str">
        <x:v>Earliest supplied year is 2025.</x:v>
      </x:c>
      <x:c r="W134" s="14"/>
      <x:c r="X134" s="14" t="str">
        <x:v>Included</x:v>
      </x:c>
      <x:c r="Y134" s="14"/>
      <x:c r="Z134" s="14" t="str">
        <x:v>Beyond Paradise.docx</x:v>
      </x:c>
      <x:c r="AA134" s="14" t="str">
        <x:v>HYPERLINK is not implemented. linkLocation=https://www.imdb.com/title/tt21161156/fullcredits/,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BBC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HYPERLINK("https://en.wikipedia.org/wiki/Beyond_Paradise","Open source")</x:f>
        <x:v>HYPERLINK is not implemented. linkLocation=https://en.wikipedia.org/wiki/Beyond_Paradise, friendlyName=Open source</x:v>
      </x:c>
      <x:c r="AN134" s="14" t="str">
        <x:v>BBC public-service commission</x:v>
      </x:c>
      <x:c r="AO134" s="14" t="str">
        <x:v>Yes</x:v>
      </x:c>
      <x:c r="AP134" s="14" t="str">
        <x:v>Direct BBC public-service scope</x:v>
      </x:c>
      <x:c r="AQ134" s="14" t="str">
        <x:v>Yes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27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0.037037037037037035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4" t="str">
        <x:v>HYPERLINK is not implemented. linkLocation=https://www.imdb.com/title/tt21161156/fullcredits/,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tt21161156|nm8960320|michaela robson</x:v>
      </x:c>
      <x:c r="B135" s="14" t="str">
        <x:v>01</x:v>
      </x:c>
      <x:c r="C135" s="14" t="str">
        <x:v>2023_IMDb_Cast_Lists_Batch_01(2).xlsx</x:v>
      </x:c>
      <x:c r="D135" s="14" t="str">
        <x:v>Beyond Paradise</x:v>
      </x:c>
      <x:c r="E135" s="14" t="n">
        <x:v>107</x:v>
      </x:c>
      <x:c r="F135" s="14" t="str">
        <x:v>Beyond Paradise</x:v>
      </x:c>
      <x:c r="G135" s="14" t="str">
        <x:v>tt21161156</x:v>
      </x:c>
      <x:c r="H135" s="14" t="n">
        <x:v>2023</x:v>
      </x:c>
      <x:c r="I135" s="14" t="n">
        <x:v>2025</x:v>
      </x:c>
      <x:c r="J135" s="14" t="str">
        <x:v>Earlier-Production Carry-In Cohort</x:v>
      </x:c>
      <x:c r="K135" s="14" t="n">
        <x:v>2023</x:v>
      </x:c>
      <x:c r="L135" s="14" t="str">
        <x:v>Used in 2025 annual analysis</x:v>
      </x:c>
      <x:c r="M135" s="15" t="n">
        <x:v>100</x:v>
      </x:c>
      <x:c r="N135" s="14" t="str">
        <x:v>Rebecca Lee</x:v>
      </x:c>
      <x:c r="O135" s="14" t="str">
        <x:v>nm8960320</x:v>
      </x:c>
      <x:c r="P135" s="14" t="str">
        <x:v>Michaela Robson</x:v>
      </x:c>
      <x:c r="Q135" s="15" t="n">
        <x:v>1</x:v>
      </x:c>
      <x:c r="R135" s="14" t="str">
        <x:v>2025</x:v>
      </x:c>
      <x:c r="S135" s="14" t="n">
        <x:v>2025</x:v>
      </x:c>
      <x:c r="T135" s="14" t="n">
        <x:v>2025</x:v>
      </x:c>
      <x:c r="U135" s="14" t="str">
        <x:v>Explicit source first year retained</x:v>
      </x:c>
      <x:c r="V135" s="14" t="str">
        <x:v>Earliest supplied year is 2025.</x:v>
      </x:c>
      <x:c r="W135" s="14"/>
      <x:c r="X135" s="14" t="str">
        <x:v>Included</x:v>
      </x:c>
      <x:c r="Y135" s="14"/>
      <x:c r="Z135" s="14" t="str">
        <x:v>Beyond Paradise.docx</x:v>
      </x:c>
      <x:c r="AA135" s="14" t="str">
        <x:v>HYPERLINK is not implemented. linkLocation=https://www.imdb.com/title/tt21161156/fullcredits/,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BBC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HYPERLINK("https://en.wikipedia.org/wiki/Beyond_Paradise","Open source")</x:f>
        <x:v>HYPERLINK is not implemented. linkLocation=https://en.wikipedia.org/wiki/Beyond_Paradise, friendlyName=Open source</x:v>
      </x:c>
      <x:c r="AN135" s="14" t="str">
        <x:v>BBC public-service commission</x:v>
      </x:c>
      <x:c r="AO135" s="14" t="str">
        <x:v>Yes</x:v>
      </x:c>
      <x:c r="AP135" s="14" t="str">
        <x:v>Direct BBC public-service scope</x:v>
      </x:c>
      <x:c r="AQ135" s="14" t="str">
        <x:v>Yes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27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0.037037037037037035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4" t="str">
        <x:v>HYPERLINK is not implemented. linkLocation=https://www.imdb.com/title/tt21161156/fullcredits/,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tt21161156|nm0703225|lotty robson</x:v>
      </x:c>
      <x:c r="B136" s="14" t="str">
        <x:v>01</x:v>
      </x:c>
      <x:c r="C136" s="14" t="str">
        <x:v>2023_IMDb_Cast_Lists_Batch_01(2).xlsx</x:v>
      </x:c>
      <x:c r="D136" s="14" t="str">
        <x:v>Beyond Paradise</x:v>
      </x:c>
      <x:c r="E136" s="14" t="n">
        <x:v>119</x:v>
      </x:c>
      <x:c r="F136" s="14" t="str">
        <x:v>Beyond Paradise</x:v>
      </x:c>
      <x:c r="G136" s="14" t="str">
        <x:v>tt21161156</x:v>
      </x:c>
      <x:c r="H136" s="14" t="n">
        <x:v>2023</x:v>
      </x:c>
      <x:c r="I136" s="14" t="n">
        <x:v>2025</x:v>
      </x:c>
      <x:c r="J136" s="14" t="str">
        <x:v>Earlier-Production Carry-In Cohort</x:v>
      </x:c>
      <x:c r="K136" s="14" t="n">
        <x:v>2023</x:v>
      </x:c>
      <x:c r="L136" s="14" t="str">
        <x:v>Used in 2025 annual analysis</x:v>
      </x:c>
      <x:c r="M136" s="15" t="n">
        <x:v>112</x:v>
      </x:c>
      <x:c r="N136" s="14" t="str">
        <x:v>Caroline Quentin</x:v>
      </x:c>
      <x:c r="O136" s="14" t="str">
        <x:v>nm0703225</x:v>
      </x:c>
      <x:c r="P136" s="14" t="str">
        <x:v>Lotty Robson</x:v>
      </x:c>
      <x:c r="Q136" s="15" t="n">
        <x:v>1</x:v>
      </x:c>
      <x:c r="R136" s="14" t="str">
        <x:v>2025</x:v>
      </x:c>
      <x:c r="S136" s="14" t="n">
        <x:v>2025</x:v>
      </x:c>
      <x:c r="T136" s="14" t="n">
        <x:v>2025</x:v>
      </x:c>
      <x:c r="U136" s="14" t="str">
        <x:v>Explicit source first year retained</x:v>
      </x:c>
      <x:c r="V136" s="14" t="str">
        <x:v>Earliest supplied year is 2025.</x:v>
      </x:c>
      <x:c r="W136" s="14"/>
      <x:c r="X136" s="14" t="str">
        <x:v>Included</x:v>
      </x:c>
      <x:c r="Y136" s="14"/>
      <x:c r="Z136" s="14" t="str">
        <x:v>Beyond Paradise.docx</x:v>
      </x:c>
      <x:c r="AA136" s="14" t="str">
        <x:v>HYPERLINK is not implemented. linkLocation=https://www.imdb.com/title/tt21161156/fullcredits/,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BBC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HYPERLINK("https://en.wikipedia.org/wiki/Beyond_Paradise","Open source")</x:f>
        <x:v>HYPERLINK is not implemented. linkLocation=https://en.wikipedia.org/wiki/Beyond_Paradise, friendlyName=Open source</x:v>
      </x:c>
      <x:c r="AN136" s="14" t="str">
        <x:v>BBC public-service commission</x:v>
      </x:c>
      <x:c r="AO136" s="14" t="str">
        <x:v>Yes</x:v>
      </x:c>
      <x:c r="AP136" s="14" t="str">
        <x:v>Direct BBC public-service scope</x:v>
      </x:c>
      <x:c r="AQ136" s="14" t="str">
        <x:v>Yes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27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0.037037037037037035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4" t="str">
        <x:v>HYPERLINK is not implemented. linkLocation=https://www.imdb.com/title/tt21161156/fullcredits/,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tt21161156|nm2952645|robert martins</x:v>
      </x:c>
      <x:c r="B137" s="14" t="str">
        <x:v>01</x:v>
      </x:c>
      <x:c r="C137" s="14" t="str">
        <x:v>2023_IMDb_Cast_Lists_Batch_01(2).xlsx</x:v>
      </x:c>
      <x:c r="D137" s="14" t="str">
        <x:v>Beyond Paradise</x:v>
      </x:c>
      <x:c r="E137" s="14" t="n">
        <x:v>120</x:v>
      </x:c>
      <x:c r="F137" s="14" t="str">
        <x:v>Beyond Paradise</x:v>
      </x:c>
      <x:c r="G137" s="14" t="str">
        <x:v>tt21161156</x:v>
      </x:c>
      <x:c r="H137" s="14" t="n">
        <x:v>2023</x:v>
      </x:c>
      <x:c r="I137" s="14" t="n">
        <x:v>2025</x:v>
      </x:c>
      <x:c r="J137" s="14" t="str">
        <x:v>Earlier-Production Carry-In Cohort</x:v>
      </x:c>
      <x:c r="K137" s="14" t="n">
        <x:v>2023</x:v>
      </x:c>
      <x:c r="L137" s="14" t="str">
        <x:v>Used in 2025 annual analysis</x:v>
      </x:c>
      <x:c r="M137" s="15" t="n">
        <x:v>113</x:v>
      </x:c>
      <x:c r="N137" s="14" t="str">
        <x:v>Jonny Weldon</x:v>
      </x:c>
      <x:c r="O137" s="14" t="str">
        <x:v>nm2952645</x:v>
      </x:c>
      <x:c r="P137" s="14" t="str">
        <x:v>Robert Martins</x:v>
      </x:c>
      <x:c r="Q137" s="15" t="n">
        <x:v>1</x:v>
      </x:c>
      <x:c r="R137" s="14" t="str">
        <x:v>2025</x:v>
      </x:c>
      <x:c r="S137" s="14" t="n">
        <x:v>2025</x:v>
      </x:c>
      <x:c r="T137" s="14" t="n">
        <x:v>2025</x:v>
      </x:c>
      <x:c r="U137" s="14" t="str">
        <x:v>Explicit source first year retained</x:v>
      </x:c>
      <x:c r="V137" s="14" t="str">
        <x:v>Earliest supplied year is 2025.</x:v>
      </x:c>
      <x:c r="W137" s="14"/>
      <x:c r="X137" s="14" t="str">
        <x:v>Included</x:v>
      </x:c>
      <x:c r="Y137" s="14"/>
      <x:c r="Z137" s="14" t="str">
        <x:v>Beyond Paradise.docx</x:v>
      </x:c>
      <x:c r="AA137" s="14" t="str">
        <x:v>HYPERLINK is not implemented. linkLocation=https://www.imdb.com/title/tt21161156/fullcredits/,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HYPERLINK("https://en.wikipedia.org/wiki/Beyond_Paradise","Open source")</x:f>
        <x:v>HYPERLINK is not implemented. linkLocation=https://en.wikipedia.org/wiki/Beyond_Paradise,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27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0.037037037037037035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4" t="str">
        <x:v>HYPERLINK is not implemented. linkLocation=https://www.imdb.com/title/tt21161156/fullcredits/,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tt21161156|nm1361530|di jacob tremayne</x:v>
      </x:c>
      <x:c r="B138" s="14" t="str">
        <x:v>01</x:v>
      </x:c>
      <x:c r="C138" s="14" t="str">
        <x:v>2023_IMDb_Cast_Lists_Batch_01(2).xlsx</x:v>
      </x:c>
      <x:c r="D138" s="14" t="str">
        <x:v>Beyond Paradise</x:v>
      </x:c>
      <x:c r="E138" s="14" t="n">
        <x:v>121</x:v>
      </x:c>
      <x:c r="F138" s="14" t="str">
        <x:v>Beyond Paradise</x:v>
      </x:c>
      <x:c r="G138" s="14" t="str">
        <x:v>tt21161156</x:v>
      </x:c>
      <x:c r="H138" s="14" t="n">
        <x:v>2023</x:v>
      </x:c>
      <x:c r="I138" s="14" t="n">
        <x:v>2025</x:v>
      </x:c>
      <x:c r="J138" s="14" t="str">
        <x:v>Earlier-Production Carry-In Cohort</x:v>
      </x:c>
      <x:c r="K138" s="14" t="n">
        <x:v>2023</x:v>
      </x:c>
      <x:c r="L138" s="14" t="str">
        <x:v>Used in 2025 annual analysis</x:v>
      </x:c>
      <x:c r="M138" s="15" t="n">
        <x:v>114</x:v>
      </x:c>
      <x:c r="N138" s="14" t="str">
        <x:v>Steve Oram</x:v>
      </x:c>
      <x:c r="O138" s="14" t="str">
        <x:v>nm1361530</x:v>
      </x:c>
      <x:c r="P138" s="14" t="str">
        <x:v>DI Jacob Tremayne</x:v>
      </x:c>
      <x:c r="Q138" s="15" t="n">
        <x:v>1</x:v>
      </x:c>
      <x:c r="R138" s="14" t="str">
        <x:v>2025</x:v>
      </x:c>
      <x:c r="S138" s="14" t="n">
        <x:v>2025</x:v>
      </x:c>
      <x:c r="T138" s="14" t="n">
        <x:v>2025</x:v>
      </x:c>
      <x:c r="U138" s="14" t="str">
        <x:v>Explicit source first year retained</x:v>
      </x:c>
      <x:c r="V138" s="14" t="str">
        <x:v>Earliest supplied year is 2025.</x:v>
      </x:c>
      <x:c r="W138" s="14"/>
      <x:c r="X138" s="14" t="str">
        <x:v>Included</x:v>
      </x:c>
      <x:c r="Y138" s="14"/>
      <x:c r="Z138" s="14" t="str">
        <x:v>Beyond Paradise.docx</x:v>
      </x:c>
      <x:c r="AA138" s="14" t="str">
        <x:v>HYPERLINK is not implemented. linkLocation=https://www.imdb.com/title/tt21161156/fullcredits/,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HYPERLINK("https://en.wikipedia.org/wiki/Beyond_Paradise","Open source")</x:f>
        <x:v>HYPERLINK is not implemented. linkLocation=https://en.wikipedia.org/wiki/Beyond_Paradise,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27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0.037037037037037035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4" t="str">
        <x:v>HYPERLINK is not implemented. linkLocation=https://www.imdb.com/title/tt21161156/fullcredits/,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tt21161156|nm4000354|steve banley</x:v>
      </x:c>
      <x:c r="B139" s="14" t="str">
        <x:v>01</x:v>
      </x:c>
      <x:c r="C139" s="14" t="str">
        <x:v>2023_IMDb_Cast_Lists_Batch_01(2).xlsx</x:v>
      </x:c>
      <x:c r="D139" s="14" t="str">
        <x:v>Beyond Paradise</x:v>
      </x:c>
      <x:c r="E139" s="14" t="n">
        <x:v>122</x:v>
      </x:c>
      <x:c r="F139" s="14" t="str">
        <x:v>Beyond Paradise</x:v>
      </x:c>
      <x:c r="G139" s="14" t="str">
        <x:v>tt21161156</x:v>
      </x:c>
      <x:c r="H139" s="14" t="n">
        <x:v>2023</x:v>
      </x:c>
      <x:c r="I139" s="14" t="n">
        <x:v>2025</x:v>
      </x:c>
      <x:c r="J139" s="14" t="str">
        <x:v>Earlier-Production Carry-In Cohort</x:v>
      </x:c>
      <x:c r="K139" s="14" t="n">
        <x:v>2023</x:v>
      </x:c>
      <x:c r="L139" s="14" t="str">
        <x:v>Used in 2025 annual analysis</x:v>
      </x:c>
      <x:c r="M139" s="15" t="n">
        <x:v>115</x:v>
      </x:c>
      <x:c r="N139" s="14" t="str">
        <x:v>Dean Nolan</x:v>
      </x:c>
      <x:c r="O139" s="14" t="str">
        <x:v>nm4000354</x:v>
      </x:c>
      <x:c r="P139" s="14" t="str">
        <x:v>Steve Banley</x:v>
      </x:c>
      <x:c r="Q139" s="15" t="n">
        <x:v>1</x:v>
      </x:c>
      <x:c r="R139" s="14" t="str">
        <x:v>2025</x:v>
      </x:c>
      <x:c r="S139" s="14" t="n">
        <x:v>2025</x:v>
      </x:c>
      <x:c r="T139" s="14" t="n">
        <x:v>2025</x:v>
      </x:c>
      <x:c r="U139" s="14" t="str">
        <x:v>Explicit source first year retained</x:v>
      </x:c>
      <x:c r="V139" s="14" t="str">
        <x:v>Earliest supplied year is 2025.</x:v>
      </x:c>
      <x:c r="W139" s="14"/>
      <x:c r="X139" s="14" t="str">
        <x:v>Included</x:v>
      </x:c>
      <x:c r="Y139" s="14" t="str">
        <x:v>(as Dean Boodaghians-Nolan)</x:v>
      </x:c>
      <x:c r="Z139" s="14" t="str">
        <x:v>Beyond Paradise.docx</x:v>
      </x:c>
      <x:c r="AA139" s="14" t="str">
        <x:v>HYPERLINK is not implemented. linkLocation=https://www.imdb.com/title/tt21161156/fullcredits/,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BBC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HYPERLINK("https://en.wikipedia.org/wiki/Beyond_Paradise","Open source")</x:f>
        <x:v>HYPERLINK is not implemented. linkLocation=https://en.wikipedia.org/wiki/Beyond_Paradise, friendlyName=Open source</x:v>
      </x:c>
      <x:c r="AN139" s="14" t="str">
        <x:v>BBC public-service commission</x:v>
      </x:c>
      <x:c r="AO139" s="14" t="str">
        <x:v>Yes</x:v>
      </x:c>
      <x:c r="AP139" s="14" t="str">
        <x:v>Direct BBC public-service scope</x:v>
      </x:c>
      <x:c r="AQ139" s="14" t="str">
        <x:v>Yes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27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0.037037037037037035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4" t="str">
        <x:v>HYPERLINK is not implemented. linkLocation=https://www.imdb.com/title/tt21161156/fullcredits/,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tt21161156|nm5326594|ds fenella foster</x:v>
      </x:c>
      <x:c r="B140" s="14" t="str">
        <x:v>01</x:v>
      </x:c>
      <x:c r="C140" s="14" t="str">
        <x:v>2023_IMDb_Cast_Lists_Batch_01(2).xlsx</x:v>
      </x:c>
      <x:c r="D140" s="14" t="str">
        <x:v>Beyond Paradise</x:v>
      </x:c>
      <x:c r="E140" s="14" t="n">
        <x:v>132</x:v>
      </x:c>
      <x:c r="F140" s="14" t="str">
        <x:v>Beyond Paradise</x:v>
      </x:c>
      <x:c r="G140" s="14" t="str">
        <x:v>tt21161156</x:v>
      </x:c>
      <x:c r="H140" s="14" t="n">
        <x:v>2023</x:v>
      </x:c>
      <x:c r="I140" s="14" t="n">
        <x:v>2025</x:v>
      </x:c>
      <x:c r="J140" s="14" t="str">
        <x:v>Earlier-Production Carry-In Cohort</x:v>
      </x:c>
      <x:c r="K140" s="14" t="n">
        <x:v>2023</x:v>
      </x:c>
      <x:c r="L140" s="14" t="str">
        <x:v>Used in 2025 annual analysis</x:v>
      </x:c>
      <x:c r="M140" s="15" t="n">
        <x:v>125</x:v>
      </x:c>
      <x:c r="N140" s="14" t="str">
        <x:v>Gabby Best</x:v>
      </x:c>
      <x:c r="O140" s="14" t="str">
        <x:v>nm5326594</x:v>
      </x:c>
      <x:c r="P140" s="14" t="str">
        <x:v>DS Fenella Foster</x:v>
      </x:c>
      <x:c r="Q140" s="15" t="n">
        <x:v>1</x:v>
      </x:c>
      <x:c r="R140" s="14" t="str">
        <x:v>2025</x:v>
      </x:c>
      <x:c r="S140" s="14" t="n">
        <x:v>2025</x:v>
      </x:c>
      <x:c r="T140" s="14" t="n">
        <x:v>2025</x:v>
      </x:c>
      <x:c r="U140" s="14" t="str">
        <x:v>Explicit source first year retained</x:v>
      </x:c>
      <x:c r="V140" s="14" t="str">
        <x:v>Earliest supplied year is 2025.</x:v>
      </x:c>
      <x:c r="W140" s="14"/>
      <x:c r="X140" s="14" t="str">
        <x:v>Included</x:v>
      </x:c>
      <x:c r="Y140" s="14"/>
      <x:c r="Z140" s="14" t="str">
        <x:v>Beyond Paradise.docx</x:v>
      </x:c>
      <x:c r="AA140" s="14" t="str">
        <x:v>HYPERLINK is not implemented. linkLocation=https://www.imdb.com/title/tt21161156/fullcredits/,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BBC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HYPERLINK("https://en.wikipedia.org/wiki/Beyond_Paradise","Open source")</x:f>
        <x:v>HYPERLINK is not implemented. linkLocation=https://en.wikipedia.org/wiki/Beyond_Paradise, friendlyName=Open source</x:v>
      </x:c>
      <x:c r="AN140" s="14" t="str">
        <x:v>BBC public-service commission</x:v>
      </x:c>
      <x:c r="AO140" s="14" t="str">
        <x:v>Yes</x:v>
      </x:c>
      <x:c r="AP140" s="14" t="str">
        <x:v>Direct BBC public-service scope</x:v>
      </x:c>
      <x:c r="AQ140" s="14" t="str">
        <x:v>Yes</x:v>
      </x:c>
      <x:c r="AR140" s="14" t="str">
        <x:v>Resolved from master register</x:v>
      </x:c>
      <x:c r="AS140" s="14" t="str">
        <x:v>No established-register match</x:v>
      </x:c>
      <x:c r="AT140" s="14"/>
      <x:c r="AU140" s="14"/>
      <x:c r="AV140" s="14" t="str">
        <x:v>No established apparent-disability match</x:v>
      </x:c>
      <x:c r="AW140" s="14"/>
      <x:c r="AX140" s="14" t="str">
        <x:v>No</x:v>
      </x:c>
      <x:c r="AY140" s="14" t="str">
        <x:v>Unmatched</x:v>
      </x:c>
      <x:c r="AZ140" s="14" t="str">
        <x:v>Final supplied register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27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0.037037037037037035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4" t="str">
        <x:v>HYPERLINK is not implemented. linkLocation=https://www.imdb.com/title/tt21161156/fullcredits/,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tt21161156|nm9444175|francine dalton</x:v>
      </x:c>
      <x:c r="B141" s="14" t="str">
        <x:v>01</x:v>
      </x:c>
      <x:c r="C141" s="14" t="str">
        <x:v>2023_IMDb_Cast_Lists_Batch_01(2).xlsx</x:v>
      </x:c>
      <x:c r="D141" s="14" t="str">
        <x:v>Beyond Paradise</x:v>
      </x:c>
      <x:c r="E141" s="14" t="n">
        <x:v>133</x:v>
      </x:c>
      <x:c r="F141" s="14" t="str">
        <x:v>Beyond Paradise</x:v>
      </x:c>
      <x:c r="G141" s="14" t="str">
        <x:v>tt21161156</x:v>
      </x:c>
      <x:c r="H141" s="14" t="n">
        <x:v>2023</x:v>
      </x:c>
      <x:c r="I141" s="14" t="n">
        <x:v>2025</x:v>
      </x:c>
      <x:c r="J141" s="14" t="str">
        <x:v>Earlier-Production Carry-In Cohort</x:v>
      </x:c>
      <x:c r="K141" s="14" t="n">
        <x:v>2023</x:v>
      </x:c>
      <x:c r="L141" s="14" t="str">
        <x:v>Used in 2025 annual analysis</x:v>
      </x:c>
      <x:c r="M141" s="15" t="n">
        <x:v>126</x:v>
      </x:c>
      <x:c r="N141" s="14" t="str">
        <x:v>Laura Euler-Rolle</x:v>
      </x:c>
      <x:c r="O141" s="14" t="str">
        <x:v>nm9444175</x:v>
      </x:c>
      <x:c r="P141" s="14" t="str">
        <x:v>Francine Dalton</x:v>
      </x:c>
      <x:c r="Q141" s="15" t="n">
        <x:v>1</x:v>
      </x:c>
      <x:c r="R141" s="14" t="str">
        <x:v>2025</x:v>
      </x:c>
      <x:c r="S141" s="14" t="n">
        <x:v>2025</x:v>
      </x:c>
      <x:c r="T141" s="14" t="n">
        <x:v>2025</x:v>
      </x:c>
      <x:c r="U141" s="14" t="str">
        <x:v>Explicit source first year retained</x:v>
      </x:c>
      <x:c r="V141" s="14" t="str">
        <x:v>Earliest supplied year is 2025.</x:v>
      </x:c>
      <x:c r="W141" s="14"/>
      <x:c r="X141" s="14" t="str">
        <x:v>Included</x:v>
      </x:c>
      <x:c r="Y141" s="14"/>
      <x:c r="Z141" s="14" t="str">
        <x:v>Beyond Paradise.docx</x:v>
      </x:c>
      <x:c r="AA141" s="14" t="str">
        <x:v>HYPERLINK is not implemented. linkLocation=https://www.imdb.com/title/tt21161156/fullcredits/,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BBC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HYPERLINK("https://en.wikipedia.org/wiki/Beyond_Paradise","Open source")</x:f>
        <x:v>HYPERLINK is not implemented. linkLocation=https://en.wikipedia.org/wiki/Beyond_Paradise, friendlyName=Open source</x:v>
      </x:c>
      <x:c r="AN141" s="14" t="str">
        <x:v>BBC public-service commission</x:v>
      </x:c>
      <x:c r="AO141" s="14" t="str">
        <x:v>Yes</x:v>
      </x:c>
      <x:c r="AP141" s="14" t="str">
        <x:v>Direct BBC public-service scope</x:v>
      </x:c>
      <x:c r="AQ141" s="14" t="str">
        <x:v>Yes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27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0.037037037037037035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4" t="str">
        <x:v>HYPERLINK is not implemented. linkLocation=https://www.imdb.com/title/tt21161156/fullcredits/,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tt21161156|nm0141324|nate dalton</x:v>
      </x:c>
      <x:c r="B142" s="14" t="str">
        <x:v>01</x:v>
      </x:c>
      <x:c r="C142" s="14" t="str">
        <x:v>2023_IMDb_Cast_Lists_Batch_01(2).xlsx</x:v>
      </x:c>
      <x:c r="D142" s="14" t="str">
        <x:v>Beyond Paradise</x:v>
      </x:c>
      <x:c r="E142" s="14" t="n">
        <x:v>141</x:v>
      </x:c>
      <x:c r="F142" s="14" t="str">
        <x:v>Beyond Paradise</x:v>
      </x:c>
      <x:c r="G142" s="14" t="str">
        <x:v>tt21161156</x:v>
      </x:c>
      <x:c r="H142" s="14" t="n">
        <x:v>2023</x:v>
      </x:c>
      <x:c r="I142" s="14" t="n">
        <x:v>2025</x:v>
      </x:c>
      <x:c r="J142" s="14" t="str">
        <x:v>Earlier-Production Carry-In Cohort</x:v>
      </x:c>
      <x:c r="K142" s="14" t="n">
        <x:v>2023</x:v>
      </x:c>
      <x:c r="L142" s="14" t="str">
        <x:v>Used in 2025 annual analysis</x:v>
      </x:c>
      <x:c r="M142" s="15" t="n">
        <x:v>134</x:v>
      </x:c>
      <x:c r="N142" s="14" t="str">
        <x:v>Silas Carson</x:v>
      </x:c>
      <x:c r="O142" s="14" t="str">
        <x:v>nm0141324</x:v>
      </x:c>
      <x:c r="P142" s="14" t="str">
        <x:v>Nate Dalton</x:v>
      </x:c>
      <x:c r="Q142" s="15" t="n">
        <x:v>1</x:v>
      </x:c>
      <x:c r="R142" s="14" t="str">
        <x:v>2025</x:v>
      </x:c>
      <x:c r="S142" s="14" t="n">
        <x:v>2025</x:v>
      </x:c>
      <x:c r="T142" s="14" t="n">
        <x:v>2025</x:v>
      </x:c>
      <x:c r="U142" s="14" t="str">
        <x:v>Explicit source first year retained</x:v>
      </x:c>
      <x:c r="V142" s="14" t="str">
        <x:v>Earliest supplied year is 2025.</x:v>
      </x:c>
      <x:c r="W142" s="14"/>
      <x:c r="X142" s="14" t="str">
        <x:v>Included</x:v>
      </x:c>
      <x:c r="Y142" s="14"/>
      <x:c r="Z142" s="14" t="str">
        <x:v>Beyond Paradise.docx</x:v>
      </x:c>
      <x:c r="AA142" s="14" t="str">
        <x:v>HYPERLINK is not implemented. linkLocation=https://www.imdb.com/title/tt21161156/fullcredits/,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BBC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HYPERLINK("https://en.wikipedia.org/wiki/Beyond_Paradise","Open source")</x:f>
        <x:v>HYPERLINK is not implemented. linkLocation=https://en.wikipedia.org/wiki/Beyond_Paradise, friendlyName=Open source</x:v>
      </x:c>
      <x:c r="AN142" s="14" t="str">
        <x:v>BBC public-service commission</x:v>
      </x:c>
      <x:c r="AO142" s="14" t="str">
        <x:v>Yes</x:v>
      </x:c>
      <x:c r="AP142" s="14" t="str">
        <x:v>Direct BBC public-service scope</x:v>
      </x:c>
      <x:c r="AQ142" s="14" t="str">
        <x:v>Yes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27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0.037037037037037035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4" t="str">
        <x:v>HYPERLINK is not implemented. linkLocation=https://www.imdb.com/title/tt21161156/fullcredits/,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tt21161156|nm4649621|seb branagh</x:v>
      </x:c>
      <x:c r="B143" s="14" t="str">
        <x:v>01</x:v>
      </x:c>
      <x:c r="C143" s="14" t="str">
        <x:v>2023_IMDb_Cast_Lists_Batch_01(2).xlsx</x:v>
      </x:c>
      <x:c r="D143" s="14" t="str">
        <x:v>Beyond Paradise</x:v>
      </x:c>
      <x:c r="E143" s="14" t="n">
        <x:v>142</x:v>
      </x:c>
      <x:c r="F143" s="14" t="str">
        <x:v>Beyond Paradise</x:v>
      </x:c>
      <x:c r="G143" s="14" t="str">
        <x:v>tt21161156</x:v>
      </x:c>
      <x:c r="H143" s="14" t="n">
        <x:v>2023</x:v>
      </x:c>
      <x:c r="I143" s="14" t="n">
        <x:v>2025</x:v>
      </x:c>
      <x:c r="J143" s="14" t="str">
        <x:v>Earlier-Production Carry-In Cohort</x:v>
      </x:c>
      <x:c r="K143" s="14" t="n">
        <x:v>2023</x:v>
      </x:c>
      <x:c r="L143" s="14" t="str">
        <x:v>Used in 2025 annual analysis</x:v>
      </x:c>
      <x:c r="M143" s="15" t="n">
        <x:v>135</x:v>
      </x:c>
      <x:c r="N143" s="14" t="str">
        <x:v>Phil Wang</x:v>
      </x:c>
      <x:c r="O143" s="14" t="str">
        <x:v>nm4649621</x:v>
      </x:c>
      <x:c r="P143" s="14" t="str">
        <x:v>Seb Branagh</x:v>
      </x:c>
      <x:c r="Q143" s="15" t="n">
        <x:v>1</x:v>
      </x:c>
      <x:c r="R143" s="14" t="str">
        <x:v>2025</x:v>
      </x:c>
      <x:c r="S143" s="14" t="n">
        <x:v>2025</x:v>
      </x:c>
      <x:c r="T143" s="14" t="n">
        <x:v>2025</x:v>
      </x:c>
      <x:c r="U143" s="14" t="str">
        <x:v>Explicit source first year retained</x:v>
      </x:c>
      <x:c r="V143" s="14" t="str">
        <x:v>Earliest supplied year is 2025.</x:v>
      </x:c>
      <x:c r="W143" s="14"/>
      <x:c r="X143" s="14" t="str">
        <x:v>Included</x:v>
      </x:c>
      <x:c r="Y143" s="14"/>
      <x:c r="Z143" s="14" t="str">
        <x:v>Beyond Paradise.docx</x:v>
      </x:c>
      <x:c r="AA143" s="14" t="str">
        <x:v>HYPERLINK is not implemented. linkLocation=https://www.imdb.com/title/tt21161156/fullcredits/,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BBC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HYPERLINK("https://en.wikipedia.org/wiki/Beyond_Paradise","Open source")</x:f>
        <x:v>HYPERLINK is not implemented. linkLocation=https://en.wikipedia.org/wiki/Beyond_Paradise, friendlyName=Open source</x:v>
      </x:c>
      <x:c r="AN143" s="14" t="str">
        <x:v>BBC public-service commission</x:v>
      </x:c>
      <x:c r="AO143" s="14" t="str">
        <x:v>Yes</x:v>
      </x:c>
      <x:c r="AP143" s="14" t="str">
        <x:v>Direct BBC public-service scope</x:v>
      </x:c>
      <x:c r="AQ143" s="14" t="str">
        <x:v>Yes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27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0.037037037037037035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4" t="str">
        <x:v>HYPERLINK is not implemented. linkLocation=https://www.imdb.com/title/tt21161156/fullcredits/,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tt21161156|nm0375961|rhys tomlinson</x:v>
      </x:c>
      <x:c r="B144" s="14" t="str">
        <x:v>01</x:v>
      </x:c>
      <x:c r="C144" s="14" t="str">
        <x:v>2023_IMDb_Cast_Lists_Batch_01(2).xlsx</x:v>
      </x:c>
      <x:c r="D144" s="14" t="str">
        <x:v>Beyond Paradise</x:v>
      </x:c>
      <x:c r="E144" s="14" t="n">
        <x:v>143</x:v>
      </x:c>
      <x:c r="F144" s="14" t="str">
        <x:v>Beyond Paradise</x:v>
      </x:c>
      <x:c r="G144" s="14" t="str">
        <x:v>tt21161156</x:v>
      </x:c>
      <x:c r="H144" s="14" t="n">
        <x:v>2023</x:v>
      </x:c>
      <x:c r="I144" s="14" t="n">
        <x:v>2025</x:v>
      </x:c>
      <x:c r="J144" s="14" t="str">
        <x:v>Earlier-Production Carry-In Cohort</x:v>
      </x:c>
      <x:c r="K144" s="14" t="n">
        <x:v>2023</x:v>
      </x:c>
      <x:c r="L144" s="14" t="str">
        <x:v>Used in 2025 annual analysis</x:v>
      </x:c>
      <x:c r="M144" s="15" t="n">
        <x:v>136</x:v>
      </x:c>
      <x:c r="N144" s="14" t="str">
        <x:v>Oliver Hembrough</x:v>
      </x:c>
      <x:c r="O144" s="14" t="str">
        <x:v>nm0375961</x:v>
      </x:c>
      <x:c r="P144" s="14" t="str">
        <x:v>Rhys Tomlinson</x:v>
      </x:c>
      <x:c r="Q144" s="15" t="n">
        <x:v>1</x:v>
      </x:c>
      <x:c r="R144" s="14" t="str">
        <x:v>2025</x:v>
      </x:c>
      <x:c r="S144" s="14" t="n">
        <x:v>2025</x:v>
      </x:c>
      <x:c r="T144" s="14" t="n">
        <x:v>2025</x:v>
      </x:c>
      <x:c r="U144" s="14" t="str">
        <x:v>Explicit source first year retained</x:v>
      </x:c>
      <x:c r="V144" s="14" t="str">
        <x:v>Earliest supplied year is 2025.</x:v>
      </x:c>
      <x:c r="W144" s="14"/>
      <x:c r="X144" s="14" t="str">
        <x:v>Included</x:v>
      </x:c>
      <x:c r="Y144" s="14"/>
      <x:c r="Z144" s="14" t="str">
        <x:v>Beyond Paradise.docx</x:v>
      </x:c>
      <x:c r="AA144" s="14" t="str">
        <x:v>HYPERLINK is not implemented. linkLocation=https://www.imdb.com/title/tt21161156/fullcredits/,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BBC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HYPERLINK("https://en.wikipedia.org/wiki/Beyond_Paradise","Open source")</x:f>
        <x:v>HYPERLINK is not implemented. linkLocation=https://en.wikipedia.org/wiki/Beyond_Paradise, friendlyName=Open source</x:v>
      </x:c>
      <x:c r="AN144" s="14" t="str">
        <x:v>BBC public-service commission</x:v>
      </x:c>
      <x:c r="AO144" s="14" t="str">
        <x:v>Yes</x:v>
      </x:c>
      <x:c r="AP144" s="14" t="str">
        <x:v>Direct BBC public-service scope</x:v>
      </x:c>
      <x:c r="AQ144" s="14" t="str">
        <x:v>Yes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27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0.037037037037037035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4" t="str">
        <x:v>HYPERLINK is not implemented. linkLocation=https://www.imdb.com/title/tt21161156/fullcredits/,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tt21161156|nm8824058|mark weston</x:v>
      </x:c>
      <x:c r="B145" s="14" t="str">
        <x:v>01</x:v>
      </x:c>
      <x:c r="C145" s="14" t="str">
        <x:v>2023_IMDb_Cast_Lists_Batch_01(2).xlsx</x:v>
      </x:c>
      <x:c r="D145" s="14" t="str">
        <x:v>Beyond Paradise</x:v>
      </x:c>
      <x:c r="E145" s="14" t="n">
        <x:v>153</x:v>
      </x:c>
      <x:c r="F145" s="14" t="str">
        <x:v>Beyond Paradise</x:v>
      </x:c>
      <x:c r="G145" s="14" t="str">
        <x:v>tt21161156</x:v>
      </x:c>
      <x:c r="H145" s="14" t="n">
        <x:v>2023</x:v>
      </x:c>
      <x:c r="I145" s="14" t="n">
        <x:v>2025</x:v>
      </x:c>
      <x:c r="J145" s="14" t="str">
        <x:v>Earlier-Production Carry-In Cohort</x:v>
      </x:c>
      <x:c r="K145" s="14" t="n">
        <x:v>2023</x:v>
      </x:c>
      <x:c r="L145" s="14" t="str">
        <x:v>Used in 2025 annual analysis</x:v>
      </x:c>
      <x:c r="M145" s="15" t="n">
        <x:v>146</x:v>
      </x:c>
      <x:c r="N145" s="14" t="str">
        <x:v>Kem Hassan</x:v>
      </x:c>
      <x:c r="O145" s="14" t="str">
        <x:v>nm8824058</x:v>
      </x:c>
      <x:c r="P145" s="14" t="str">
        <x:v>Mark Weston</x:v>
      </x:c>
      <x:c r="Q145" s="15" t="n">
        <x:v>1</x:v>
      </x:c>
      <x:c r="R145" s="14" t="str">
        <x:v>2025</x:v>
      </x:c>
      <x:c r="S145" s="14" t="n">
        <x:v>2025</x:v>
      </x:c>
      <x:c r="T145" s="14" t="n">
        <x:v>2025</x:v>
      </x:c>
      <x:c r="U145" s="14" t="str">
        <x:v>Explicit source first year retained</x:v>
      </x:c>
      <x:c r="V145" s="14" t="str">
        <x:v>Earliest supplied year is 2025.</x:v>
      </x:c>
      <x:c r="W145" s="14"/>
      <x:c r="X145" s="14" t="str">
        <x:v>Included</x:v>
      </x:c>
      <x:c r="Y145" s="14"/>
      <x:c r="Z145" s="14" t="str">
        <x:v>Beyond Paradise.docx</x:v>
      </x:c>
      <x:c r="AA145" s="14" t="str">
        <x:v>HYPERLINK is not implemented. linkLocation=https://www.imdb.com/title/tt21161156/fullcredits/,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BBC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HYPERLINK("https://en.wikipedia.org/wiki/Beyond_Paradise","Open source")</x:f>
        <x:v>HYPERLINK is not implemented. linkLocation=https://en.wikipedia.org/wiki/Beyond_Paradise, friendlyName=Open source</x:v>
      </x:c>
      <x:c r="AN145" s="14" t="str">
        <x:v>BBC public-service commission</x:v>
      </x:c>
      <x:c r="AO145" s="14" t="str">
        <x:v>Yes</x:v>
      </x:c>
      <x:c r="AP145" s="14" t="str">
        <x:v>Direct BBC public-service scope</x:v>
      </x:c>
      <x:c r="AQ145" s="14" t="str">
        <x:v>Yes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27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0.037037037037037035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4" t="str">
        <x:v>HYPERLINK is not implemented. linkLocation=https://www.imdb.com/title/tt21161156/fullcredits/,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tt21161156|nm0564133|trent morgan</x:v>
      </x:c>
      <x:c r="B146" s="14" t="str">
        <x:v>01</x:v>
      </x:c>
      <x:c r="C146" s="14" t="str">
        <x:v>2023_IMDb_Cast_Lists_Batch_01(2).xlsx</x:v>
      </x:c>
      <x:c r="D146" s="14" t="str">
        <x:v>Beyond Paradise</x:v>
      </x:c>
      <x:c r="E146" s="14" t="n">
        <x:v>154</x:v>
      </x:c>
      <x:c r="F146" s="14" t="str">
        <x:v>Beyond Paradise</x:v>
      </x:c>
      <x:c r="G146" s="14" t="str">
        <x:v>tt21161156</x:v>
      </x:c>
      <x:c r="H146" s="14" t="n">
        <x:v>2023</x:v>
      </x:c>
      <x:c r="I146" s="14" t="n">
        <x:v>2025</x:v>
      </x:c>
      <x:c r="J146" s="14" t="str">
        <x:v>Earlier-Production Carry-In Cohort</x:v>
      </x:c>
      <x:c r="K146" s="14" t="n">
        <x:v>2023</x:v>
      </x:c>
      <x:c r="L146" s="14" t="str">
        <x:v>Used in 2025 annual analysis</x:v>
      </x:c>
      <x:c r="M146" s="15" t="n">
        <x:v>147</x:v>
      </x:c>
      <x:c r="N146" s="14" t="str">
        <x:v>Murray McArthur</x:v>
      </x:c>
      <x:c r="O146" s="14" t="str">
        <x:v>nm0564133</x:v>
      </x:c>
      <x:c r="P146" s="14" t="str">
        <x:v>Trent Morgan</x:v>
      </x:c>
      <x:c r="Q146" s="15" t="n">
        <x:v>1</x:v>
      </x:c>
      <x:c r="R146" s="14" t="str">
        <x:v>2025</x:v>
      </x:c>
      <x:c r="S146" s="14" t="n">
        <x:v>2025</x:v>
      </x:c>
      <x:c r="T146" s="14" t="n">
        <x:v>2025</x:v>
      </x:c>
      <x:c r="U146" s="14" t="str">
        <x:v>Explicit source first year retained</x:v>
      </x:c>
      <x:c r="V146" s="14" t="str">
        <x:v>Earliest supplied year is 2025.</x:v>
      </x:c>
      <x:c r="W146" s="14"/>
      <x:c r="X146" s="14" t="str">
        <x:v>Included</x:v>
      </x:c>
      <x:c r="Y146" s="14"/>
      <x:c r="Z146" s="14" t="str">
        <x:v>Beyond Paradise.docx</x:v>
      </x:c>
      <x:c r="AA146" s="14" t="str">
        <x:v>HYPERLINK is not implemented. linkLocation=https://www.imdb.com/title/tt21161156/fullcredits/,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BBC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HYPERLINK("https://en.wikipedia.org/wiki/Beyond_Paradise","Open source")</x:f>
        <x:v>HYPERLINK is not implemented. linkLocation=https://en.wikipedia.org/wiki/Beyond_Paradise, friendlyName=Open source</x:v>
      </x:c>
      <x:c r="AN146" s="14" t="str">
        <x:v>BBC public-service commission</x:v>
      </x:c>
      <x:c r="AO146" s="14" t="str">
        <x:v>Yes</x:v>
      </x:c>
      <x:c r="AP146" s="14" t="str">
        <x:v>Direct BBC public-service scope</x:v>
      </x:c>
      <x:c r="AQ146" s="14" t="str">
        <x:v>Yes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27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0.037037037037037035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4" t="str">
        <x:v>HYPERLINK is not implemented. linkLocation=https://www.imdb.com/title/tt21161156/fullcredits/,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tt21161156|nm12650950|polly digsby</x:v>
      </x:c>
      <x:c r="B147" s="14" t="str">
        <x:v>01</x:v>
      </x:c>
      <x:c r="C147" s="14" t="str">
        <x:v>2023_IMDb_Cast_Lists_Batch_01(2).xlsx</x:v>
      </x:c>
      <x:c r="D147" s="14" t="str">
        <x:v>Beyond Paradise</x:v>
      </x:c>
      <x:c r="E147" s="14" t="n">
        <x:v>155</x:v>
      </x:c>
      <x:c r="F147" s="14" t="str">
        <x:v>Beyond Paradise</x:v>
      </x:c>
      <x:c r="G147" s="14" t="str">
        <x:v>tt21161156</x:v>
      </x:c>
      <x:c r="H147" s="14" t="n">
        <x:v>2023</x:v>
      </x:c>
      <x:c r="I147" s="14" t="n">
        <x:v>2025</x:v>
      </x:c>
      <x:c r="J147" s="14" t="str">
        <x:v>Earlier-Production Carry-In Cohort</x:v>
      </x:c>
      <x:c r="K147" s="14" t="n">
        <x:v>2023</x:v>
      </x:c>
      <x:c r="L147" s="14" t="str">
        <x:v>Used in 2025 annual analysis</x:v>
      </x:c>
      <x:c r="M147" s="15" t="n">
        <x:v>148</x:v>
      </x:c>
      <x:c r="N147" s="14" t="str">
        <x:v>Madeleine Day</x:v>
      </x:c>
      <x:c r="O147" s="14" t="str">
        <x:v>nm12650950</x:v>
      </x:c>
      <x:c r="P147" s="14" t="str">
        <x:v>Polly Digsby</x:v>
      </x:c>
      <x:c r="Q147" s="15" t="n">
        <x:v>1</x:v>
      </x:c>
      <x:c r="R147" s="14" t="str">
        <x:v>2025</x:v>
      </x:c>
      <x:c r="S147" s="14" t="n">
        <x:v>2025</x:v>
      </x:c>
      <x:c r="T147" s="14" t="n">
        <x:v>2025</x:v>
      </x:c>
      <x:c r="U147" s="14" t="str">
        <x:v>Explicit source first year retained</x:v>
      </x:c>
      <x:c r="V147" s="14" t="str">
        <x:v>Earliest supplied year is 2025.</x:v>
      </x:c>
      <x:c r="W147" s="14"/>
      <x:c r="X147" s="14" t="str">
        <x:v>Included</x:v>
      </x:c>
      <x:c r="Y147" s="14"/>
      <x:c r="Z147" s="14" t="str">
        <x:v>Beyond Paradise.docx</x:v>
      </x:c>
      <x:c r="AA147" s="14" t="str">
        <x:v>HYPERLINK is not implemented. linkLocation=https://www.imdb.com/title/tt21161156/fullcredits/,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BBC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HYPERLINK("https://en.wikipedia.org/wiki/Beyond_Paradise","Open source")</x:f>
        <x:v>HYPERLINK is not implemented. linkLocation=https://en.wikipedia.org/wiki/Beyond_Paradise, friendlyName=Open source</x:v>
      </x:c>
      <x:c r="AN147" s="14" t="str">
        <x:v>BBC public-service commission</x:v>
      </x:c>
      <x:c r="AO147" s="14" t="str">
        <x:v>Yes</x:v>
      </x:c>
      <x:c r="AP147" s="14" t="str">
        <x:v>Direct BBC public-service scope</x:v>
      </x:c>
      <x:c r="AQ147" s="14" t="str">
        <x:v>Yes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27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0.037037037037037035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4" t="str">
        <x:v>HYPERLINK is not implemented. linkLocation=https://www.imdb.com/title/tt21161156/fullcredits/,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tt21161156|nm0822697|annie</x:v>
      </x:c>
      <x:c r="B148" s="14" t="str">
        <x:v>01</x:v>
      </x:c>
      <x:c r="C148" s="14" t="str">
        <x:v>2023_IMDb_Cast_Lists_Batch_01(2).xlsx</x:v>
      </x:c>
      <x:c r="D148" s="14" t="str">
        <x:v>Beyond Paradise</x:v>
      </x:c>
      <x:c r="E148" s="14" t="n">
        <x:v>164</x:v>
      </x:c>
      <x:c r="F148" s="14" t="str">
        <x:v>Beyond Paradise</x:v>
      </x:c>
      <x:c r="G148" s="14" t="str">
        <x:v>tt21161156</x:v>
      </x:c>
      <x:c r="H148" s="14" t="n">
        <x:v>2023</x:v>
      </x:c>
      <x:c r="I148" s="14" t="n">
        <x:v>2025</x:v>
      </x:c>
      <x:c r="J148" s="14" t="str">
        <x:v>Earlier-Production Carry-In Cohort</x:v>
      </x:c>
      <x:c r="K148" s="14" t="n">
        <x:v>2023</x:v>
      </x:c>
      <x:c r="L148" s="14" t="str">
        <x:v>Used in 2025 annual analysis</x:v>
      </x:c>
      <x:c r="M148" s="15" t="n">
        <x:v>157</x:v>
      </x:c>
      <x:c r="N148" s="14" t="str">
        <x:v>Emma Stansfield</x:v>
      </x:c>
      <x:c r="O148" s="14" t="str">
        <x:v>nm0822697</x:v>
      </x:c>
      <x:c r="P148" s="14" t="str">
        <x:v>Annie</x:v>
      </x:c>
      <x:c r="Q148" s="15" t="n">
        <x:v>1</x:v>
      </x:c>
      <x:c r="R148" s="14" t="str">
        <x:v>2025</x:v>
      </x:c>
      <x:c r="S148" s="14" t="n">
        <x:v>2025</x:v>
      </x:c>
      <x:c r="T148" s="14" t="n">
        <x:v>2025</x:v>
      </x:c>
      <x:c r="U148" s="14" t="str">
        <x:v>Explicit source first year retained</x:v>
      </x:c>
      <x:c r="V148" s="14" t="str">
        <x:v>Earliest supplied year is 2025.</x:v>
      </x:c>
      <x:c r="W148" s="14"/>
      <x:c r="X148" s="14" t="str">
        <x:v>Included</x:v>
      </x:c>
      <x:c r="Y148" s="14"/>
      <x:c r="Z148" s="14" t="str">
        <x:v>Beyond Paradise.docx</x:v>
      </x:c>
      <x:c r="AA148" s="14" t="str">
        <x:v>HYPERLINK is not implemented. linkLocation=https://www.imdb.com/title/tt21161156/fullcredits/,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BBC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HYPERLINK("https://en.wikipedia.org/wiki/Beyond_Paradise","Open source")</x:f>
        <x:v>HYPERLINK is not implemented. linkLocation=https://en.wikipedia.org/wiki/Beyond_Paradise, friendlyName=Open source</x:v>
      </x:c>
      <x:c r="AN148" s="14" t="str">
        <x:v>BBC public-service commission</x:v>
      </x:c>
      <x:c r="AO148" s="14" t="str">
        <x:v>Yes</x:v>
      </x:c>
      <x:c r="AP148" s="14" t="str">
        <x:v>Direct BBC public-service scope</x:v>
      </x:c>
      <x:c r="AQ148" s="14" t="str">
        <x:v>Yes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27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0.037037037037037035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4" t="str">
        <x:v>HYPERLINK is not implemented. linkLocation=https://www.imdb.com/title/tt21161156/fullcredits/,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tt21161156|nm14673261|abigail marsh</x:v>
      </x:c>
      <x:c r="B149" s="14" t="str">
        <x:v>01</x:v>
      </x:c>
      <x:c r="C149" s="14" t="str">
        <x:v>2023_IMDb_Cast_Lists_Batch_01(2).xlsx</x:v>
      </x:c>
      <x:c r="D149" s="14" t="str">
        <x:v>Beyond Paradise</x:v>
      </x:c>
      <x:c r="E149" s="14" t="n">
        <x:v>165</x:v>
      </x:c>
      <x:c r="F149" s="14" t="str">
        <x:v>Beyond Paradise</x:v>
      </x:c>
      <x:c r="G149" s="14" t="str">
        <x:v>tt21161156</x:v>
      </x:c>
      <x:c r="H149" s="14" t="n">
        <x:v>2023</x:v>
      </x:c>
      <x:c r="I149" s="14" t="n">
        <x:v>2025</x:v>
      </x:c>
      <x:c r="J149" s="14" t="str">
        <x:v>Earlier-Production Carry-In Cohort</x:v>
      </x:c>
      <x:c r="K149" s="14" t="n">
        <x:v>2023</x:v>
      </x:c>
      <x:c r="L149" s="14" t="str">
        <x:v>Used in 2025 annual analysis</x:v>
      </x:c>
      <x:c r="M149" s="15" t="n">
        <x:v>158</x:v>
      </x:c>
      <x:c r="N149" s="14" t="str">
        <x:v>Hannah Howland</x:v>
      </x:c>
      <x:c r="O149" s="14" t="str">
        <x:v>nm14673261</x:v>
      </x:c>
      <x:c r="P149" s="14" t="str">
        <x:v>Abigail Marsh</x:v>
      </x:c>
      <x:c r="Q149" s="15" t="n">
        <x:v>1</x:v>
      </x:c>
      <x:c r="R149" s="14" t="str">
        <x:v>2025</x:v>
      </x:c>
      <x:c r="S149" s="14" t="n">
        <x:v>2025</x:v>
      </x:c>
      <x:c r="T149" s="14" t="n">
        <x:v>2025</x:v>
      </x:c>
      <x:c r="U149" s="14" t="str">
        <x:v>Explicit source first year retained</x:v>
      </x:c>
      <x:c r="V149" s="14" t="str">
        <x:v>Earliest supplied year is 2025.</x:v>
      </x:c>
      <x:c r="W149" s="14"/>
      <x:c r="X149" s="14" t="str">
        <x:v>Included</x:v>
      </x:c>
      <x:c r="Y149" s="14"/>
      <x:c r="Z149" s="14" t="str">
        <x:v>Beyond Paradise.docx</x:v>
      </x:c>
      <x:c r="AA149" s="14" t="str">
        <x:v>HYPERLINK is not implemented. linkLocation=https://www.imdb.com/title/tt21161156/fullcredits/,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BBC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HYPERLINK("https://en.wikipedia.org/wiki/Beyond_Paradise","Open source")</x:f>
        <x:v>HYPERLINK is not implemented. linkLocation=https://en.wikipedia.org/wiki/Beyond_Paradise, friendlyName=Open source</x:v>
      </x:c>
      <x:c r="AN149" s="14" t="str">
        <x:v>BBC public-service commission</x:v>
      </x:c>
      <x:c r="AO149" s="14" t="str">
        <x:v>Yes</x:v>
      </x:c>
      <x:c r="AP149" s="14" t="str">
        <x:v>Direct BBC public-service scope</x:v>
      </x:c>
      <x:c r="AQ149" s="14" t="str">
        <x:v>Yes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27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0.037037037037037035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4" t="str">
        <x:v>HYPERLINK is not implemented. linkLocation=https://www.imdb.com/title/tt21161156/fullcredits/,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tt21161156|nm17267285|cathy morgan</x:v>
      </x:c>
      <x:c r="B150" s="14" t="str">
        <x:v>01</x:v>
      </x:c>
      <x:c r="C150" s="14" t="str">
        <x:v>2023_IMDb_Cast_Lists_Batch_01(2).xlsx</x:v>
      </x:c>
      <x:c r="D150" s="14" t="str">
        <x:v>Beyond Paradise</x:v>
      </x:c>
      <x:c r="E150" s="14" t="n">
        <x:v>166</x:v>
      </x:c>
      <x:c r="F150" s="14" t="str">
        <x:v>Beyond Paradise</x:v>
      </x:c>
      <x:c r="G150" s="14" t="str">
        <x:v>tt21161156</x:v>
      </x:c>
      <x:c r="H150" s="14" t="n">
        <x:v>2023</x:v>
      </x:c>
      <x:c r="I150" s="14" t="n">
        <x:v>2025</x:v>
      </x:c>
      <x:c r="J150" s="14" t="str">
        <x:v>Earlier-Production Carry-In Cohort</x:v>
      </x:c>
      <x:c r="K150" s="14" t="n">
        <x:v>2023</x:v>
      </x:c>
      <x:c r="L150" s="14" t="str">
        <x:v>Used in 2025 annual analysis</x:v>
      </x:c>
      <x:c r="M150" s="15" t="n">
        <x:v>159</x:v>
      </x:c>
      <x:c r="N150" s="14" t="str">
        <x:v>Sarah Bennett-Green</x:v>
      </x:c>
      <x:c r="O150" s="14" t="str">
        <x:v>nm17267285</x:v>
      </x:c>
      <x:c r="P150" s="14" t="str">
        <x:v>Cathy Morgan</x:v>
      </x:c>
      <x:c r="Q150" s="15" t="n">
        <x:v>1</x:v>
      </x:c>
      <x:c r="R150" s="14" t="str">
        <x:v>2025</x:v>
      </x:c>
      <x:c r="S150" s="14" t="n">
        <x:v>2025</x:v>
      </x:c>
      <x:c r="T150" s="14" t="n">
        <x:v>2025</x:v>
      </x:c>
      <x:c r="U150" s="14" t="str">
        <x:v>Explicit source first year retained</x:v>
      </x:c>
      <x:c r="V150" s="14" t="str">
        <x:v>Earliest supplied year is 2025.</x:v>
      </x:c>
      <x:c r="W150" s="14"/>
      <x:c r="X150" s="14" t="str">
        <x:v>Included</x:v>
      </x:c>
      <x:c r="Y150" s="14"/>
      <x:c r="Z150" s="14" t="str">
        <x:v>Beyond Paradise.docx</x:v>
      </x:c>
      <x:c r="AA150" s="14" t="str">
        <x:v>HYPERLINK is not implemented. linkLocation=https://www.imdb.com/title/tt21161156/fullcredits/,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BBC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HYPERLINK("https://en.wikipedia.org/wiki/Beyond_Paradise","Open source")</x:f>
        <x:v>HYPERLINK is not implemented. linkLocation=https://en.wikipedia.org/wiki/Beyond_Paradise, friendlyName=Open source</x:v>
      </x:c>
      <x:c r="AN150" s="14" t="str">
        <x:v>BBC public-service commission</x:v>
      </x:c>
      <x:c r="AO150" s="14" t="str">
        <x:v>Yes</x:v>
      </x:c>
      <x:c r="AP150" s="14" t="str">
        <x:v>Direct BBC public-service scope</x:v>
      </x:c>
      <x:c r="AQ150" s="14" t="str">
        <x:v>Yes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27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0.037037037037037035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4" t="str">
        <x:v>HYPERLINK is not implemented. linkLocation=https://www.imdb.com/title/tt21161156/fullcredits/,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tt21161156|nm2908489|tv interviewer</x:v>
      </x:c>
      <x:c r="B151" s="14" t="str">
        <x:v>01</x:v>
      </x:c>
      <x:c r="C151" s="14" t="str">
        <x:v>2023_IMDb_Cast_Lists_Batch_01(2).xlsx</x:v>
      </x:c>
      <x:c r="D151" s="14" t="str">
        <x:v>Beyond Paradise</x:v>
      </x:c>
      <x:c r="E151" s="14" t="n">
        <x:v>167</x:v>
      </x:c>
      <x:c r="F151" s="14" t="str">
        <x:v>Beyond Paradise</x:v>
      </x:c>
      <x:c r="G151" s="14" t="str">
        <x:v>tt21161156</x:v>
      </x:c>
      <x:c r="H151" s="14" t="n">
        <x:v>2023</x:v>
      </x:c>
      <x:c r="I151" s="14" t="n">
        <x:v>2025</x:v>
      </x:c>
      <x:c r="J151" s="14" t="str">
        <x:v>Earlier-Production Carry-In Cohort</x:v>
      </x:c>
      <x:c r="K151" s="14" t="n">
        <x:v>2023</x:v>
      </x:c>
      <x:c r="L151" s="14" t="str">
        <x:v>Used in 2025 annual analysis</x:v>
      </x:c>
      <x:c r="M151" s="15" t="n">
        <x:v>160</x:v>
      </x:c>
      <x:c r="N151" s="14" t="str">
        <x:v>Sarah Bowden</x:v>
      </x:c>
      <x:c r="O151" s="14" t="str">
        <x:v>nm2908489</x:v>
      </x:c>
      <x:c r="P151" s="14" t="str">
        <x:v>TV Interviewer</x:v>
      </x:c>
      <x:c r="Q151" s="15" t="n">
        <x:v>1</x:v>
      </x:c>
      <x:c r="R151" s="14" t="str">
        <x:v>2025</x:v>
      </x:c>
      <x:c r="S151" s="14" t="n">
        <x:v>2025</x:v>
      </x:c>
      <x:c r="T151" s="14" t="n">
        <x:v>2025</x:v>
      </x:c>
      <x:c r="U151" s="14" t="str">
        <x:v>Explicit source first year retained</x:v>
      </x:c>
      <x:c r="V151" s="14" t="str">
        <x:v>Earliest supplied year is 2025.</x:v>
      </x:c>
      <x:c r="W151" s="14"/>
      <x:c r="X151" s="14" t="str">
        <x:v>Included</x:v>
      </x:c>
      <x:c r="Y151" s="14"/>
      <x:c r="Z151" s="14" t="str">
        <x:v>Beyond Paradise.docx</x:v>
      </x:c>
      <x:c r="AA151" s="14" t="str">
        <x:v>HYPERLINK is not implemented. linkLocation=https://www.imdb.com/title/tt21161156/fullcredits/,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BBC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HYPERLINK("https://en.wikipedia.org/wiki/Beyond_Paradise","Open source")</x:f>
        <x:v>HYPERLINK is not implemented. linkLocation=https://en.wikipedia.org/wiki/Beyond_Paradise, friendlyName=Open source</x:v>
      </x:c>
      <x:c r="AN151" s="14" t="str">
        <x:v>BBC public-service commission</x:v>
      </x:c>
      <x:c r="AO151" s="14" t="str">
        <x:v>Yes</x:v>
      </x:c>
      <x:c r="AP151" s="14" t="str">
        <x:v>Direct BBC public-service scope</x:v>
      </x:c>
      <x:c r="AQ151" s="14" t="str">
        <x:v>Yes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27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0.037037037037037035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4" t="str">
        <x:v>HYPERLINK is not implemented. linkLocation=https://www.imdb.com/title/tt21161156/fullcredits/,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tt21161156|nm0444744|louise branagh</x:v>
      </x:c>
      <x:c r="B152" s="14" t="str">
        <x:v>01</x:v>
      </x:c>
      <x:c r="C152" s="14" t="str">
        <x:v>2023_IMDb_Cast_Lists_Batch_01(2).xlsx</x:v>
      </x:c>
      <x:c r="D152" s="14" t="str">
        <x:v>Beyond Paradise</x:v>
      </x:c>
      <x:c r="E152" s="14" t="n">
        <x:v>174</x:v>
      </x:c>
      <x:c r="F152" s="14" t="str">
        <x:v>Beyond Paradise</x:v>
      </x:c>
      <x:c r="G152" s="14" t="str">
        <x:v>tt21161156</x:v>
      </x:c>
      <x:c r="H152" s="14" t="n">
        <x:v>2023</x:v>
      </x:c>
      <x:c r="I152" s="14" t="n">
        <x:v>2025</x:v>
      </x:c>
      <x:c r="J152" s="14" t="str">
        <x:v>Earlier-Production Carry-In Cohort</x:v>
      </x:c>
      <x:c r="K152" s="14" t="n">
        <x:v>2023</x:v>
      </x:c>
      <x:c r="L152" s="14" t="str">
        <x:v>Used in 2025 annual analysis</x:v>
      </x:c>
      <x:c r="M152" s="15" t="n">
        <x:v>167</x:v>
      </x:c>
      <x:c r="N152" s="14" t="str">
        <x:v>Vivien Keene</x:v>
      </x:c>
      <x:c r="O152" s="14" t="str">
        <x:v>nm0444744</x:v>
      </x:c>
      <x:c r="P152" s="14" t="str">
        <x:v>Louise Branagh</x:v>
      </x:c>
      <x:c r="Q152" s="15" t="n">
        <x:v>1</x:v>
      </x:c>
      <x:c r="R152" s="14" t="str">
        <x:v>2025</x:v>
      </x:c>
      <x:c r="S152" s="14" t="n">
        <x:v>2025</x:v>
      </x:c>
      <x:c r="T152" s="14" t="n">
        <x:v>2025</x:v>
      </x:c>
      <x:c r="U152" s="14" t="str">
        <x:v>Explicit source first year retained</x:v>
      </x:c>
      <x:c r="V152" s="14" t="str">
        <x:v>Earliest supplied year is 2025.</x:v>
      </x:c>
      <x:c r="W152" s="14"/>
      <x:c r="X152" s="14" t="str">
        <x:v>Included</x:v>
      </x:c>
      <x:c r="Y152" s="14"/>
      <x:c r="Z152" s="14" t="str">
        <x:v>Beyond Paradise.docx</x:v>
      </x:c>
      <x:c r="AA152" s="14" t="str">
        <x:v>HYPERLINK is not implemented. linkLocation=https://www.imdb.com/title/tt21161156/fullcredits/,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BBC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HYPERLINK("https://en.wikipedia.org/wiki/Beyond_Paradise","Open source")</x:f>
        <x:v>HYPERLINK is not implemented. linkLocation=https://en.wikipedia.org/wiki/Beyond_Paradise, friendlyName=Open source</x:v>
      </x:c>
      <x:c r="AN152" s="14" t="str">
        <x:v>BBC public-service commission</x:v>
      </x:c>
      <x:c r="AO152" s="14" t="str">
        <x:v>Yes</x:v>
      </x:c>
      <x:c r="AP152" s="14" t="str">
        <x:v>Direct BBC public-service scope</x:v>
      </x:c>
      <x:c r="AQ152" s="14" t="str">
        <x:v>Yes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27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0.037037037037037035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4" t="str">
        <x:v>HYPERLINK is not implemented. linkLocation=https://www.imdb.com/title/tt21161156/fullcredits/,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tt21161156|nm6620591|skydive instructor</x:v>
      </x:c>
      <x:c r="B153" s="14" t="str">
        <x:v>01</x:v>
      </x:c>
      <x:c r="C153" s="14" t="str">
        <x:v>2023_IMDb_Cast_Lists_Batch_01(2).xlsx</x:v>
      </x:c>
      <x:c r="D153" s="14" t="str">
        <x:v>Beyond Paradise</x:v>
      </x:c>
      <x:c r="E153" s="14" t="n">
        <x:v>175</x:v>
      </x:c>
      <x:c r="F153" s="14" t="str">
        <x:v>Beyond Paradise</x:v>
      </x:c>
      <x:c r="G153" s="14" t="str">
        <x:v>tt21161156</x:v>
      </x:c>
      <x:c r="H153" s="14" t="n">
        <x:v>2023</x:v>
      </x:c>
      <x:c r="I153" s="14" t="n">
        <x:v>2025</x:v>
      </x:c>
      <x:c r="J153" s="14" t="str">
        <x:v>Earlier-Production Carry-In Cohort</x:v>
      </x:c>
      <x:c r="K153" s="14" t="n">
        <x:v>2023</x:v>
      </x:c>
      <x:c r="L153" s="14" t="str">
        <x:v>Used in 2025 annual analysis</x:v>
      </x:c>
      <x:c r="M153" s="15" t="n">
        <x:v>168</x:v>
      </x:c>
      <x:c r="N153" s="14" t="str">
        <x:v>Ankur Sengupta</x:v>
      </x:c>
      <x:c r="O153" s="14" t="str">
        <x:v>nm6620591</x:v>
      </x:c>
      <x:c r="P153" s="14" t="str">
        <x:v>Skydive Instructor</x:v>
      </x:c>
      <x:c r="Q153" s="15" t="n">
        <x:v>1</x:v>
      </x:c>
      <x:c r="R153" s="14" t="str">
        <x:v>2025</x:v>
      </x:c>
      <x:c r="S153" s="14" t="n">
        <x:v>2025</x:v>
      </x:c>
      <x:c r="T153" s="14" t="n">
        <x:v>2025</x:v>
      </x:c>
      <x:c r="U153" s="14" t="str">
        <x:v>Explicit source first year retained</x:v>
      </x:c>
      <x:c r="V153" s="14" t="str">
        <x:v>Earliest supplied year is 2025.</x:v>
      </x:c>
      <x:c r="W153" s="14"/>
      <x:c r="X153" s="14" t="str">
        <x:v>Included</x:v>
      </x:c>
      <x:c r="Y153" s="14"/>
      <x:c r="Z153" s="14" t="str">
        <x:v>Beyond Paradise.docx</x:v>
      </x:c>
      <x:c r="AA153" s="14" t="str">
        <x:v>HYPERLINK is not implemented. linkLocation=https://www.imdb.com/title/tt21161156/fullcredits/,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BBC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HYPERLINK("https://en.wikipedia.org/wiki/Beyond_Paradise","Open source")</x:f>
        <x:v>HYPERLINK is not implemented. linkLocation=https://en.wikipedia.org/wiki/Beyond_Paradise, friendlyName=Open source</x:v>
      </x:c>
      <x:c r="AN153" s="14" t="str">
        <x:v>BBC public-service commission</x:v>
      </x:c>
      <x:c r="AO153" s="14" t="str">
        <x:v>Yes</x:v>
      </x:c>
      <x:c r="AP153" s="14" t="str">
        <x:v>Direct BBC public-service scope</x:v>
      </x:c>
      <x:c r="AQ153" s="14" t="str">
        <x:v>Yes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27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0.037037037037037035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4" t="str">
        <x:v>HYPERLINK is not implemented. linkLocation=https://www.imdb.com/title/tt21161156/fullcredits/,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tt21161156|nm0474904|dr. hodges</x:v>
      </x:c>
      <x:c r="B154" s="14" t="str">
        <x:v>01</x:v>
      </x:c>
      <x:c r="C154" s="14" t="str">
        <x:v>2023_IMDb_Cast_Lists_Batch_01(2).xlsx</x:v>
      </x:c>
      <x:c r="D154" s="14" t="str">
        <x:v>Beyond Paradise</x:v>
      </x:c>
      <x:c r="E154" s="14" t="n">
        <x:v>183</x:v>
      </x:c>
      <x:c r="F154" s="14" t="str">
        <x:v>Beyond Paradise</x:v>
      </x:c>
      <x:c r="G154" s="14" t="str">
        <x:v>tt21161156</x:v>
      </x:c>
      <x:c r="H154" s="14" t="n">
        <x:v>2023</x:v>
      </x:c>
      <x:c r="I154" s="14" t="n">
        <x:v>2025</x:v>
      </x:c>
      <x:c r="J154" s="14" t="str">
        <x:v>Earlier-Production Carry-In Cohort</x:v>
      </x:c>
      <x:c r="K154" s="14" t="n">
        <x:v>2023</x:v>
      </x:c>
      <x:c r="L154" s="14" t="str">
        <x:v>Used in 2025 annual analysis</x:v>
      </x:c>
      <x:c r="M154" s="15" t="n">
        <x:v>176</x:v>
      </x:c>
      <x:c r="N154" s="14" t="str">
        <x:v>Syreeta Kumar</x:v>
      </x:c>
      <x:c r="O154" s="14" t="str">
        <x:v>nm0474904</x:v>
      </x:c>
      <x:c r="P154" s="14" t="str">
        <x:v>Dr. Hodges</x:v>
      </x:c>
      <x:c r="Q154" s="15" t="n">
        <x:v>1</x:v>
      </x:c>
      <x:c r="R154" s="14" t="str">
        <x:v>2025</x:v>
      </x:c>
      <x:c r="S154" s="14" t="n">
        <x:v>2025</x:v>
      </x:c>
      <x:c r="T154" s="14" t="n">
        <x:v>2025</x:v>
      </x:c>
      <x:c r="U154" s="14" t="str">
        <x:v>Explicit source first year retained</x:v>
      </x:c>
      <x:c r="V154" s="14" t="str">
        <x:v>Earliest supplied year is 2025.</x:v>
      </x:c>
      <x:c r="W154" s="14"/>
      <x:c r="X154" s="14" t="str">
        <x:v>Included</x:v>
      </x:c>
      <x:c r="Y154" s="14"/>
      <x:c r="Z154" s="14" t="str">
        <x:v>Beyond Paradise.docx</x:v>
      </x:c>
      <x:c r="AA154" s="14" t="str">
        <x:v>HYPERLINK is not implemented. linkLocation=https://www.imdb.com/title/tt21161156/fullcredits/,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BBC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HYPERLINK("https://en.wikipedia.org/wiki/Beyond_Paradise","Open source")</x:f>
        <x:v>HYPERLINK is not implemented. linkLocation=https://en.wikipedia.org/wiki/Beyond_Paradise, friendlyName=Open source</x:v>
      </x:c>
      <x:c r="AN154" s="14" t="str">
        <x:v>BBC public-service commission</x:v>
      </x:c>
      <x:c r="AO154" s="14" t="str">
        <x:v>Yes</x:v>
      </x:c>
      <x:c r="AP154" s="14" t="str">
        <x:v>Direct BBC public-service scope</x:v>
      </x:c>
      <x:c r="AQ154" s="14" t="str">
        <x:v>Yes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27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0.037037037037037035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4" t="str">
        <x:v>HYPERLINK is not implemented. linkLocation=https://www.imdb.com/title/tt21161156/fullcredits/,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tt21161156|nm3600214|aad gill - registrar</x:v>
      </x:c>
      <x:c r="B155" s="14" t="str">
        <x:v>01</x:v>
      </x:c>
      <x:c r="C155" s="14" t="str">
        <x:v>2023_IMDb_Cast_Lists_Batch_01(2).xlsx</x:v>
      </x:c>
      <x:c r="D155" s="14" t="str">
        <x:v>Beyond Paradise</x:v>
      </x:c>
      <x:c r="E155" s="14" t="n">
        <x:v>184</x:v>
      </x:c>
      <x:c r="F155" s="14" t="str">
        <x:v>Beyond Paradise</x:v>
      </x:c>
      <x:c r="G155" s="14" t="str">
        <x:v>tt21161156</x:v>
      </x:c>
      <x:c r="H155" s="14" t="n">
        <x:v>2023</x:v>
      </x:c>
      <x:c r="I155" s="14" t="n">
        <x:v>2025</x:v>
      </x:c>
      <x:c r="J155" s="14" t="str">
        <x:v>Earlier-Production Carry-In Cohort</x:v>
      </x:c>
      <x:c r="K155" s="14" t="n">
        <x:v>2023</x:v>
      </x:c>
      <x:c r="L155" s="14" t="str">
        <x:v>Used in 2025 annual analysis</x:v>
      </x:c>
      <x:c r="M155" s="15" t="n">
        <x:v>177</x:v>
      </x:c>
      <x:c r="N155" s="14" t="str">
        <x:v>Sukh Ojla</x:v>
      </x:c>
      <x:c r="O155" s="14" t="str">
        <x:v>nm3600214</x:v>
      </x:c>
      <x:c r="P155" s="14" t="str">
        <x:v>Aad Gill - Registrar</x:v>
      </x:c>
      <x:c r="Q155" s="15" t="n">
        <x:v>1</x:v>
      </x:c>
      <x:c r="R155" s="14" t="str">
        <x:v>2025</x:v>
      </x:c>
      <x:c r="S155" s="14" t="n">
        <x:v>2025</x:v>
      </x:c>
      <x:c r="T155" s="14" t="n">
        <x:v>2025</x:v>
      </x:c>
      <x:c r="U155" s="14" t="str">
        <x:v>Explicit source first year retained</x:v>
      </x:c>
      <x:c r="V155" s="14" t="str">
        <x:v>Earliest supplied year is 2025.</x:v>
      </x:c>
      <x:c r="W155" s="14"/>
      <x:c r="X155" s="14" t="str">
        <x:v>Included</x:v>
      </x:c>
      <x:c r="Y155" s="14" t="str">
        <x:v>(as Sukh Kaur Ojla)</x:v>
      </x:c>
      <x:c r="Z155" s="14" t="str">
        <x:v>Beyond Paradise.docx</x:v>
      </x:c>
      <x:c r="AA155" s="14" t="str">
        <x:v>HYPERLINK is not implemented. linkLocation=https://www.imdb.com/title/tt21161156/fullcredits/,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BBC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HYPERLINK("https://en.wikipedia.org/wiki/Beyond_Paradise","Open source")</x:f>
        <x:v>HYPERLINK is not implemented. linkLocation=https://en.wikipedia.org/wiki/Beyond_Paradise, friendlyName=Open source</x:v>
      </x:c>
      <x:c r="AN155" s="14" t="str">
        <x:v>BBC public-service commission</x:v>
      </x:c>
      <x:c r="AO155" s="14" t="str">
        <x:v>Yes</x:v>
      </x:c>
      <x:c r="AP155" s="14" t="str">
        <x:v>Direct BBC public-service scope</x:v>
      </x:c>
      <x:c r="AQ155" s="14" t="str">
        <x:v>Yes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27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0.037037037037037035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4" t="str">
        <x:v>HYPERLINK is not implemented. linkLocation=https://www.imdb.com/title/tt21161156/fullcredits/,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tt21161156|nm6604108|monica grey</x:v>
      </x:c>
      <x:c r="B156" s="14" t="str">
        <x:v>01</x:v>
      </x:c>
      <x:c r="C156" s="14" t="str">
        <x:v>2023_IMDb_Cast_Lists_Batch_01(2).xlsx</x:v>
      </x:c>
      <x:c r="D156" s="14" t="str">
        <x:v>Beyond Paradise</x:v>
      </x:c>
      <x:c r="E156" s="14" t="n">
        <x:v>193</x:v>
      </x:c>
      <x:c r="F156" s="14" t="str">
        <x:v>Beyond Paradise</x:v>
      </x:c>
      <x:c r="G156" s="14" t="str">
        <x:v>tt21161156</x:v>
      </x:c>
      <x:c r="H156" s="14" t="n">
        <x:v>2023</x:v>
      </x:c>
      <x:c r="I156" s="14" t="n">
        <x:v>2025</x:v>
      </x:c>
      <x:c r="J156" s="14" t="str">
        <x:v>Earlier-Production Carry-In Cohort</x:v>
      </x:c>
      <x:c r="K156" s="14" t="n">
        <x:v>2023</x:v>
      </x:c>
      <x:c r="L156" s="14" t="str">
        <x:v>Used in 2025 annual analysis</x:v>
      </x:c>
      <x:c r="M156" s="15" t="n">
        <x:v>186</x:v>
      </x:c>
      <x:c r="N156" s="14" t="str">
        <x:v>Lauren Vandike</x:v>
      </x:c>
      <x:c r="O156" s="14" t="str">
        <x:v>nm6604108</x:v>
      </x:c>
      <x:c r="P156" s="14" t="str">
        <x:v>Monica Grey</x:v>
      </x:c>
      <x:c r="Q156" s="15" t="n">
        <x:v>1</x:v>
      </x:c>
      <x:c r="R156" s="14" t="str">
        <x:v>2025</x:v>
      </x:c>
      <x:c r="S156" s="14" t="n">
        <x:v>2025</x:v>
      </x:c>
      <x:c r="T156" s="14" t="n">
        <x:v>2025</x:v>
      </x:c>
      <x:c r="U156" s="14" t="str">
        <x:v>Explicit source first year retained</x:v>
      </x:c>
      <x:c r="V156" s="14" t="str">
        <x:v>Earliest supplied year is 2025.</x:v>
      </x:c>
      <x:c r="W156" s="14"/>
      <x:c r="X156" s="14" t="str">
        <x:v>Included</x:v>
      </x:c>
      <x:c r="Y156" s="14"/>
      <x:c r="Z156" s="14" t="str">
        <x:v>Beyond Paradise.docx</x:v>
      </x:c>
      <x:c r="AA156" s="14" t="str">
        <x:v>HYPERLINK is not implemented. linkLocation=https://www.imdb.com/title/tt21161156/fullcredits/,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BBC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HYPERLINK("https://en.wikipedia.org/wiki/Beyond_Paradise","Open source")</x:f>
        <x:v>HYPERLINK is not implemented. linkLocation=https://en.wikipedia.org/wiki/Beyond_Paradise, friendlyName=Open source</x:v>
      </x:c>
      <x:c r="AN156" s="14" t="str">
        <x:v>BBC public-service commission</x:v>
      </x:c>
      <x:c r="AO156" s="14" t="str">
        <x:v>Yes</x:v>
      </x:c>
      <x:c r="AP156" s="14" t="str">
        <x:v>Direct BBC public-service scope</x:v>
      </x:c>
      <x:c r="AQ156" s="14" t="str">
        <x:v>Yes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27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0.037037037037037035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4" t="str">
        <x:v>HYPERLINK is not implemented. linkLocation=https://www.imdb.com/title/tt21161156/fullcredits/,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tt14466018|nm0879154|dana morgan</x:v>
      </x:c>
      <x:c r="B157" s="14" t="str">
        <x:v>01</x:v>
      </x:c>
      <x:c r="C157" s="14" t="str">
        <x:v>2023_IMDb_Cast_Lists_Batch_01(2).xlsx</x:v>
      </x:c>
      <x:c r="D157" s="14" t="str">
        <x:v>Blue Lights</x:v>
      </x:c>
      <x:c r="E157" s="14" t="n">
        <x:v>31</x:v>
      </x:c>
      <x:c r="F157" s="14" t="str">
        <x:v>Blue Lights</x:v>
      </x:c>
      <x:c r="G157" s="14" t="str">
        <x:v>tt14466018</x:v>
      </x:c>
      <x:c r="H157" s="14" t="n">
        <x:v>2023</x:v>
      </x:c>
      <x:c r="I157" s="14" t="n">
        <x:v>2025</x:v>
      </x:c>
      <x:c r="J157" s="14" t="str">
        <x:v>Earlier-Production Carry-In Cohort</x:v>
      </x:c>
      <x:c r="K157" s="14" t="n">
        <x:v>2023</x:v>
      </x:c>
      <x:c r="L157" s="14" t="str">
        <x:v>Used in 2025 annual analysis</x:v>
      </x:c>
      <x:c r="M157" s="15" t="n">
        <x:v>24</x:v>
      </x:c>
      <x:c r="N157" s="14" t="str">
        <x:v>Cathy Tyson</x:v>
      </x:c>
      <x:c r="O157" s="14" t="str">
        <x:v>nm0879154</x:v>
      </x:c>
      <x:c r="P157" s="14" t="str">
        <x:v>Dana Morgan</x:v>
      </x:c>
      <x:c r="Q157" s="15" t="n">
        <x:v>6</x:v>
      </x:c>
      <x:c r="R157" s="14" t="str">
        <x:v>2025</x:v>
      </x:c>
      <x:c r="S157" s="14" t="n">
        <x:v>2025</x:v>
      </x:c>
      <x:c r="T157" s="14" t="n">
        <x:v>2025</x:v>
      </x:c>
      <x:c r="U157" s="14" t="str">
        <x:v>Explicit source first year retained</x:v>
      </x:c>
      <x:c r="V157" s="14" t="str">
        <x:v>Earliest supplied year is 2025.</x:v>
      </x:c>
      <x:c r="W157" s="14"/>
      <x:c r="X157" s="14" t="str">
        <x:v>Included</x:v>
      </x:c>
      <x:c r="Y157" s="14"/>
      <x:c r="Z157" s="14" t="str">
        <x:v>Blue Lights.docx</x:v>
      </x:c>
      <x:c r="AA157" s="14" t="str">
        <x:v>HYPERLINK is not implemented. linkLocation=https://www.imdb.com/title/tt14466018/fullcredits/,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BBC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HYPERLINK("https://en.wikipedia.org/wiki/Blue_Light","Open source")</x:f>
        <x:v>HYPERLINK is not implemented. linkLocation=https://en.wikipedia.org/wiki/Blue_Light, friendlyName=Open source</x:v>
      </x:c>
      <x:c r="AN157" s="14" t="str">
        <x:v>BBC public-service commission</x:v>
      </x:c>
      <x:c r="AO157" s="14" t="str">
        <x:v>Yes</x:v>
      </x:c>
      <x:c r="AP157" s="14" t="str">
        <x:v>Direct BBC public-service scope</x:v>
      </x:c>
      <x:c r="AQ157" s="14" t="str">
        <x:v>Yes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19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6</x:v>
      </x:c>
      <x:c r="BS157" s="16" t="n">
        <x:v>0.3157894736842105</x:v>
      </x:c>
      <x:c r="BT157" s="14" t="str">
        <x:v>Minority of episodes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4" t="str">
        <x:v>HYPERLINK is not implemented. linkLocation=https://www.imdb.com/title/tt14466018/fullcredits/,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tt14466018|nm0806968|paul 'colly' collins</x:v>
      </x:c>
      <x:c r="B158" s="14" t="str">
        <x:v>01</x:v>
      </x:c>
      <x:c r="C158" s="14" t="str">
        <x:v>2023_IMDb_Cast_Lists_Batch_01(2).xlsx</x:v>
      </x:c>
      <x:c r="D158" s="14" t="str">
        <x:v>Blue Lights</x:v>
      </x:c>
      <x:c r="E158" s="14" t="n">
        <x:v>32</x:v>
      </x:c>
      <x:c r="F158" s="14" t="str">
        <x:v>Blue Lights</x:v>
      </x:c>
      <x:c r="G158" s="14" t="str">
        <x:v>tt14466018</x:v>
      </x:c>
      <x:c r="H158" s="14" t="n">
        <x:v>2023</x:v>
      </x:c>
      <x:c r="I158" s="14" t="n">
        <x:v>2025</x:v>
      </x:c>
      <x:c r="J158" s="14" t="str">
        <x:v>Earlier-Production Carry-In Cohort</x:v>
      </x:c>
      <x:c r="K158" s="14" t="n">
        <x:v>2023</x:v>
      </x:c>
      <x:c r="L158" s="14" t="str">
        <x:v>Used in 2025 annual analysis</x:v>
      </x:c>
      <x:c r="M158" s="15" t="n">
        <x:v>25</x:v>
      </x:c>
      <x:c r="N158" s="14" t="str">
        <x:v>Michael Smiley</x:v>
      </x:c>
      <x:c r="O158" s="14" t="str">
        <x:v>nm0806968</x:v>
      </x:c>
      <x:c r="P158" s="14" t="str">
        <x:v>Paul 'Colly' Collins</x:v>
      </x:c>
      <x:c r="Q158" s="15" t="n">
        <x:v>6</x:v>
      </x:c>
      <x:c r="R158" s="14" t="str">
        <x:v>2025</x:v>
      </x:c>
      <x:c r="S158" s="14" t="n">
        <x:v>2025</x:v>
      </x:c>
      <x:c r="T158" s="14" t="n">
        <x:v>2025</x:v>
      </x:c>
      <x:c r="U158" s="14" t="str">
        <x:v>Explicit source first year retained</x:v>
      </x:c>
      <x:c r="V158" s="14" t="str">
        <x:v>Earliest supplied year is 2025.</x:v>
      </x:c>
      <x:c r="W158" s="14"/>
      <x:c r="X158" s="14" t="str">
        <x:v>Included</x:v>
      </x:c>
      <x:c r="Y158" s="14"/>
      <x:c r="Z158" s="14" t="str">
        <x:v>Blue Lights.docx</x:v>
      </x:c>
      <x:c r="AA158" s="14" t="str">
        <x:v>HYPERLINK is not implemented. linkLocation=https://www.imdb.com/title/tt14466018/fullcredits/,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BBC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HYPERLINK("https://en.wikipedia.org/wiki/Blue_Light","Open source")</x:f>
        <x:v>HYPERLINK is not implemented. linkLocation=https://en.wikipedia.org/wiki/Blue_Light, friendlyName=Open source</x:v>
      </x:c>
      <x:c r="AN158" s="14" t="str">
        <x:v>BBC public-service commission</x:v>
      </x:c>
      <x:c r="AO158" s="14" t="str">
        <x:v>Yes</x:v>
      </x:c>
      <x:c r="AP158" s="14" t="str">
        <x:v>Direct BBC public-service scope</x:v>
      </x:c>
      <x:c r="AQ158" s="14" t="str">
        <x:v>Yes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19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6</x:v>
      </x:c>
      <x:c r="BS158" s="16" t="n">
        <x:v>0.3157894736842105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4" t="str">
        <x:v>HYPERLINK is not implemented. linkLocation=https://www.imdb.com/title/tt14466018/fullcredits/,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tt14466018|nm6925918|lindsay singleton</x:v>
      </x:c>
      <x:c r="B159" s="14" t="str">
        <x:v>01</x:v>
      </x:c>
      <x:c r="C159" s="14" t="str">
        <x:v>2023_IMDb_Cast_Lists_Batch_01(2).xlsx</x:v>
      </x:c>
      <x:c r="D159" s="14" t="str">
        <x:v>Blue Lights</x:v>
      </x:c>
      <x:c r="E159" s="14" t="n">
        <x:v>39</x:v>
      </x:c>
      <x:c r="F159" s="14" t="str">
        <x:v>Blue Lights</x:v>
      </x:c>
      <x:c r="G159" s="14" t="str">
        <x:v>tt14466018</x:v>
      </x:c>
      <x:c r="H159" s="14" t="n">
        <x:v>2023</x:v>
      </x:c>
      <x:c r="I159" s="14" t="n">
        <x:v>2025</x:v>
      </x:c>
      <x:c r="J159" s="14" t="str">
        <x:v>Earlier-Production Carry-In Cohort</x:v>
      </x:c>
      <x:c r="K159" s="14" t="n">
        <x:v>2023</x:v>
      </x:c>
      <x:c r="L159" s="14" t="str">
        <x:v>Used in 2025 annual analysis</x:v>
      </x:c>
      <x:c r="M159" s="15" t="n">
        <x:v>32</x:v>
      </x:c>
      <x:c r="N159" s="14" t="str">
        <x:v>Aoife Hughes</x:v>
      </x:c>
      <x:c r="O159" s="14" t="str">
        <x:v>nm6925918</x:v>
      </x:c>
      <x:c r="P159" s="14" t="str">
        <x:v>Lindsay Singleton</x:v>
      </x:c>
      <x:c r="Q159" s="15" t="n">
        <x:v>5</x:v>
      </x:c>
      <x:c r="R159" s="14" t="str">
        <x:v>2025</x:v>
      </x:c>
      <x:c r="S159" s="14" t="n">
        <x:v>2025</x:v>
      </x:c>
      <x:c r="T159" s="14" t="n">
        <x:v>2025</x:v>
      </x:c>
      <x:c r="U159" s="14" t="str">
        <x:v>Explicit source first year retained</x:v>
      </x:c>
      <x:c r="V159" s="14" t="str">
        <x:v>Earliest supplied year is 2025.</x:v>
      </x:c>
      <x:c r="W159" s="14"/>
      <x:c r="X159" s="14" t="str">
        <x:v>Included</x:v>
      </x:c>
      <x:c r="Y159" s="14"/>
      <x:c r="Z159" s="14" t="str">
        <x:v>Blue Lights.docx</x:v>
      </x:c>
      <x:c r="AA159" s="14" t="str">
        <x:v>HYPERLINK is not implemented. linkLocation=https://www.imdb.com/title/tt14466018/fullcredits/,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BBC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HYPERLINK("https://en.wikipedia.org/wiki/Blue_Light","Open source")</x:f>
        <x:v>HYPERLINK is not implemented. linkLocation=https://en.wikipedia.org/wiki/Blue_Light, friendlyName=Open source</x:v>
      </x:c>
      <x:c r="AN159" s="14" t="str">
        <x:v>BBC public-service commission</x:v>
      </x:c>
      <x:c r="AO159" s="14" t="str">
        <x:v>Yes</x:v>
      </x:c>
      <x:c r="AP159" s="14" t="str">
        <x:v>Direct BBC public-service scope</x:v>
      </x:c>
      <x:c r="AQ159" s="14" t="str">
        <x:v>Yes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19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5</x:v>
      </x:c>
      <x:c r="BS159" s="16" t="n">
        <x:v>0.2631578947368421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4" t="str">
        <x:v>HYPERLINK is not implemented. linkLocation=https://www.imdb.com/title/tt14466018/fullcredits/,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tt14466018|nm5393511|sean mulholland</x:v>
      </x:c>
      <x:c r="B160" s="14" t="str">
        <x:v>01</x:v>
      </x:c>
      <x:c r="C160" s="14" t="str">
        <x:v>2023_IMDb_Cast_Lists_Batch_01(2).xlsx</x:v>
      </x:c>
      <x:c r="D160" s="14" t="str">
        <x:v>Blue Lights</x:v>
      </x:c>
      <x:c r="E160" s="14" t="n">
        <x:v>42</x:v>
      </x:c>
      <x:c r="F160" s="14" t="str">
        <x:v>Blue Lights</x:v>
      </x:c>
      <x:c r="G160" s="14" t="str">
        <x:v>tt14466018</x:v>
      </x:c>
      <x:c r="H160" s="14" t="n">
        <x:v>2023</x:v>
      </x:c>
      <x:c r="I160" s="14" t="n">
        <x:v>2025</x:v>
      </x:c>
      <x:c r="J160" s="14" t="str">
        <x:v>Earlier-Production Carry-In Cohort</x:v>
      </x:c>
      <x:c r="K160" s="14" t="n">
        <x:v>2023</x:v>
      </x:c>
      <x:c r="L160" s="14" t="str">
        <x:v>Used in 2025 annual analysis</x:v>
      </x:c>
      <x:c r="M160" s="15" t="n">
        <x:v>35</x:v>
      </x:c>
      <x:c r="N160" s="14" t="str">
        <x:v>Brendan Quinn</x:v>
      </x:c>
      <x:c r="O160" s="14" t="str">
        <x:v>nm5393511</x:v>
      </x:c>
      <x:c r="P160" s="14" t="str">
        <x:v>Sean Mulholland</x:v>
      </x:c>
      <x:c r="Q160" s="15" t="n">
        <x:v>5</x:v>
      </x:c>
      <x:c r="R160" s="14" t="str">
        <x:v>2025</x:v>
      </x:c>
      <x:c r="S160" s="14" t="n">
        <x:v>2025</x:v>
      </x:c>
      <x:c r="T160" s="14" t="n">
        <x:v>2025</x:v>
      </x:c>
      <x:c r="U160" s="14" t="str">
        <x:v>Explicit source first year retained</x:v>
      </x:c>
      <x:c r="V160" s="14" t="str">
        <x:v>Earliest supplied year is 2025.</x:v>
      </x:c>
      <x:c r="W160" s="14"/>
      <x:c r="X160" s="14" t="str">
        <x:v>Included</x:v>
      </x:c>
      <x:c r="Y160" s="14"/>
      <x:c r="Z160" s="14" t="str">
        <x:v>Blue Lights.docx</x:v>
      </x:c>
      <x:c r="AA160" s="14" t="str">
        <x:v>HYPERLINK is not implemented. linkLocation=https://www.imdb.com/title/tt14466018/fullcredits/,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BBC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HYPERLINK("https://en.wikipedia.org/wiki/Blue_Light","Open source")</x:f>
        <x:v>HYPERLINK is not implemented. linkLocation=https://en.wikipedia.org/wiki/Blue_Light, friendlyName=Open source</x:v>
      </x:c>
      <x:c r="AN160" s="14" t="str">
        <x:v>BBC public-service commission</x:v>
      </x:c>
      <x:c r="AO160" s="14" t="str">
        <x:v>Yes</x:v>
      </x:c>
      <x:c r="AP160" s="14" t="str">
        <x:v>Direct BBC public-service scope</x:v>
      </x:c>
      <x:c r="AQ160" s="14" t="str">
        <x:v>Yes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19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5</x:v>
      </x:c>
      <x:c r="BS160" s="16" t="n">
        <x:v>0.2631578947368421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4" t="str">
        <x:v>HYPERLINK is not implemented. linkLocation=https://www.imdb.com/title/tt14466018/fullcredits/,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tt14466018|nm0611995|george mcclelland</x:v>
      </x:c>
      <x:c r="B161" s="14" t="str">
        <x:v>01</x:v>
      </x:c>
      <x:c r="C161" s="14" t="str">
        <x:v>2023_IMDb_Cast_Lists_Batch_01(2).xlsx</x:v>
      </x:c>
      <x:c r="D161" s="14" t="str">
        <x:v>Blue Lights</x:v>
      </x:c>
      <x:c r="E161" s="14" t="n">
        <x:v>47</x:v>
      </x:c>
      <x:c r="F161" s="14" t="str">
        <x:v>Blue Lights</x:v>
      </x:c>
      <x:c r="G161" s="14" t="str">
        <x:v>tt14466018</x:v>
      </x:c>
      <x:c r="H161" s="14" t="n">
        <x:v>2023</x:v>
      </x:c>
      <x:c r="I161" s="14" t="n">
        <x:v>2025</x:v>
      </x:c>
      <x:c r="J161" s="14" t="str">
        <x:v>Earlier-Production Carry-In Cohort</x:v>
      </x:c>
      <x:c r="K161" s="14" t="n">
        <x:v>2023</x:v>
      </x:c>
      <x:c r="L161" s="14" t="str">
        <x:v>Used in 2025 annual analysis</x:v>
      </x:c>
      <x:c r="M161" s="15" t="n">
        <x:v>40</x:v>
      </x:c>
      <x:c r="N161" s="14" t="str">
        <x:v>Conor Mullen</x:v>
      </x:c>
      <x:c r="O161" s="14" t="str">
        <x:v>nm0611995</x:v>
      </x:c>
      <x:c r="P161" s="14" t="str">
        <x:v>George McClelland</x:v>
      </x:c>
      <x:c r="Q161" s="15" t="n">
        <x:v>4</x:v>
      </x:c>
      <x:c r="R161" s="14" t="str">
        <x:v>2025</x:v>
      </x:c>
      <x:c r="S161" s="14" t="n">
        <x:v>2025</x:v>
      </x:c>
      <x:c r="T161" s="14" t="n">
        <x:v>2025</x:v>
      </x:c>
      <x:c r="U161" s="14" t="str">
        <x:v>Explicit source first year retained</x:v>
      </x:c>
      <x:c r="V161" s="14" t="str">
        <x:v>Earliest supplied year is 2025.</x:v>
      </x:c>
      <x:c r="W161" s="14"/>
      <x:c r="X161" s="14" t="str">
        <x:v>Included</x:v>
      </x:c>
      <x:c r="Y161" s="14"/>
      <x:c r="Z161" s="14" t="str">
        <x:v>Blue Lights.docx</x:v>
      </x:c>
      <x:c r="AA161" s="14" t="str">
        <x:v>HYPERLINK is not implemented. linkLocation=https://www.imdb.com/title/tt14466018/fullcredits/,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BBC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HYPERLINK("https://en.wikipedia.org/wiki/Blue_Light","Open source")</x:f>
        <x:v>HYPERLINK is not implemented. linkLocation=https://en.wikipedia.org/wiki/Blue_Light, friendlyName=Open source</x:v>
      </x:c>
      <x:c r="AN161" s="14" t="str">
        <x:v>BBC public-service commission</x:v>
      </x:c>
      <x:c r="AO161" s="14" t="str">
        <x:v>Yes</x:v>
      </x:c>
      <x:c r="AP161" s="14" t="str">
        <x:v>Direct BBC public-service scope</x:v>
      </x:c>
      <x:c r="AQ161" s="14" t="str">
        <x:v>Yes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19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4</x:v>
      </x:c>
      <x:c r="BS161" s="16" t="n">
        <x:v>0.21052631578947367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4" t="str">
        <x:v>HYPERLINK is not implemented. linkLocation=https://www.imdb.com/title/tt14466018/fullcredits/,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tt14466018|nm7490611|dr. kerbash</x:v>
      </x:c>
      <x:c r="B162" s="14" t="str">
        <x:v>01</x:v>
      </x:c>
      <x:c r="C162" s="14" t="str">
        <x:v>2023_IMDb_Cast_Lists_Batch_01(2).xlsx</x:v>
      </x:c>
      <x:c r="D162" s="14" t="str">
        <x:v>Blue Lights</x:v>
      </x:c>
      <x:c r="E162" s="14" t="n">
        <x:v>56</x:v>
      </x:c>
      <x:c r="F162" s="14" t="str">
        <x:v>Blue Lights</x:v>
      </x:c>
      <x:c r="G162" s="14" t="str">
        <x:v>tt14466018</x:v>
      </x:c>
      <x:c r="H162" s="14" t="n">
        <x:v>2023</x:v>
      </x:c>
      <x:c r="I162" s="14" t="n">
        <x:v>2025</x:v>
      </x:c>
      <x:c r="J162" s="14" t="str">
        <x:v>Earlier-Production Carry-In Cohort</x:v>
      </x:c>
      <x:c r="K162" s="14" t="n">
        <x:v>2023</x:v>
      </x:c>
      <x:c r="L162" s="14" t="str">
        <x:v>Used in 2025 annual analysis</x:v>
      </x:c>
      <x:c r="M162" s="15" t="n">
        <x:v>49</x:v>
      </x:c>
      <x:c r="N162" s="14" t="str">
        <x:v>Sophia Adli</x:v>
      </x:c>
      <x:c r="O162" s="14" t="str">
        <x:v>nm7490611</x:v>
      </x:c>
      <x:c r="P162" s="14" t="str">
        <x:v>Dr. Kerbash</x:v>
      </x:c>
      <x:c r="Q162" s="15" t="n">
        <x:v>3</x:v>
      </x:c>
      <x:c r="R162" s="14" t="str">
        <x:v>2025</x:v>
      </x:c>
      <x:c r="S162" s="14" t="n">
        <x:v>2025</x:v>
      </x:c>
      <x:c r="T162" s="14" t="n">
        <x:v>2025</x:v>
      </x:c>
      <x:c r="U162" s="14" t="str">
        <x:v>Explicit source first year retained</x:v>
      </x:c>
      <x:c r="V162" s="14" t="str">
        <x:v>Earliest supplied year is 2025.</x:v>
      </x:c>
      <x:c r="W162" s="14"/>
      <x:c r="X162" s="14" t="str">
        <x:v>Included</x:v>
      </x:c>
      <x:c r="Y162" s="14"/>
      <x:c r="Z162" s="14" t="str">
        <x:v>Blue Lights.docx</x:v>
      </x:c>
      <x:c r="AA162" s="14" t="str">
        <x:v>HYPERLINK is not implemented. linkLocation=https://www.imdb.com/title/tt14466018/fullcredits/,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BBC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HYPERLINK("https://en.wikipedia.org/wiki/Blue_Light","Open source")</x:f>
        <x:v>HYPERLINK is not implemented. linkLocation=https://en.wikipedia.org/wiki/Blue_Light, friendlyName=Open source</x:v>
      </x:c>
      <x:c r="AN162" s="14" t="str">
        <x:v>BBC public-service commission</x:v>
      </x:c>
      <x:c r="AO162" s="14" t="str">
        <x:v>Yes</x:v>
      </x:c>
      <x:c r="AP162" s="14" t="str">
        <x:v>Direct BBC public-service scope</x:v>
      </x:c>
      <x:c r="AQ162" s="14" t="str">
        <x:v>Yes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19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3</x:v>
      </x:c>
      <x:c r="BS162" s="16" t="n">
        <x:v>0.15789473684210525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4" t="str">
        <x:v>HYPERLINK is not implemented. linkLocation=https://www.imdb.com/title/tt14466018/fullcredits/,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tt14466018|nm3442270|father joe</x:v>
      </x:c>
      <x:c r="B163" s="14" t="str">
        <x:v>01</x:v>
      </x:c>
      <x:c r="C163" s="14" t="str">
        <x:v>2023_IMDb_Cast_Lists_Batch_01(2).xlsx</x:v>
      </x:c>
      <x:c r="D163" s="14" t="str">
        <x:v>Blue Lights</x:v>
      </x:c>
      <x:c r="E163" s="14" t="n">
        <x:v>59</x:v>
      </x:c>
      <x:c r="F163" s="14" t="str">
        <x:v>Blue Lights</x:v>
      </x:c>
      <x:c r="G163" s="14" t="str">
        <x:v>tt14466018</x:v>
      </x:c>
      <x:c r="H163" s="14" t="n">
        <x:v>2023</x:v>
      </x:c>
      <x:c r="I163" s="14" t="n">
        <x:v>2025</x:v>
      </x:c>
      <x:c r="J163" s="14" t="str">
        <x:v>Earlier-Production Carry-In Cohort</x:v>
      </x:c>
      <x:c r="K163" s="14" t="n">
        <x:v>2023</x:v>
      </x:c>
      <x:c r="L163" s="14" t="str">
        <x:v>Used in 2025 annual analysis</x:v>
      </x:c>
      <x:c r="M163" s="15" t="n">
        <x:v>52</x:v>
      </x:c>
      <x:c r="N163" s="14" t="str">
        <x:v>Nigel O'Neill</x:v>
      </x:c>
      <x:c r="O163" s="14" t="str">
        <x:v>nm3442270</x:v>
      </x:c>
      <x:c r="P163" s="14" t="str">
        <x:v>Father Joe</x:v>
      </x:c>
      <x:c r="Q163" s="15" t="n">
        <x:v>2</x:v>
      </x:c>
      <x:c r="R163" s="14" t="str">
        <x:v>2025</x:v>
      </x:c>
      <x:c r="S163" s="14" t="n">
        <x:v>2025</x:v>
      </x:c>
      <x:c r="T163" s="14" t="n">
        <x:v>2025</x:v>
      </x:c>
      <x:c r="U163" s="14" t="str">
        <x:v>Explicit source first year retained</x:v>
      </x:c>
      <x:c r="V163" s="14" t="str">
        <x:v>Earliest supplied year is 2025.</x:v>
      </x:c>
      <x:c r="W163" s="14"/>
      <x:c r="X163" s="14" t="str">
        <x:v>Included</x:v>
      </x:c>
      <x:c r="Y163" s="14"/>
      <x:c r="Z163" s="14" t="str">
        <x:v>Blue Lights.docx</x:v>
      </x:c>
      <x:c r="AA163" s="14" t="str">
        <x:v>HYPERLINK is not implemented. linkLocation=https://www.imdb.com/title/tt14466018/fullcredits/,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BBC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HYPERLINK("https://en.wikipedia.org/wiki/Blue_Light","Open source")</x:f>
        <x:v>HYPERLINK is not implemented. linkLocation=https://en.wikipedia.org/wiki/Blue_Light, friendlyName=Open source</x:v>
      </x:c>
      <x:c r="AN163" s="14" t="str">
        <x:v>BBC public-service commission</x:v>
      </x:c>
      <x:c r="AO163" s="14" t="str">
        <x:v>Yes</x:v>
      </x:c>
      <x:c r="AP163" s="14" t="str">
        <x:v>Direct BBC public-service scope</x:v>
      </x:c>
      <x:c r="AQ163" s="14" t="str">
        <x:v>Yes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19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0.10526315789473684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4" t="str">
        <x:v>HYPERLINK is not implemented. linkLocation=https://www.imdb.com/title/tt14466018/fullcredits/,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tt14466018|nm5189746|di louise carrigan</x:v>
      </x:c>
      <x:c r="B164" s="14" t="str">
        <x:v>01</x:v>
      </x:c>
      <x:c r="C164" s="14" t="str">
        <x:v>2023_IMDb_Cast_Lists_Batch_01(2).xlsx</x:v>
      </x:c>
      <x:c r="D164" s="14" t="str">
        <x:v>Blue Lights</x:v>
      </x:c>
      <x:c r="E164" s="14" t="n">
        <x:v>60</x:v>
      </x:c>
      <x:c r="F164" s="14" t="str">
        <x:v>Blue Lights</x:v>
      </x:c>
      <x:c r="G164" s="14" t="str">
        <x:v>tt14466018</x:v>
      </x:c>
      <x:c r="H164" s="14" t="n">
        <x:v>2023</x:v>
      </x:c>
      <x:c r="I164" s="14" t="n">
        <x:v>2025</x:v>
      </x:c>
      <x:c r="J164" s="14" t="str">
        <x:v>Earlier-Production Carry-In Cohort</x:v>
      </x:c>
      <x:c r="K164" s="14" t="n">
        <x:v>2023</x:v>
      </x:c>
      <x:c r="L164" s="14" t="str">
        <x:v>Used in 2025 annual analysis</x:v>
      </x:c>
      <x:c r="M164" s="15" t="n">
        <x:v>53</x:v>
      </x:c>
      <x:c r="N164" s="14" t="str">
        <x:v>Diona Doherty</x:v>
      </x:c>
      <x:c r="O164" s="14" t="str">
        <x:v>nm5189746</x:v>
      </x:c>
      <x:c r="P164" s="14" t="str">
        <x:v>DI Louise Carrigan</x:v>
      </x:c>
      <x:c r="Q164" s="15" t="n">
        <x:v>2</x:v>
      </x:c>
      <x:c r="R164" s="14" t="str">
        <x:v>2025</x:v>
      </x:c>
      <x:c r="S164" s="14" t="n">
        <x:v>2025</x:v>
      </x:c>
      <x:c r="T164" s="14" t="n">
        <x:v>2025</x:v>
      </x:c>
      <x:c r="U164" s="14" t="str">
        <x:v>Explicit source first year retained</x:v>
      </x:c>
      <x:c r="V164" s="14" t="str">
        <x:v>Earliest supplied year is 2025.</x:v>
      </x:c>
      <x:c r="W164" s="14"/>
      <x:c r="X164" s="14" t="str">
        <x:v>Included</x:v>
      </x:c>
      <x:c r="Y164" s="14"/>
      <x:c r="Z164" s="14" t="str">
        <x:v>Blue Lights.docx</x:v>
      </x:c>
      <x:c r="AA164" s="14" t="str">
        <x:v>HYPERLINK is not implemented. linkLocation=https://www.imdb.com/title/tt14466018/fullcredits/,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BBC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HYPERLINK("https://en.wikipedia.org/wiki/Blue_Light","Open source")</x:f>
        <x:v>HYPERLINK is not implemented. linkLocation=https://en.wikipedia.org/wiki/Blue_Light, friendlyName=Open source</x:v>
      </x:c>
      <x:c r="AN164" s="14" t="str">
        <x:v>BBC public-service commission</x:v>
      </x:c>
      <x:c r="AO164" s="14" t="str">
        <x:v>Yes</x:v>
      </x:c>
      <x:c r="AP164" s="14" t="str">
        <x:v>Direct BBC public-service scope</x:v>
      </x:c>
      <x:c r="AQ164" s="14" t="str">
        <x:v>Yes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19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0.10526315789473684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4" t="str">
        <x:v>HYPERLINK is not implemented. linkLocation=https://www.imdb.com/title/tt14466018/fullcredits/,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tt14466018|nm1264638|bea</x:v>
      </x:c>
      <x:c r="B165" s="14" t="str">
        <x:v>01</x:v>
      </x:c>
      <x:c r="C165" s="14" t="str">
        <x:v>2023_IMDb_Cast_Lists_Batch_01(2).xlsx</x:v>
      </x:c>
      <x:c r="D165" s="14" t="str">
        <x:v>Blue Lights</x:v>
      </x:c>
      <x:c r="E165" s="14" t="n">
        <x:v>61</x:v>
      </x:c>
      <x:c r="F165" s="14" t="str">
        <x:v>Blue Lights</x:v>
      </x:c>
      <x:c r="G165" s="14" t="str">
        <x:v>tt14466018</x:v>
      </x:c>
      <x:c r="H165" s="14" t="n">
        <x:v>2023</x:v>
      </x:c>
      <x:c r="I165" s="14" t="n">
        <x:v>2025</x:v>
      </x:c>
      <x:c r="J165" s="14" t="str">
        <x:v>Earlier-Production Carry-In Cohort</x:v>
      </x:c>
      <x:c r="K165" s="14" t="n">
        <x:v>2023</x:v>
      </x:c>
      <x:c r="L165" s="14" t="str">
        <x:v>Used in 2025 annual analysis</x:v>
      </x:c>
      <x:c r="M165" s="15" t="n">
        <x:v>54</x:v>
      </x:c>
      <x:c r="N165" s="14" t="str">
        <x:v>Maria Connolly</x:v>
      </x:c>
      <x:c r="O165" s="14" t="str">
        <x:v>nm1264638</x:v>
      </x:c>
      <x:c r="P165" s="14" t="str">
        <x:v>Bea</x:v>
      </x:c>
      <x:c r="Q165" s="15" t="n">
        <x:v>2</x:v>
      </x:c>
      <x:c r="R165" s="14" t="str">
        <x:v>2025</x:v>
      </x:c>
      <x:c r="S165" s="14" t="n">
        <x:v>2025</x:v>
      </x:c>
      <x:c r="T165" s="14" t="n">
        <x:v>2025</x:v>
      </x:c>
      <x:c r="U165" s="14" t="str">
        <x:v>Explicit source first year retained</x:v>
      </x:c>
      <x:c r="V165" s="14" t="str">
        <x:v>Earliest supplied year is 2025.</x:v>
      </x:c>
      <x:c r="W165" s="14"/>
      <x:c r="X165" s="14" t="str">
        <x:v>Included</x:v>
      </x:c>
      <x:c r="Y165" s="14"/>
      <x:c r="Z165" s="14" t="str">
        <x:v>Blue Lights.docx</x:v>
      </x:c>
      <x:c r="AA165" s="14" t="str">
        <x:v>HYPERLINK is not implemented. linkLocation=https://www.imdb.com/title/tt14466018/fullcredits/,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BBC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HYPERLINK("https://en.wikipedia.org/wiki/Blue_Light","Open source")</x:f>
        <x:v>HYPERLINK is not implemented. linkLocation=https://en.wikipedia.org/wiki/Blue_Light, friendlyName=Open source</x:v>
      </x:c>
      <x:c r="AN165" s="14" t="str">
        <x:v>BBC public-service commission</x:v>
      </x:c>
      <x:c r="AO165" s="14" t="str">
        <x:v>Yes</x:v>
      </x:c>
      <x:c r="AP165" s="14" t="str">
        <x:v>Direct BBC public-service scope</x:v>
      </x:c>
      <x:c r="AQ165" s="14" t="str">
        <x:v>Yes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19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0.10526315789473684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4" t="str">
        <x:v>HYPERLINK is not implemented. linkLocation=https://www.imdb.com/title/tt14466018/fullcredits/,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tt14466018|nm0186475|harry bradley</x:v>
      </x:c>
      <x:c r="B166" s="14" t="str">
        <x:v>01</x:v>
      </x:c>
      <x:c r="C166" s="14" t="str">
        <x:v>2023_IMDb_Cast_Lists_Batch_01(2).xlsx</x:v>
      </x:c>
      <x:c r="D166" s="14" t="str">
        <x:v>Blue Lights</x:v>
      </x:c>
      <x:c r="E166" s="14" t="n">
        <x:v>69</x:v>
      </x:c>
      <x:c r="F166" s="14" t="str">
        <x:v>Blue Lights</x:v>
      </x:c>
      <x:c r="G166" s="14" t="str">
        <x:v>tt14466018</x:v>
      </x:c>
      <x:c r="H166" s="14" t="n">
        <x:v>2023</x:v>
      </x:c>
      <x:c r="I166" s="14" t="n">
        <x:v>2025</x:v>
      </x:c>
      <x:c r="J166" s="14" t="str">
        <x:v>Earlier-Production Carry-In Cohort</x:v>
      </x:c>
      <x:c r="K166" s="14" t="n">
        <x:v>2023</x:v>
      </x:c>
      <x:c r="L166" s="14" t="str">
        <x:v>Used in 2025 annual analysis</x:v>
      </x:c>
      <x:c r="M166" s="15" t="n">
        <x:v>62</x:v>
      </x:c>
      <x:c r="N166" s="14" t="str">
        <x:v>Lorcan Cranitch</x:v>
      </x:c>
      <x:c r="O166" s="14" t="str">
        <x:v>nm0186475</x:v>
      </x:c>
      <x:c r="P166" s="14" t="str">
        <x:v>Harry Bradley</x:v>
      </x:c>
      <x:c r="Q166" s="15" t="n">
        <x:v>2</x:v>
      </x:c>
      <x:c r="R166" s="14" t="str">
        <x:v>2025</x:v>
      </x:c>
      <x:c r="S166" s="14" t="n">
        <x:v>2025</x:v>
      </x:c>
      <x:c r="T166" s="14" t="n">
        <x:v>2025</x:v>
      </x:c>
      <x:c r="U166" s="14" t="str">
        <x:v>Explicit source first year retained</x:v>
      </x:c>
      <x:c r="V166" s="14" t="str">
        <x:v>Earliest supplied year is 2025.</x:v>
      </x:c>
      <x:c r="W166" s="14"/>
      <x:c r="X166" s="14" t="str">
        <x:v>Included</x:v>
      </x:c>
      <x:c r="Y166" s="14"/>
      <x:c r="Z166" s="14" t="str">
        <x:v>Blue Lights.docx</x:v>
      </x:c>
      <x:c r="AA166" s="14" t="str">
        <x:v>HYPERLINK is not implemented. linkLocation=https://www.imdb.com/title/tt14466018/fullcredits/,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BBC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HYPERLINK("https://en.wikipedia.org/wiki/Blue_Light","Open source")</x:f>
        <x:v>HYPERLINK is not implemented. linkLocation=https://en.wikipedia.org/wiki/Blue_Light, friendlyName=Open source</x:v>
      </x:c>
      <x:c r="AN166" s="14" t="str">
        <x:v>BBC public-service commission</x:v>
      </x:c>
      <x:c r="AO166" s="14" t="str">
        <x:v>Yes</x:v>
      </x:c>
      <x:c r="AP166" s="14" t="str">
        <x:v>Direct BBC public-service scope</x:v>
      </x:c>
      <x:c r="AQ166" s="14" t="str">
        <x:v>Yes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19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0.10526315789473684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4" t="str">
        <x:v>HYPERLINK is not implemented. linkLocation=https://www.imdb.com/title/tt14466018/fullcredits/,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tt14466018|nm3868795|róisín o'boyle</x:v>
      </x:c>
      <x:c r="B167" s="14" t="str">
        <x:v>01</x:v>
      </x:c>
      <x:c r="C167" s="14" t="str">
        <x:v>2023_IMDb_Cast_Lists_Batch_01(2).xlsx</x:v>
      </x:c>
      <x:c r="D167" s="14" t="str">
        <x:v>Blue Lights</x:v>
      </x:c>
      <x:c r="E167" s="14" t="n">
        <x:v>72</x:v>
      </x:c>
      <x:c r="F167" s="14" t="str">
        <x:v>Blue Lights</x:v>
      </x:c>
      <x:c r="G167" s="14" t="str">
        <x:v>tt14466018</x:v>
      </x:c>
      <x:c r="H167" s="14" t="n">
        <x:v>2023</x:v>
      </x:c>
      <x:c r="I167" s="14" t="n">
        <x:v>2025</x:v>
      </x:c>
      <x:c r="J167" s="14" t="str">
        <x:v>Earlier-Production Carry-In Cohort</x:v>
      </x:c>
      <x:c r="K167" s="14" t="n">
        <x:v>2023</x:v>
      </x:c>
      <x:c r="L167" s="14" t="str">
        <x:v>Used in 2025 annual analysis</x:v>
      </x:c>
      <x:c r="M167" s="15" t="n">
        <x:v>65</x:v>
      </x:c>
      <x:c r="N167" s="14" t="str">
        <x:v>Orla Mullan</x:v>
      </x:c>
      <x:c r="O167" s="14" t="str">
        <x:v>nm3868795</x:v>
      </x:c>
      <x:c r="P167" s="14" t="str">
        <x:v>Róisín O'Boyle</x:v>
      </x:c>
      <x:c r="Q167" s="15" t="n">
        <x:v>2</x:v>
      </x:c>
      <x:c r="R167" s="14" t="str">
        <x:v>2025</x:v>
      </x:c>
      <x:c r="S167" s="14" t="n">
        <x:v>2025</x:v>
      </x:c>
      <x:c r="T167" s="14" t="n">
        <x:v>2025</x:v>
      </x:c>
      <x:c r="U167" s="14" t="str">
        <x:v>Explicit source first year retained</x:v>
      </x:c>
      <x:c r="V167" s="14" t="str">
        <x:v>Earliest supplied year is 2025.</x:v>
      </x:c>
      <x:c r="W167" s="14"/>
      <x:c r="X167" s="14" t="str">
        <x:v>Included</x:v>
      </x:c>
      <x:c r="Y167" s="14"/>
      <x:c r="Z167" s="14" t="str">
        <x:v>Blue Lights.docx</x:v>
      </x:c>
      <x:c r="AA167" s="14" t="str">
        <x:v>HYPERLINK is not implemented. linkLocation=https://www.imdb.com/title/tt14466018/fullcredits/,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BBC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HYPERLINK("https://en.wikipedia.org/wiki/Blue_Light","Open source")</x:f>
        <x:v>HYPERLINK is not implemented. linkLocation=https://en.wikipedia.org/wiki/Blue_Light, friendlyName=Open source</x:v>
      </x:c>
      <x:c r="AN167" s="14" t="str">
        <x:v>BBC public-service commission</x:v>
      </x:c>
      <x:c r="AO167" s="14" t="str">
        <x:v>Yes</x:v>
      </x:c>
      <x:c r="AP167" s="14" t="str">
        <x:v>Direct BBC public-service scope</x:v>
      </x:c>
      <x:c r="AQ167" s="14" t="str">
        <x:v>Yes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19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0.10526315789473684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4" t="str">
        <x:v>HYPERLINK is not implemented. linkLocation=https://www.imdb.com/title/tt14466018/fullcredits/,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tt14466018|nm0242954|richard robinson</x:v>
      </x:c>
      <x:c r="B168" s="14" t="str">
        <x:v>01</x:v>
      </x:c>
      <x:c r="C168" s="14" t="str">
        <x:v>2023_IMDb_Cast_Lists_Batch_01(2).xlsx</x:v>
      </x:c>
      <x:c r="D168" s="14" t="str">
        <x:v>Blue Lights</x:v>
      </x:c>
      <x:c r="E168" s="14" t="n">
        <x:v>73</x:v>
      </x:c>
      <x:c r="F168" s="14" t="str">
        <x:v>Blue Lights</x:v>
      </x:c>
      <x:c r="G168" s="14" t="str">
        <x:v>tt14466018</x:v>
      </x:c>
      <x:c r="H168" s="14" t="n">
        <x:v>2023</x:v>
      </x:c>
      <x:c r="I168" s="14" t="n">
        <x:v>2025</x:v>
      </x:c>
      <x:c r="J168" s="14" t="str">
        <x:v>Earlier-Production Carry-In Cohort</x:v>
      </x:c>
      <x:c r="K168" s="14" t="n">
        <x:v>2023</x:v>
      </x:c>
      <x:c r="L168" s="14" t="str">
        <x:v>Used in 2025 annual analysis</x:v>
      </x:c>
      <x:c r="M168" s="15" t="n">
        <x:v>66</x:v>
      </x:c>
      <x:c r="N168" s="14" t="str">
        <x:v>Nick Dunning</x:v>
      </x:c>
      <x:c r="O168" s="14" t="str">
        <x:v>nm0242954</x:v>
      </x:c>
      <x:c r="P168" s="14" t="str">
        <x:v>Richard Robinson</x:v>
      </x:c>
      <x:c r="Q168" s="15" t="n">
        <x:v>2</x:v>
      </x:c>
      <x:c r="R168" s="14" t="str">
        <x:v>2025</x:v>
      </x:c>
      <x:c r="S168" s="14" t="n">
        <x:v>2025</x:v>
      </x:c>
      <x:c r="T168" s="14" t="n">
        <x:v>2025</x:v>
      </x:c>
      <x:c r="U168" s="14" t="str">
        <x:v>Explicit source first year retained</x:v>
      </x:c>
      <x:c r="V168" s="14" t="str">
        <x:v>Earliest supplied year is 2025.</x:v>
      </x:c>
      <x:c r="W168" s="14"/>
      <x:c r="X168" s="14" t="str">
        <x:v>Included</x:v>
      </x:c>
      <x:c r="Y168" s="14"/>
      <x:c r="Z168" s="14" t="str">
        <x:v>Blue Lights.docx</x:v>
      </x:c>
      <x:c r="AA168" s="14" t="str">
        <x:v>HYPERLINK is not implemented. linkLocation=https://www.imdb.com/title/tt14466018/fullcredits/,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BBC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HYPERLINK("https://en.wikipedia.org/wiki/Blue_Light","Open source")</x:f>
        <x:v>HYPERLINK is not implemented. linkLocation=https://en.wikipedia.org/wiki/Blue_Light, friendlyName=Open source</x:v>
      </x:c>
      <x:c r="AN168" s="14" t="str">
        <x:v>BBC public-service commission</x:v>
      </x:c>
      <x:c r="AO168" s="14" t="str">
        <x:v>Yes</x:v>
      </x:c>
      <x:c r="AP168" s="14" t="str">
        <x:v>Direct BBC public-service scope</x:v>
      </x:c>
      <x:c r="AQ168" s="14" t="str">
        <x:v>Yes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19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2</x:v>
      </x:c>
      <x:c r="BS168" s="16" t="n">
        <x:v>0.10526315789473684</x:v>
      </x:c>
      <x:c r="BT168" s="14" t="str">
        <x:v>Minority of episodes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4" t="str">
        <x:v>HYPERLINK is not implemented. linkLocation=https://www.imdb.com/title/tt14466018/fullcredits/,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tt14466018|nm3557780|john o'boyle</x:v>
      </x:c>
      <x:c r="B169" s="14" t="str">
        <x:v>01</x:v>
      </x:c>
      <x:c r="C169" s="14" t="str">
        <x:v>2023_IMDb_Cast_Lists_Batch_01(2).xlsx</x:v>
      </x:c>
      <x:c r="D169" s="14" t="str">
        <x:v>Blue Lights</x:v>
      </x:c>
      <x:c r="E169" s="14" t="n">
        <x:v>74</x:v>
      </x:c>
      <x:c r="F169" s="14" t="str">
        <x:v>Blue Lights</x:v>
      </x:c>
      <x:c r="G169" s="14" t="str">
        <x:v>tt14466018</x:v>
      </x:c>
      <x:c r="H169" s="14" t="n">
        <x:v>2023</x:v>
      </x:c>
      <x:c r="I169" s="14" t="n">
        <x:v>2025</x:v>
      </x:c>
      <x:c r="J169" s="14" t="str">
        <x:v>Earlier-Production Carry-In Cohort</x:v>
      </x:c>
      <x:c r="K169" s="14" t="n">
        <x:v>2023</x:v>
      </x:c>
      <x:c r="L169" s="14" t="str">
        <x:v>Used in 2025 annual analysis</x:v>
      </x:c>
      <x:c r="M169" s="15" t="n">
        <x:v>67</x:v>
      </x:c>
      <x:c r="N169" s="14" t="str">
        <x:v>Patrick McBrearty</x:v>
      </x:c>
      <x:c r="O169" s="14" t="str">
        <x:v>nm3557780</x:v>
      </x:c>
      <x:c r="P169" s="14" t="str">
        <x:v>John O'Boyle</x:v>
      </x:c>
      <x:c r="Q169" s="15" t="n">
        <x:v>2</x:v>
      </x:c>
      <x:c r="R169" s="14" t="str">
        <x:v>2025</x:v>
      </x:c>
      <x:c r="S169" s="14" t="n">
        <x:v>2025</x:v>
      </x:c>
      <x:c r="T169" s="14" t="n">
        <x:v>2025</x:v>
      </x:c>
      <x:c r="U169" s="14" t="str">
        <x:v>Explicit source first year retained</x:v>
      </x:c>
      <x:c r="V169" s="14" t="str">
        <x:v>Earliest supplied year is 2025.</x:v>
      </x:c>
      <x:c r="W169" s="14"/>
      <x:c r="X169" s="14" t="str">
        <x:v>Included</x:v>
      </x:c>
      <x:c r="Y169" s="14"/>
      <x:c r="Z169" s="14" t="str">
        <x:v>Blue Lights.docx</x:v>
      </x:c>
      <x:c r="AA169" s="14" t="str">
        <x:v>HYPERLINK is not implemented. linkLocation=https://www.imdb.com/title/tt14466018/fullcredits/,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BBC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HYPERLINK("https://en.wikipedia.org/wiki/Blue_Light","Open source")</x:f>
        <x:v>HYPERLINK is not implemented. linkLocation=https://en.wikipedia.org/wiki/Blue_Light, friendlyName=Open source</x:v>
      </x:c>
      <x:c r="AN169" s="14" t="str">
        <x:v>BBC public-service commission</x:v>
      </x:c>
      <x:c r="AO169" s="14" t="str">
        <x:v>Yes</x:v>
      </x:c>
      <x:c r="AP169" s="14" t="str">
        <x:v>Direct BBC public-service scope</x:v>
      </x:c>
      <x:c r="AQ169" s="14" t="str">
        <x:v>Yes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19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2</x:v>
      </x:c>
      <x:c r="BS169" s="16" t="n">
        <x:v>0.10526315789473684</x:v>
      </x:c>
      <x:c r="BT169" s="14" t="str">
        <x:v>Minority of episodes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4" t="str">
        <x:v>HYPERLINK is not implemented. linkLocation=https://www.imdb.com/title/tt14466018/fullcredits/,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tt14466018|nm13605120|drunk man 1</x:v>
      </x:c>
      <x:c r="B170" s="14" t="str">
        <x:v>01</x:v>
      </x:c>
      <x:c r="C170" s="14" t="str">
        <x:v>2023_IMDb_Cast_Lists_Batch_01(2).xlsx</x:v>
      </x:c>
      <x:c r="D170" s="14" t="str">
        <x:v>Blue Lights</x:v>
      </x:c>
      <x:c r="E170" s="14" t="n">
        <x:v>78</x:v>
      </x:c>
      <x:c r="F170" s="14" t="str">
        <x:v>Blue Lights</x:v>
      </x:c>
      <x:c r="G170" s="14" t="str">
        <x:v>tt14466018</x:v>
      </x:c>
      <x:c r="H170" s="14" t="n">
        <x:v>2023</x:v>
      </x:c>
      <x:c r="I170" s="14" t="n">
        <x:v>2025</x:v>
      </x:c>
      <x:c r="J170" s="14" t="str">
        <x:v>Earlier-Production Carry-In Cohort</x:v>
      </x:c>
      <x:c r="K170" s="14" t="n">
        <x:v>2023</x:v>
      </x:c>
      <x:c r="L170" s="14" t="str">
        <x:v>Used in 2025 annual analysis</x:v>
      </x:c>
      <x:c r="M170" s="15" t="n">
        <x:v>71</x:v>
      </x:c>
      <x:c r="N170" s="14" t="str">
        <x:v>William Thompson</x:v>
      </x:c>
      <x:c r="O170" s="14" t="str">
        <x:v>nm13605120</x:v>
      </x:c>
      <x:c r="P170" s="14" t="str">
        <x:v>Drunk Man 1</x:v>
      </x:c>
      <x:c r="Q170" s="15" t="n">
        <x:v>1</x:v>
      </x:c>
      <x:c r="R170" s="14" t="str">
        <x:v>2025</x:v>
      </x:c>
      <x:c r="S170" s="14" t="n">
        <x:v>2025</x:v>
      </x:c>
      <x:c r="T170" s="14" t="n">
        <x:v>2025</x:v>
      </x:c>
      <x:c r="U170" s="14" t="str">
        <x:v>Explicit source first year retained</x:v>
      </x:c>
      <x:c r="V170" s="14" t="str">
        <x:v>Earliest supplied year is 2025.</x:v>
      </x:c>
      <x:c r="W170" s="14"/>
      <x:c r="X170" s="14" t="str">
        <x:v>Included</x:v>
      </x:c>
      <x:c r="Y170" s="14"/>
      <x:c r="Z170" s="14" t="str">
        <x:v>Blue Lights.docx</x:v>
      </x:c>
      <x:c r="AA170" s="14" t="str">
        <x:v>HYPERLINK is not implemented. linkLocation=https://www.imdb.com/title/tt14466018/fullcredits/,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BBC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HYPERLINK("https://en.wikipedia.org/wiki/Blue_Light","Open source")</x:f>
        <x:v>HYPERLINK is not implemented. linkLocation=https://en.wikipedia.org/wiki/Blue_Light, friendlyName=Open source</x:v>
      </x:c>
      <x:c r="AN170" s="14" t="str">
        <x:v>BBC public-service commission</x:v>
      </x:c>
      <x:c r="AO170" s="14" t="str">
        <x:v>Yes</x:v>
      </x:c>
      <x:c r="AP170" s="14" t="str">
        <x:v>Direct BBC public-service scope</x:v>
      </x:c>
      <x:c r="AQ170" s="14" t="str">
        <x:v>Yes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19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0.05263157894736842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4" t="str">
        <x:v>HYPERLINK is not implemented. linkLocation=https://www.imdb.com/title/tt14466018/fullcredits/,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tt14466018|nm4202822|drunk man 2</x:v>
      </x:c>
      <x:c r="B171" s="14" t="str">
        <x:v>01</x:v>
      </x:c>
      <x:c r="C171" s="14" t="str">
        <x:v>2023_IMDb_Cast_Lists_Batch_01(2).xlsx</x:v>
      </x:c>
      <x:c r="D171" s="14" t="str">
        <x:v>Blue Lights</x:v>
      </x:c>
      <x:c r="E171" s="14" t="n">
        <x:v>79</x:v>
      </x:c>
      <x:c r="F171" s="14" t="str">
        <x:v>Blue Lights</x:v>
      </x:c>
      <x:c r="G171" s="14" t="str">
        <x:v>tt14466018</x:v>
      </x:c>
      <x:c r="H171" s="14" t="n">
        <x:v>2023</x:v>
      </x:c>
      <x:c r="I171" s="14" t="n">
        <x:v>2025</x:v>
      </x:c>
      <x:c r="J171" s="14" t="str">
        <x:v>Earlier-Production Carry-In Cohort</x:v>
      </x:c>
      <x:c r="K171" s="14" t="n">
        <x:v>2023</x:v>
      </x:c>
      <x:c r="L171" s="14" t="str">
        <x:v>Used in 2025 annual analysis</x:v>
      </x:c>
      <x:c r="M171" s="15" t="n">
        <x:v>72</x:v>
      </x:c>
      <x:c r="N171" s="14" t="str">
        <x:v>Micky Bartlett</x:v>
      </x:c>
      <x:c r="O171" s="14" t="str">
        <x:v>nm4202822</x:v>
      </x:c>
      <x:c r="P171" s="14" t="str">
        <x:v>Drunk Man 2</x:v>
      </x:c>
      <x:c r="Q171" s="15" t="n">
        <x:v>1</x:v>
      </x:c>
      <x:c r="R171" s="14" t="str">
        <x:v>2025</x:v>
      </x:c>
      <x:c r="S171" s="14" t="n">
        <x:v>2025</x:v>
      </x:c>
      <x:c r="T171" s="14" t="n">
        <x:v>2025</x:v>
      </x:c>
      <x:c r="U171" s="14" t="str">
        <x:v>Explicit source first year retained</x:v>
      </x:c>
      <x:c r="V171" s="14" t="str">
        <x:v>Earliest supplied year is 2025.</x:v>
      </x:c>
      <x:c r="W171" s="14"/>
      <x:c r="X171" s="14" t="str">
        <x:v>Included</x:v>
      </x:c>
      <x:c r="Y171" s="14"/>
      <x:c r="Z171" s="14" t="str">
        <x:v>Blue Lights.docx</x:v>
      </x:c>
      <x:c r="AA171" s="14" t="str">
        <x:v>HYPERLINK is not implemented. linkLocation=https://www.imdb.com/title/tt14466018/fullcredits/,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BBC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HYPERLINK("https://en.wikipedia.org/wiki/Blue_Light","Open source")</x:f>
        <x:v>HYPERLINK is not implemented. linkLocation=https://en.wikipedia.org/wiki/Blue_Light, friendlyName=Open source</x:v>
      </x:c>
      <x:c r="AN171" s="14" t="str">
        <x:v>BBC public-service commission</x:v>
      </x:c>
      <x:c r="AO171" s="14" t="str">
        <x:v>Yes</x:v>
      </x:c>
      <x:c r="AP171" s="14" t="str">
        <x:v>Direct BBC public-service scope</x:v>
      </x:c>
      <x:c r="AQ171" s="14" t="str">
        <x:v>Yes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19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0.05263157894736842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4" t="str">
        <x:v>HYPERLINK is not implemented. linkLocation=https://www.imdb.com/title/tt14466018/fullcredits/,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tt14466018|nm13743893|cormac</x:v>
      </x:c>
      <x:c r="B172" s="14" t="str">
        <x:v>01</x:v>
      </x:c>
      <x:c r="C172" s="14" t="str">
        <x:v>2023_IMDb_Cast_Lists_Batch_01(2).xlsx</x:v>
      </x:c>
      <x:c r="D172" s="14" t="str">
        <x:v>Blue Lights</x:v>
      </x:c>
      <x:c r="E172" s="14" t="n">
        <x:v>88</x:v>
      </x:c>
      <x:c r="F172" s="14" t="str">
        <x:v>Blue Lights</x:v>
      </x:c>
      <x:c r="G172" s="14" t="str">
        <x:v>tt14466018</x:v>
      </x:c>
      <x:c r="H172" s="14" t="n">
        <x:v>2023</x:v>
      </x:c>
      <x:c r="I172" s="14" t="n">
        <x:v>2025</x:v>
      </x:c>
      <x:c r="J172" s="14" t="str">
        <x:v>Earlier-Production Carry-In Cohort</x:v>
      </x:c>
      <x:c r="K172" s="14" t="n">
        <x:v>2023</x:v>
      </x:c>
      <x:c r="L172" s="14" t="str">
        <x:v>Used in 2025 annual analysis</x:v>
      </x:c>
      <x:c r="M172" s="15" t="n">
        <x:v>81</x:v>
      </x:c>
      <x:c r="N172" s="14" t="str">
        <x:v>Owen James</x:v>
      </x:c>
      <x:c r="O172" s="14" t="str">
        <x:v>nm13743893</x:v>
      </x:c>
      <x:c r="P172" s="14" t="str">
        <x:v>Cormac</x:v>
      </x:c>
      <x:c r="Q172" s="15" t="n">
        <x:v>1</x:v>
      </x:c>
      <x:c r="R172" s="14" t="str">
        <x:v>2025</x:v>
      </x:c>
      <x:c r="S172" s="14" t="n">
        <x:v>2025</x:v>
      </x:c>
      <x:c r="T172" s="14" t="n">
        <x:v>2025</x:v>
      </x:c>
      <x:c r="U172" s="14" t="str">
        <x:v>Explicit source first year retained</x:v>
      </x:c>
      <x:c r="V172" s="14" t="str">
        <x:v>Earliest supplied year is 2025.</x:v>
      </x:c>
      <x:c r="W172" s="14"/>
      <x:c r="X172" s="14" t="str">
        <x:v>Included</x:v>
      </x:c>
      <x:c r="Y172" s="14"/>
      <x:c r="Z172" s="14" t="str">
        <x:v>Blue Lights.docx</x:v>
      </x:c>
      <x:c r="AA172" s="14" t="str">
        <x:v>HYPERLINK is not implemented. linkLocation=https://www.imdb.com/title/tt14466018/fullcredits/,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BBC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HYPERLINK("https://en.wikipedia.org/wiki/Blue_Light","Open source")</x:f>
        <x:v>HYPERLINK is not implemented. linkLocation=https://en.wikipedia.org/wiki/Blue_Light, friendlyName=Open source</x:v>
      </x:c>
      <x:c r="AN172" s="14" t="str">
        <x:v>BBC public-service commission</x:v>
      </x:c>
      <x:c r="AO172" s="14" t="str">
        <x:v>Yes</x:v>
      </x:c>
      <x:c r="AP172" s="14" t="str">
        <x:v>Direct BBC public-service scope</x:v>
      </x:c>
      <x:c r="AQ172" s="14" t="str">
        <x:v>Yes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19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0.05263157894736842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4" t="str">
        <x:v>HYPERLINK is not implemented. linkLocation=https://www.imdb.com/title/tt14466018/fullcredits/,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tt14466018|nm1843367|natalie mcclelland</x:v>
      </x:c>
      <x:c r="B173" s="14" t="str">
        <x:v>01</x:v>
      </x:c>
      <x:c r="C173" s="14" t="str">
        <x:v>2023_IMDb_Cast_Lists_Batch_01(2).xlsx</x:v>
      </x:c>
      <x:c r="D173" s="14" t="str">
        <x:v>Blue Lights</x:v>
      </x:c>
      <x:c r="E173" s="14" t="n">
        <x:v>90</x:v>
      </x:c>
      <x:c r="F173" s="14" t="str">
        <x:v>Blue Lights</x:v>
      </x:c>
      <x:c r="G173" s="14" t="str">
        <x:v>tt14466018</x:v>
      </x:c>
      <x:c r="H173" s="14" t="n">
        <x:v>2023</x:v>
      </x:c>
      <x:c r="I173" s="14" t="n">
        <x:v>2025</x:v>
      </x:c>
      <x:c r="J173" s="14" t="str">
        <x:v>Earlier-Production Carry-In Cohort</x:v>
      </x:c>
      <x:c r="K173" s="14" t="n">
        <x:v>2023</x:v>
      </x:c>
      <x:c r="L173" s="14" t="str">
        <x:v>Used in 2025 annual analysis</x:v>
      </x:c>
      <x:c r="M173" s="15" t="n">
        <x:v>83</x:v>
      </x:c>
      <x:c r="N173" s="14" t="str">
        <x:v>Sarah Lyle</x:v>
      </x:c>
      <x:c r="O173" s="14" t="str">
        <x:v>nm1843367</x:v>
      </x:c>
      <x:c r="P173" s="14" t="str">
        <x:v>Natalie McClelland</x:v>
      </x:c>
      <x:c r="Q173" s="15" t="n">
        <x:v>1</x:v>
      </x:c>
      <x:c r="R173" s="14" t="str">
        <x:v>2025</x:v>
      </x:c>
      <x:c r="S173" s="14" t="n">
        <x:v>2025</x:v>
      </x:c>
      <x:c r="T173" s="14" t="n">
        <x:v>2025</x:v>
      </x:c>
      <x:c r="U173" s="14" t="str">
        <x:v>Explicit source first year retained</x:v>
      </x:c>
      <x:c r="V173" s="14" t="str">
        <x:v>Earliest supplied year is 2025.</x:v>
      </x:c>
      <x:c r="W173" s="14"/>
      <x:c r="X173" s="14" t="str">
        <x:v>Included</x:v>
      </x:c>
      <x:c r="Y173" s="14"/>
      <x:c r="Z173" s="14" t="str">
        <x:v>Blue Lights.docx</x:v>
      </x:c>
      <x:c r="AA173" s="14" t="str">
        <x:v>HYPERLINK is not implemented. linkLocation=https://www.imdb.com/title/tt14466018/fullcredits/,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BBC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HYPERLINK("https://en.wikipedia.org/wiki/Blue_Light","Open source")</x:f>
        <x:v>HYPERLINK is not implemented. linkLocation=https://en.wikipedia.org/wiki/Blue_Light, friendlyName=Open source</x:v>
      </x:c>
      <x:c r="AN173" s="14" t="str">
        <x:v>BBC public-service commission</x:v>
      </x:c>
      <x:c r="AO173" s="14" t="str">
        <x:v>Yes</x:v>
      </x:c>
      <x:c r="AP173" s="14" t="str">
        <x:v>Direct BBC public-service scope</x:v>
      </x:c>
      <x:c r="AQ173" s="14" t="str">
        <x:v>Yes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19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0.05263157894736842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4" t="str">
        <x:v>HYPERLINK is not implemented. linkLocation=https://www.imdb.com/title/tt14466018/fullcredits/,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tt14466018|nm9286162|mary quigley</x:v>
      </x:c>
      <x:c r="B174" s="14" t="str">
        <x:v>01</x:v>
      </x:c>
      <x:c r="C174" s="14" t="str">
        <x:v>2023_IMDb_Cast_Lists_Batch_01(2).xlsx</x:v>
      </x:c>
      <x:c r="D174" s="14" t="str">
        <x:v>Blue Lights</x:v>
      </x:c>
      <x:c r="E174" s="14" t="n">
        <x:v>92</x:v>
      </x:c>
      <x:c r="F174" s="14" t="str">
        <x:v>Blue Lights</x:v>
      </x:c>
      <x:c r="G174" s="14" t="str">
        <x:v>tt14466018</x:v>
      </x:c>
      <x:c r="H174" s="14" t="n">
        <x:v>2023</x:v>
      </x:c>
      <x:c r="I174" s="14" t="n">
        <x:v>2025</x:v>
      </x:c>
      <x:c r="J174" s="14" t="str">
        <x:v>Earlier-Production Carry-In Cohort</x:v>
      </x:c>
      <x:c r="K174" s="14" t="n">
        <x:v>2023</x:v>
      </x:c>
      <x:c r="L174" s="14" t="str">
        <x:v>Used in 2025 annual analysis</x:v>
      </x:c>
      <x:c r="M174" s="15" t="n">
        <x:v>85</x:v>
      </x:c>
      <x:c r="N174" s="14" t="str">
        <x:v>Debra Hill</x:v>
      </x:c>
      <x:c r="O174" s="14" t="str">
        <x:v>nm9286162</x:v>
      </x:c>
      <x:c r="P174" s="14" t="str">
        <x:v>Mary Quigley</x:v>
      </x:c>
      <x:c r="Q174" s="15" t="n">
        <x:v>1</x:v>
      </x:c>
      <x:c r="R174" s="14" t="str">
        <x:v>2025</x:v>
      </x:c>
      <x:c r="S174" s="14" t="n">
        <x:v>2025</x:v>
      </x:c>
      <x:c r="T174" s="14" t="n">
        <x:v>2025</x:v>
      </x:c>
      <x:c r="U174" s="14" t="str">
        <x:v>Explicit source first year retained</x:v>
      </x:c>
      <x:c r="V174" s="14" t="str">
        <x:v>Earliest supplied year is 2025.</x:v>
      </x:c>
      <x:c r="W174" s="14"/>
      <x:c r="X174" s="14" t="str">
        <x:v>Included</x:v>
      </x:c>
      <x:c r="Y174" s="14"/>
      <x:c r="Z174" s="14" t="str">
        <x:v>Blue Lights.docx</x:v>
      </x:c>
      <x:c r="AA174" s="14" t="str">
        <x:v>HYPERLINK is not implemented. linkLocation=https://www.imdb.com/title/tt14466018/fullcredits/,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BBC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HYPERLINK("https://en.wikipedia.org/wiki/Blue_Light","Open source")</x:f>
        <x:v>HYPERLINK is not implemented. linkLocation=https://en.wikipedia.org/wiki/Blue_Light, friendlyName=Open source</x:v>
      </x:c>
      <x:c r="AN174" s="14" t="str">
        <x:v>BBC public-service commission</x:v>
      </x:c>
      <x:c r="AO174" s="14" t="str">
        <x:v>Yes</x:v>
      </x:c>
      <x:c r="AP174" s="14" t="str">
        <x:v>Direct BBC public-service scope</x:v>
      </x:c>
      <x:c r="AQ174" s="14" t="str">
        <x:v>Yes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19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0.05263157894736842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4" t="str">
        <x:v>HYPERLINK is not implemented. linkLocation=https://www.imdb.com/title/tt14466018/fullcredits/,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tt14466018|nm2016082|melissa schwartz</x:v>
      </x:c>
      <x:c r="B175" s="14" t="str">
        <x:v>01</x:v>
      </x:c>
      <x:c r="C175" s="14" t="str">
        <x:v>2023_IMDb_Cast_Lists_Batch_01(2).xlsx</x:v>
      </x:c>
      <x:c r="D175" s="14" t="str">
        <x:v>Blue Lights</x:v>
      </x:c>
      <x:c r="E175" s="14" t="n">
        <x:v>94</x:v>
      </x:c>
      <x:c r="F175" s="14" t="str">
        <x:v>Blue Lights</x:v>
      </x:c>
      <x:c r="G175" s="14" t="str">
        <x:v>tt14466018</x:v>
      </x:c>
      <x:c r="H175" s="14" t="n">
        <x:v>2023</x:v>
      </x:c>
      <x:c r="I175" s="14" t="n">
        <x:v>2025</x:v>
      </x:c>
      <x:c r="J175" s="14" t="str">
        <x:v>Earlier-Production Carry-In Cohort</x:v>
      </x:c>
      <x:c r="K175" s="14" t="n">
        <x:v>2023</x:v>
      </x:c>
      <x:c r="L175" s="14" t="str">
        <x:v>Used in 2025 annual analysis</x:v>
      </x:c>
      <x:c r="M175" s="15" t="n">
        <x:v>87</x:v>
      </x:c>
      <x:c r="N175" s="14" t="str">
        <x:v>Emily Dunlop</x:v>
      </x:c>
      <x:c r="O175" s="14" t="str">
        <x:v>nm2016082</x:v>
      </x:c>
      <x:c r="P175" s="14" t="str">
        <x:v>Melissa Schwartz</x:v>
      </x:c>
      <x:c r="Q175" s="15" t="n">
        <x:v>1</x:v>
      </x:c>
      <x:c r="R175" s="14" t="str">
        <x:v>2025</x:v>
      </x:c>
      <x:c r="S175" s="14" t="n">
        <x:v>2025</x:v>
      </x:c>
      <x:c r="T175" s="14" t="n">
        <x:v>2025</x:v>
      </x:c>
      <x:c r="U175" s="14" t="str">
        <x:v>Explicit source first year retained</x:v>
      </x:c>
      <x:c r="V175" s="14" t="str">
        <x:v>Earliest supplied year is 2025.</x:v>
      </x:c>
      <x:c r="W175" s="14"/>
      <x:c r="X175" s="14" t="str">
        <x:v>Included</x:v>
      </x:c>
      <x:c r="Y175" s="14"/>
      <x:c r="Z175" s="14" t="str">
        <x:v>Blue Lights.docx</x:v>
      </x:c>
      <x:c r="AA175" s="14" t="str">
        <x:v>HYPERLINK is not implemented. linkLocation=https://www.imdb.com/title/tt14466018/fullcredits/,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BBC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HYPERLINK("https://en.wikipedia.org/wiki/Blue_Light","Open source")</x:f>
        <x:v>HYPERLINK is not implemented. linkLocation=https://en.wikipedia.org/wiki/Blue_Light, friendlyName=Open source</x:v>
      </x:c>
      <x:c r="AN175" s="14" t="str">
        <x:v>BBC public-service commission</x:v>
      </x:c>
      <x:c r="AO175" s="14" t="str">
        <x:v>Yes</x:v>
      </x:c>
      <x:c r="AP175" s="14" t="str">
        <x:v>Direct BBC public-service scope</x:v>
      </x:c>
      <x:c r="AQ175" s="14" t="str">
        <x:v>Yes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19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0.05263157894736842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4" t="str">
        <x:v>HYPERLINK is not implemented. linkLocation=https://www.imdb.com/title/tt14466018/fullcredits/,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tt14466018|nm10635675|orlaith mcclelland</x:v>
      </x:c>
      <x:c r="B176" s="14" t="str">
        <x:v>01</x:v>
      </x:c>
      <x:c r="C176" s="14" t="str">
        <x:v>2023_IMDb_Cast_Lists_Batch_01(2).xlsx</x:v>
      </x:c>
      <x:c r="D176" s="14" t="str">
        <x:v>Blue Lights</x:v>
      </x:c>
      <x:c r="E176" s="14" t="n">
        <x:v>95</x:v>
      </x:c>
      <x:c r="F176" s="14" t="str">
        <x:v>Blue Lights</x:v>
      </x:c>
      <x:c r="G176" s="14" t="str">
        <x:v>tt14466018</x:v>
      </x:c>
      <x:c r="H176" s="14" t="n">
        <x:v>2023</x:v>
      </x:c>
      <x:c r="I176" s="14" t="n">
        <x:v>2025</x:v>
      </x:c>
      <x:c r="J176" s="14" t="str">
        <x:v>Earlier-Production Carry-In Cohort</x:v>
      </x:c>
      <x:c r="K176" s="14" t="n">
        <x:v>2023</x:v>
      </x:c>
      <x:c r="L176" s="14" t="str">
        <x:v>Used in 2025 annual analysis</x:v>
      </x:c>
      <x:c r="M176" s="15" t="n">
        <x:v>88</x:v>
      </x:c>
      <x:c r="N176" s="14" t="str">
        <x:v>Rosa Frazer</x:v>
      </x:c>
      <x:c r="O176" s="14" t="str">
        <x:v>nm10635675</x:v>
      </x:c>
      <x:c r="P176" s="14" t="str">
        <x:v>Orlaith McClelland</x:v>
      </x:c>
      <x:c r="Q176" s="15" t="n">
        <x:v>1</x:v>
      </x:c>
      <x:c r="R176" s="14" t="str">
        <x:v>2025</x:v>
      </x:c>
      <x:c r="S176" s="14" t="n">
        <x:v>2025</x:v>
      </x:c>
      <x:c r="T176" s="14" t="n">
        <x:v>2025</x:v>
      </x:c>
      <x:c r="U176" s="14" t="str">
        <x:v>Explicit source first year retained</x:v>
      </x:c>
      <x:c r="V176" s="14" t="str">
        <x:v>Earliest supplied year is 2025.</x:v>
      </x:c>
      <x:c r="W176" s="14"/>
      <x:c r="X176" s="14" t="str">
        <x:v>Included</x:v>
      </x:c>
      <x:c r="Y176" s="14"/>
      <x:c r="Z176" s="14" t="str">
        <x:v>Blue Lights.docx</x:v>
      </x:c>
      <x:c r="AA176" s="14" t="str">
        <x:v>HYPERLINK is not implemented. linkLocation=https://www.imdb.com/title/tt14466018/fullcredits/,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BBC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HYPERLINK("https://en.wikipedia.org/wiki/Blue_Light","Open source")</x:f>
        <x:v>HYPERLINK is not implemented. linkLocation=https://en.wikipedia.org/wiki/Blue_Light, friendlyName=Open source</x:v>
      </x:c>
      <x:c r="AN176" s="14" t="str">
        <x:v>BBC public-service commission</x:v>
      </x:c>
      <x:c r="AO176" s="14" t="str">
        <x:v>Yes</x:v>
      </x:c>
      <x:c r="AP176" s="14" t="str">
        <x:v>Direct BBC public-service scope</x:v>
      </x:c>
      <x:c r="AQ176" s="14" t="str">
        <x:v>Yes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19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0.05263157894736842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4" t="str">
        <x:v>HYPERLINK is not implemented. linkLocation=https://www.imdb.com/title/tt14466018/fullcredits/,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tt14466018|nm2689447|eugene connolly</x:v>
      </x:c>
      <x:c r="B177" s="14" t="str">
        <x:v>01</x:v>
      </x:c>
      <x:c r="C177" s="14" t="str">
        <x:v>2023_IMDb_Cast_Lists_Batch_01(2).xlsx</x:v>
      </x:c>
      <x:c r="D177" s="14" t="str">
        <x:v>Blue Lights</x:v>
      </x:c>
      <x:c r="E177" s="14" t="n">
        <x:v>96</x:v>
      </x:c>
      <x:c r="F177" s="14" t="str">
        <x:v>Blue Lights</x:v>
      </x:c>
      <x:c r="G177" s="14" t="str">
        <x:v>tt14466018</x:v>
      </x:c>
      <x:c r="H177" s="14" t="n">
        <x:v>2023</x:v>
      </x:c>
      <x:c r="I177" s="14" t="n">
        <x:v>2025</x:v>
      </x:c>
      <x:c r="J177" s="14" t="str">
        <x:v>Earlier-Production Carry-In Cohort</x:v>
      </x:c>
      <x:c r="K177" s="14" t="n">
        <x:v>2023</x:v>
      </x:c>
      <x:c r="L177" s="14" t="str">
        <x:v>Used in 2025 annual analysis</x:v>
      </x:c>
      <x:c r="M177" s="15" t="n">
        <x:v>89</x:v>
      </x:c>
      <x:c r="N177" s="14" t="str">
        <x:v>Keith Singleton</x:v>
      </x:c>
      <x:c r="O177" s="14" t="str">
        <x:v>nm2689447</x:v>
      </x:c>
      <x:c r="P177" s="14" t="str">
        <x:v>Eugene Connolly</x:v>
      </x:c>
      <x:c r="Q177" s="15" t="n">
        <x:v>1</x:v>
      </x:c>
      <x:c r="R177" s="14" t="str">
        <x:v>2025</x:v>
      </x:c>
      <x:c r="S177" s="14" t="n">
        <x:v>2025</x:v>
      </x:c>
      <x:c r="T177" s="14" t="n">
        <x:v>2025</x:v>
      </x:c>
      <x:c r="U177" s="14" t="str">
        <x:v>Explicit source first year retained</x:v>
      </x:c>
      <x:c r="V177" s="14" t="str">
        <x:v>Earliest supplied year is 2025.</x:v>
      </x:c>
      <x:c r="W177" s="14"/>
      <x:c r="X177" s="14" t="str">
        <x:v>Included</x:v>
      </x:c>
      <x:c r="Y177" s="14"/>
      <x:c r="Z177" s="14" t="str">
        <x:v>Blue Lights.docx</x:v>
      </x:c>
      <x:c r="AA177" s="14" t="str">
        <x:v>HYPERLINK is not implemented. linkLocation=https://www.imdb.com/title/tt14466018/fullcredits/,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BBC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HYPERLINK("https://en.wikipedia.org/wiki/Blue_Light","Open source")</x:f>
        <x:v>HYPERLINK is not implemented. linkLocation=https://en.wikipedia.org/wiki/Blue_Light, friendlyName=Open source</x:v>
      </x:c>
      <x:c r="AN177" s="14" t="str">
        <x:v>BBC public-service commission</x:v>
      </x:c>
      <x:c r="AO177" s="14" t="str">
        <x:v>Yes</x:v>
      </x:c>
      <x:c r="AP177" s="14" t="str">
        <x:v>Direct BBC public-service scope</x:v>
      </x:c>
      <x:c r="AQ177" s="14" t="str">
        <x:v>Yes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19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0.05263157894736842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4" t="str">
        <x:v>HYPERLINK is not implemented. linkLocation=https://www.imdb.com/title/tt14466018/fullcredits/,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tt14466018|nm1380296|bobby</x:v>
      </x:c>
      <x:c r="B178" s="14" t="str">
        <x:v>01</x:v>
      </x:c>
      <x:c r="C178" s="14" t="str">
        <x:v>2023_IMDb_Cast_Lists_Batch_01(2).xlsx</x:v>
      </x:c>
      <x:c r="D178" s="14" t="str">
        <x:v>Blue Lights</x:v>
      </x:c>
      <x:c r="E178" s="14" t="n">
        <x:v>100</x:v>
      </x:c>
      <x:c r="F178" s="14" t="str">
        <x:v>Blue Lights</x:v>
      </x:c>
      <x:c r="G178" s="14" t="str">
        <x:v>tt14466018</x:v>
      </x:c>
      <x:c r="H178" s="14" t="n">
        <x:v>2023</x:v>
      </x:c>
      <x:c r="I178" s="14" t="n">
        <x:v>2025</x:v>
      </x:c>
      <x:c r="J178" s="14" t="str">
        <x:v>Earlier-Production Carry-In Cohort</x:v>
      </x:c>
      <x:c r="K178" s="14" t="n">
        <x:v>2023</x:v>
      </x:c>
      <x:c r="L178" s="14" t="str">
        <x:v>Used in 2025 annual analysis</x:v>
      </x:c>
      <x:c r="M178" s="15" t="n">
        <x:v>93</x:v>
      </x:c>
      <x:c r="N178" s="14" t="str">
        <x:v>Vincent Higgins</x:v>
      </x:c>
      <x:c r="O178" s="14" t="str">
        <x:v>nm1380296</x:v>
      </x:c>
      <x:c r="P178" s="14" t="str">
        <x:v>Bobby</x:v>
      </x:c>
      <x:c r="Q178" s="15" t="n">
        <x:v>1</x:v>
      </x:c>
      <x:c r="R178" s="14" t="str">
        <x:v>2025</x:v>
      </x:c>
      <x:c r="S178" s="14" t="n">
        <x:v>2025</x:v>
      </x:c>
      <x:c r="T178" s="14" t="n">
        <x:v>2025</x:v>
      </x:c>
      <x:c r="U178" s="14" t="str">
        <x:v>Explicit source first year retained</x:v>
      </x:c>
      <x:c r="V178" s="14" t="str">
        <x:v>Earliest supplied year is 2025.</x:v>
      </x:c>
      <x:c r="W178" s="14"/>
      <x:c r="X178" s="14" t="str">
        <x:v>Included</x:v>
      </x:c>
      <x:c r="Y178" s="14"/>
      <x:c r="Z178" s="14" t="str">
        <x:v>Blue Lights.docx</x:v>
      </x:c>
      <x:c r="AA178" s="14" t="str">
        <x:v>HYPERLINK is not implemented. linkLocation=https://www.imdb.com/title/tt14466018/fullcredits/,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BBC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HYPERLINK("https://en.wikipedia.org/wiki/Blue_Light","Open source")</x:f>
        <x:v>HYPERLINK is not implemented. linkLocation=https://en.wikipedia.org/wiki/Blue_Light, friendlyName=Open source</x:v>
      </x:c>
      <x:c r="AN178" s="14" t="str">
        <x:v>BBC public-service commission</x:v>
      </x:c>
      <x:c r="AO178" s="14" t="str">
        <x:v>Yes</x:v>
      </x:c>
      <x:c r="AP178" s="14" t="str">
        <x:v>Direct BBC public-service scope</x:v>
      </x:c>
      <x:c r="AQ178" s="14" t="str">
        <x:v>Yes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19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0.05263157894736842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4" t="str">
        <x:v>HYPERLINK is not implemented. linkLocation=https://www.imdb.com/title/tt14466018/fullcredits/,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tt14466018|nm17423596|ciaran o'boyle</x:v>
      </x:c>
      <x:c r="B179" s="14" t="str">
        <x:v>01</x:v>
      </x:c>
      <x:c r="C179" s="14" t="str">
        <x:v>2023_IMDb_Cast_Lists_Batch_01(2).xlsx</x:v>
      </x:c>
      <x:c r="D179" s="14" t="str">
        <x:v>Blue Lights</x:v>
      </x:c>
      <x:c r="E179" s="14" t="n">
        <x:v>103</x:v>
      </x:c>
      <x:c r="F179" s="14" t="str">
        <x:v>Blue Lights</x:v>
      </x:c>
      <x:c r="G179" s="14" t="str">
        <x:v>tt14466018</x:v>
      </x:c>
      <x:c r="H179" s="14" t="n">
        <x:v>2023</x:v>
      </x:c>
      <x:c r="I179" s="14" t="n">
        <x:v>2025</x:v>
      </x:c>
      <x:c r="J179" s="14" t="str">
        <x:v>Earlier-Production Carry-In Cohort</x:v>
      </x:c>
      <x:c r="K179" s="14" t="n">
        <x:v>2023</x:v>
      </x:c>
      <x:c r="L179" s="14" t="str">
        <x:v>Used in 2025 annual analysis</x:v>
      </x:c>
      <x:c r="M179" s="15" t="n">
        <x:v>96</x:v>
      </x:c>
      <x:c r="N179" s="14" t="str">
        <x:v>Paul Storrs</x:v>
      </x:c>
      <x:c r="O179" s="14" t="str">
        <x:v>nm17423596</x:v>
      </x:c>
      <x:c r="P179" s="14" t="str">
        <x:v>Ciaran O'Boyle</x:v>
      </x:c>
      <x:c r="Q179" s="15" t="n">
        <x:v>1</x:v>
      </x:c>
      <x:c r="R179" s="14" t="str">
        <x:v>2025</x:v>
      </x:c>
      <x:c r="S179" s="14" t="n">
        <x:v>2025</x:v>
      </x:c>
      <x:c r="T179" s="14" t="n">
        <x:v>2025</x:v>
      </x:c>
      <x:c r="U179" s="14" t="str">
        <x:v>Explicit source first year retained</x:v>
      </x:c>
      <x:c r="V179" s="14" t="str">
        <x:v>Earliest supplied year is 2025.</x:v>
      </x:c>
      <x:c r="W179" s="14"/>
      <x:c r="X179" s="14" t="str">
        <x:v>Included</x:v>
      </x:c>
      <x:c r="Y179" s="14"/>
      <x:c r="Z179" s="14" t="str">
        <x:v>Blue Lights.docx</x:v>
      </x:c>
      <x:c r="AA179" s="14" t="str">
        <x:v>HYPERLINK is not implemented. linkLocation=https://www.imdb.com/title/tt14466018/fullcredits/,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BBC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HYPERLINK("https://en.wikipedia.org/wiki/Blue_Light","Open source")</x:f>
        <x:v>HYPERLINK is not implemented. linkLocation=https://en.wikipedia.org/wiki/Blue_Light, friendlyName=Open source</x:v>
      </x:c>
      <x:c r="AN179" s="14" t="str">
        <x:v>BBC public-service commission</x:v>
      </x:c>
      <x:c r="AO179" s="14" t="str">
        <x:v>Yes</x:v>
      </x:c>
      <x:c r="AP179" s="14" t="str">
        <x:v>Direct BBC public-service scope</x:v>
      </x:c>
      <x:c r="AQ179" s="14" t="str">
        <x:v>Yes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19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0.05263157894736842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4" t="str">
        <x:v>HYPERLINK is not implemented. linkLocation=https://www.imdb.com/title/tt14466018/fullcredits/,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tt14466018|nm3671126|richmond</x:v>
      </x:c>
      <x:c r="B180" s="14" t="str">
        <x:v>01</x:v>
      </x:c>
      <x:c r="C180" s="14" t="str">
        <x:v>2023_IMDb_Cast_Lists_Batch_01(2).xlsx</x:v>
      </x:c>
      <x:c r="D180" s="14" t="str">
        <x:v>Blue Lights</x:v>
      </x:c>
      <x:c r="E180" s="14" t="n">
        <x:v>104</x:v>
      </x:c>
      <x:c r="F180" s="14" t="str">
        <x:v>Blue Lights</x:v>
      </x:c>
      <x:c r="G180" s="14" t="str">
        <x:v>tt14466018</x:v>
      </x:c>
      <x:c r="H180" s="14" t="n">
        <x:v>2023</x:v>
      </x:c>
      <x:c r="I180" s="14" t="n">
        <x:v>2025</x:v>
      </x:c>
      <x:c r="J180" s="14" t="str">
        <x:v>Earlier-Production Carry-In Cohort</x:v>
      </x:c>
      <x:c r="K180" s="14" t="n">
        <x:v>2023</x:v>
      </x:c>
      <x:c r="L180" s="14" t="str">
        <x:v>Used in 2025 annual analysis</x:v>
      </x:c>
      <x:c r="M180" s="15" t="n">
        <x:v>97</x:v>
      </x:c>
      <x:c r="N180" s="14" t="str">
        <x:v>Peter Mitchell</x:v>
      </x:c>
      <x:c r="O180" s="14" t="str">
        <x:v>nm3671126</x:v>
      </x:c>
      <x:c r="P180" s="14" t="str">
        <x:v>Richmond</x:v>
      </x:c>
      <x:c r="Q180" s="15" t="n">
        <x:v>1</x:v>
      </x:c>
      <x:c r="R180" s="14" t="str">
        <x:v>2025</x:v>
      </x:c>
      <x:c r="S180" s="14" t="n">
        <x:v>2025</x:v>
      </x:c>
      <x:c r="T180" s="14" t="n">
        <x:v>2025</x:v>
      </x:c>
      <x:c r="U180" s="14" t="str">
        <x:v>Explicit source first year retained</x:v>
      </x:c>
      <x:c r="V180" s="14" t="str">
        <x:v>Earliest supplied year is 2025.</x:v>
      </x:c>
      <x:c r="W180" s="14"/>
      <x:c r="X180" s="14" t="str">
        <x:v>Included</x:v>
      </x:c>
      <x:c r="Y180" s="14"/>
      <x:c r="Z180" s="14" t="str">
        <x:v>Blue Lights.docx</x:v>
      </x:c>
      <x:c r="AA180" s="14" t="str">
        <x:v>HYPERLINK is not implemented. linkLocation=https://www.imdb.com/title/tt14466018/fullcredits/, friendlyName=Open source</x:v>
      </x:c>
      <x:c r="AB180" s="14" t="str">
        <x:v>Existing established-register match</x:v>
      </x:c>
      <x:c r="AC180" s="14" t="str">
        <x:v>Wheelchair user | Physical disability</x:v>
      </x:c>
      <x:c r="AD180" s="14" t="str">
        <x:v>Existing register classification: Wheelchair user | Physical disability</x:v>
      </x:c>
      <x:c r="AE180" s="14" t="str">
        <x:v>Established_Disability_Category_Register V1.2.xlsx</x:v>
      </x:c>
      <x:c r="AF180" s="14"/>
      <x:c r="AG180" s="14" t="str">
        <x:v>Established user-supplied classification retained for deduplication; evidence was not re-researched in this batch.</x:v>
      </x:c>
      <x:c r="AH180" s="14" t="str">
        <x:v>BBC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HYPERLINK("https://en.wikipedia.org/wiki/Blue_Light","Open source")</x:f>
        <x:v>HYPERLINK is not implemented. linkLocation=https://en.wikipedia.org/wiki/Blue_Light, friendlyName=Open source</x:v>
      </x:c>
      <x:c r="AN180" s="14" t="str">
        <x:v>BBC public-service commission</x:v>
      </x:c>
      <x:c r="AO180" s="14" t="str">
        <x:v>Yes</x:v>
      </x:c>
      <x:c r="AP180" s="14" t="str">
        <x:v>Direct BBC public-service scope</x:v>
      </x:c>
      <x:c r="AQ180" s="14" t="str">
        <x:v>Yes</x:v>
      </x:c>
      <x:c r="AR180" s="14" t="str">
        <x:v>Resolved from master register</x:v>
      </x:c>
      <x:c r="AS180" s="14" t="str">
        <x:v>Exact IMDb performer ID match</x:v>
      </x:c>
      <x:c r="AT180" s="14" t="str">
        <x:v>nm3671126</x:v>
      </x:c>
      <x:c r="AU180" s="14" t="str">
        <x:v>Wheelchair user | Physical disability</x:v>
      </x:c>
      <x:c r="AV180" s="14" t="str">
        <x:v>Yes</x:v>
      </x:c>
      <x:c r="AW180" s="14" t="str">
        <x:v>Wheelchair user | Physical disability</x:v>
      </x:c>
      <x:c r="AX180" s="14" t="str">
        <x:v>No</x:v>
      </x:c>
      <x:c r="AY180" s="14" t="str">
        <x:v>Matched</x:v>
      </x:c>
      <x:c r="AZ180" s="14" t="str">
        <x:v>Final supplied register</x:v>
      </x:c>
      <x:c r="BA180" s="14"/>
      <x:c r="BB180" s="14" t="str">
        <x:v>Exact IMDb performer ID match</x:v>
      </x:c>
      <x:c r="BC180" s="14" t="str">
        <x:v>nm3671126</x:v>
      </x:c>
      <x:c r="BD180" s="14" t="str">
        <x:v>Peter Mitchell</x:v>
      </x:c>
      <x:c r="BE180" s="14" t="str">
        <x:v>Wheelchair user | Physical disability</x:v>
      </x:c>
      <x:c r="BF180" s="14" t="str">
        <x:v>Yes</x:v>
      </x:c>
      <x:c r="BG180" s="14" t="str">
        <x:v>Wheelchair user | Physical disability</x:v>
      </x:c>
      <x:c r="BH180" s="14" t="str">
        <x:v>No</x:v>
      </x:c>
      <x:c r="BI180" s="14" t="str">
        <x:v>User-supplied established classification</x:v>
      </x:c>
      <x:c r="BJ180" s="14" t="str">
        <x:v>03_Wheelchair_user.csv | 04_Physical_disability.csv</x:v>
      </x:c>
      <x:c r="BK180" s="14"/>
      <x:c r="BL180" s="14" t="str">
        <x:v>Matched</x:v>
      </x:c>
      <x:c r="BM180" s="14" t="str">
        <x:v>Final supplied register</x:v>
      </x:c>
      <x:c r="BN180" s="14"/>
      <x:c r="BO180" s="14" t="n">
        <x:v>19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0.05263157894736842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4" t="str">
        <x:v>HYPERLINK is not implemented. linkLocation=https://www.imdb.com/title/tt14466018/fullcredits/,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tt14466018|nm3296429|pete maginn</x:v>
      </x:c>
      <x:c r="B181" s="14" t="str">
        <x:v>01</x:v>
      </x:c>
      <x:c r="C181" s="14" t="str">
        <x:v>2023_IMDb_Cast_Lists_Batch_01(2).xlsx</x:v>
      </x:c>
      <x:c r="D181" s="14" t="str">
        <x:v>Blue Lights</x:v>
      </x:c>
      <x:c r="E181" s="14" t="n">
        <x:v>105</x:v>
      </x:c>
      <x:c r="F181" s="14" t="str">
        <x:v>Blue Lights</x:v>
      </x:c>
      <x:c r="G181" s="14" t="str">
        <x:v>tt14466018</x:v>
      </x:c>
      <x:c r="H181" s="14" t="n">
        <x:v>2023</x:v>
      </x:c>
      <x:c r="I181" s="14" t="n">
        <x:v>2025</x:v>
      </x:c>
      <x:c r="J181" s="14" t="str">
        <x:v>Earlier-Production Carry-In Cohort</x:v>
      </x:c>
      <x:c r="K181" s="14" t="n">
        <x:v>2023</x:v>
      </x:c>
      <x:c r="L181" s="14" t="str">
        <x:v>Used in 2025 annual analysis</x:v>
      </x:c>
      <x:c r="M181" s="15" t="n">
        <x:v>98</x:v>
      </x:c>
      <x:c r="N181" s="14" t="str">
        <x:v>Stephen Kelly</x:v>
      </x:c>
      <x:c r="O181" s="14" t="str">
        <x:v>nm3296429</x:v>
      </x:c>
      <x:c r="P181" s="14" t="str">
        <x:v>Pete Maginn</x:v>
      </x:c>
      <x:c r="Q181" s="15" t="n">
        <x:v>1</x:v>
      </x:c>
      <x:c r="R181" s="14" t="str">
        <x:v>2025</x:v>
      </x:c>
      <x:c r="S181" s="14" t="n">
        <x:v>2025</x:v>
      </x:c>
      <x:c r="T181" s="14" t="n">
        <x:v>2025</x:v>
      </x:c>
      <x:c r="U181" s="14" t="str">
        <x:v>Explicit source first year retained</x:v>
      </x:c>
      <x:c r="V181" s="14" t="str">
        <x:v>Earliest supplied year is 2025.</x:v>
      </x:c>
      <x:c r="W181" s="14"/>
      <x:c r="X181" s="14" t="str">
        <x:v>Included</x:v>
      </x:c>
      <x:c r="Y181" s="14"/>
      <x:c r="Z181" s="14" t="str">
        <x:v>Blue Lights.docx</x:v>
      </x:c>
      <x:c r="AA181" s="14" t="str">
        <x:v>HYPERLINK is not implemented. linkLocation=https://www.imdb.com/title/tt14466018/fullcredits/,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BBC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HYPERLINK("https://en.wikipedia.org/wiki/Blue_Light","Open source")</x:f>
        <x:v>HYPERLINK is not implemented. linkLocation=https://en.wikipedia.org/wiki/Blue_Light, friendlyName=Open source</x:v>
      </x:c>
      <x:c r="AN181" s="14" t="str">
        <x:v>BBC public-service commission</x:v>
      </x:c>
      <x:c r="AO181" s="14" t="str">
        <x:v>Yes</x:v>
      </x:c>
      <x:c r="AP181" s="14" t="str">
        <x:v>Direct BBC public-service scope</x:v>
      </x:c>
      <x:c r="AQ181" s="14" t="str">
        <x:v>Yes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19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0.05263157894736842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4" t="str">
        <x:v>HYPERLINK is not implemented. linkLocation=https://www.imdb.com/title/tt14466018/fullcredits/,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tt14466018|nm14809577|kenny</x:v>
      </x:c>
      <x:c r="B182" s="14" t="str">
        <x:v>01</x:v>
      </x:c>
      <x:c r="C182" s="14" t="str">
        <x:v>2023_IMDb_Cast_Lists_Batch_01(2).xlsx</x:v>
      </x:c>
      <x:c r="D182" s="14" t="str">
        <x:v>Blue Lights</x:v>
      </x:c>
      <x:c r="E182" s="14" t="n">
        <x:v>107</x:v>
      </x:c>
      <x:c r="F182" s="14" t="str">
        <x:v>Blue Lights</x:v>
      </x:c>
      <x:c r="G182" s="14" t="str">
        <x:v>tt14466018</x:v>
      </x:c>
      <x:c r="H182" s="14" t="n">
        <x:v>2023</x:v>
      </x:c>
      <x:c r="I182" s="14" t="n">
        <x:v>2025</x:v>
      </x:c>
      <x:c r="J182" s="14" t="str">
        <x:v>Earlier-Production Carry-In Cohort</x:v>
      </x:c>
      <x:c r="K182" s="14" t="n">
        <x:v>2023</x:v>
      </x:c>
      <x:c r="L182" s="14" t="str">
        <x:v>Used in 2025 annual analysis</x:v>
      </x:c>
      <x:c r="M182" s="15" t="n">
        <x:v>100</x:v>
      </x:c>
      <x:c r="N182" s="14" t="str">
        <x:v>Adam Murphy</x:v>
      </x:c>
      <x:c r="O182" s="14" t="str">
        <x:v>nm14809577</x:v>
      </x:c>
      <x:c r="P182" s="14" t="str">
        <x:v>Kenny</x:v>
      </x:c>
      <x:c r="Q182" s="15" t="n">
        <x:v>1</x:v>
      </x:c>
      <x:c r="R182" s="14" t="str">
        <x:v>2025</x:v>
      </x:c>
      <x:c r="S182" s="14" t="n">
        <x:v>2025</x:v>
      </x:c>
      <x:c r="T182" s="14" t="n">
        <x:v>2025</x:v>
      </x:c>
      <x:c r="U182" s="14" t="str">
        <x:v>Explicit source first year retained</x:v>
      </x:c>
      <x:c r="V182" s="14" t="str">
        <x:v>Earliest supplied year is 2025.</x:v>
      </x:c>
      <x:c r="W182" s="14"/>
      <x:c r="X182" s="14" t="str">
        <x:v>Included</x:v>
      </x:c>
      <x:c r="Y182" s="14"/>
      <x:c r="Z182" s="14" t="str">
        <x:v>Blue Lights.docx</x:v>
      </x:c>
      <x:c r="AA182" s="14" t="str">
        <x:v>HYPERLINK is not implemented. linkLocation=https://www.imdb.com/title/tt14466018/fullcredits/,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BBC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HYPERLINK("https://en.wikipedia.org/wiki/Blue_Light","Open source")</x:f>
        <x:v>HYPERLINK is not implemented. linkLocation=https://en.wikipedia.org/wiki/Blue_Light, friendlyName=Open source</x:v>
      </x:c>
      <x:c r="AN182" s="14" t="str">
        <x:v>BBC public-service commission</x:v>
      </x:c>
      <x:c r="AO182" s="14" t="str">
        <x:v>Yes</x:v>
      </x:c>
      <x:c r="AP182" s="14" t="str">
        <x:v>Direct BBC public-service scope</x:v>
      </x:c>
      <x:c r="AQ182" s="14" t="str">
        <x:v>Yes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19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0.05263157894736842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4" t="str">
        <x:v>HYPERLINK is not implemented. linkLocation=https://www.imdb.com/title/tt14466018/fullcredits/,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tt14466018|nm7965844|sammi bei</x:v>
      </x:c>
      <x:c r="B183" s="14" t="str">
        <x:v>01</x:v>
      </x:c>
      <x:c r="C183" s="14" t="str">
        <x:v>2023_IMDb_Cast_Lists_Batch_01(2).xlsx</x:v>
      </x:c>
      <x:c r="D183" s="14" t="str">
        <x:v>Blue Lights</x:v>
      </x:c>
      <x:c r="E183" s="14" t="n">
        <x:v>116</x:v>
      </x:c>
      <x:c r="F183" s="14" t="str">
        <x:v>Blue Lights</x:v>
      </x:c>
      <x:c r="G183" s="14" t="str">
        <x:v>tt14466018</x:v>
      </x:c>
      <x:c r="H183" s="14" t="n">
        <x:v>2023</x:v>
      </x:c>
      <x:c r="I183" s="14" t="n">
        <x:v>2025</x:v>
      </x:c>
      <x:c r="J183" s="14" t="str">
        <x:v>Earlier-Production Carry-In Cohort</x:v>
      </x:c>
      <x:c r="K183" s="14" t="n">
        <x:v>2023</x:v>
      </x:c>
      <x:c r="L183" s="14" t="str">
        <x:v>Used in 2025 annual analysis</x:v>
      </x:c>
      <x:c r="M183" s="15" t="n">
        <x:v>109</x:v>
      </x:c>
      <x:c r="N183" s="14" t="str">
        <x:v>Mei Mac</x:v>
      </x:c>
      <x:c r="O183" s="14" t="str">
        <x:v>nm7965844</x:v>
      </x:c>
      <x:c r="P183" s="14" t="str">
        <x:v>Sammi Bei</x:v>
      </x:c>
      <x:c r="Q183" s="15" t="n">
        <x:v>1</x:v>
      </x:c>
      <x:c r="R183" s="14" t="str">
        <x:v>2025</x:v>
      </x:c>
      <x:c r="S183" s="14" t="n">
        <x:v>2025</x:v>
      </x:c>
      <x:c r="T183" s="14" t="n">
        <x:v>2025</x:v>
      </x:c>
      <x:c r="U183" s="14" t="str">
        <x:v>Explicit source first year retained</x:v>
      </x:c>
      <x:c r="V183" s="14" t="str">
        <x:v>Earliest supplied year is 2025.</x:v>
      </x:c>
      <x:c r="W183" s="14"/>
      <x:c r="X183" s="14" t="str">
        <x:v>Included</x:v>
      </x:c>
      <x:c r="Y183" s="14"/>
      <x:c r="Z183" s="14" t="str">
        <x:v>Blue Lights.docx</x:v>
      </x:c>
      <x:c r="AA183" s="14" t="str">
        <x:v>HYPERLINK is not implemented. linkLocation=https://www.imdb.com/title/tt14466018/fullcredits/,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BBC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HYPERLINK("https://en.wikipedia.org/wiki/Blue_Light","Open source")</x:f>
        <x:v>HYPERLINK is not implemented. linkLocation=https://en.wikipedia.org/wiki/Blue_Light, friendlyName=Open source</x:v>
      </x:c>
      <x:c r="AN183" s="14" t="str">
        <x:v>BBC public-service commission</x:v>
      </x:c>
      <x:c r="AO183" s="14" t="str">
        <x:v>Yes</x:v>
      </x:c>
      <x:c r="AP183" s="14" t="str">
        <x:v>Direct BBC public-service scope</x:v>
      </x:c>
      <x:c r="AQ183" s="14" t="str">
        <x:v>Yes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19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0.05263157894736842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4" t="str">
        <x:v>HYPERLINK is not implemented. linkLocation=https://www.imdb.com/title/tt14466018/fullcredits/,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tt14466018|nm7220172|ro</x:v>
      </x:c>
      <x:c r="B184" s="14" t="str">
        <x:v>01</x:v>
      </x:c>
      <x:c r="C184" s="14" t="str">
        <x:v>2023_IMDb_Cast_Lists_Batch_01(2).xlsx</x:v>
      </x:c>
      <x:c r="D184" s="14" t="str">
        <x:v>Blue Lights</x:v>
      </x:c>
      <x:c r="E184" s="14" t="n">
        <x:v>117</x:v>
      </x:c>
      <x:c r="F184" s="14" t="str">
        <x:v>Blue Lights</x:v>
      </x:c>
      <x:c r="G184" s="14" t="str">
        <x:v>tt14466018</x:v>
      </x:c>
      <x:c r="H184" s="14" t="n">
        <x:v>2023</x:v>
      </x:c>
      <x:c r="I184" s="14" t="n">
        <x:v>2025</x:v>
      </x:c>
      <x:c r="J184" s="14" t="str">
        <x:v>Earlier-Production Carry-In Cohort</x:v>
      </x:c>
      <x:c r="K184" s="14" t="n">
        <x:v>2023</x:v>
      </x:c>
      <x:c r="L184" s="14" t="str">
        <x:v>Used in 2025 annual analysis</x:v>
      </x:c>
      <x:c r="M184" s="15" t="n">
        <x:v>110</x:v>
      </x:c>
      <x:c r="N184" s="14" t="str">
        <x:v>Mary O'Loan</x:v>
      </x:c>
      <x:c r="O184" s="14" t="str">
        <x:v>nm7220172</x:v>
      </x:c>
      <x:c r="P184" s="14" t="str">
        <x:v>Ro</x:v>
      </x:c>
      <x:c r="Q184" s="15" t="n">
        <x:v>1</x:v>
      </x:c>
      <x:c r="R184" s="14" t="str">
        <x:v>2025</x:v>
      </x:c>
      <x:c r="S184" s="14" t="n">
        <x:v>2025</x:v>
      </x:c>
      <x:c r="T184" s="14" t="n">
        <x:v>2025</x:v>
      </x:c>
      <x:c r="U184" s="14" t="str">
        <x:v>Explicit source first year retained</x:v>
      </x:c>
      <x:c r="V184" s="14" t="str">
        <x:v>Earliest supplied year is 2025.</x:v>
      </x:c>
      <x:c r="W184" s="14"/>
      <x:c r="X184" s="14" t="str">
        <x:v>Included</x:v>
      </x:c>
      <x:c r="Y184" s="14"/>
      <x:c r="Z184" s="14" t="str">
        <x:v>Blue Lights.docx</x:v>
      </x:c>
      <x:c r="AA184" s="14" t="str">
        <x:v>HYPERLINK is not implemented. linkLocation=https://www.imdb.com/title/tt14466018/fullcredits/,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BBC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HYPERLINK("https://en.wikipedia.org/wiki/Blue_Light","Open source")</x:f>
        <x:v>HYPERLINK is not implemented. linkLocation=https://en.wikipedia.org/wiki/Blue_Light, friendlyName=Open source</x:v>
      </x:c>
      <x:c r="AN184" s="14" t="str">
        <x:v>BBC public-service commission</x:v>
      </x:c>
      <x:c r="AO184" s="14" t="str">
        <x:v>Yes</x:v>
      </x:c>
      <x:c r="AP184" s="14" t="str">
        <x:v>Direct BBC public-service scope</x:v>
      </x:c>
      <x:c r="AQ184" s="14" t="str">
        <x:v>Yes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19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0.05263157894736842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4" t="str">
        <x:v>HYPERLINK is not implemented. linkLocation=https://www.imdb.com/title/tt14466018/fullcredits/,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tt14466018|nm0510180|raymie</x:v>
      </x:c>
      <x:c r="B185" s="14" t="str">
        <x:v>01</x:v>
      </x:c>
      <x:c r="C185" s="14" t="str">
        <x:v>2023_IMDb_Cast_Lists_Batch_01(2).xlsx</x:v>
      </x:c>
      <x:c r="D185" s="14" t="str">
        <x:v>Blue Lights</x:v>
      </x:c>
      <x:c r="E185" s="14" t="n">
        <x:v>122</x:v>
      </x:c>
      <x:c r="F185" s="14" t="str">
        <x:v>Blue Lights</x:v>
      </x:c>
      <x:c r="G185" s="14" t="str">
        <x:v>tt14466018</x:v>
      </x:c>
      <x:c r="H185" s="14" t="n">
        <x:v>2023</x:v>
      </x:c>
      <x:c r="I185" s="14" t="n">
        <x:v>2025</x:v>
      </x:c>
      <x:c r="J185" s="14" t="str">
        <x:v>Earlier-Production Carry-In Cohort</x:v>
      </x:c>
      <x:c r="K185" s="14" t="n">
        <x:v>2023</x:v>
      </x:c>
      <x:c r="L185" s="14" t="str">
        <x:v>Used in 2025 annual analysis</x:v>
      </x:c>
      <x:c r="M185" s="15" t="n">
        <x:v>115</x:v>
      </x:c>
      <x:c r="N185" s="14" t="str">
        <x:v>Gary Lilburn</x:v>
      </x:c>
      <x:c r="O185" s="14" t="str">
        <x:v>nm0510180</x:v>
      </x:c>
      <x:c r="P185" s="14" t="str">
        <x:v>Raymie</x:v>
      </x:c>
      <x:c r="Q185" s="15" t="n">
        <x:v>1</x:v>
      </x:c>
      <x:c r="R185" s="14" t="str">
        <x:v>2025</x:v>
      </x:c>
      <x:c r="S185" s="14" t="n">
        <x:v>2025</x:v>
      </x:c>
      <x:c r="T185" s="14" t="n">
        <x:v>2025</x:v>
      </x:c>
      <x:c r="U185" s="14" t="str">
        <x:v>Explicit source first year retained</x:v>
      </x:c>
      <x:c r="V185" s="14" t="str">
        <x:v>Earliest supplied year is 2025.</x:v>
      </x:c>
      <x:c r="W185" s="14"/>
      <x:c r="X185" s="14" t="str">
        <x:v>Included</x:v>
      </x:c>
      <x:c r="Y185" s="14"/>
      <x:c r="Z185" s="14" t="str">
        <x:v>Blue Lights.docx</x:v>
      </x:c>
      <x:c r="AA185" s="14" t="str">
        <x:v>HYPERLINK is not implemented. linkLocation=https://www.imdb.com/title/tt14466018/fullcredits/,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BBC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HYPERLINK("https://en.wikipedia.org/wiki/Blue_Light","Open source")</x:f>
        <x:v>HYPERLINK is not implemented. linkLocation=https://en.wikipedia.org/wiki/Blue_Light, friendlyName=Open source</x:v>
      </x:c>
      <x:c r="AN185" s="14" t="str">
        <x:v>BBC public-service commission</x:v>
      </x:c>
      <x:c r="AO185" s="14" t="str">
        <x:v>Yes</x:v>
      </x:c>
      <x:c r="AP185" s="14" t="str">
        <x:v>Direct BBC public-service scope</x:v>
      </x:c>
      <x:c r="AQ185" s="14" t="str">
        <x:v>Yes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19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0.05263157894736842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4" t="str">
        <x:v>HYPERLINK is not implemented. linkLocation=https://www.imdb.com/title/tt14466018/fullcredits/,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tt14466018|nm1944242|gavin bunting</x:v>
      </x:c>
      <x:c r="B186" s="14" t="str">
        <x:v>01</x:v>
      </x:c>
      <x:c r="C186" s="14" t="str">
        <x:v>2023_IMDb_Cast_Lists_Batch_01(2).xlsx</x:v>
      </x:c>
      <x:c r="D186" s="14" t="str">
        <x:v>Blue Lights</x:v>
      </x:c>
      <x:c r="E186" s="14" t="n">
        <x:v>123</x:v>
      </x:c>
      <x:c r="F186" s="14" t="str">
        <x:v>Blue Lights</x:v>
      </x:c>
      <x:c r="G186" s="14" t="str">
        <x:v>tt14466018</x:v>
      </x:c>
      <x:c r="H186" s="14" t="n">
        <x:v>2023</x:v>
      </x:c>
      <x:c r="I186" s="14" t="n">
        <x:v>2025</x:v>
      </x:c>
      <x:c r="J186" s="14" t="str">
        <x:v>Earlier-Production Carry-In Cohort</x:v>
      </x:c>
      <x:c r="K186" s="14" t="n">
        <x:v>2023</x:v>
      </x:c>
      <x:c r="L186" s="14" t="str">
        <x:v>Used in 2025 annual analysis</x:v>
      </x:c>
      <x:c r="M186" s="15" t="n">
        <x:v>116</x:v>
      </x:c>
      <x:c r="N186" s="14" t="str">
        <x:v>Patrick Buchanan</x:v>
      </x:c>
      <x:c r="O186" s="14" t="str">
        <x:v>nm1944242</x:v>
      </x:c>
      <x:c r="P186" s="14" t="str">
        <x:v>Gavin Bunting</x:v>
      </x:c>
      <x:c r="Q186" s="15" t="n">
        <x:v>1</x:v>
      </x:c>
      <x:c r="R186" s="14" t="str">
        <x:v>2025</x:v>
      </x:c>
      <x:c r="S186" s="14" t="n">
        <x:v>2025</x:v>
      </x:c>
      <x:c r="T186" s="14" t="n">
        <x:v>2025</x:v>
      </x:c>
      <x:c r="U186" s="14" t="str">
        <x:v>Explicit source first year retained</x:v>
      </x:c>
      <x:c r="V186" s="14" t="str">
        <x:v>Earliest supplied year is 2025.</x:v>
      </x:c>
      <x:c r="W186" s="14"/>
      <x:c r="X186" s="14" t="str">
        <x:v>Included</x:v>
      </x:c>
      <x:c r="Y186" s="14"/>
      <x:c r="Z186" s="14" t="str">
        <x:v>Blue Lights.docx</x:v>
      </x:c>
      <x:c r="AA186" s="14" t="str">
        <x:v>HYPERLINK is not implemented. linkLocation=https://www.imdb.com/title/tt14466018/fullcredits/,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BBC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HYPERLINK("https://en.wikipedia.org/wiki/Blue_Light","Open source")</x:f>
        <x:v>HYPERLINK is not implemented. linkLocation=https://en.wikipedia.org/wiki/Blue_Light, friendlyName=Open source</x:v>
      </x:c>
      <x:c r="AN186" s="14" t="str">
        <x:v>BBC public-service commission</x:v>
      </x:c>
      <x:c r="AO186" s="14" t="str">
        <x:v>Yes</x:v>
      </x:c>
      <x:c r="AP186" s="14" t="str">
        <x:v>Direct BBC public-service scope</x:v>
      </x:c>
      <x:c r="AQ186" s="14" t="str">
        <x:v>Yes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19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0.05263157894736842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4" t="str">
        <x:v>HYPERLINK is not implemented. linkLocation=https://www.imdb.com/title/tt14466018/fullcredits/,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tt14466018|nm10725242|dj at party</x:v>
      </x:c>
      <x:c r="B187" s="14" t="str">
        <x:v>01</x:v>
      </x:c>
      <x:c r="C187" s="14" t="str">
        <x:v>2023_IMDb_Cast_Lists_Batch_01(2).xlsx</x:v>
      </x:c>
      <x:c r="D187" s="14" t="str">
        <x:v>Blue Lights</x:v>
      </x:c>
      <x:c r="E187" s="14" t="n">
        <x:v>124</x:v>
      </x:c>
      <x:c r="F187" s="14" t="str">
        <x:v>Blue Lights</x:v>
      </x:c>
      <x:c r="G187" s="14" t="str">
        <x:v>tt14466018</x:v>
      </x:c>
      <x:c r="H187" s="14" t="n">
        <x:v>2023</x:v>
      </x:c>
      <x:c r="I187" s="14" t="n">
        <x:v>2025</x:v>
      </x:c>
      <x:c r="J187" s="14" t="str">
        <x:v>Earlier-Production Carry-In Cohort</x:v>
      </x:c>
      <x:c r="K187" s="14" t="n">
        <x:v>2023</x:v>
      </x:c>
      <x:c r="L187" s="14" t="str">
        <x:v>Used in 2025 annual analysis</x:v>
      </x:c>
      <x:c r="M187" s="15" t="n">
        <x:v>117</x:v>
      </x:c>
      <x:c r="N187" s="14" t="str">
        <x:v>Adam Patterson</x:v>
      </x:c>
      <x:c r="O187" s="14" t="str">
        <x:v>nm10725242</x:v>
      </x:c>
      <x:c r="P187" s="14" t="str">
        <x:v>DJ at Party</x:v>
      </x:c>
      <x:c r="Q187" s="15" t="n">
        <x:v>1</x:v>
      </x:c>
      <x:c r="R187" s="14" t="str">
        <x:v>2025</x:v>
      </x:c>
      <x:c r="S187" s="14" t="n">
        <x:v>2025</x:v>
      </x:c>
      <x:c r="T187" s="14" t="n">
        <x:v>2025</x:v>
      </x:c>
      <x:c r="U187" s="14" t="str">
        <x:v>Explicit source first year retained</x:v>
      </x:c>
      <x:c r="V187" s="14" t="str">
        <x:v>Earliest supplied year is 2025.</x:v>
      </x:c>
      <x:c r="W187" s="14"/>
      <x:c r="X187" s="14" t="str">
        <x:v>Included</x:v>
      </x:c>
      <x:c r="Y187" s="14"/>
      <x:c r="Z187" s="14" t="str">
        <x:v>Blue Lights.docx</x:v>
      </x:c>
      <x:c r="AA187" s="14" t="str">
        <x:v>HYPERLINK is not implemented. linkLocation=https://www.imdb.com/title/tt14466018/fullcredits/,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BBC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HYPERLINK("https://en.wikipedia.org/wiki/Blue_Light","Open source")</x:f>
        <x:v>HYPERLINK is not implemented. linkLocation=https://en.wikipedia.org/wiki/Blue_Light, friendlyName=Open source</x:v>
      </x:c>
      <x:c r="AN187" s="14" t="str">
        <x:v>BBC public-service commission</x:v>
      </x:c>
      <x:c r="AO187" s="14" t="str">
        <x:v>Yes</x:v>
      </x:c>
      <x:c r="AP187" s="14" t="str">
        <x:v>Direct BBC public-service scope</x:v>
      </x:c>
      <x:c r="AQ187" s="14" t="str">
        <x:v>Yes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19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0.05263157894736842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4" t="str">
        <x:v>HYPERLINK is not implemented. linkLocation=https://www.imdb.com/title/tt14466018/fullcredits/,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tt14466018|nm17727318|olivia bunting</x:v>
      </x:c>
      <x:c r="B188" s="14" t="str">
        <x:v>01</x:v>
      </x:c>
      <x:c r="C188" s="14" t="str">
        <x:v>2023_IMDb_Cast_Lists_Batch_01(2).xlsx</x:v>
      </x:c>
      <x:c r="D188" s="14" t="str">
        <x:v>Blue Lights</x:v>
      </x:c>
      <x:c r="E188" s="14" t="n">
        <x:v>127</x:v>
      </x:c>
      <x:c r="F188" s="14" t="str">
        <x:v>Blue Lights</x:v>
      </x:c>
      <x:c r="G188" s="14" t="str">
        <x:v>tt14466018</x:v>
      </x:c>
      <x:c r="H188" s="14" t="n">
        <x:v>2023</x:v>
      </x:c>
      <x:c r="I188" s="14" t="n">
        <x:v>2025</x:v>
      </x:c>
      <x:c r="J188" s="14" t="str">
        <x:v>Earlier-Production Carry-In Cohort</x:v>
      </x:c>
      <x:c r="K188" s="14" t="n">
        <x:v>2023</x:v>
      </x:c>
      <x:c r="L188" s="14" t="str">
        <x:v>Used in 2025 annual analysis</x:v>
      </x:c>
      <x:c r="M188" s="15" t="n">
        <x:v>120</x:v>
      </x:c>
      <x:c r="N188" s="14" t="str">
        <x:v>Charlotte Prentice</x:v>
      </x:c>
      <x:c r="O188" s="14" t="str">
        <x:v>nm17727318</x:v>
      </x:c>
      <x:c r="P188" s="14" t="str">
        <x:v>Olivia Bunting</x:v>
      </x:c>
      <x:c r="Q188" s="15" t="n">
        <x:v>1</x:v>
      </x:c>
      <x:c r="R188" s="14" t="str">
        <x:v>2025</x:v>
      </x:c>
      <x:c r="S188" s="14" t="n">
        <x:v>2025</x:v>
      </x:c>
      <x:c r="T188" s="14" t="n">
        <x:v>2025</x:v>
      </x:c>
      <x:c r="U188" s="14" t="str">
        <x:v>Explicit source first year retained</x:v>
      </x:c>
      <x:c r="V188" s="14" t="str">
        <x:v>Earliest supplied year is 2025.</x:v>
      </x:c>
      <x:c r="W188" s="14"/>
      <x:c r="X188" s="14" t="str">
        <x:v>Included</x:v>
      </x:c>
      <x:c r="Y188" s="14"/>
      <x:c r="Z188" s="14" t="str">
        <x:v>Blue Lights.docx</x:v>
      </x:c>
      <x:c r="AA188" s="14" t="str">
        <x:v>HYPERLINK is not implemented. linkLocation=https://www.imdb.com/title/tt14466018/fullcredits/,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BBC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HYPERLINK("https://en.wikipedia.org/wiki/Blue_Light","Open source")</x:f>
        <x:v>HYPERLINK is not implemented. linkLocation=https://en.wikipedia.org/wiki/Blue_Light, friendlyName=Open source</x:v>
      </x:c>
      <x:c r="AN188" s="14" t="str">
        <x:v>BBC public-service commission</x:v>
      </x:c>
      <x:c r="AO188" s="14" t="str">
        <x:v>Yes</x:v>
      </x:c>
      <x:c r="AP188" s="14" t="str">
        <x:v>Direct BBC public-service scope</x:v>
      </x:c>
      <x:c r="AQ188" s="14" t="str">
        <x:v>Yes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19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1</x:v>
      </x:c>
      <x:c r="BS188" s="16" t="n">
        <x:v>0.05263157894736842</x:v>
      </x:c>
      <x:c r="BT188" s="14" t="str">
        <x:v>One episode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HYPERLINK is not implemented. linkLocation=https://www.imdb.com/title/tt14466018/fullcredits/,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tt14466018|nm2703591|andrea bunting</x:v>
      </x:c>
      <x:c r="B189" s="14" t="str">
        <x:v>01</x:v>
      </x:c>
      <x:c r="C189" s="14" t="str">
        <x:v>2023_IMDb_Cast_Lists_Batch_01(2).xlsx</x:v>
      </x:c>
      <x:c r="D189" s="14" t="str">
        <x:v>Blue Lights</x:v>
      </x:c>
      <x:c r="E189" s="14" t="n">
        <x:v>129</x:v>
      </x:c>
      <x:c r="F189" s="14" t="str">
        <x:v>Blue Lights</x:v>
      </x:c>
      <x:c r="G189" s="14" t="str">
        <x:v>tt14466018</x:v>
      </x:c>
      <x:c r="H189" s="14" t="n">
        <x:v>2023</x:v>
      </x:c>
      <x:c r="I189" s="14" t="n">
        <x:v>2025</x:v>
      </x:c>
      <x:c r="J189" s="14" t="str">
        <x:v>Earlier-Production Carry-In Cohort</x:v>
      </x:c>
      <x:c r="K189" s="14" t="n">
        <x:v>2023</x:v>
      </x:c>
      <x:c r="L189" s="14" t="str">
        <x:v>Used in 2025 annual analysis</x:v>
      </x:c>
      <x:c r="M189" s="15" t="n">
        <x:v>122</x:v>
      </x:c>
      <x:c r="N189" s="14" t="str">
        <x:v>Karen Hassan</x:v>
      </x:c>
      <x:c r="O189" s="14" t="str">
        <x:v>nm2703591</x:v>
      </x:c>
      <x:c r="P189" s="14" t="str">
        <x:v>Andrea Bunting</x:v>
      </x:c>
      <x:c r="Q189" s="15" t="n">
        <x:v>1</x:v>
      </x:c>
      <x:c r="R189" s="14" t="str">
        <x:v>2025</x:v>
      </x:c>
      <x:c r="S189" s="14" t="n">
        <x:v>2025</x:v>
      </x:c>
      <x:c r="T189" s="14" t="n">
        <x:v>2025</x:v>
      </x:c>
      <x:c r="U189" s="14" t="str">
        <x:v>Explicit source first year retained</x:v>
      </x:c>
      <x:c r="V189" s="14" t="str">
        <x:v>Earliest supplied year is 2025.</x:v>
      </x:c>
      <x:c r="W189" s="14"/>
      <x:c r="X189" s="14" t="str">
        <x:v>Included</x:v>
      </x:c>
      <x:c r="Y189" s="14"/>
      <x:c r="Z189" s="14" t="str">
        <x:v>Blue Lights.docx</x:v>
      </x:c>
      <x:c r="AA189" s="14" t="str">
        <x:v>HYPERLINK is not implemented. linkLocation=https://www.imdb.com/title/tt14466018/fullcredits/,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BBC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HYPERLINK("https://en.wikipedia.org/wiki/Blue_Light","Open source")</x:f>
        <x:v>HYPERLINK is not implemented. linkLocation=https://en.wikipedia.org/wiki/Blue_Light, friendlyName=Open source</x:v>
      </x:c>
      <x:c r="AN189" s="14" t="str">
        <x:v>BBC public-service commission</x:v>
      </x:c>
      <x:c r="AO189" s="14" t="str">
        <x:v>Yes</x:v>
      </x:c>
      <x:c r="AP189" s="14" t="str">
        <x:v>Direct BBC public-service scope</x:v>
      </x:c>
      <x:c r="AQ189" s="14" t="str">
        <x:v>Yes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19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1</x:v>
      </x:c>
      <x:c r="BS189" s="16" t="n">
        <x:v>0.05263157894736842</x:v>
      </x:c>
      <x:c r="BT189" s="14" t="str">
        <x:v>One episode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HYPERLINK is not implemented. linkLocation=https://www.imdb.com/title/tt14466018/fullcredits/,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tt14466018|nm7939682|cecilia</x:v>
      </x:c>
      <x:c r="B190" s="14" t="str">
        <x:v>01</x:v>
      </x:c>
      <x:c r="C190" s="14" t="str">
        <x:v>2023_IMDb_Cast_Lists_Batch_01(2).xlsx</x:v>
      </x:c>
      <x:c r="D190" s="14" t="str">
        <x:v>Blue Lights</x:v>
      </x:c>
      <x:c r="E190" s="14" t="n">
        <x:v>130</x:v>
      </x:c>
      <x:c r="F190" s="14" t="str">
        <x:v>Blue Lights</x:v>
      </x:c>
      <x:c r="G190" s="14" t="str">
        <x:v>tt14466018</x:v>
      </x:c>
      <x:c r="H190" s="14" t="n">
        <x:v>2023</x:v>
      </x:c>
      <x:c r="I190" s="14" t="n">
        <x:v>2025</x:v>
      </x:c>
      <x:c r="J190" s="14" t="str">
        <x:v>Earlier-Production Carry-In Cohort</x:v>
      </x:c>
      <x:c r="K190" s="14" t="n">
        <x:v>2023</x:v>
      </x:c>
      <x:c r="L190" s="14" t="str">
        <x:v>Used in 2025 annual analysis</x:v>
      </x:c>
      <x:c r="M190" s="15" t="n">
        <x:v>123</x:v>
      </x:c>
      <x:c r="N190" s="14" t="str">
        <x:v>Caoimhe Farren</x:v>
      </x:c>
      <x:c r="O190" s="14" t="str">
        <x:v>nm7939682</x:v>
      </x:c>
      <x:c r="P190" s="14" t="str">
        <x:v>Cecilia</x:v>
      </x:c>
      <x:c r="Q190" s="15" t="n">
        <x:v>1</x:v>
      </x:c>
      <x:c r="R190" s="14" t="str">
        <x:v>2025</x:v>
      </x:c>
      <x:c r="S190" s="14" t="n">
        <x:v>2025</x:v>
      </x:c>
      <x:c r="T190" s="14" t="n">
        <x:v>2025</x:v>
      </x:c>
      <x:c r="U190" s="14" t="str">
        <x:v>Explicit source first year retained</x:v>
      </x:c>
      <x:c r="V190" s="14" t="str">
        <x:v>Earliest supplied year is 2025.</x:v>
      </x:c>
      <x:c r="W190" s="14"/>
      <x:c r="X190" s="14" t="str">
        <x:v>Included</x:v>
      </x:c>
      <x:c r="Y190" s="14"/>
      <x:c r="Z190" s="14" t="str">
        <x:v>Blue Lights.docx</x:v>
      </x:c>
      <x:c r="AA190" s="14" t="str">
        <x:v>HYPERLINK is not implemented. linkLocation=https://www.imdb.com/title/tt14466018/fullcredits/,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BBC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HYPERLINK("https://en.wikipedia.org/wiki/Blue_Light","Open source")</x:f>
        <x:v>HYPERLINK is not implemented. linkLocation=https://en.wikipedia.org/wiki/Blue_Light, friendlyName=Open source</x:v>
      </x:c>
      <x:c r="AN190" s="14" t="str">
        <x:v>BBC public-service commission</x:v>
      </x:c>
      <x:c r="AO190" s="14" t="str">
        <x:v>Yes</x:v>
      </x:c>
      <x:c r="AP190" s="14" t="str">
        <x:v>Direct BBC public-service scope</x:v>
      </x:c>
      <x:c r="AQ190" s="14" t="str">
        <x:v>Yes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19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1</x:v>
      </x:c>
      <x:c r="BS190" s="16" t="n">
        <x:v>0.05263157894736842</x:v>
      </x:c>
      <x:c r="BT190" s="14" t="str">
        <x:v>One episode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HYPERLINK is not implemented. linkLocation=https://www.imdb.com/title/tt14466018/fullcredits/,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tt14466018|nm4667139|kerry</x:v>
      </x:c>
      <x:c r="B191" s="14" t="str">
        <x:v>01</x:v>
      </x:c>
      <x:c r="C191" s="14" t="str">
        <x:v>2023_IMDb_Cast_Lists_Batch_01(2).xlsx</x:v>
      </x:c>
      <x:c r="D191" s="14" t="str">
        <x:v>Blue Lights</x:v>
      </x:c>
      <x:c r="E191" s="14" t="n">
        <x:v>131</x:v>
      </x:c>
      <x:c r="F191" s="14" t="str">
        <x:v>Blue Lights</x:v>
      </x:c>
      <x:c r="G191" s="14" t="str">
        <x:v>tt14466018</x:v>
      </x:c>
      <x:c r="H191" s="14" t="n">
        <x:v>2023</x:v>
      </x:c>
      <x:c r="I191" s="14" t="n">
        <x:v>2025</x:v>
      </x:c>
      <x:c r="J191" s="14" t="str">
        <x:v>Earlier-Production Carry-In Cohort</x:v>
      </x:c>
      <x:c r="K191" s="14" t="n">
        <x:v>2023</x:v>
      </x:c>
      <x:c r="L191" s="14" t="str">
        <x:v>Used in 2025 annual analysis</x:v>
      </x:c>
      <x:c r="M191" s="15" t="n">
        <x:v>124</x:v>
      </x:c>
      <x:c r="N191" s="14" t="str">
        <x:v>Joyce Greenaway</x:v>
      </x:c>
      <x:c r="O191" s="14" t="str">
        <x:v>nm4667139</x:v>
      </x:c>
      <x:c r="P191" s="14" t="str">
        <x:v>Kerry</x:v>
      </x:c>
      <x:c r="Q191" s="15" t="n">
        <x:v>1</x:v>
      </x:c>
      <x:c r="R191" s="14" t="str">
        <x:v>2025</x:v>
      </x:c>
      <x:c r="S191" s="14" t="n">
        <x:v>2025</x:v>
      </x:c>
      <x:c r="T191" s="14" t="n">
        <x:v>2025</x:v>
      </x:c>
      <x:c r="U191" s="14" t="str">
        <x:v>Explicit source first year retained</x:v>
      </x:c>
      <x:c r="V191" s="14" t="str">
        <x:v>Earliest supplied year is 2025.</x:v>
      </x:c>
      <x:c r="W191" s="14"/>
      <x:c r="X191" s="14" t="str">
        <x:v>Included</x:v>
      </x:c>
      <x:c r="Y191" s="14"/>
      <x:c r="Z191" s="14" t="str">
        <x:v>Blue Lights.docx</x:v>
      </x:c>
      <x:c r="AA191" s="14" t="str">
        <x:v>HYPERLINK is not implemented. linkLocation=https://www.imdb.com/title/tt14466018/fullcredits/,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BBC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HYPERLINK("https://en.wikipedia.org/wiki/Blue_Light","Open source")</x:f>
        <x:v>HYPERLINK is not implemented. linkLocation=https://en.wikipedia.org/wiki/Blue_Light, friendlyName=Open source</x:v>
      </x:c>
      <x:c r="AN191" s="14" t="str">
        <x:v>BBC public-service commission</x:v>
      </x:c>
      <x:c r="AO191" s="14" t="str">
        <x:v>Yes</x:v>
      </x:c>
      <x:c r="AP191" s="14" t="str">
        <x:v>Direct BBC public-service scope</x:v>
      </x:c>
      <x:c r="AQ191" s="14" t="str">
        <x:v>Yes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19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1</x:v>
      </x:c>
      <x:c r="BS191" s="16" t="n">
        <x:v>0.05263157894736842</x:v>
      </x:c>
      <x:c r="BT191" s="14" t="str">
        <x:v>One episode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HYPERLINK is not implemented. linkLocation=https://www.imdb.com/title/tt14466018/fullcredits/,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tt14466018|nm2376004|william street preacher</x:v>
      </x:c>
      <x:c r="B192" s="14" t="str">
        <x:v>01</x:v>
      </x:c>
      <x:c r="C192" s="14" t="str">
        <x:v>2023_IMDb_Cast_Lists_Batch_01(2).xlsx</x:v>
      </x:c>
      <x:c r="D192" s="14" t="str">
        <x:v>Blue Lights</x:v>
      </x:c>
      <x:c r="E192" s="14" t="n">
        <x:v>132</x:v>
      </x:c>
      <x:c r="F192" s="14" t="str">
        <x:v>Blue Lights</x:v>
      </x:c>
      <x:c r="G192" s="14" t="str">
        <x:v>tt14466018</x:v>
      </x:c>
      <x:c r="H192" s="14" t="n">
        <x:v>2023</x:v>
      </x:c>
      <x:c r="I192" s="14" t="n">
        <x:v>2025</x:v>
      </x:c>
      <x:c r="J192" s="14" t="str">
        <x:v>Earlier-Production Carry-In Cohort</x:v>
      </x:c>
      <x:c r="K192" s="14" t="n">
        <x:v>2023</x:v>
      </x:c>
      <x:c r="L192" s="14" t="str">
        <x:v>Used in 2025 annual analysis</x:v>
      </x:c>
      <x:c r="M192" s="15" t="n">
        <x:v>125</x:v>
      </x:c>
      <x:c r="N192" s="14" t="str">
        <x:v>Thomas Lappin</x:v>
      </x:c>
      <x:c r="O192" s="14" t="str">
        <x:v>nm2376004</x:v>
      </x:c>
      <x:c r="P192" s="14" t="str">
        <x:v>William Street Preacher</x:v>
      </x:c>
      <x:c r="Q192" s="15" t="n">
        <x:v>1</x:v>
      </x:c>
      <x:c r="R192" s="14" t="str">
        <x:v>2025</x:v>
      </x:c>
      <x:c r="S192" s="14" t="n">
        <x:v>2025</x:v>
      </x:c>
      <x:c r="T192" s="14" t="n">
        <x:v>2025</x:v>
      </x:c>
      <x:c r="U192" s="14" t="str">
        <x:v>Explicit source first year retained</x:v>
      </x:c>
      <x:c r="V192" s="14" t="str">
        <x:v>Earliest supplied year is 2025.</x:v>
      </x:c>
      <x:c r="W192" s="14"/>
      <x:c r="X192" s="14" t="str">
        <x:v>Included</x:v>
      </x:c>
      <x:c r="Y192" s="14"/>
      <x:c r="Z192" s="14" t="str">
        <x:v>Blue Lights.docx</x:v>
      </x:c>
      <x:c r="AA192" s="14" t="str">
        <x:v>HYPERLINK is not implemented. linkLocation=https://www.imdb.com/title/tt14466018/fullcredits/,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BBC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HYPERLINK("https://en.wikipedia.org/wiki/Blue_Light","Open source")</x:f>
        <x:v>HYPERLINK is not implemented. linkLocation=https://en.wikipedia.org/wiki/Blue_Light, friendlyName=Open source</x:v>
      </x:c>
      <x:c r="AN192" s="14" t="str">
        <x:v>BBC public-service commission</x:v>
      </x:c>
      <x:c r="AO192" s="14" t="str">
        <x:v>Yes</x:v>
      </x:c>
      <x:c r="AP192" s="14" t="str">
        <x:v>Direct BBC public-service scope</x:v>
      </x:c>
      <x:c r="AQ192" s="14" t="str">
        <x:v>Yes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19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1</x:v>
      </x:c>
      <x:c r="BS192" s="16" t="n">
        <x:v>0.05263157894736842</x:v>
      </x:c>
      <x:c r="BT192" s="14" t="str">
        <x:v>One episode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HYPERLINK is not implemented. linkLocation=https://www.imdb.com/title/tt14466018/fullcredits/,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tt14466018|nm10404992|mary</x:v>
      </x:c>
      <x:c r="B193" s="14" t="str">
        <x:v>01</x:v>
      </x:c>
      <x:c r="C193" s="14" t="str">
        <x:v>2023_IMDb_Cast_Lists_Batch_01(2).xlsx</x:v>
      </x:c>
      <x:c r="D193" s="14" t="str">
        <x:v>Blue Lights</x:v>
      </x:c>
      <x:c r="E193" s="14" t="n">
        <x:v>134</x:v>
      </x:c>
      <x:c r="F193" s="14" t="str">
        <x:v>Blue Lights</x:v>
      </x:c>
      <x:c r="G193" s="14" t="str">
        <x:v>tt14466018</x:v>
      </x:c>
      <x:c r="H193" s="14" t="n">
        <x:v>2023</x:v>
      </x:c>
      <x:c r="I193" s="14" t="n">
        <x:v>2025</x:v>
      </x:c>
      <x:c r="J193" s="14" t="str">
        <x:v>Earlier-Production Carry-In Cohort</x:v>
      </x:c>
      <x:c r="K193" s="14" t="n">
        <x:v>2023</x:v>
      </x:c>
      <x:c r="L193" s="14" t="str">
        <x:v>Used in 2025 annual analysis</x:v>
      </x:c>
      <x:c r="M193" s="15" t="n">
        <x:v>127</x:v>
      </x:c>
      <x:c r="N193" s="14" t="str">
        <x:v>Marty Breen</x:v>
      </x:c>
      <x:c r="O193" s="14" t="str">
        <x:v>nm10404992</x:v>
      </x:c>
      <x:c r="P193" s="14" t="str">
        <x:v>Mary</x:v>
      </x:c>
      <x:c r="Q193" s="15" t="n">
        <x:v>1</x:v>
      </x:c>
      <x:c r="R193" s="14" t="str">
        <x:v>2025</x:v>
      </x:c>
      <x:c r="S193" s="14" t="n">
        <x:v>2025</x:v>
      </x:c>
      <x:c r="T193" s="14" t="n">
        <x:v>2025</x:v>
      </x:c>
      <x:c r="U193" s="14" t="str">
        <x:v>Explicit source first year retained</x:v>
      </x:c>
      <x:c r="V193" s="14" t="str">
        <x:v>Earliest supplied year is 2025.</x:v>
      </x:c>
      <x:c r="W193" s="14"/>
      <x:c r="X193" s="14" t="str">
        <x:v>Included</x:v>
      </x:c>
      <x:c r="Y193" s="14"/>
      <x:c r="Z193" s="14" t="str">
        <x:v>Blue Lights.docx</x:v>
      </x:c>
      <x:c r="AA193" s="14" t="str">
        <x:v>HYPERLINK is not implemented. linkLocation=https://www.imdb.com/title/tt14466018/fullcredits/,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BBC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HYPERLINK("https://en.wikipedia.org/wiki/Blue_Light","Open source")</x:f>
        <x:v>HYPERLINK is not implemented. linkLocation=https://en.wikipedia.org/wiki/Blue_Light, friendlyName=Open source</x:v>
      </x:c>
      <x:c r="AN193" s="14" t="str">
        <x:v>BBC public-service commission</x:v>
      </x:c>
      <x:c r="AO193" s="14" t="str">
        <x:v>Yes</x:v>
      </x:c>
      <x:c r="AP193" s="14" t="str">
        <x:v>Direct BBC public-service scope</x:v>
      </x:c>
      <x:c r="AQ193" s="14" t="str">
        <x:v>Yes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19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1</x:v>
      </x:c>
      <x:c r="BS193" s="16" t="n">
        <x:v>0.05263157894736842</x:v>
      </x:c>
      <x:c r="BT193" s="14" t="str">
        <x:v>One episode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HYPERLINK is not implemented. linkLocation=https://www.imdb.com/title/tt14466018/fullcredits/,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tt14466018|nm11901159|megan</x:v>
      </x:c>
      <x:c r="B194" s="14" t="str">
        <x:v>01</x:v>
      </x:c>
      <x:c r="C194" s="14" t="str">
        <x:v>2023_IMDb_Cast_Lists_Batch_01(2).xlsx</x:v>
      </x:c>
      <x:c r="D194" s="14" t="str">
        <x:v>Blue Lights</x:v>
      </x:c>
      <x:c r="E194" s="14" t="n">
        <x:v>135</x:v>
      </x:c>
      <x:c r="F194" s="14" t="str">
        <x:v>Blue Lights</x:v>
      </x:c>
      <x:c r="G194" s="14" t="str">
        <x:v>tt14466018</x:v>
      </x:c>
      <x:c r="H194" s="14" t="n">
        <x:v>2023</x:v>
      </x:c>
      <x:c r="I194" s="14" t="n">
        <x:v>2025</x:v>
      </x:c>
      <x:c r="J194" s="14" t="str">
        <x:v>Earlier-Production Carry-In Cohort</x:v>
      </x:c>
      <x:c r="K194" s="14" t="n">
        <x:v>2023</x:v>
      </x:c>
      <x:c r="L194" s="14" t="str">
        <x:v>Used in 2025 annual analysis</x:v>
      </x:c>
      <x:c r="M194" s="15" t="n">
        <x:v>128</x:v>
      </x:c>
      <x:c r="N194" s="14" t="str">
        <x:v>Shane Convery</x:v>
      </x:c>
      <x:c r="O194" s="14" t="str">
        <x:v>nm11901159</x:v>
      </x:c>
      <x:c r="P194" s="14" t="str">
        <x:v>Megan</x:v>
      </x:c>
      <x:c r="Q194" s="15" t="n">
        <x:v>1</x:v>
      </x:c>
      <x:c r="R194" s="14" t="str">
        <x:v>2025</x:v>
      </x:c>
      <x:c r="S194" s="14" t="n">
        <x:v>2025</x:v>
      </x:c>
      <x:c r="T194" s="14" t="n">
        <x:v>2025</x:v>
      </x:c>
      <x:c r="U194" s="14" t="str">
        <x:v>Explicit source first year retained</x:v>
      </x:c>
      <x:c r="V194" s="14" t="str">
        <x:v>Earliest supplied year is 2025.</x:v>
      </x:c>
      <x:c r="W194" s="14"/>
      <x:c r="X194" s="14" t="str">
        <x:v>Included</x:v>
      </x:c>
      <x:c r="Y194" s="14"/>
      <x:c r="Z194" s="14" t="str">
        <x:v>Blue Lights.docx</x:v>
      </x:c>
      <x:c r="AA194" s="14" t="str">
        <x:v>HYPERLINK is not implemented. linkLocation=https://www.imdb.com/title/tt14466018/fullcredits/,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BBC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HYPERLINK("https://en.wikipedia.org/wiki/Blue_Light","Open source")</x:f>
        <x:v>HYPERLINK is not implemented. linkLocation=https://en.wikipedia.org/wiki/Blue_Light, friendlyName=Open source</x:v>
      </x:c>
      <x:c r="AN194" s="14" t="str">
        <x:v>BBC public-service commission</x:v>
      </x:c>
      <x:c r="AO194" s="14" t="str">
        <x:v>Yes</x:v>
      </x:c>
      <x:c r="AP194" s="14" t="str">
        <x:v>Direct BBC public-service scope</x:v>
      </x:c>
      <x:c r="AQ194" s="14" t="str">
        <x:v>Yes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19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1</x:v>
      </x:c>
      <x:c r="BS194" s="16" t="n">
        <x:v>0.05263157894736842</x:v>
      </x:c>
      <x:c r="BT194" s="14" t="str">
        <x:v>One episode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HYPERLINK is not implemented. linkLocation=https://www.imdb.com/title/tt14466018/fullcredits/,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tt14466018|nm2589753|jason</x:v>
      </x:c>
      <x:c r="B195" s="14" t="str">
        <x:v>01</x:v>
      </x:c>
      <x:c r="C195" s="14" t="str">
        <x:v>2023_IMDb_Cast_Lists_Batch_01(2).xlsx</x:v>
      </x:c>
      <x:c r="D195" s="14" t="str">
        <x:v>Blue Lights</x:v>
      </x:c>
      <x:c r="E195" s="14" t="n">
        <x:v>139</x:v>
      </x:c>
      <x:c r="F195" s="14" t="str">
        <x:v>Blue Lights</x:v>
      </x:c>
      <x:c r="G195" s="14" t="str">
        <x:v>tt14466018</x:v>
      </x:c>
      <x:c r="H195" s="14" t="n">
        <x:v>2023</x:v>
      </x:c>
      <x:c r="I195" s="14" t="n">
        <x:v>2025</x:v>
      </x:c>
      <x:c r="J195" s="14" t="str">
        <x:v>Earlier-Production Carry-In Cohort</x:v>
      </x:c>
      <x:c r="K195" s="14" t="n">
        <x:v>2023</x:v>
      </x:c>
      <x:c r="L195" s="14" t="str">
        <x:v>Used in 2025 annual analysis</x:v>
      </x:c>
      <x:c r="M195" s="15" t="n">
        <x:v>132</x:v>
      </x:c>
      <x:c r="N195" s="14" t="str">
        <x:v>Paul Livingstone</x:v>
      </x:c>
      <x:c r="O195" s="14" t="str">
        <x:v>nm2589753</x:v>
      </x:c>
      <x:c r="P195" s="14" t="str">
        <x:v>Jason</x:v>
      </x:c>
      <x:c r="Q195" s="15" t="n">
        <x:v>1</x:v>
      </x:c>
      <x:c r="R195" s="14" t="str">
        <x:v>2025</x:v>
      </x:c>
      <x:c r="S195" s="14" t="n">
        <x:v>2025</x:v>
      </x:c>
      <x:c r="T195" s="14" t="n">
        <x:v>2025</x:v>
      </x:c>
      <x:c r="U195" s="14" t="str">
        <x:v>Explicit source first year retained</x:v>
      </x:c>
      <x:c r="V195" s="14" t="str">
        <x:v>Earliest supplied year is 2025.</x:v>
      </x:c>
      <x:c r="W195" s="14"/>
      <x:c r="X195" s="14" t="str">
        <x:v>Included</x:v>
      </x:c>
      <x:c r="Y195" s="14"/>
      <x:c r="Z195" s="14" t="str">
        <x:v>Blue Lights.docx</x:v>
      </x:c>
      <x:c r="AA195" s="14" t="str">
        <x:v>HYPERLINK is not implemented. linkLocation=https://www.imdb.com/title/tt14466018/fullcredits/,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BBC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HYPERLINK("https://en.wikipedia.org/wiki/Blue_Light","Open source")</x:f>
        <x:v>HYPERLINK is not implemented. linkLocation=https://en.wikipedia.org/wiki/Blue_Light, friendlyName=Open source</x:v>
      </x:c>
      <x:c r="AN195" s="14" t="str">
        <x:v>BBC public-service commission</x:v>
      </x:c>
      <x:c r="AO195" s="14" t="str">
        <x:v>Yes</x:v>
      </x:c>
      <x:c r="AP195" s="14" t="str">
        <x:v>Direct BBC public-service scope</x:v>
      </x:c>
      <x:c r="AQ195" s="14" t="str">
        <x:v>Yes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19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1</x:v>
      </x:c>
      <x:c r="BS195" s="16" t="n">
        <x:v>0.05263157894736842</x:v>
      </x:c>
      <x:c r="BT195" s="14" t="str">
        <x:v>One episode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HYPERLINK is not implemented. linkLocation=https://www.imdb.com/title/tt14466018/fullcredits/,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tt14488438|nm5098614|alexandros</x:v>
      </x:c>
      <x:c r="B196" s="14" t="str">
        <x:v>02</x:v>
      </x:c>
      <x:c r="C196" s="14" t="str">
        <x:v>2023_IMDb_Cast_Lists_Batch_02(2).xlsx</x:v>
      </x:c>
      <x:c r="D196" s="14" t="str">
        <x:v>Dreaming Whilst Black</x:v>
      </x:c>
      <x:c r="E196" s="14" t="n">
        <x:v>23</x:v>
      </x:c>
      <x:c r="F196" s="14" t="str">
        <x:v>Dreaming Whilst Black</x:v>
      </x:c>
      <x:c r="G196" s="14" t="str">
        <x:v>tt14488438</x:v>
      </x:c>
      <x:c r="H196" s="14" t="n">
        <x:v>2023</x:v>
      </x:c>
      <x:c r="I196" s="14" t="n">
        <x:v>2025</x:v>
      </x:c>
      <x:c r="J196" s="14" t="str">
        <x:v>Earlier-Production Carry-In Cohort</x:v>
      </x:c>
      <x:c r="K196" s="14" t="n">
        <x:v>2023</x:v>
      </x:c>
      <x:c r="L196" s="14" t="str">
        <x:v>Used in 2025 annual analysis</x:v>
      </x:c>
      <x:c r="M196" s="15" t="n">
        <x:v>16</x:v>
      </x:c>
      <x:c r="N196" s="14" t="str">
        <x:v>Alexander Theo</x:v>
      </x:c>
      <x:c r="O196" s="14" t="str">
        <x:v>nm5098614</x:v>
      </x:c>
      <x:c r="P196" s="14" t="str">
        <x:v>Alexandros</x:v>
      </x:c>
      <x:c r="Q196" s="15" t="n">
        <x:v>6</x:v>
      </x:c>
      <x:c r="R196" s="14" t="str">
        <x:v>2025</x:v>
      </x:c>
      <x:c r="S196" s="14" t="n">
        <x:v>2025</x:v>
      </x:c>
      <x:c r="T196" s="14" t="n">
        <x:v>2025</x:v>
      </x:c>
      <x:c r="U196" s="14" t="str">
        <x:v>Explicit source first year retained</x:v>
      </x:c>
      <x:c r="V196" s="14" t="str">
        <x:v>Earliest supplied year is 2025.</x:v>
      </x:c>
      <x:c r="W196" s="14"/>
      <x:c r="X196" s="14" t="str">
        <x:v>Included</x:v>
      </x:c>
      <x:c r="Y196" s="14"/>
      <x:c r="Z196" s="14" t="str">
        <x:v>Dreaming Whilst Black.docx</x:v>
      </x:c>
      <x:c r="AA196" s="14" t="str">
        <x:v>HYPERLINK is not implemented. linkLocation=https://www.imdb.com/title/tt14488438/fullcredits/,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BBC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6" s="14" t="str">
        <x:v>BBC public-service commission</x:v>
      </x:c>
      <x:c r="AO196" s="14" t="str">
        <x:v>Yes</x:v>
      </x:c>
      <x:c r="AP196" s="14" t="str">
        <x:v>Direct BBC public-service scope</x:v>
      </x:c>
      <x:c r="AQ196" s="14" t="str">
        <x:v>Yes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6</x:v>
      </x:c>
      <x:c r="BS196" s="16" t="n">
        <x:v>0.5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HYPERLINK is not implemented. linkLocation=https://www.imdb.com/title/tt14488438/fullcredits/,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tt14488438|nm0010837|bridgette</x:v>
      </x:c>
      <x:c r="B197" s="14" t="str">
        <x:v>02</x:v>
      </x:c>
      <x:c r="C197" s="14" t="str">
        <x:v>2023_IMDb_Cast_Lists_Batch_02(2).xlsx</x:v>
      </x:c>
      <x:c r="D197" s="14" t="str">
        <x:v>Dreaming Whilst Black</x:v>
      </x:c>
      <x:c r="E197" s="14" t="n">
        <x:v>24</x:v>
      </x:c>
      <x:c r="F197" s="14" t="str">
        <x:v>Dreaming Whilst Black</x:v>
      </x:c>
      <x:c r="G197" s="14" t="str">
        <x:v>tt14488438</x:v>
      </x:c>
      <x:c r="H197" s="14" t="n">
        <x:v>2023</x:v>
      </x:c>
      <x:c r="I197" s="14" t="n">
        <x:v>2025</x:v>
      </x:c>
      <x:c r="J197" s="14" t="str">
        <x:v>Earlier-Production Carry-In Cohort</x:v>
      </x:c>
      <x:c r="K197" s="14" t="n">
        <x:v>2023</x:v>
      </x:c>
      <x:c r="L197" s="14" t="str">
        <x:v>Used in 2025 annual analysis</x:v>
      </x:c>
      <x:c r="M197" s="15" t="n">
        <x:v>17</x:v>
      </x:c>
      <x:c r="N197" s="14" t="str">
        <x:v>Christine Adams</x:v>
      </x:c>
      <x:c r="O197" s="14" t="str">
        <x:v>nm0010837</x:v>
      </x:c>
      <x:c r="P197" s="14" t="str">
        <x:v>Bridgette</x:v>
      </x:c>
      <x:c r="Q197" s="15" t="n">
        <x:v>5</x:v>
      </x:c>
      <x:c r="R197" s="14" t="str">
        <x:v>2025</x:v>
      </x:c>
      <x:c r="S197" s="14" t="n">
        <x:v>2025</x:v>
      </x:c>
      <x:c r="T197" s="14" t="n">
        <x:v>2025</x:v>
      </x:c>
      <x:c r="U197" s="14" t="str">
        <x:v>Explicit source first year retained</x:v>
      </x:c>
      <x:c r="V197" s="14" t="str">
        <x:v>Earliest supplied year is 2025.</x:v>
      </x:c>
      <x:c r="W197" s="14"/>
      <x:c r="X197" s="14" t="str">
        <x:v>Included</x:v>
      </x:c>
      <x:c r="Y197" s="14"/>
      <x:c r="Z197" s="14" t="str">
        <x:v>Dreaming Whilst Black.docx</x:v>
      </x:c>
      <x:c r="AA197" s="14" t="str">
        <x:v>HYPERLINK is not implemented. linkLocation=https://www.imdb.com/title/tt14488438/fullcredits/,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BBC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7" s="14" t="str">
        <x:v>BBC public-service commission</x:v>
      </x:c>
      <x:c r="AO197" s="14" t="str">
        <x:v>Yes</x:v>
      </x:c>
      <x:c r="AP197" s="14" t="str">
        <x:v>Direct BBC public-service scope</x:v>
      </x:c>
      <x:c r="AQ197" s="14" t="str">
        <x:v>Yes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5</x:v>
      </x:c>
      <x:c r="BS197" s="16" t="n">
        <x:v>0.4166666666666667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HYPERLINK is not implemented. linkLocation=https://www.imdb.com/title/tt14488438/fullcredits/,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tt14488438|nm0249876|simon</x:v>
      </x:c>
      <x:c r="B198" s="14" t="str">
        <x:v>02</x:v>
      </x:c>
      <x:c r="C198" s="14" t="str">
        <x:v>2023_IMDb_Cast_Lists_Batch_02(2).xlsx</x:v>
      </x:c>
      <x:c r="D198" s="14" t="str">
        <x:v>Dreaming Whilst Black</x:v>
      </x:c>
      <x:c r="E198" s="14" t="n">
        <x:v>25</x:v>
      </x:c>
      <x:c r="F198" s="14" t="str">
        <x:v>Dreaming Whilst Black</x:v>
      </x:c>
      <x:c r="G198" s="14" t="str">
        <x:v>tt14488438</x:v>
      </x:c>
      <x:c r="H198" s="14" t="n">
        <x:v>2023</x:v>
      </x:c>
      <x:c r="I198" s="14" t="n">
        <x:v>2025</x:v>
      </x:c>
      <x:c r="J198" s="14" t="str">
        <x:v>Earlier-Production Carry-In Cohort</x:v>
      </x:c>
      <x:c r="K198" s="14" t="n">
        <x:v>2023</x:v>
      </x:c>
      <x:c r="L198" s="14" t="str">
        <x:v>Used in 2025 annual analysis</x:v>
      </x:c>
      <x:c r="M198" s="15" t="n">
        <x:v>18</x:v>
      </x:c>
      <x:c r="N198" s="14" t="str">
        <x:v>Charles Edwards</x:v>
      </x:c>
      <x:c r="O198" s="14" t="str">
        <x:v>nm0249876</x:v>
      </x:c>
      <x:c r="P198" s="14" t="str">
        <x:v>Simon</x:v>
      </x:c>
      <x:c r="Q198" s="15" t="n">
        <x:v>5</x:v>
      </x:c>
      <x:c r="R198" s="14" t="str">
        <x:v>2025</x:v>
      </x:c>
      <x:c r="S198" s="14" t="n">
        <x:v>2025</x:v>
      </x:c>
      <x:c r="T198" s="14" t="n">
        <x:v>2025</x:v>
      </x:c>
      <x:c r="U198" s="14" t="str">
        <x:v>Explicit source first year retained</x:v>
      </x:c>
      <x:c r="V198" s="14" t="str">
        <x:v>Earliest supplied year is 2025.</x:v>
      </x:c>
      <x:c r="W198" s="14"/>
      <x:c r="X198" s="14" t="str">
        <x:v>Included</x:v>
      </x:c>
      <x:c r="Y198" s="14"/>
      <x:c r="Z198" s="14" t="str">
        <x:v>Dreaming Whilst Black.docx</x:v>
      </x:c>
      <x:c r="AA198" s="14" t="str">
        <x:v>HYPERLINK is not implemented. linkLocation=https://www.imdb.com/title/tt14488438/fullcredits/,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BBC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8" s="14" t="str">
        <x:v>BBC public-service commission</x:v>
      </x:c>
      <x:c r="AO198" s="14" t="str">
        <x:v>Yes</x:v>
      </x:c>
      <x:c r="AP198" s="14" t="str">
        <x:v>Direct BBC public-service scope</x:v>
      </x:c>
      <x:c r="AQ198" s="14" t="str">
        <x:v>Yes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5</x:v>
      </x:c>
      <x:c r="BS198" s="16" t="n">
        <x:v>0.4166666666666667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HYPERLINK is not implemented. linkLocation=https://www.imdb.com/title/tt14488438/fullcredits/,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tt14488438|nm1506183|rudolph</x:v>
      </x:c>
      <x:c r="B199" s="14" t="str">
        <x:v>02</x:v>
      </x:c>
      <x:c r="C199" s="14" t="str">
        <x:v>2023_IMDb_Cast_Lists_Batch_02(2).xlsx</x:v>
      </x:c>
      <x:c r="D199" s="14" t="str">
        <x:v>Dreaming Whilst Black</x:v>
      </x:c>
      <x:c r="E199" s="14" t="n">
        <x:v>32</x:v>
      </x:c>
      <x:c r="F199" s="14" t="str">
        <x:v>Dreaming Whilst Black</x:v>
      </x:c>
      <x:c r="G199" s="14" t="str">
        <x:v>tt14488438</x:v>
      </x:c>
      <x:c r="H199" s="14" t="n">
        <x:v>2023</x:v>
      </x:c>
      <x:c r="I199" s="14" t="n">
        <x:v>2025</x:v>
      </x:c>
      <x:c r="J199" s="14" t="str">
        <x:v>Earlier-Production Carry-In Cohort</x:v>
      </x:c>
      <x:c r="K199" s="14" t="n">
        <x:v>2023</x:v>
      </x:c>
      <x:c r="L199" s="14" t="str">
        <x:v>Used in 2025 annual analysis</x:v>
      </x:c>
      <x:c r="M199" s="15" t="n">
        <x:v>25</x:v>
      </x:c>
      <x:c r="N199" s="14" t="str">
        <x:v>Kobna Holdbrook-Smith</x:v>
      </x:c>
      <x:c r="O199" s="14" t="str">
        <x:v>nm1506183</x:v>
      </x:c>
      <x:c r="P199" s="14" t="str">
        <x:v>Rudolph</x:v>
      </x:c>
      <x:c r="Q199" s="15" t="n">
        <x:v>3</x:v>
      </x:c>
      <x:c r="R199" s="14" t="str">
        <x:v>2025</x:v>
      </x:c>
      <x:c r="S199" s="14" t="n">
        <x:v>2025</x:v>
      </x:c>
      <x:c r="T199" s="14" t="n">
        <x:v>2025</x:v>
      </x:c>
      <x:c r="U199" s="14" t="str">
        <x:v>Explicit source first year retained</x:v>
      </x:c>
      <x:c r="V199" s="14" t="str">
        <x:v>Earliest supplied year is 2025.</x:v>
      </x:c>
      <x:c r="W199" s="14"/>
      <x:c r="X199" s="14" t="str">
        <x:v>Included</x:v>
      </x:c>
      <x:c r="Y199" s="14"/>
      <x:c r="Z199" s="14" t="str">
        <x:v>Dreaming Whilst Black.docx</x:v>
      </x:c>
      <x:c r="AA199" s="14" t="str">
        <x:v>HYPERLINK is not implemented. linkLocation=https://www.imdb.com/title/tt14488438/fullcredits/,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BBC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9" s="14" t="str">
        <x:v>BBC public-service commission</x:v>
      </x:c>
      <x:c r="AO199" s="14" t="str">
        <x:v>Yes</x:v>
      </x:c>
      <x:c r="AP199" s="14" t="str">
        <x:v>Direct BBC public-service scope</x:v>
      </x:c>
      <x:c r="AQ199" s="14" t="str">
        <x:v>Yes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3</x:v>
      </x:c>
      <x:c r="BS199" s="16" t="n">
        <x:v>0.25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HYPERLINK is not implemented. linkLocation=https://www.imdb.com/title/tt14488438/fullcredits/,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tt14488438|nm0941211|carol</x:v>
      </x:c>
      <x:c r="B200" s="14" t="str">
        <x:v>02</x:v>
      </x:c>
      <x:c r="C200" s="14" t="str">
        <x:v>2023_IMDb_Cast_Lists_Batch_02(2).xlsx</x:v>
      </x:c>
      <x:c r="D200" s="14" t="str">
        <x:v>Dreaming Whilst Black</x:v>
      </x:c>
      <x:c r="E200" s="14" t="n">
        <x:v>33</x:v>
      </x:c>
      <x:c r="F200" s="14" t="str">
        <x:v>Dreaming Whilst Black</x:v>
      </x:c>
      <x:c r="G200" s="14" t="str">
        <x:v>tt14488438</x:v>
      </x:c>
      <x:c r="H200" s="14" t="n">
        <x:v>2023</x:v>
      </x:c>
      <x:c r="I200" s="14" t="n">
        <x:v>2025</x:v>
      </x:c>
      <x:c r="J200" s="14" t="str">
        <x:v>Earlier-Production Carry-In Cohort</x:v>
      </x:c>
      <x:c r="K200" s="14" t="n">
        <x:v>2023</x:v>
      </x:c>
      <x:c r="L200" s="14" t="str">
        <x:v>Used in 2025 annual analysis</x:v>
      </x:c>
      <x:c r="M200" s="15" t="n">
        <x:v>26</x:v>
      </x:c>
      <x:c r="N200" s="14" t="str">
        <x:v>Fenella Woolgar</x:v>
      </x:c>
      <x:c r="O200" s="14" t="str">
        <x:v>nm0941211</x:v>
      </x:c>
      <x:c r="P200" s="14" t="str">
        <x:v>Carol</x:v>
      </x:c>
      <x:c r="Q200" s="15" t="n">
        <x:v>3</x:v>
      </x:c>
      <x:c r="R200" s="14" t="str">
        <x:v>2025</x:v>
      </x:c>
      <x:c r="S200" s="14" t="n">
        <x:v>2025</x:v>
      </x:c>
      <x:c r="T200" s="14" t="n">
        <x:v>2025</x:v>
      </x:c>
      <x:c r="U200" s="14" t="str">
        <x:v>Explicit source first year retained</x:v>
      </x:c>
      <x:c r="V200" s="14" t="str">
        <x:v>Earliest supplied year is 2025.</x:v>
      </x:c>
      <x:c r="W200" s="14"/>
      <x:c r="X200" s="14" t="str">
        <x:v>Included</x:v>
      </x:c>
      <x:c r="Y200" s="14"/>
      <x:c r="Z200" s="14" t="str">
        <x:v>Dreaming Whilst Black.docx</x:v>
      </x:c>
      <x:c r="AA200" s="14" t="str">
        <x:v>HYPERLINK is not implemented. linkLocation=https://www.imdb.com/title/tt14488438/fullcredits/,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3</x:v>
      </x:c>
      <x:c r="BS200" s="16" t="n">
        <x:v>0.25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HYPERLINK is not implemented. linkLocation=https://www.imdb.com/title/tt14488438/fullcredits/,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tt14488438|nm8598128|roxie</x:v>
      </x:c>
      <x:c r="B201" s="14" t="str">
        <x:v>02</x:v>
      </x:c>
      <x:c r="C201" s="14" t="str">
        <x:v>2023_IMDb_Cast_Lists_Batch_02(2).xlsx</x:v>
      </x:c>
      <x:c r="D201" s="14" t="str">
        <x:v>Dreaming Whilst Black</x:v>
      </x:c>
      <x:c r="E201" s="14" t="n">
        <x:v>34</x:v>
      </x:c>
      <x:c r="F201" s="14" t="str">
        <x:v>Dreaming Whilst Black</x:v>
      </x:c>
      <x:c r="G201" s="14" t="str">
        <x:v>tt14488438</x:v>
      </x:c>
      <x:c r="H201" s="14" t="n">
        <x:v>2023</x:v>
      </x:c>
      <x:c r="I201" s="14" t="n">
        <x:v>2025</x:v>
      </x:c>
      <x:c r="J201" s="14" t="str">
        <x:v>Earlier-Production Carry-In Cohort</x:v>
      </x:c>
      <x:c r="K201" s="14" t="n">
        <x:v>2023</x:v>
      </x:c>
      <x:c r="L201" s="14" t="str">
        <x:v>Used in 2025 annual analysis</x:v>
      </x:c>
      <x:c r="M201" s="15" t="n">
        <x:v>27</x:v>
      </x:c>
      <x:c r="N201" s="14" t="str">
        <x:v>Lizzy Connolly</x:v>
      </x:c>
      <x:c r="O201" s="14" t="str">
        <x:v>nm8598128</x:v>
      </x:c>
      <x:c r="P201" s="14" t="str">
        <x:v>Roxie</x:v>
      </x:c>
      <x:c r="Q201" s="15" t="n">
        <x:v>3</x:v>
      </x:c>
      <x:c r="R201" s="14" t="str">
        <x:v>2025</x:v>
      </x:c>
      <x:c r="S201" s="14" t="n">
        <x:v>2025</x:v>
      </x:c>
      <x:c r="T201" s="14" t="n">
        <x:v>2025</x:v>
      </x:c>
      <x:c r="U201" s="14" t="str">
        <x:v>Explicit source first year retained</x:v>
      </x:c>
      <x:c r="V201" s="14" t="str">
        <x:v>Earliest supplied year is 2025.</x:v>
      </x:c>
      <x:c r="W201" s="14"/>
      <x:c r="X201" s="14" t="str">
        <x:v>Included</x:v>
      </x:c>
      <x:c r="Y201" s="14"/>
      <x:c r="Z201" s="14" t="str">
        <x:v>Dreaming Whilst Black.docx</x:v>
      </x:c>
      <x:c r="AA201" s="14" t="str">
        <x:v>HYPERLINK is not implemented. linkLocation=https://www.imdb.com/title/tt14488438/fullcredits/,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3</x:v>
      </x:c>
      <x:c r="BS201" s="16" t="n">
        <x:v>0.25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HYPERLINK is not implemented. linkLocation=https://www.imdb.com/title/tt14488438/fullcredits/,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tt14488438|nm3971488|nia hays</x:v>
      </x:c>
      <x:c r="B202" s="14" t="str">
        <x:v>02</x:v>
      </x:c>
      <x:c r="C202" s="14" t="str">
        <x:v>2023_IMDb_Cast_Lists_Batch_02(2).xlsx</x:v>
      </x:c>
      <x:c r="D202" s="14" t="str">
        <x:v>Dreaming Whilst Black</x:v>
      </x:c>
      <x:c r="E202" s="14" t="n">
        <x:v>41</x:v>
      </x:c>
      <x:c r="F202" s="14" t="str">
        <x:v>Dreaming Whilst Black</x:v>
      </x:c>
      <x:c r="G202" s="14" t="str">
        <x:v>tt14488438</x:v>
      </x:c>
      <x:c r="H202" s="14" t="n">
        <x:v>2023</x:v>
      </x:c>
      <x:c r="I202" s="14" t="n">
        <x:v>2025</x:v>
      </x:c>
      <x:c r="J202" s="14" t="str">
        <x:v>Earlier-Production Carry-In Cohort</x:v>
      </x:c>
      <x:c r="K202" s="14" t="n">
        <x:v>2023</x:v>
      </x:c>
      <x:c r="L202" s="14" t="str">
        <x:v>Used in 2025 annual analysis</x:v>
      </x:c>
      <x:c r="M202" s="15" t="n">
        <x:v>34</x:v>
      </x:c>
      <x:c r="N202" s="14" t="str">
        <x:v>Nadia Albina</x:v>
      </x:c>
      <x:c r="O202" s="14" t="str">
        <x:v>nm3971488</x:v>
      </x:c>
      <x:c r="P202" s="14" t="str">
        <x:v>Nia Hays</x:v>
      </x:c>
      <x:c r="Q202" s="15" t="n">
        <x:v>2</x:v>
      </x:c>
      <x:c r="R202" s="14" t="str">
        <x:v>2025</x:v>
      </x:c>
      <x:c r="S202" s="14" t="n">
        <x:v>2025</x:v>
      </x:c>
      <x:c r="T202" s="14" t="n">
        <x:v>2025</x:v>
      </x:c>
      <x:c r="U202" s="14" t="str">
        <x:v>Explicit source first year retained</x:v>
      </x:c>
      <x:c r="V202" s="14" t="str">
        <x:v>Earliest supplied year is 2025.</x:v>
      </x:c>
      <x:c r="W202" s="14"/>
      <x:c r="X202" s="14" t="str">
        <x:v>Included</x:v>
      </x:c>
      <x:c r="Y202" s="14"/>
      <x:c r="Z202" s="14" t="str">
        <x:v>Dreaming Whilst Black.docx</x:v>
      </x:c>
      <x:c r="AA202" s="14" t="str">
        <x:v>HYPERLINK is not implemented. linkLocation=https://www.imdb.com/title/tt14488438/fullcredits/, friendlyName=Open source</x:v>
      </x:c>
      <x:c r="AB202" s="14" t="str">
        <x:v>Existing established-register match</x:v>
      </x:c>
      <x:c r="AC202" s="14" t="str">
        <x:v>Physical disability</x:v>
      </x:c>
      <x:c r="AD202" s="14" t="str">
        <x:v>Existing register classification: Physical disability</x:v>
      </x:c>
      <x:c r="AE202" s="14" t="str">
        <x:v>Established_Disability_Category_Register V1.2.xlsx</x:v>
      </x:c>
      <x:c r="AF202" s="14"/>
      <x:c r="AG202" s="14" t="str">
        <x:v>Established user-supplied classification retained for deduplication; evidence was not re-researched in this batch.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 t="str">
        <x:v>Exact IMDb performer ID match</x:v>
      </x:c>
      <x:c r="AT202" s="14" t="str">
        <x:v>nm3971488</x:v>
      </x:c>
      <x:c r="AU202" s="14" t="str">
        <x:v>Physical disability</x:v>
      </x:c>
      <x:c r="AV202" s="14" t="str">
        <x:v>Yes</x:v>
      </x:c>
      <x:c r="AW202" s="14" t="str">
        <x:v>Physical disability</x:v>
      </x:c>
      <x:c r="AX202" s="14" t="str">
        <x:v>No</x:v>
      </x:c>
      <x:c r="AY202" s="14" t="str">
        <x:v>Matched</x:v>
      </x:c>
      <x:c r="AZ202" s="14" t="str">
        <x:v>Final supplied register</x:v>
      </x:c>
      <x:c r="BA202" s="14"/>
      <x:c r="BB202" s="14" t="str">
        <x:v>Exact IMDb performer ID match</x:v>
      </x:c>
      <x:c r="BC202" s="14" t="str">
        <x:v>nm3971488</x:v>
      </x:c>
      <x:c r="BD202" s="14" t="str">
        <x:v>Nadia Albina</x:v>
      </x:c>
      <x:c r="BE202" s="14" t="str">
        <x:v>Physical disability</x:v>
      </x:c>
      <x:c r="BF202" s="14" t="str">
        <x:v>Yes</x:v>
      </x:c>
      <x:c r="BG202" s="14" t="str">
        <x:v>Physical disability</x:v>
      </x:c>
      <x:c r="BH202" s="14" t="str">
        <x:v>No</x:v>
      </x:c>
      <x:c r="BI202" s="14" t="str">
        <x:v>User-supplied established classification</x:v>
      </x:c>
      <x:c r="BJ202" s="14" t="str">
        <x:v>04_Physical_disability.csv</x:v>
      </x:c>
      <x:c r="BK202" s="14"/>
      <x:c r="BL202" s="14" t="str">
        <x:v>Matched</x:v>
      </x:c>
      <x:c r="BM202" s="14" t="str">
        <x:v>Final supplied register</x:v>
      </x:c>
      <x:c r="BN202" s="14"/>
      <x:c r="BO202" s="14" t="n">
        <x:v>12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0.16666666666666666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HYPERLINK is not implemented. linkLocation=https://www.imdb.com/title/tt14488438/fullcredits/,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tt14488438|nm6074112|charles</x:v>
      </x:c>
      <x:c r="B203" s="14" t="str">
        <x:v>02</x:v>
      </x:c>
      <x:c r="C203" s="14" t="str">
        <x:v>2023_IMDb_Cast_Lists_Batch_02(2).xlsx</x:v>
      </x:c>
      <x:c r="D203" s="14" t="str">
        <x:v>Dreaming Whilst Black</x:v>
      </x:c>
      <x:c r="E203" s="14" t="n">
        <x:v>42</x:v>
      </x:c>
      <x:c r="F203" s="14" t="str">
        <x:v>Dreaming Whilst Black</x:v>
      </x:c>
      <x:c r="G203" s="14" t="str">
        <x:v>tt14488438</x:v>
      </x:c>
      <x:c r="H203" s="14" t="n">
        <x:v>2023</x:v>
      </x:c>
      <x:c r="I203" s="14" t="n">
        <x:v>2025</x:v>
      </x:c>
      <x:c r="J203" s="14" t="str">
        <x:v>Earlier-Production Carry-In Cohort</x:v>
      </x:c>
      <x:c r="K203" s="14" t="n">
        <x:v>2023</x:v>
      </x:c>
      <x:c r="L203" s="14" t="str">
        <x:v>Used in 2025 annual analysis</x:v>
      </x:c>
      <x:c r="M203" s="15" t="n">
        <x:v>35</x:v>
      </x:c>
      <x:c r="N203" s="14" t="str">
        <x:v>Ola Christian</x:v>
      </x:c>
      <x:c r="O203" s="14" t="str">
        <x:v>nm6074112</x:v>
      </x:c>
      <x:c r="P203" s="14" t="str">
        <x:v>Charles</x:v>
      </x:c>
      <x:c r="Q203" s="15" t="n">
        <x:v>2</x:v>
      </x:c>
      <x:c r="R203" s="14" t="str">
        <x:v>2025</x:v>
      </x:c>
      <x:c r="S203" s="14" t="n">
        <x:v>2025</x:v>
      </x:c>
      <x:c r="T203" s="14" t="n">
        <x:v>2025</x:v>
      </x:c>
      <x:c r="U203" s="14" t="str">
        <x:v>Explicit source first year retained</x:v>
      </x:c>
      <x:c r="V203" s="14" t="str">
        <x:v>Earliest supplied year is 2025.</x:v>
      </x:c>
      <x:c r="W203" s="14"/>
      <x:c r="X203" s="14" t="str">
        <x:v>Included</x:v>
      </x:c>
      <x:c r="Y203" s="14"/>
      <x:c r="Z203" s="14" t="str">
        <x:v>Dreaming Whilst Black.docx</x:v>
      </x:c>
      <x:c r="AA203" s="14" t="str">
        <x:v>HYPERLINK is not implemented. linkLocation=https://www.imdb.com/title/tt14488438/fullcredits/,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12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0.16666666666666666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HYPERLINK is not implemented. linkLocation=https://www.imdb.com/title/tt14488438/fullcredits/,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tt14488438|nm4319468|yemi</x:v>
      </x:c>
      <x:c r="B204" s="14" t="str">
        <x:v>02</x:v>
      </x:c>
      <x:c r="C204" s="14" t="str">
        <x:v>2023_IMDb_Cast_Lists_Batch_02(2).xlsx</x:v>
      </x:c>
      <x:c r="D204" s="14" t="str">
        <x:v>Dreaming Whilst Black</x:v>
      </x:c>
      <x:c r="E204" s="14" t="n">
        <x:v>43</x:v>
      </x:c>
      <x:c r="F204" s="14" t="str">
        <x:v>Dreaming Whilst Black</x:v>
      </x:c>
      <x:c r="G204" s="14" t="str">
        <x:v>tt14488438</x:v>
      </x:c>
      <x:c r="H204" s="14" t="n">
        <x:v>2023</x:v>
      </x:c>
      <x:c r="I204" s="14" t="n">
        <x:v>2025</x:v>
      </x:c>
      <x:c r="J204" s="14" t="str">
        <x:v>Earlier-Production Carry-In Cohort</x:v>
      </x:c>
      <x:c r="K204" s="14" t="n">
        <x:v>2023</x:v>
      </x:c>
      <x:c r="L204" s="14" t="str">
        <x:v>Used in 2025 annual analysis</x:v>
      </x:c>
      <x:c r="M204" s="15" t="n">
        <x:v>36</x:v>
      </x:c>
      <x:c r="N204" s="14" t="str">
        <x:v>Joan Stephens</x:v>
      </x:c>
      <x:c r="O204" s="14" t="str">
        <x:v>nm4319468</x:v>
      </x:c>
      <x:c r="P204" s="14" t="str">
        <x:v>Yemi</x:v>
      </x:c>
      <x:c r="Q204" s="15" t="n">
        <x:v>2</x:v>
      </x:c>
      <x:c r="R204" s="14" t="str">
        <x:v>2025</x:v>
      </x:c>
      <x:c r="S204" s="14" t="n">
        <x:v>2025</x:v>
      </x:c>
      <x:c r="T204" s="14" t="n">
        <x:v>2025</x:v>
      </x:c>
      <x:c r="U204" s="14" t="str">
        <x:v>Explicit source first year retained</x:v>
      </x:c>
      <x:c r="V204" s="14" t="str">
        <x:v>Earliest supplied year is 2025.</x:v>
      </x:c>
      <x:c r="W204" s="14"/>
      <x:c r="X204" s="14" t="str">
        <x:v>Included</x:v>
      </x:c>
      <x:c r="Y204" s="14"/>
      <x:c r="Z204" s="14" t="str">
        <x:v>Dreaming Whilst Black.docx</x:v>
      </x:c>
      <x:c r="AA204" s="14" t="str">
        <x:v>HYPERLINK is not implemented. linkLocation=https://www.imdb.com/title/tt14488438/fullcredits/,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12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2</x:v>
      </x:c>
      <x:c r="BS204" s="16" t="n">
        <x:v>0.16666666666666666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HYPERLINK is not implemented. linkLocation=https://www.imdb.com/title/tt14488438/fullcredits/,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tt14488438|nm1264521|winston</x:v>
      </x:c>
      <x:c r="B205" s="14" t="str">
        <x:v>02</x:v>
      </x:c>
      <x:c r="C205" s="14" t="str">
        <x:v>2023_IMDb_Cast_Lists_Batch_02(2).xlsx</x:v>
      </x:c>
      <x:c r="D205" s="14" t="str">
        <x:v>Dreaming Whilst Black</x:v>
      </x:c>
      <x:c r="E205" s="14" t="n">
        <x:v>85</x:v>
      </x:c>
      <x:c r="F205" s="14" t="str">
        <x:v>Dreaming Whilst Black</x:v>
      </x:c>
      <x:c r="G205" s="14" t="str">
        <x:v>tt14488438</x:v>
      </x:c>
      <x:c r="H205" s="14" t="n">
        <x:v>2023</x:v>
      </x:c>
      <x:c r="I205" s="14" t="n">
        <x:v>2025</x:v>
      </x:c>
      <x:c r="J205" s="14" t="str">
        <x:v>Earlier-Production Carry-In Cohort</x:v>
      </x:c>
      <x:c r="K205" s="14" t="n">
        <x:v>2023</x:v>
      </x:c>
      <x:c r="L205" s="14" t="str">
        <x:v>Used in 2025 annual analysis</x:v>
      </x:c>
      <x:c r="M205" s="15" t="n">
        <x:v>78</x:v>
      </x:c>
      <x:c r="N205" s="14" t="str">
        <x:v>Aidan McArdle</x:v>
      </x:c>
      <x:c r="O205" s="14" t="str">
        <x:v>nm1264521</x:v>
      </x:c>
      <x:c r="P205" s="14" t="str">
        <x:v>Winston</x:v>
      </x:c>
      <x:c r="Q205" s="15" t="n">
        <x:v>1</x:v>
      </x:c>
      <x:c r="R205" s="14" t="str">
        <x:v>2025</x:v>
      </x:c>
      <x:c r="S205" s="14" t="n">
        <x:v>2025</x:v>
      </x:c>
      <x:c r="T205" s="14" t="n">
        <x:v>2025</x:v>
      </x:c>
      <x:c r="U205" s="14" t="str">
        <x:v>Explicit source first year retained</x:v>
      </x:c>
      <x:c r="V205" s="14" t="str">
        <x:v>Earliest supplied year is 2025.</x:v>
      </x:c>
      <x:c r="W205" s="14"/>
      <x:c r="X205" s="14" t="str">
        <x:v>Included</x:v>
      </x:c>
      <x:c r="Y205" s="14"/>
      <x:c r="Z205" s="14" t="str">
        <x:v>Dreaming Whilst Black.docx</x:v>
      </x:c>
      <x:c r="AA205" s="14" t="str">
        <x:v>HYPERLINK is not implemented. linkLocation=https://www.imdb.com/title/tt14488438/fullcredits/,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12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0.08333333333333333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HYPERLINK is not implemented. linkLocation=https://www.imdb.com/title/tt14488438/fullcredits/,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tt14488438|nm0533489|pippa</x:v>
      </x:c>
      <x:c r="B206" s="14" t="str">
        <x:v>02</x:v>
      </x:c>
      <x:c r="C206" s="14" t="str">
        <x:v>2023_IMDb_Cast_Lists_Batch_02(2).xlsx</x:v>
      </x:c>
      <x:c r="D206" s="14" t="str">
        <x:v>Dreaming Whilst Black</x:v>
      </x:c>
      <x:c r="E206" s="14" t="n">
        <x:v>86</x:v>
      </x:c>
      <x:c r="F206" s="14" t="str">
        <x:v>Dreaming Whilst Black</x:v>
      </x:c>
      <x:c r="G206" s="14" t="str">
        <x:v>tt14488438</x:v>
      </x:c>
      <x:c r="H206" s="14" t="n">
        <x:v>2023</x:v>
      </x:c>
      <x:c r="I206" s="14" t="n">
        <x:v>2025</x:v>
      </x:c>
      <x:c r="J206" s="14" t="str">
        <x:v>Earlier-Production Carry-In Cohort</x:v>
      </x:c>
      <x:c r="K206" s="14" t="n">
        <x:v>2023</x:v>
      </x:c>
      <x:c r="L206" s="14" t="str">
        <x:v>Used in 2025 annual analysis</x:v>
      </x:c>
      <x:c r="M206" s="15" t="n">
        <x:v>79</x:v>
      </x:c>
      <x:c r="N206" s="14" t="str">
        <x:v>Doon Mackichan</x:v>
      </x:c>
      <x:c r="O206" s="14" t="str">
        <x:v>nm0533489</x:v>
      </x:c>
      <x:c r="P206" s="14" t="str">
        <x:v>Pippa</x:v>
      </x:c>
      <x:c r="Q206" s="15" t="n">
        <x:v>1</x:v>
      </x:c>
      <x:c r="R206" s="14" t="str">
        <x:v>2025</x:v>
      </x:c>
      <x:c r="S206" s="14" t="n">
        <x:v>2025</x:v>
      </x:c>
      <x:c r="T206" s="14" t="n">
        <x:v>2025</x:v>
      </x:c>
      <x:c r="U206" s="14" t="str">
        <x:v>Explicit source first year retained</x:v>
      </x:c>
      <x:c r="V206" s="14" t="str">
        <x:v>Earliest supplied year is 2025.</x:v>
      </x:c>
      <x:c r="W206" s="14"/>
      <x:c r="X206" s="14" t="str">
        <x:v>Included</x:v>
      </x:c>
      <x:c r="Y206" s="14"/>
      <x:c r="Z206" s="14" t="str">
        <x:v>Dreaming Whilst Black.docx</x:v>
      </x:c>
      <x:c r="AA206" s="14" t="str">
        <x:v>HYPERLINK is not implemented. linkLocation=https://www.imdb.com/title/tt14488438/fullcredits/,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12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0.08333333333333333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HYPERLINK is not implemented. linkLocation=https://www.imdb.com/title/tt14488438/fullcredits/,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tt14488438|nm1835936|heather</x:v>
      </x:c>
      <x:c r="B207" s="14" t="str">
        <x:v>02</x:v>
      </x:c>
      <x:c r="C207" s="14" t="str">
        <x:v>2023_IMDb_Cast_Lists_Batch_02(2).xlsx</x:v>
      </x:c>
      <x:c r="D207" s="14" t="str">
        <x:v>Dreaming Whilst Black</x:v>
      </x:c>
      <x:c r="E207" s="14" t="n">
        <x:v>87</x:v>
      </x:c>
      <x:c r="F207" s="14" t="str">
        <x:v>Dreaming Whilst Black</x:v>
      </x:c>
      <x:c r="G207" s="14" t="str">
        <x:v>tt14488438</x:v>
      </x:c>
      <x:c r="H207" s="14" t="n">
        <x:v>2023</x:v>
      </x:c>
      <x:c r="I207" s="14" t="n">
        <x:v>2025</x:v>
      </x:c>
      <x:c r="J207" s="14" t="str">
        <x:v>Earlier-Production Carry-In Cohort</x:v>
      </x:c>
      <x:c r="K207" s="14" t="n">
        <x:v>2023</x:v>
      </x:c>
      <x:c r="L207" s="14" t="str">
        <x:v>Used in 2025 annual analysis</x:v>
      </x:c>
      <x:c r="M207" s="15" t="n">
        <x:v>80</x:v>
      </x:c>
      <x:c r="N207" s="14" t="str">
        <x:v>Lucy Montgomery</x:v>
      </x:c>
      <x:c r="O207" s="14" t="str">
        <x:v>nm1835936</x:v>
      </x:c>
      <x:c r="P207" s="14" t="str">
        <x:v>Heather</x:v>
      </x:c>
      <x:c r="Q207" s="15" t="n">
        <x:v>1</x:v>
      </x:c>
      <x:c r="R207" s="14" t="str">
        <x:v>2025</x:v>
      </x:c>
      <x:c r="S207" s="14" t="n">
        <x:v>2025</x:v>
      </x:c>
      <x:c r="T207" s="14" t="n">
        <x:v>2025</x:v>
      </x:c>
      <x:c r="U207" s="14" t="str">
        <x:v>Explicit source first year retained</x:v>
      </x:c>
      <x:c r="V207" s="14" t="str">
        <x:v>Earliest supplied year is 2025.</x:v>
      </x:c>
      <x:c r="W207" s="14"/>
      <x:c r="X207" s="14" t="str">
        <x:v>Included</x:v>
      </x:c>
      <x:c r="Y207" s="14"/>
      <x:c r="Z207" s="14" t="str">
        <x:v>Dreaming Whilst Black.docx</x:v>
      </x:c>
      <x:c r="AA207" s="14" t="str">
        <x:v>HYPERLINK is not implemented. linkLocation=https://www.imdb.com/title/tt14488438/fullcredits/,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12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0.08333333333333333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HYPERLINK is not implemented. linkLocation=https://www.imdb.com/title/tt14488438/fullcredits/,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tt14488438|nm10862576|abdul</x:v>
      </x:c>
      <x:c r="B208" s="14" t="str">
        <x:v>02</x:v>
      </x:c>
      <x:c r="C208" s="14" t="str">
        <x:v>2023_IMDb_Cast_Lists_Batch_02(2).xlsx</x:v>
      </x:c>
      <x:c r="D208" s="14" t="str">
        <x:v>Dreaming Whilst Black</x:v>
      </x:c>
      <x:c r="E208" s="14" t="n">
        <x:v>88</x:v>
      </x:c>
      <x:c r="F208" s="14" t="str">
        <x:v>Dreaming Whilst Black</x:v>
      </x:c>
      <x:c r="G208" s="14" t="str">
        <x:v>tt14488438</x:v>
      </x:c>
      <x:c r="H208" s="14" t="n">
        <x:v>2023</x:v>
      </x:c>
      <x:c r="I208" s="14" t="n">
        <x:v>2025</x:v>
      </x:c>
      <x:c r="J208" s="14" t="str">
        <x:v>Earlier-Production Carry-In Cohort</x:v>
      </x:c>
      <x:c r="K208" s="14" t="n">
        <x:v>2023</x:v>
      </x:c>
      <x:c r="L208" s="14" t="str">
        <x:v>Used in 2025 annual analysis</x:v>
      </x:c>
      <x:c r="M208" s="15" t="n">
        <x:v>81</x:v>
      </x:c>
      <x:c r="N208" s="14" t="str">
        <x:v>Michael Workeye</x:v>
      </x:c>
      <x:c r="O208" s="14" t="str">
        <x:v>nm10862576</x:v>
      </x:c>
      <x:c r="P208" s="14" t="str">
        <x:v>Abdul</x:v>
      </x:c>
      <x:c r="Q208" s="15" t="n">
        <x:v>1</x:v>
      </x:c>
      <x:c r="R208" s="14" t="str">
        <x:v>2025</x:v>
      </x:c>
      <x:c r="S208" s="14" t="n">
        <x:v>2025</x:v>
      </x:c>
      <x:c r="T208" s="14" t="n">
        <x:v>2025</x:v>
      </x:c>
      <x:c r="U208" s="14" t="str">
        <x:v>Explicit source first year retained</x:v>
      </x:c>
      <x:c r="V208" s="14" t="str">
        <x:v>Earliest supplied year is 2025.</x:v>
      </x:c>
      <x:c r="W208" s="14"/>
      <x:c r="X208" s="14" t="str">
        <x:v>Included</x:v>
      </x:c>
      <x:c r="Y208" s="14"/>
      <x:c r="Z208" s="14" t="str">
        <x:v>Dreaming Whilst Black.docx</x:v>
      </x:c>
      <x:c r="AA208" s="14" t="str">
        <x:v>HYPERLINK is not implemented. linkLocation=https://www.imdb.com/title/tt14488438/fullcredits/,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12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0.08333333333333333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HYPERLINK is not implemented. linkLocation=https://www.imdb.com/title/tt14488438/fullcredits/,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tt14488438|nm5728367|producer 2</x:v>
      </x:c>
      <x:c r="B209" s="14" t="str">
        <x:v>02</x:v>
      </x:c>
      <x:c r="C209" s="14" t="str">
        <x:v>2023_IMDb_Cast_Lists_Batch_02(2).xlsx</x:v>
      </x:c>
      <x:c r="D209" s="14" t="str">
        <x:v>Dreaming Whilst Black</x:v>
      </x:c>
      <x:c r="E209" s="14" t="n">
        <x:v>89</x:v>
      </x:c>
      <x:c r="F209" s="14" t="str">
        <x:v>Dreaming Whilst Black</x:v>
      </x:c>
      <x:c r="G209" s="14" t="str">
        <x:v>tt14488438</x:v>
      </x:c>
      <x:c r="H209" s="14" t="n">
        <x:v>2023</x:v>
      </x:c>
      <x:c r="I209" s="14" t="n">
        <x:v>2025</x:v>
      </x:c>
      <x:c r="J209" s="14" t="str">
        <x:v>Earlier-Production Carry-In Cohort</x:v>
      </x:c>
      <x:c r="K209" s="14" t="n">
        <x:v>2023</x:v>
      </x:c>
      <x:c r="L209" s="14" t="str">
        <x:v>Used in 2025 annual analysis</x:v>
      </x:c>
      <x:c r="M209" s="15" t="n">
        <x:v>82</x:v>
      </x:c>
      <x:c r="N209" s="14" t="str">
        <x:v>Paul G. Raymond</x:v>
      </x:c>
      <x:c r="O209" s="14" t="str">
        <x:v>nm5728367</x:v>
      </x:c>
      <x:c r="P209" s="14" t="str">
        <x:v>Producer 2</x:v>
      </x:c>
      <x:c r="Q209" s="15" t="n">
        <x:v>1</x:v>
      </x:c>
      <x:c r="R209" s="14" t="str">
        <x:v>2025</x:v>
      </x:c>
      <x:c r="S209" s="14" t="n">
        <x:v>2025</x:v>
      </x:c>
      <x:c r="T209" s="14" t="n">
        <x:v>2025</x:v>
      </x:c>
      <x:c r="U209" s="14" t="str">
        <x:v>Explicit source first year retained</x:v>
      </x:c>
      <x:c r="V209" s="14" t="str">
        <x:v>Earliest supplied year is 2025.</x:v>
      </x:c>
      <x:c r="W209" s="14"/>
      <x:c r="X209" s="14" t="str">
        <x:v>Included</x:v>
      </x:c>
      <x:c r="Y209" s="14"/>
      <x:c r="Z209" s="14" t="str">
        <x:v>Dreaming Whilst Black.docx</x:v>
      </x:c>
      <x:c r="AA209" s="14" t="str">
        <x:v>HYPERLINK is not implemented. linkLocation=https://www.imdb.com/title/tt14488438/fullcredits/,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12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0.08333333333333333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HYPERLINK is not implemented. linkLocation=https://www.imdb.com/title/tt14488438/fullcredits/,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tt14488438|nm9378323|jamie</x:v>
      </x:c>
      <x:c r="B210" s="14" t="str">
        <x:v>02</x:v>
      </x:c>
      <x:c r="C210" s="14" t="str">
        <x:v>2023_IMDb_Cast_Lists_Batch_02(2).xlsx</x:v>
      </x:c>
      <x:c r="D210" s="14" t="str">
        <x:v>Dreaming Whilst Black</x:v>
      </x:c>
      <x:c r="E210" s="14" t="n">
        <x:v>90</x:v>
      </x:c>
      <x:c r="F210" s="14" t="str">
        <x:v>Dreaming Whilst Black</x:v>
      </x:c>
      <x:c r="G210" s="14" t="str">
        <x:v>tt14488438</x:v>
      </x:c>
      <x:c r="H210" s="14" t="n">
        <x:v>2023</x:v>
      </x:c>
      <x:c r="I210" s="14" t="n">
        <x:v>2025</x:v>
      </x:c>
      <x:c r="J210" s="14" t="str">
        <x:v>Earlier-Production Carry-In Cohort</x:v>
      </x:c>
      <x:c r="K210" s="14" t="n">
        <x:v>2023</x:v>
      </x:c>
      <x:c r="L210" s="14" t="str">
        <x:v>Used in 2025 annual analysis</x:v>
      </x:c>
      <x:c r="M210" s="15" t="n">
        <x:v>83</x:v>
      </x:c>
      <x:c r="N210" s="14" t="str">
        <x:v>Alfredo Tavares</x:v>
      </x:c>
      <x:c r="O210" s="14" t="str">
        <x:v>nm9378323</x:v>
      </x:c>
      <x:c r="P210" s="14" t="str">
        <x:v>Jamie</x:v>
      </x:c>
      <x:c r="Q210" s="15" t="n">
        <x:v>1</x:v>
      </x:c>
      <x:c r="R210" s="14" t="str">
        <x:v>2025</x:v>
      </x:c>
      <x:c r="S210" s="14" t="n">
        <x:v>2025</x:v>
      </x:c>
      <x:c r="T210" s="14" t="n">
        <x:v>2025</x:v>
      </x:c>
      <x:c r="U210" s="14" t="str">
        <x:v>Explicit source first year retained</x:v>
      </x:c>
      <x:c r="V210" s="14" t="str">
        <x:v>Earliest supplied year is 2025.</x:v>
      </x:c>
      <x:c r="W210" s="14"/>
      <x:c r="X210" s="14" t="str">
        <x:v>Included</x:v>
      </x:c>
      <x:c r="Y210" s="14"/>
      <x:c r="Z210" s="14" t="str">
        <x:v>Dreaming Whilst Black.docx</x:v>
      </x:c>
      <x:c r="AA210" s="14" t="str">
        <x:v>HYPERLINK is not implemented. linkLocation=https://www.imdb.com/title/tt14488438/fullcredits/,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12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0.08333333333333333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4" t="str">
        <x:v>HYPERLINK is not implemented. linkLocation=https://www.imdb.com/title/tt14488438/fullcredits/,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tt14488438|nm0871548|producer</x:v>
      </x:c>
      <x:c r="B211" s="14" t="str">
        <x:v>02</x:v>
      </x:c>
      <x:c r="C211" s="14" t="str">
        <x:v>2023_IMDb_Cast_Lists_Batch_02(2).xlsx</x:v>
      </x:c>
      <x:c r="D211" s="14" t="str">
        <x:v>Dreaming Whilst Black</x:v>
      </x:c>
      <x:c r="E211" s="14" t="n">
        <x:v>91</x:v>
      </x:c>
      <x:c r="F211" s="14" t="str">
        <x:v>Dreaming Whilst Black</x:v>
      </x:c>
      <x:c r="G211" s="14" t="str">
        <x:v>tt14488438</x:v>
      </x:c>
      <x:c r="H211" s="14" t="n">
        <x:v>2023</x:v>
      </x:c>
      <x:c r="I211" s="14" t="n">
        <x:v>2025</x:v>
      </x:c>
      <x:c r="J211" s="14" t="str">
        <x:v>Earlier-Production Carry-In Cohort</x:v>
      </x:c>
      <x:c r="K211" s="14" t="n">
        <x:v>2023</x:v>
      </x:c>
      <x:c r="L211" s="14" t="str">
        <x:v>Used in 2025 annual analysis</x:v>
      </x:c>
      <x:c r="M211" s="15" t="n">
        <x:v>84</x:v>
      </x:c>
      <x:c r="N211" s="14" t="str">
        <x:v>Jamie Treacher</x:v>
      </x:c>
      <x:c r="O211" s="14" t="str">
        <x:v>nm0871548</x:v>
      </x:c>
      <x:c r="P211" s="14" t="str">
        <x:v>Producer</x:v>
      </x:c>
      <x:c r="Q211" s="15" t="n">
        <x:v>1</x:v>
      </x:c>
      <x:c r="R211" s="14" t="str">
        <x:v>2025</x:v>
      </x:c>
      <x:c r="S211" s="14" t="n">
        <x:v>2025</x:v>
      </x:c>
      <x:c r="T211" s="14" t="n">
        <x:v>2025</x:v>
      </x:c>
      <x:c r="U211" s="14" t="str">
        <x:v>Explicit source first year retained</x:v>
      </x:c>
      <x:c r="V211" s="14" t="str">
        <x:v>Earliest supplied year is 2025.</x:v>
      </x:c>
      <x:c r="W211" s="14"/>
      <x:c r="X211" s="14" t="str">
        <x:v>Included</x:v>
      </x:c>
      <x:c r="Y211" s="14"/>
      <x:c r="Z211" s="14" t="str">
        <x:v>Dreaming Whilst Black.docx</x:v>
      </x:c>
      <x:c r="AA211" s="14" t="str">
        <x:v>HYPERLINK is not implemented. linkLocation=https://www.imdb.com/title/tt14488438/fullcredits/,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12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0.08333333333333333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4" t="str">
        <x:v>HYPERLINK is not implemented. linkLocation=https://www.imdb.com/title/tt14488438/fullcredits/,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tt14488438|nm12577601|patron 1</x:v>
      </x:c>
      <x:c r="B212" s="14" t="str">
        <x:v>02</x:v>
      </x:c>
      <x:c r="C212" s="14" t="str">
        <x:v>2023_IMDb_Cast_Lists_Batch_02(2).xlsx</x:v>
      </x:c>
      <x:c r="D212" s="14" t="str">
        <x:v>Dreaming Whilst Black</x:v>
      </x:c>
      <x:c r="E212" s="14" t="n">
        <x:v>92</x:v>
      </x:c>
      <x:c r="F212" s="14" t="str">
        <x:v>Dreaming Whilst Black</x:v>
      </x:c>
      <x:c r="G212" s="14" t="str">
        <x:v>tt14488438</x:v>
      </x:c>
      <x:c r="H212" s="14" t="n">
        <x:v>2023</x:v>
      </x:c>
      <x:c r="I212" s="14" t="n">
        <x:v>2025</x:v>
      </x:c>
      <x:c r="J212" s="14" t="str">
        <x:v>Earlier-Production Carry-In Cohort</x:v>
      </x:c>
      <x:c r="K212" s="14" t="n">
        <x:v>2023</x:v>
      </x:c>
      <x:c r="L212" s="14" t="str">
        <x:v>Used in 2025 annual analysis</x:v>
      </x:c>
      <x:c r="M212" s="15" t="n">
        <x:v>85</x:v>
      </x:c>
      <x:c r="N212" s="14" t="str">
        <x:v>Cal-I Jonel</x:v>
      </x:c>
      <x:c r="O212" s="14" t="str">
        <x:v>nm12577601</x:v>
      </x:c>
      <x:c r="P212" s="14" t="str">
        <x:v>Patron 1</x:v>
      </x:c>
      <x:c r="Q212" s="15" t="n">
        <x:v>1</x:v>
      </x:c>
      <x:c r="R212" s="14" t="str">
        <x:v>2025</x:v>
      </x:c>
      <x:c r="S212" s="14" t="n">
        <x:v>2025</x:v>
      </x:c>
      <x:c r="T212" s="14" t="n">
        <x:v>2025</x:v>
      </x:c>
      <x:c r="U212" s="14" t="str">
        <x:v>Explicit source first year retained</x:v>
      </x:c>
      <x:c r="V212" s="14" t="str">
        <x:v>Earliest supplied year is 2025.</x:v>
      </x:c>
      <x:c r="W212" s="14"/>
      <x:c r="X212" s="14" t="str">
        <x:v>Included</x:v>
      </x:c>
      <x:c r="Y212" s="14"/>
      <x:c r="Z212" s="14" t="str">
        <x:v>Dreaming Whilst Black.docx</x:v>
      </x:c>
      <x:c r="AA212" s="14" t="str">
        <x:v>HYPERLINK is not implemented. linkLocation=https://www.imdb.com/title/tt14488438/fullcredits/,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0.08333333333333333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4" t="str">
        <x:v>HYPERLINK is not implemented. linkLocation=https://www.imdb.com/title/tt14488438/fullcredits/,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tt14488438|nm13316152|caricaturist</x:v>
      </x:c>
      <x:c r="B213" s="14" t="str">
        <x:v>02</x:v>
      </x:c>
      <x:c r="C213" s="14" t="str">
        <x:v>2023_IMDb_Cast_Lists_Batch_02(2).xlsx</x:v>
      </x:c>
      <x:c r="D213" s="14" t="str">
        <x:v>Dreaming Whilst Black</x:v>
      </x:c>
      <x:c r="E213" s="14" t="n">
        <x:v>93</x:v>
      </x:c>
      <x:c r="F213" s="14" t="str">
        <x:v>Dreaming Whilst Black</x:v>
      </x:c>
      <x:c r="G213" s="14" t="str">
        <x:v>tt14488438</x:v>
      </x:c>
      <x:c r="H213" s="14" t="n">
        <x:v>2023</x:v>
      </x:c>
      <x:c r="I213" s="14" t="n">
        <x:v>2025</x:v>
      </x:c>
      <x:c r="J213" s="14" t="str">
        <x:v>Earlier-Production Carry-In Cohort</x:v>
      </x:c>
      <x:c r="K213" s="14" t="n">
        <x:v>2023</x:v>
      </x:c>
      <x:c r="L213" s="14" t="str">
        <x:v>Used in 2025 annual analysis</x:v>
      </x:c>
      <x:c r="M213" s="15" t="n">
        <x:v>86</x:v>
      </x:c>
      <x:c r="N213" s="14" t="str">
        <x:v>Constantine Andronikou</x:v>
      </x:c>
      <x:c r="O213" s="14" t="str">
        <x:v>nm13316152</x:v>
      </x:c>
      <x:c r="P213" s="14" t="str">
        <x:v>Caricaturist</x:v>
      </x:c>
      <x:c r="Q213" s="15" t="n">
        <x:v>1</x:v>
      </x:c>
      <x:c r="R213" s="14" t="str">
        <x:v>2025</x:v>
      </x:c>
      <x:c r="S213" s="14" t="n">
        <x:v>2025</x:v>
      </x:c>
      <x:c r="T213" s="14" t="n">
        <x:v>2025</x:v>
      </x:c>
      <x:c r="U213" s="14" t="str">
        <x:v>Explicit source first year retained</x:v>
      </x:c>
      <x:c r="V213" s="14" t="str">
        <x:v>Earliest supplied year is 2025.</x:v>
      </x:c>
      <x:c r="W213" s="14"/>
      <x:c r="X213" s="14" t="str">
        <x:v>Included</x:v>
      </x:c>
      <x:c r="Y213" s="14"/>
      <x:c r="Z213" s="14" t="str">
        <x:v>Dreaming Whilst Black.docx</x:v>
      </x:c>
      <x:c r="AA213" s="14" t="str">
        <x:v>HYPERLINK is not implemented. linkLocation=https://www.imdb.com/title/tt14488438/fullcredits/,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0.08333333333333333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4" t="str">
        <x:v>HYPERLINK is not implemented. linkLocation=https://www.imdb.com/title/tt14488438/fullcredits/,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tt14488438|nm4820932|security guard</x:v>
      </x:c>
      <x:c r="B214" s="14" t="str">
        <x:v>02</x:v>
      </x:c>
      <x:c r="C214" s="14" t="str">
        <x:v>2023_IMDb_Cast_Lists_Batch_02(2).xlsx</x:v>
      </x:c>
      <x:c r="D214" s="14" t="str">
        <x:v>Dreaming Whilst Black</x:v>
      </x:c>
      <x:c r="E214" s="14" t="n">
        <x:v>94</x:v>
      </x:c>
      <x:c r="F214" s="14" t="str">
        <x:v>Dreaming Whilst Black</x:v>
      </x:c>
      <x:c r="G214" s="14" t="str">
        <x:v>tt14488438</x:v>
      </x:c>
      <x:c r="H214" s="14" t="n">
        <x:v>2023</x:v>
      </x:c>
      <x:c r="I214" s="14" t="n">
        <x:v>2025</x:v>
      </x:c>
      <x:c r="J214" s="14" t="str">
        <x:v>Earlier-Production Carry-In Cohort</x:v>
      </x:c>
      <x:c r="K214" s="14" t="n">
        <x:v>2023</x:v>
      </x:c>
      <x:c r="L214" s="14" t="str">
        <x:v>Used in 2025 annual analysis</x:v>
      </x:c>
      <x:c r="M214" s="15" t="n">
        <x:v>87</x:v>
      </x:c>
      <x:c r="N214" s="14" t="str">
        <x:v>Christine Dalby</x:v>
      </x:c>
      <x:c r="O214" s="14" t="str">
        <x:v>nm4820932</x:v>
      </x:c>
      <x:c r="P214" s="14" t="str">
        <x:v>Security Guard</x:v>
      </x:c>
      <x:c r="Q214" s="15" t="n">
        <x:v>1</x:v>
      </x:c>
      <x:c r="R214" s="14" t="str">
        <x:v>2025</x:v>
      </x:c>
      <x:c r="S214" s="14" t="n">
        <x:v>2025</x:v>
      </x:c>
      <x:c r="T214" s="14" t="n">
        <x:v>2025</x:v>
      </x:c>
      <x:c r="U214" s="14" t="str">
        <x:v>Explicit source first year retained</x:v>
      </x:c>
      <x:c r="V214" s="14" t="str">
        <x:v>Earliest supplied year is 2025.</x:v>
      </x:c>
      <x:c r="W214" s="14"/>
      <x:c r="X214" s="14" t="str">
        <x:v>Included</x:v>
      </x:c>
      <x:c r="Y214" s="14"/>
      <x:c r="Z214" s="14" t="str">
        <x:v>Dreaming Whilst Black.docx</x:v>
      </x:c>
      <x:c r="AA214" s="14" t="str">
        <x:v>HYPERLINK is not implemented. linkLocation=https://www.imdb.com/title/tt14488438/fullcredits/,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0.08333333333333333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4" t="str">
        <x:v>HYPERLINK is not implemented. linkLocation=https://www.imdb.com/title/tt14488438/fullcredits/,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tt14488438|nm13412512|presenter</x:v>
      </x:c>
      <x:c r="B215" s="14" t="str">
        <x:v>02</x:v>
      </x:c>
      <x:c r="C215" s="14" t="str">
        <x:v>2023_IMDb_Cast_Lists_Batch_02(2).xlsx</x:v>
      </x:c>
      <x:c r="D215" s="14" t="str">
        <x:v>Dreaming Whilst Black</x:v>
      </x:c>
      <x:c r="E215" s="14" t="n">
        <x:v>95</x:v>
      </x:c>
      <x:c r="F215" s="14" t="str">
        <x:v>Dreaming Whilst Black</x:v>
      </x:c>
      <x:c r="G215" s="14" t="str">
        <x:v>tt14488438</x:v>
      </x:c>
      <x:c r="H215" s="14" t="n">
        <x:v>2023</x:v>
      </x:c>
      <x:c r="I215" s="14" t="n">
        <x:v>2025</x:v>
      </x:c>
      <x:c r="J215" s="14" t="str">
        <x:v>Earlier-Production Carry-In Cohort</x:v>
      </x:c>
      <x:c r="K215" s="14" t="n">
        <x:v>2023</x:v>
      </x:c>
      <x:c r="L215" s="14" t="str">
        <x:v>Used in 2025 annual analysis</x:v>
      </x:c>
      <x:c r="M215" s="15" t="n">
        <x:v>88</x:v>
      </x:c>
      <x:c r="N215" s="14" t="str">
        <x:v>Victoria Duthie</x:v>
      </x:c>
      <x:c r="O215" s="14" t="str">
        <x:v>nm13412512</x:v>
      </x:c>
      <x:c r="P215" s="14" t="str">
        <x:v>Presenter</x:v>
      </x:c>
      <x:c r="Q215" s="15" t="n">
        <x:v>1</x:v>
      </x:c>
      <x:c r="R215" s="14" t="str">
        <x:v>2025</x:v>
      </x:c>
      <x:c r="S215" s="14" t="n">
        <x:v>2025</x:v>
      </x:c>
      <x:c r="T215" s="14" t="n">
        <x:v>2025</x:v>
      </x:c>
      <x:c r="U215" s="14" t="str">
        <x:v>Explicit source first year retained</x:v>
      </x:c>
      <x:c r="V215" s="14" t="str">
        <x:v>Earliest supplied year is 2025.</x:v>
      </x:c>
      <x:c r="W215" s="14"/>
      <x:c r="X215" s="14" t="str">
        <x:v>Included</x:v>
      </x:c>
      <x:c r="Y215" s="14"/>
      <x:c r="Z215" s="14" t="str">
        <x:v>Dreaming Whilst Black.docx</x:v>
      </x:c>
      <x:c r="AA215" s="14" t="str">
        <x:v>HYPERLINK is not implemented. linkLocation=https://www.imdb.com/title/tt14488438/fullcredits/,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0.08333333333333333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4" t="str">
        <x:v>HYPERLINK is not implemented. linkLocation=https://www.imdb.com/title/tt14488438/fullcredits/,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tt14488438|nm9286296|katie</x:v>
      </x:c>
      <x:c r="B216" s="14" t="str">
        <x:v>02</x:v>
      </x:c>
      <x:c r="C216" s="14" t="str">
        <x:v>2023_IMDb_Cast_Lists_Batch_02(2).xlsx</x:v>
      </x:c>
      <x:c r="D216" s="14" t="str">
        <x:v>Dreaming Whilst Black</x:v>
      </x:c>
      <x:c r="E216" s="14" t="n">
        <x:v>96</x:v>
      </x:c>
      <x:c r="F216" s="14" t="str">
        <x:v>Dreaming Whilst Black</x:v>
      </x:c>
      <x:c r="G216" s="14" t="str">
        <x:v>tt14488438</x:v>
      </x:c>
      <x:c r="H216" s="14" t="n">
        <x:v>2023</x:v>
      </x:c>
      <x:c r="I216" s="14" t="n">
        <x:v>2025</x:v>
      </x:c>
      <x:c r="J216" s="14" t="str">
        <x:v>Earlier-Production Carry-In Cohort</x:v>
      </x:c>
      <x:c r="K216" s="14" t="n">
        <x:v>2023</x:v>
      </x:c>
      <x:c r="L216" s="14" t="str">
        <x:v>Used in 2025 annual analysis</x:v>
      </x:c>
      <x:c r="M216" s="15" t="n">
        <x:v>89</x:v>
      </x:c>
      <x:c r="N216" s="14" t="str">
        <x:v>Emmy Stonelake</x:v>
      </x:c>
      <x:c r="O216" s="14" t="str">
        <x:v>nm9286296</x:v>
      </x:c>
      <x:c r="P216" s="14" t="str">
        <x:v>Katie</x:v>
      </x:c>
      <x:c r="Q216" s="15" t="n">
        <x:v>1</x:v>
      </x:c>
      <x:c r="R216" s="14" t="str">
        <x:v>2025</x:v>
      </x:c>
      <x:c r="S216" s="14" t="n">
        <x:v>2025</x:v>
      </x:c>
      <x:c r="T216" s="14" t="n">
        <x:v>2025</x:v>
      </x:c>
      <x:c r="U216" s="14" t="str">
        <x:v>Explicit source first year retained</x:v>
      </x:c>
      <x:c r="V216" s="14" t="str">
        <x:v>Earliest supplied year is 2025.</x:v>
      </x:c>
      <x:c r="W216" s="14"/>
      <x:c r="X216" s="14" t="str">
        <x:v>Included</x:v>
      </x:c>
      <x:c r="Y216" s="14"/>
      <x:c r="Z216" s="14" t="str">
        <x:v>Dreaming Whilst Black.docx</x:v>
      </x:c>
      <x:c r="AA216" s="14" t="str">
        <x:v>HYPERLINK is not implemented. linkLocation=https://www.imdb.com/title/tt14488438/fullcredits/,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0.08333333333333333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4" t="str">
        <x:v>HYPERLINK is not implemented. linkLocation=https://www.imdb.com/title/tt14488438/fullcredits/,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tt14488438|nm7881890|french waiter</x:v>
      </x:c>
      <x:c r="B217" s="14" t="str">
        <x:v>02</x:v>
      </x:c>
      <x:c r="C217" s="14" t="str">
        <x:v>2023_IMDb_Cast_Lists_Batch_02(2).xlsx</x:v>
      </x:c>
      <x:c r="D217" s="14" t="str">
        <x:v>Dreaming Whilst Black</x:v>
      </x:c>
      <x:c r="E217" s="14" t="n">
        <x:v>97</x:v>
      </x:c>
      <x:c r="F217" s="14" t="str">
        <x:v>Dreaming Whilst Black</x:v>
      </x:c>
      <x:c r="G217" s="14" t="str">
        <x:v>tt14488438</x:v>
      </x:c>
      <x:c r="H217" s="14" t="n">
        <x:v>2023</x:v>
      </x:c>
      <x:c r="I217" s="14" t="n">
        <x:v>2025</x:v>
      </x:c>
      <x:c r="J217" s="14" t="str">
        <x:v>Earlier-Production Carry-In Cohort</x:v>
      </x:c>
      <x:c r="K217" s="14" t="n">
        <x:v>2023</x:v>
      </x:c>
      <x:c r="L217" s="14" t="str">
        <x:v>Used in 2025 annual analysis</x:v>
      </x:c>
      <x:c r="M217" s="15" t="n">
        <x:v>90</x:v>
      </x:c>
      <x:c r="N217" s="14" t="str">
        <x:v>Alexis Larrue</x:v>
      </x:c>
      <x:c r="O217" s="14" t="str">
        <x:v>nm7881890</x:v>
      </x:c>
      <x:c r="P217" s="14" t="str">
        <x:v>French Waiter</x:v>
      </x:c>
      <x:c r="Q217" s="15" t="n">
        <x:v>1</x:v>
      </x:c>
      <x:c r="R217" s="14" t="str">
        <x:v>2025</x:v>
      </x:c>
      <x:c r="S217" s="14" t="n">
        <x:v>2025</x:v>
      </x:c>
      <x:c r="T217" s="14" t="n">
        <x:v>2025</x:v>
      </x:c>
      <x:c r="U217" s="14" t="str">
        <x:v>Explicit source first year retained</x:v>
      </x:c>
      <x:c r="V217" s="14" t="str">
        <x:v>Earliest supplied year is 2025.</x:v>
      </x:c>
      <x:c r="W217" s="14"/>
      <x:c r="X217" s="14" t="str">
        <x:v>Included</x:v>
      </x:c>
      <x:c r="Y217" s="14"/>
      <x:c r="Z217" s="14" t="str">
        <x:v>Dreaming Whilst Black.docx</x:v>
      </x:c>
      <x:c r="AA217" s="14" t="str">
        <x:v>HYPERLINK is not implemented. linkLocation=https://www.imdb.com/title/tt14488438/fullcredits/,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0.08333333333333333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4" t="str">
        <x:v>HYPERLINK is not implemented. linkLocation=https://www.imdb.com/title/tt14488438/fullcredits/,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tt14488438|nm2120534|producer 3</x:v>
      </x:c>
      <x:c r="B218" s="14" t="str">
        <x:v>02</x:v>
      </x:c>
      <x:c r="C218" s="14" t="str">
        <x:v>2023_IMDb_Cast_Lists_Batch_02(2).xlsx</x:v>
      </x:c>
      <x:c r="D218" s="14" t="str">
        <x:v>Dreaming Whilst Black</x:v>
      </x:c>
      <x:c r="E218" s="14" t="n">
        <x:v>98</x:v>
      </x:c>
      <x:c r="F218" s="14" t="str">
        <x:v>Dreaming Whilst Black</x:v>
      </x:c>
      <x:c r="G218" s="14" t="str">
        <x:v>tt14488438</x:v>
      </x:c>
      <x:c r="H218" s="14" t="n">
        <x:v>2023</x:v>
      </x:c>
      <x:c r="I218" s="14" t="n">
        <x:v>2025</x:v>
      </x:c>
      <x:c r="J218" s="14" t="str">
        <x:v>Earlier-Production Carry-In Cohort</x:v>
      </x:c>
      <x:c r="K218" s="14" t="n">
        <x:v>2023</x:v>
      </x:c>
      <x:c r="L218" s="14" t="str">
        <x:v>Used in 2025 annual analysis</x:v>
      </x:c>
      <x:c r="M218" s="15" t="n">
        <x:v>91</x:v>
      </x:c>
      <x:c r="N218" s="14" t="str">
        <x:v>Eleanor Brunsdon</x:v>
      </x:c>
      <x:c r="O218" s="14" t="str">
        <x:v>nm2120534</x:v>
      </x:c>
      <x:c r="P218" s="14" t="str">
        <x:v>Producer 3</x:v>
      </x:c>
      <x:c r="Q218" s="15" t="n">
        <x:v>1</x:v>
      </x:c>
      <x:c r="R218" s="14" t="str">
        <x:v>2025</x:v>
      </x:c>
      <x:c r="S218" s="14" t="n">
        <x:v>2025</x:v>
      </x:c>
      <x:c r="T218" s="14" t="n">
        <x:v>2025</x:v>
      </x:c>
      <x:c r="U218" s="14" t="str">
        <x:v>Explicit source first year retained</x:v>
      </x:c>
      <x:c r="V218" s="14" t="str">
        <x:v>Earliest supplied year is 2025.</x:v>
      </x:c>
      <x:c r="W218" s="14"/>
      <x:c r="X218" s="14" t="str">
        <x:v>Included</x:v>
      </x:c>
      <x:c r="Y218" s="14"/>
      <x:c r="Z218" s="14" t="str">
        <x:v>Dreaming Whilst Black.docx</x:v>
      </x:c>
      <x:c r="AA218" s="14" t="str">
        <x:v>HYPERLINK is not implemented. linkLocation=https://www.imdb.com/title/tt14488438/fullcredits/,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0.08333333333333333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4" t="str">
        <x:v>HYPERLINK is not implemented. linkLocation=https://www.imdb.com/title/tt14488438/fullcredits/,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tt14488438|nm15867461|theatre manager</x:v>
      </x:c>
      <x:c r="B219" s="14" t="str">
        <x:v>02</x:v>
      </x:c>
      <x:c r="C219" s="14" t="str">
        <x:v>2023_IMDb_Cast_Lists_Batch_02(2).xlsx</x:v>
      </x:c>
      <x:c r="D219" s="14" t="str">
        <x:v>Dreaming Whilst Black</x:v>
      </x:c>
      <x:c r="E219" s="14" t="n">
        <x:v>99</x:v>
      </x:c>
      <x:c r="F219" s="14" t="str">
        <x:v>Dreaming Whilst Black</x:v>
      </x:c>
      <x:c r="G219" s="14" t="str">
        <x:v>tt14488438</x:v>
      </x:c>
      <x:c r="H219" s="14" t="n">
        <x:v>2023</x:v>
      </x:c>
      <x:c r="I219" s="14" t="n">
        <x:v>2025</x:v>
      </x:c>
      <x:c r="J219" s="14" t="str">
        <x:v>Earlier-Production Carry-In Cohort</x:v>
      </x:c>
      <x:c r="K219" s="14" t="n">
        <x:v>2023</x:v>
      </x:c>
      <x:c r="L219" s="14" t="str">
        <x:v>Used in 2025 annual analysis</x:v>
      </x:c>
      <x:c r="M219" s="15" t="n">
        <x:v>92</x:v>
      </x:c>
      <x:c r="N219" s="14" t="str">
        <x:v>Joanne Gray</x:v>
      </x:c>
      <x:c r="O219" s="14" t="str">
        <x:v>nm15867461</x:v>
      </x:c>
      <x:c r="P219" s="14" t="str">
        <x:v>Theatre Manager</x:v>
      </x:c>
      <x:c r="Q219" s="15" t="n">
        <x:v>1</x:v>
      </x:c>
      <x:c r="R219" s="14" t="str">
        <x:v>2025</x:v>
      </x:c>
      <x:c r="S219" s="14" t="n">
        <x:v>2025</x:v>
      </x:c>
      <x:c r="T219" s="14" t="n">
        <x:v>2025</x:v>
      </x:c>
      <x:c r="U219" s="14" t="str">
        <x:v>Explicit source first year retained</x:v>
      </x:c>
      <x:c r="V219" s="14" t="str">
        <x:v>Earliest supplied year is 2025.</x:v>
      </x:c>
      <x:c r="W219" s="14"/>
      <x:c r="X219" s="14" t="str">
        <x:v>Included</x:v>
      </x:c>
      <x:c r="Y219" s="14"/>
      <x:c r="Z219" s="14" t="str">
        <x:v>Dreaming Whilst Black.docx</x:v>
      </x:c>
      <x:c r="AA219" s="14" t="str">
        <x:v>HYPERLINK is not implemented. linkLocation=https://www.imdb.com/title/tt14488438/fullcredits/,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0.08333333333333333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4" t="str">
        <x:v>HYPERLINK is not implemented. linkLocation=https://www.imdb.com/title/tt14488438/fullcredits/,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tt14488438|nm17693857|jesse</x:v>
      </x:c>
      <x:c r="B220" s="14" t="str">
        <x:v>02</x:v>
      </x:c>
      <x:c r="C220" s="14" t="str">
        <x:v>2023_IMDb_Cast_Lists_Batch_02(2).xlsx</x:v>
      </x:c>
      <x:c r="D220" s="14" t="str">
        <x:v>Dreaming Whilst Black</x:v>
      </x:c>
      <x:c r="E220" s="14" t="n">
        <x:v>100</x:v>
      </x:c>
      <x:c r="F220" s="14" t="str">
        <x:v>Dreaming Whilst Black</x:v>
      </x:c>
      <x:c r="G220" s="14" t="str">
        <x:v>tt14488438</x:v>
      </x:c>
      <x:c r="H220" s="14" t="n">
        <x:v>2023</x:v>
      </x:c>
      <x:c r="I220" s="14" t="n">
        <x:v>2025</x:v>
      </x:c>
      <x:c r="J220" s="14" t="str">
        <x:v>Earlier-Production Carry-In Cohort</x:v>
      </x:c>
      <x:c r="K220" s="14" t="n">
        <x:v>2023</x:v>
      </x:c>
      <x:c r="L220" s="14" t="str">
        <x:v>Used in 2025 annual analysis</x:v>
      </x:c>
      <x:c r="M220" s="15" t="n">
        <x:v>93</x:v>
      </x:c>
      <x:c r="N220" s="14" t="str">
        <x:v>Tyrone Forde</x:v>
      </x:c>
      <x:c r="O220" s="14" t="str">
        <x:v>nm17693857</x:v>
      </x:c>
      <x:c r="P220" s="14" t="str">
        <x:v>Jesse</x:v>
      </x:c>
      <x:c r="Q220" s="15" t="n">
        <x:v>1</x:v>
      </x:c>
      <x:c r="R220" s="14" t="str">
        <x:v>2025</x:v>
      </x:c>
      <x:c r="S220" s="14" t="n">
        <x:v>2025</x:v>
      </x:c>
      <x:c r="T220" s="14" t="n">
        <x:v>2025</x:v>
      </x:c>
      <x:c r="U220" s="14" t="str">
        <x:v>Explicit source first year retained</x:v>
      </x:c>
      <x:c r="V220" s="14" t="str">
        <x:v>Earliest supplied year is 2025.</x:v>
      </x:c>
      <x:c r="W220" s="14"/>
      <x:c r="X220" s="14" t="str">
        <x:v>Included</x:v>
      </x:c>
      <x:c r="Y220" s="14"/>
      <x:c r="Z220" s="14" t="str">
        <x:v>Dreaming Whilst Black.docx</x:v>
      </x:c>
      <x:c r="AA220" s="14" t="str">
        <x:v>HYPERLINK is not implemented. linkLocation=https://www.imdb.com/title/tt14488438/fullcredits/,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0.08333333333333333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4" t="str">
        <x:v>HYPERLINK is not implemented. linkLocation=https://www.imdb.com/title/tt14488438/fullcredits/,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tt14488438|nm14045891|patron 2</x:v>
      </x:c>
      <x:c r="B221" s="14" t="str">
        <x:v>02</x:v>
      </x:c>
      <x:c r="C221" s="14" t="str">
        <x:v>2023_IMDb_Cast_Lists_Batch_02(2).xlsx</x:v>
      </x:c>
      <x:c r="D221" s="14" t="str">
        <x:v>Dreaming Whilst Black</x:v>
      </x:c>
      <x:c r="E221" s="14" t="n">
        <x:v>101</x:v>
      </x:c>
      <x:c r="F221" s="14" t="str">
        <x:v>Dreaming Whilst Black</x:v>
      </x:c>
      <x:c r="G221" s="14" t="str">
        <x:v>tt14488438</x:v>
      </x:c>
      <x:c r="H221" s="14" t="n">
        <x:v>2023</x:v>
      </x:c>
      <x:c r="I221" s="14" t="n">
        <x:v>2025</x:v>
      </x:c>
      <x:c r="J221" s="14" t="str">
        <x:v>Earlier-Production Carry-In Cohort</x:v>
      </x:c>
      <x:c r="K221" s="14" t="n">
        <x:v>2023</x:v>
      </x:c>
      <x:c r="L221" s="14" t="str">
        <x:v>Used in 2025 annual analysis</x:v>
      </x:c>
      <x:c r="M221" s="15" t="n">
        <x:v>94</x:v>
      </x:c>
      <x:c r="N221" s="14" t="str">
        <x:v>Connor Going</x:v>
      </x:c>
      <x:c r="O221" s="14" t="str">
        <x:v>nm14045891</x:v>
      </x:c>
      <x:c r="P221" s="14" t="str">
        <x:v>Patron 2</x:v>
      </x:c>
      <x:c r="Q221" s="15" t="n">
        <x:v>1</x:v>
      </x:c>
      <x:c r="R221" s="14" t="str">
        <x:v>2025</x:v>
      </x:c>
      <x:c r="S221" s="14" t="n">
        <x:v>2025</x:v>
      </x:c>
      <x:c r="T221" s="14" t="n">
        <x:v>2025</x:v>
      </x:c>
      <x:c r="U221" s="14" t="str">
        <x:v>Explicit source first year retained</x:v>
      </x:c>
      <x:c r="V221" s="14" t="str">
        <x:v>Earliest supplied year is 2025.</x:v>
      </x:c>
      <x:c r="W221" s="14"/>
      <x:c r="X221" s="14" t="str">
        <x:v>Included</x:v>
      </x:c>
      <x:c r="Y221" s="14"/>
      <x:c r="Z221" s="14" t="str">
        <x:v>Dreaming Whilst Black.docx</x:v>
      </x:c>
      <x:c r="AA221" s="14" t="str">
        <x:v>HYPERLINK is not implemented. linkLocation=https://www.imdb.com/title/tt14488438/fullcredits/,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0.08333333333333333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4" t="str">
        <x:v>HYPERLINK is not implemented. linkLocation=https://www.imdb.com/title/tt14488438/fullcredits/,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tt14488438|nm12206208|abu</x:v>
      </x:c>
      <x:c r="B222" s="14" t="str">
        <x:v>02</x:v>
      </x:c>
      <x:c r="C222" s="14" t="str">
        <x:v>2023_IMDb_Cast_Lists_Batch_02(2).xlsx</x:v>
      </x:c>
      <x:c r="D222" s="14" t="str">
        <x:v>Dreaming Whilst Black</x:v>
      </x:c>
      <x:c r="E222" s="14" t="n">
        <x:v>102</x:v>
      </x:c>
      <x:c r="F222" s="14" t="str">
        <x:v>Dreaming Whilst Black</x:v>
      </x:c>
      <x:c r="G222" s="14" t="str">
        <x:v>tt14488438</x:v>
      </x:c>
      <x:c r="H222" s="14" t="n">
        <x:v>2023</x:v>
      </x:c>
      <x:c r="I222" s="14" t="n">
        <x:v>2025</x:v>
      </x:c>
      <x:c r="J222" s="14" t="str">
        <x:v>Earlier-Production Carry-In Cohort</x:v>
      </x:c>
      <x:c r="K222" s="14" t="n">
        <x:v>2023</x:v>
      </x:c>
      <x:c r="L222" s="14" t="str">
        <x:v>Used in 2025 annual analysis</x:v>
      </x:c>
      <x:c r="M222" s="15" t="n">
        <x:v>95</x:v>
      </x:c>
      <x:c r="N222" s="14" t="str">
        <x:v>Harel Glazer</x:v>
      </x:c>
      <x:c r="O222" s="14" t="str">
        <x:v>nm12206208</x:v>
      </x:c>
      <x:c r="P222" s="14" t="str">
        <x:v>Abu</x:v>
      </x:c>
      <x:c r="Q222" s="15" t="n">
        <x:v>1</x:v>
      </x:c>
      <x:c r="R222" s="14" t="str">
        <x:v>2025</x:v>
      </x:c>
      <x:c r="S222" s="14" t="n">
        <x:v>2025</x:v>
      </x:c>
      <x:c r="T222" s="14" t="n">
        <x:v>2025</x:v>
      </x:c>
      <x:c r="U222" s="14" t="str">
        <x:v>Explicit source first year retained</x:v>
      </x:c>
      <x:c r="V222" s="14" t="str">
        <x:v>Earliest supplied year is 2025.</x:v>
      </x:c>
      <x:c r="W222" s="14"/>
      <x:c r="X222" s="14" t="str">
        <x:v>Included</x:v>
      </x:c>
      <x:c r="Y222" s="14"/>
      <x:c r="Z222" s="14" t="str">
        <x:v>Dreaming Whilst Black.docx</x:v>
      </x:c>
      <x:c r="AA222" s="14" t="str">
        <x:v>HYPERLINK is not implemented. linkLocation=https://www.imdb.com/title/tt14488438/fullcredits/,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0.08333333333333333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4" t="str">
        <x:v>HYPERLINK is not implemented. linkLocation=https://www.imdb.com/title/tt14488438/fullcredits/,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tt20918594|nm3433735|dr. james ford</x:v>
      </x:c>
      <x:c r="B223" s="14" t="str">
        <x:v>02</x:v>
      </x:c>
      <x:c r="C223" s="14" t="str">
        <x:v>2023_IMDb_Cast_Lists_Batch_02(2).xlsx</x:v>
      </x:c>
      <x:c r="D223" s="14" t="str">
        <x:v>Malpractice</x:v>
      </x:c>
      <x:c r="E223" s="14" t="n">
        <x:v>13</x:v>
      </x:c>
      <x:c r="F223" s="14" t="str">
        <x:v>Malpractice</x:v>
      </x:c>
      <x:c r="G223" s="14" t="str">
        <x:v>tt20918594</x:v>
      </x:c>
      <x:c r="H223" s="14" t="n">
        <x:v>2023</x:v>
      </x:c>
      <x:c r="I223" s="14" t="n">
        <x:v>2025</x:v>
      </x:c>
      <x:c r="J223" s="14" t="str">
        <x:v>Earlier-Production Carry-In Cohort</x:v>
      </x:c>
      <x:c r="K223" s="14" t="n">
        <x:v>2023</x:v>
      </x:c>
      <x:c r="L223" s="14" t="str">
        <x:v>Used in 2025 annual analysis</x:v>
      </x:c>
      <x:c r="M223" s="15" t="n">
        <x:v>6</x:v>
      </x:c>
      <x:c r="N223" s="14" t="str">
        <x:v>Tom Hughes</x:v>
      </x:c>
      <x:c r="O223" s="14" t="str">
        <x:v>nm3433735</x:v>
      </x:c>
      <x:c r="P223" s="14" t="str">
        <x:v>Dr. James Ford</x:v>
      </x:c>
      <x:c r="Q223" s="15" t="n">
        <x:v>5</x:v>
      </x:c>
      <x:c r="R223" s="14" t="str">
        <x:v>2025</x:v>
      </x:c>
      <x:c r="S223" s="14" t="n">
        <x:v>2025</x:v>
      </x:c>
      <x:c r="T223" s="14" t="n">
        <x:v>2025</x:v>
      </x:c>
      <x:c r="U223" s="14" t="str">
        <x:v>Explicit source first year retained</x:v>
      </x:c>
      <x:c r="V223" s="14" t="str">
        <x:v>Earliest supplied year is 2025.</x:v>
      </x:c>
      <x:c r="W223" s="14"/>
      <x:c r="X223" s="14" t="str">
        <x:v>Included</x:v>
      </x:c>
      <x:c r="Y223" s="14"/>
      <x:c r="Z223" s="14" t="str">
        <x:v>Malpractice.docx</x:v>
      </x:c>
      <x:c r="AA223" s="14" t="str">
        <x:v>HYPERLINK is not implemented. linkLocation=https://www.imdb.com/title/tt20918594/fullcredits/,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HYPERLINK("https://en.wikipedia.org/wiki/Malpractice","Open source")</x:f>
        <x:v>HYPERLINK is not implemented. linkLocation=https://en.wikipedia.org/wiki/Malpractice,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10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5</x:v>
      </x:c>
      <x:c r="BS223" s="16" t="n">
        <x:v>0.5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4" t="str">
        <x:v>HYPERLINK is not implemented. linkLocation=https://www.imdb.com/title/tt20918594/fullcredits/,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tt20918594|nm4271607|dr. sophia hernandez</x:v>
      </x:c>
      <x:c r="B224" s="14" t="str">
        <x:v>02</x:v>
      </x:c>
      <x:c r="C224" s="14" t="str">
        <x:v>2023_IMDb_Cast_Lists_Batch_02(2).xlsx</x:v>
      </x:c>
      <x:c r="D224" s="14" t="str">
        <x:v>Malpractice</x:v>
      </x:c>
      <x:c r="E224" s="14" t="n">
        <x:v>14</x:v>
      </x:c>
      <x:c r="F224" s="14" t="str">
        <x:v>Malpractice</x:v>
      </x:c>
      <x:c r="G224" s="14" t="str">
        <x:v>tt20918594</x:v>
      </x:c>
      <x:c r="H224" s="14" t="n">
        <x:v>2023</x:v>
      </x:c>
      <x:c r="I224" s="14" t="n">
        <x:v>2025</x:v>
      </x:c>
      <x:c r="J224" s="14" t="str">
        <x:v>Earlier-Production Carry-In Cohort</x:v>
      </x:c>
      <x:c r="K224" s="14" t="n">
        <x:v>2023</x:v>
      </x:c>
      <x:c r="L224" s="14" t="str">
        <x:v>Used in 2025 annual analysis</x:v>
      </x:c>
      <x:c r="M224" s="15" t="n">
        <x:v>7</x:v>
      </x:c>
      <x:c r="N224" s="14" t="str">
        <x:v>Selin Hizli</x:v>
      </x:c>
      <x:c r="O224" s="14" t="str">
        <x:v>nm4271607</x:v>
      </x:c>
      <x:c r="P224" s="14" t="str">
        <x:v>Dr. Sophia Hernandez</x:v>
      </x:c>
      <x:c r="Q224" s="15" t="n">
        <x:v>5</x:v>
      </x:c>
      <x:c r="R224" s="14" t="str">
        <x:v>2025</x:v>
      </x:c>
      <x:c r="S224" s="14" t="n">
        <x:v>2025</x:v>
      </x:c>
      <x:c r="T224" s="14" t="n">
        <x:v>2025</x:v>
      </x:c>
      <x:c r="U224" s="14" t="str">
        <x:v>Explicit source first year retained</x:v>
      </x:c>
      <x:c r="V224" s="14" t="str">
        <x:v>Earliest supplied year is 2025.</x:v>
      </x:c>
      <x:c r="W224" s="14"/>
      <x:c r="X224" s="14" t="str">
        <x:v>Included</x:v>
      </x:c>
      <x:c r="Y224" s="14"/>
      <x:c r="Z224" s="14" t="str">
        <x:v>Malpractice.docx</x:v>
      </x:c>
      <x:c r="AA224" s="14" t="str">
        <x:v>HYPERLINK is not implemented. linkLocation=https://www.imdb.com/title/tt20918594/fullcredits/,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HYPERLINK("https://en.wikipedia.org/wiki/Malpractice","Open source")</x:f>
        <x:v>HYPERLINK is not implemented. linkLocation=https://en.wikipedia.org/wiki/Malpractice,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10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5</x:v>
      </x:c>
      <x:c r="BS224" s="16" t="n">
        <x:v>0.5</x:v>
      </x:c>
      <x:c r="BT224" s="14" t="str">
        <x:v>Minority of episodes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4" t="str">
        <x:v>HYPERLINK is not implemented. linkLocation=https://www.imdb.com/title/tt20918594/fullcredits/,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tt20918594|nm0854364|dr. kate mcallister</x:v>
      </x:c>
      <x:c r="B225" s="14" t="str">
        <x:v>02</x:v>
      </x:c>
      <x:c r="C225" s="14" t="str">
        <x:v>2023_IMDb_Cast_Lists_Batch_02(2).xlsx</x:v>
      </x:c>
      <x:c r="D225" s="14" t="str">
        <x:v>Malpractice</x:v>
      </x:c>
      <x:c r="E225" s="14" t="n">
        <x:v>15</x:v>
      </x:c>
      <x:c r="F225" s="14" t="str">
        <x:v>Malpractice</x:v>
      </x:c>
      <x:c r="G225" s="14" t="str">
        <x:v>tt20918594</x:v>
      </x:c>
      <x:c r="H225" s="14" t="n">
        <x:v>2023</x:v>
      </x:c>
      <x:c r="I225" s="14" t="n">
        <x:v>2025</x:v>
      </x:c>
      <x:c r="J225" s="14" t="str">
        <x:v>Earlier-Production Carry-In Cohort</x:v>
      </x:c>
      <x:c r="K225" s="14" t="n">
        <x:v>2023</x:v>
      </x:c>
      <x:c r="L225" s="14" t="str">
        <x:v>Used in 2025 annual analysis</x:v>
      </x:c>
      <x:c r="M225" s="15" t="n">
        <x:v>8</x:v>
      </x:c>
      <x:c r="N225" s="14" t="str">
        <x:v>Zoe Telford</x:v>
      </x:c>
      <x:c r="O225" s="14" t="str">
        <x:v>nm0854364</x:v>
      </x:c>
      <x:c r="P225" s="14" t="str">
        <x:v>Dr. Kate McAllister</x:v>
      </x:c>
      <x:c r="Q225" s="15" t="n">
        <x:v>5</x:v>
      </x:c>
      <x:c r="R225" s="14" t="str">
        <x:v>2025</x:v>
      </x:c>
      <x:c r="S225" s="14" t="n">
        <x:v>2025</x:v>
      </x:c>
      <x:c r="T225" s="14" t="n">
        <x:v>2025</x:v>
      </x:c>
      <x:c r="U225" s="14" t="str">
        <x:v>Explicit source first year retained</x:v>
      </x:c>
      <x:c r="V225" s="14" t="str">
        <x:v>Earliest supplied year is 2025.</x:v>
      </x:c>
      <x:c r="W225" s="14"/>
      <x:c r="X225" s="14" t="str">
        <x:v>Included</x:v>
      </x:c>
      <x:c r="Y225" s="14" t="str">
        <x:v>(as Zoë Telford)</x:v>
      </x:c>
      <x:c r="Z225" s="14" t="str">
        <x:v>Malpractice.docx</x:v>
      </x:c>
      <x:c r="AA225" s="14" t="str">
        <x:v>HYPERLINK is not implemented. linkLocation=https://www.imdb.com/title/tt20918594/fullcredits/,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HYPERLINK("https://en.wikipedia.org/wiki/Malpractice","Open source")</x:f>
        <x:v>HYPERLINK is not implemented. linkLocation=https://en.wikipedia.org/wiki/Malpractice,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10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5</x:v>
      </x:c>
      <x:c r="BS225" s="16" t="n">
        <x:v>0.5</x:v>
      </x:c>
      <x:c r="BT225" s="14" t="str">
        <x:v>Minority of episodes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4" t="str">
        <x:v>HYPERLINK is not implemented. linkLocation=https://www.imdb.com/title/tt20918594/fullcredits/,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tt20918594|nm0090069|maria carter</x:v>
      </x:c>
      <x:c r="B226" s="14" t="str">
        <x:v>02</x:v>
      </x:c>
      <x:c r="C226" s="14" t="str">
        <x:v>2023_IMDb_Cast_Lists_Batch_02(2).xlsx</x:v>
      </x:c>
      <x:c r="D226" s="14" t="str">
        <x:v>Malpractice</x:v>
      </x:c>
      <x:c r="E226" s="14" t="n">
        <x:v>22</x:v>
      </x:c>
      <x:c r="F226" s="14" t="str">
        <x:v>Malpractice</x:v>
      </x:c>
      <x:c r="G226" s="14" t="str">
        <x:v>tt20918594</x:v>
      </x:c>
      <x:c r="H226" s="14" t="n">
        <x:v>2023</x:v>
      </x:c>
      <x:c r="I226" s="14" t="n">
        <x:v>2025</x:v>
      </x:c>
      <x:c r="J226" s="14" t="str">
        <x:v>Earlier-Production Carry-In Cohort</x:v>
      </x:c>
      <x:c r="K226" s="14" t="n">
        <x:v>2023</x:v>
      </x:c>
      <x:c r="L226" s="14" t="str">
        <x:v>Used in 2025 annual analysis</x:v>
      </x:c>
      <x:c r="M226" s="15" t="n">
        <x:v>15</x:v>
      </x:c>
      <x:c r="N226" s="14" t="str">
        <x:v>Katherine Dow Blyton</x:v>
      </x:c>
      <x:c r="O226" s="14" t="str">
        <x:v>nm0090069</x:v>
      </x:c>
      <x:c r="P226" s="14" t="str">
        <x:v>Maria Carter</x:v>
      </x:c>
      <x:c r="Q226" s="15" t="n">
        <x:v>5</x:v>
      </x:c>
      <x:c r="R226" s="14" t="str">
        <x:v>2025</x:v>
      </x:c>
      <x:c r="S226" s="14" t="n">
        <x:v>2025</x:v>
      </x:c>
      <x:c r="T226" s="14" t="n">
        <x:v>2025</x:v>
      </x:c>
      <x:c r="U226" s="14" t="str">
        <x:v>Explicit source first year retained</x:v>
      </x:c>
      <x:c r="V226" s="14" t="str">
        <x:v>Earliest supplied year is 2025.</x:v>
      </x:c>
      <x:c r="W226" s="14"/>
      <x:c r="X226" s="14" t="str">
        <x:v>Included</x:v>
      </x:c>
      <x:c r="Y226" s="14"/>
      <x:c r="Z226" s="14" t="str">
        <x:v>Malpractice.docx</x:v>
      </x:c>
      <x:c r="AA226" s="14" t="str">
        <x:v>HYPERLINK is not implemented. linkLocation=https://www.imdb.com/title/tt20918594/fullcredits/,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HYPERLINK("https://en.wikipedia.org/wiki/Malpractice","Open source")</x:f>
        <x:v>HYPERLINK is not implemented. linkLocation=https://en.wikipedia.org/wiki/Malpractice,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10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5</x:v>
      </x:c>
      <x:c r="BS226" s="16" t="n">
        <x:v>0.5</x:v>
      </x:c>
      <x:c r="BT226" s="14" t="str">
        <x:v>Minority of episodes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4" t="str">
        <x:v>HYPERLINK is not implemented. linkLocation=https://www.imdb.com/title/tt20918594/fullcredits/,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tt20918594|nm0551349|aislene</x:v>
      </x:c>
      <x:c r="B227" s="14" t="str">
        <x:v>02</x:v>
      </x:c>
      <x:c r="C227" s="14" t="str">
        <x:v>2023_IMDb_Cast_Lists_Batch_02(2).xlsx</x:v>
      </x:c>
      <x:c r="D227" s="14" t="str">
        <x:v>Malpractice</x:v>
      </x:c>
      <x:c r="E227" s="14" t="n">
        <x:v>23</x:v>
      </x:c>
      <x:c r="F227" s="14" t="str">
        <x:v>Malpractice</x:v>
      </x:c>
      <x:c r="G227" s="14" t="str">
        <x:v>tt20918594</x:v>
      </x:c>
      <x:c r="H227" s="14" t="n">
        <x:v>2023</x:v>
      </x:c>
      <x:c r="I227" s="14" t="n">
        <x:v>2025</x:v>
      </x:c>
      <x:c r="J227" s="14" t="str">
        <x:v>Earlier-Production Carry-In Cohort</x:v>
      </x:c>
      <x:c r="K227" s="14" t="n">
        <x:v>2023</x:v>
      </x:c>
      <x:c r="L227" s="14" t="str">
        <x:v>Used in 2025 annual analysis</x:v>
      </x:c>
      <x:c r="M227" s="15" t="n">
        <x:v>16</x:v>
      </x:c>
      <x:c r="N227" s="14" t="str">
        <x:v>Amy Marston</x:v>
      </x:c>
      <x:c r="O227" s="14" t="str">
        <x:v>nm0551349</x:v>
      </x:c>
      <x:c r="P227" s="14" t="str">
        <x:v>Aislene</x:v>
      </x:c>
      <x:c r="Q227" s="15" t="n">
        <x:v>5</x:v>
      </x:c>
      <x:c r="R227" s="14" t="str">
        <x:v>2025</x:v>
      </x:c>
      <x:c r="S227" s="14" t="n">
        <x:v>2025</x:v>
      </x:c>
      <x:c r="T227" s="14" t="n">
        <x:v>2025</x:v>
      </x:c>
      <x:c r="U227" s="14" t="str">
        <x:v>Explicit source first year retained</x:v>
      </x:c>
      <x:c r="V227" s="14" t="str">
        <x:v>Earliest supplied year is 2025.</x:v>
      </x:c>
      <x:c r="W227" s="14"/>
      <x:c r="X227" s="14" t="str">
        <x:v>Included</x:v>
      </x:c>
      <x:c r="Y227" s="14"/>
      <x:c r="Z227" s="14" t="str">
        <x:v>Malpractice.docx</x:v>
      </x:c>
      <x:c r="AA227" s="14" t="str">
        <x:v>HYPERLINK is not implemented. linkLocation=https://www.imdb.com/title/tt20918594/fullcredits/,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HYPERLINK("https://en.wikipedia.org/wiki/Malpractice","Open source")</x:f>
        <x:v>HYPERLINK is not implemented. linkLocation=https://en.wikipedia.org/wiki/Malpractice,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10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5</x:v>
      </x:c>
      <x:c r="BS227" s="16" t="n">
        <x:v>0.5</x:v>
      </x:c>
      <x:c r="BT227" s="14" t="str">
        <x:v>Minority of episodes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4" t="str">
        <x:v>HYPERLINK is not implemented. linkLocation=https://www.imdb.com/title/tt20918594/fullcredits/,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tt20918594|nm0080372|mr. arun mansoor</x:v>
      </x:c>
      <x:c r="B228" s="14" t="str">
        <x:v>02</x:v>
      </x:c>
      <x:c r="C228" s="14" t="str">
        <x:v>2023_IMDb_Cast_Lists_Batch_02(2).xlsx</x:v>
      </x:c>
      <x:c r="D228" s="14" t="str">
        <x:v>Malpractice</x:v>
      </x:c>
      <x:c r="E228" s="14" t="n">
        <x:v>24</x:v>
      </x:c>
      <x:c r="F228" s="14" t="str">
        <x:v>Malpractice</x:v>
      </x:c>
      <x:c r="G228" s="14" t="str">
        <x:v>tt20918594</x:v>
      </x:c>
      <x:c r="H228" s="14" t="n">
        <x:v>2023</x:v>
      </x:c>
      <x:c r="I228" s="14" t="n">
        <x:v>2025</x:v>
      </x:c>
      <x:c r="J228" s="14" t="str">
        <x:v>Earlier-Production Carry-In Cohort</x:v>
      </x:c>
      <x:c r="K228" s="14" t="n">
        <x:v>2023</x:v>
      </x:c>
      <x:c r="L228" s="14" t="str">
        <x:v>Used in 2025 annual analysis</x:v>
      </x:c>
      <x:c r="M228" s="15" t="n">
        <x:v>17</x:v>
      </x:c>
      <x:c r="N228" s="14" t="str">
        <x:v>Ace Bhatti</x:v>
      </x:c>
      <x:c r="O228" s="14" t="str">
        <x:v>nm0080372</x:v>
      </x:c>
      <x:c r="P228" s="14" t="str">
        <x:v>Mr. Arun Mansoor</x:v>
      </x:c>
      <x:c r="Q228" s="15" t="n">
        <x:v>5</x:v>
      </x:c>
      <x:c r="R228" s="14" t="str">
        <x:v>2025</x:v>
      </x:c>
      <x:c r="S228" s="14" t="n">
        <x:v>2025</x:v>
      </x:c>
      <x:c r="T228" s="14" t="n">
        <x:v>2025</x:v>
      </x:c>
      <x:c r="U228" s="14" t="str">
        <x:v>Explicit source first year retained</x:v>
      </x:c>
      <x:c r="V228" s="14" t="str">
        <x:v>Earliest supplied year is 2025.</x:v>
      </x:c>
      <x:c r="W228" s="14"/>
      <x:c r="X228" s="14" t="str">
        <x:v>Included</x:v>
      </x:c>
      <x:c r="Y228" s="14"/>
      <x:c r="Z228" s="14" t="str">
        <x:v>Malpractice.docx</x:v>
      </x:c>
      <x:c r="AA228" s="14" t="str">
        <x:v>HYPERLINK is not implemented. linkLocation=https://www.imdb.com/title/tt20918594/fullcredits/,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HYPERLINK("https://en.wikipedia.org/wiki/Malpractice","Open source")</x:f>
        <x:v>HYPERLINK is not implemented. linkLocation=https://en.wikipedia.org/wiki/Malpractice,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10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5</x:v>
      </x:c>
      <x:c r="BS228" s="16" t="n">
        <x:v>0.5</x:v>
      </x:c>
      <x:c r="BT228" s="14" t="str">
        <x:v>Minority of episodes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4" t="str">
        <x:v>HYPERLINK is not implemented. linkLocation=https://www.imdb.com/title/tt20918594/fullcredits/,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tt20918594|nm2713033|kwame essiedu</x:v>
      </x:c>
      <x:c r="B229" s="14" t="str">
        <x:v>02</x:v>
      </x:c>
      <x:c r="C229" s="14" t="str">
        <x:v>2023_IMDb_Cast_Lists_Batch_02(2).xlsx</x:v>
      </x:c>
      <x:c r="D229" s="14" t="str">
        <x:v>Malpractice</x:v>
      </x:c>
      <x:c r="E229" s="14" t="n">
        <x:v>25</x:v>
      </x:c>
      <x:c r="F229" s="14" t="str">
        <x:v>Malpractice</x:v>
      </x:c>
      <x:c r="G229" s="14" t="str">
        <x:v>tt20918594</x:v>
      </x:c>
      <x:c r="H229" s="14" t="n">
        <x:v>2023</x:v>
      </x:c>
      <x:c r="I229" s="14" t="n">
        <x:v>2025</x:v>
      </x:c>
      <x:c r="J229" s="14" t="str">
        <x:v>Earlier-Production Carry-In Cohort</x:v>
      </x:c>
      <x:c r="K229" s="14" t="n">
        <x:v>2023</x:v>
      </x:c>
      <x:c r="L229" s="14" t="str">
        <x:v>Used in 2025 annual analysis</x:v>
      </x:c>
      <x:c r="M229" s="15" t="n">
        <x:v>18</x:v>
      </x:c>
      <x:c r="N229" s="14" t="str">
        <x:v>Tobi Bakare</x:v>
      </x:c>
      <x:c r="O229" s="14" t="str">
        <x:v>nm2713033</x:v>
      </x:c>
      <x:c r="P229" s="14" t="str">
        <x:v>Kwame Essiedu</x:v>
      </x:c>
      <x:c r="Q229" s="15" t="n">
        <x:v>5</x:v>
      </x:c>
      <x:c r="R229" s="14" t="str">
        <x:v>2025</x:v>
      </x:c>
      <x:c r="S229" s="14" t="n">
        <x:v>2025</x:v>
      </x:c>
      <x:c r="T229" s="14" t="n">
        <x:v>2025</x:v>
      </x:c>
      <x:c r="U229" s="14" t="str">
        <x:v>Explicit source first year retained</x:v>
      </x:c>
      <x:c r="V229" s="14" t="str">
        <x:v>Earliest supplied year is 2025.</x:v>
      </x:c>
      <x:c r="W229" s="14"/>
      <x:c r="X229" s="14" t="str">
        <x:v>Included</x:v>
      </x:c>
      <x:c r="Y229" s="14"/>
      <x:c r="Z229" s="14" t="str">
        <x:v>Malpractice.docx</x:v>
      </x:c>
      <x:c r="AA229" s="14" t="str">
        <x:v>HYPERLINK is not implemented. linkLocation=https://www.imdb.com/title/tt20918594/fullcredits/,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HYPERLINK("https://en.wikipedia.org/wiki/Malpractice","Open source")</x:f>
        <x:v>HYPERLINK is not implemented. linkLocation=https://en.wikipedia.org/wiki/Malpractice,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10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5</x:v>
      </x:c>
      <x:c r="BS229" s="16" t="n">
        <x:v>0.5</x:v>
      </x:c>
      <x:c r="BT229" s="14" t="str">
        <x:v>Minority of episodes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4" t="str">
        <x:v>HYPERLINK is not implemented. linkLocation=https://www.imdb.com/title/tt20918594/fullcredits/,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tt20918594|nm3910615|precious danso</x:v>
      </x:c>
      <x:c r="B230" s="14" t="str">
        <x:v>02</x:v>
      </x:c>
      <x:c r="C230" s="14" t="str">
        <x:v>2023_IMDb_Cast_Lists_Batch_02(2).xlsx</x:v>
      </x:c>
      <x:c r="D230" s="14" t="str">
        <x:v>Malpractice</x:v>
      </x:c>
      <x:c r="E230" s="14" t="n">
        <x:v>26</x:v>
      </x:c>
      <x:c r="F230" s="14" t="str">
        <x:v>Malpractice</x:v>
      </x:c>
      <x:c r="G230" s="14" t="str">
        <x:v>tt20918594</x:v>
      </x:c>
      <x:c r="H230" s="14" t="n">
        <x:v>2023</x:v>
      </x:c>
      <x:c r="I230" s="14" t="n">
        <x:v>2025</x:v>
      </x:c>
      <x:c r="J230" s="14" t="str">
        <x:v>Earlier-Production Carry-In Cohort</x:v>
      </x:c>
      <x:c r="K230" s="14" t="n">
        <x:v>2023</x:v>
      </x:c>
      <x:c r="L230" s="14" t="str">
        <x:v>Used in 2025 annual analysis</x:v>
      </x:c>
      <x:c r="M230" s="15" t="n">
        <x:v>19</x:v>
      </x:c>
      <x:c r="N230" s="14" t="str">
        <x:v>Naana Agyei Ampadu</x:v>
      </x:c>
      <x:c r="O230" s="14" t="str">
        <x:v>nm3910615</x:v>
      </x:c>
      <x:c r="P230" s="14" t="str">
        <x:v>Precious Danso</x:v>
      </x:c>
      <x:c r="Q230" s="15" t="n">
        <x:v>5</x:v>
      </x:c>
      <x:c r="R230" s="14" t="str">
        <x:v>2025</x:v>
      </x:c>
      <x:c r="S230" s="14" t="n">
        <x:v>2025</x:v>
      </x:c>
      <x:c r="T230" s="14" t="n">
        <x:v>2025</x:v>
      </x:c>
      <x:c r="U230" s="14" t="str">
        <x:v>Explicit source first year retained</x:v>
      </x:c>
      <x:c r="V230" s="14" t="str">
        <x:v>Earliest supplied year is 2025.</x:v>
      </x:c>
      <x:c r="W230" s="14"/>
      <x:c r="X230" s="14" t="str">
        <x:v>Included</x:v>
      </x:c>
      <x:c r="Y230" s="14" t="str">
        <x:v>(as Naana Agyei-Ampadu)</x:v>
      </x:c>
      <x:c r="Z230" s="14" t="str">
        <x:v>Malpractice.docx</x:v>
      </x:c>
      <x:c r="AA230" s="14" t="str">
        <x:v>HYPERLINK is not implemented. linkLocation=https://www.imdb.com/title/tt20918594/fullcredits/,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HYPERLINK("https://en.wikipedia.org/wiki/Malpractice","Open source")</x:f>
        <x:v>HYPERLINK is not implemented. linkLocation=https://en.wikipedia.org/wiki/Malpractice,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10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5</x:v>
      </x:c>
      <x:c r="BS230" s="16" t="n">
        <x:v>0.5</x:v>
      </x:c>
      <x:c r="BT230" s="14" t="str">
        <x:v>Minority of episodes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4" t="str">
        <x:v>HYPERLINK is not implemented. linkLocation=https://www.imdb.com/title/tt20918594/fullcredits/,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tt20918594|nm7306322|dr. bernadette asamoah</x:v>
      </x:c>
      <x:c r="B231" s="14" t="str">
        <x:v>02</x:v>
      </x:c>
      <x:c r="C231" s="14" t="str">
        <x:v>2023_IMDb_Cast_Lists_Batch_02(2).xlsx</x:v>
      </x:c>
      <x:c r="D231" s="14" t="str">
        <x:v>Malpractice</x:v>
      </x:c>
      <x:c r="E231" s="14" t="n">
        <x:v>27</x:v>
      </x:c>
      <x:c r="F231" s="14" t="str">
        <x:v>Malpractice</x:v>
      </x:c>
      <x:c r="G231" s="14" t="str">
        <x:v>tt20918594</x:v>
      </x:c>
      <x:c r="H231" s="14" t="n">
        <x:v>2023</x:v>
      </x:c>
      <x:c r="I231" s="14" t="n">
        <x:v>2025</x:v>
      </x:c>
      <x:c r="J231" s="14" t="str">
        <x:v>Earlier-Production Carry-In Cohort</x:v>
      </x:c>
      <x:c r="K231" s="14" t="n">
        <x:v>2023</x:v>
      </x:c>
      <x:c r="L231" s="14" t="str">
        <x:v>Used in 2025 annual analysis</x:v>
      </x:c>
      <x:c r="M231" s="15" t="n">
        <x:v>20</x:v>
      </x:c>
      <x:c r="N231" s="14" t="str">
        <x:v>Jessica Layde</x:v>
      </x:c>
      <x:c r="O231" s="14" t="str">
        <x:v>nm7306322</x:v>
      </x:c>
      <x:c r="P231" s="14" t="str">
        <x:v>Dr. Bernadette Asamoah</x:v>
      </x:c>
      <x:c r="Q231" s="15" t="n">
        <x:v>5</x:v>
      </x:c>
      <x:c r="R231" s="14" t="str">
        <x:v>2025</x:v>
      </x:c>
      <x:c r="S231" s="14" t="n">
        <x:v>2025</x:v>
      </x:c>
      <x:c r="T231" s="14" t="n">
        <x:v>2025</x:v>
      </x:c>
      <x:c r="U231" s="14" t="str">
        <x:v>Explicit source first year retained</x:v>
      </x:c>
      <x:c r="V231" s="14" t="str">
        <x:v>Earliest supplied year is 2025.</x:v>
      </x:c>
      <x:c r="W231" s="14"/>
      <x:c r="X231" s="14" t="str">
        <x:v>Included</x:v>
      </x:c>
      <x:c r="Y231" s="14"/>
      <x:c r="Z231" s="14" t="str">
        <x:v>Malpractice.docx</x:v>
      </x:c>
      <x:c r="AA231" s="14" t="str">
        <x:v>HYPERLINK is not implemented. linkLocation=https://www.imdb.com/title/tt20918594/fullcredits/,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HYPERLINK("https://en.wikipedia.org/wiki/Malpractice","Open source")</x:f>
        <x:v>HYPERLINK is not implemented. linkLocation=https://en.wikipedia.org/wiki/Malpractice,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10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5</x:v>
      </x:c>
      <x:c r="BS231" s="16" t="n">
        <x:v>0.5</x:v>
      </x:c>
      <x:c r="BT231" s="14" t="str">
        <x:v>Minority of episodes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4" t="str">
        <x:v>HYPERLINK is not implemented. linkLocation=https://www.imdb.com/title/tt20918594/fullcredits/,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tt20918594|nm0912012|eric sawers</x:v>
      </x:c>
      <x:c r="B232" s="14" t="str">
        <x:v>02</x:v>
      </x:c>
      <x:c r="C232" s="14" t="str">
        <x:v>2023_IMDb_Cast_Lists_Batch_02(2).xlsx</x:v>
      </x:c>
      <x:c r="D232" s="14" t="str">
        <x:v>Malpractice</x:v>
      </x:c>
      <x:c r="E232" s="14" t="n">
        <x:v>32</x:v>
      </x:c>
      <x:c r="F232" s="14" t="str">
        <x:v>Malpractice</x:v>
      </x:c>
      <x:c r="G232" s="14" t="str">
        <x:v>tt20918594</x:v>
      </x:c>
      <x:c r="H232" s="14" t="n">
        <x:v>2023</x:v>
      </x:c>
      <x:c r="I232" s="14" t="n">
        <x:v>2025</x:v>
      </x:c>
      <x:c r="J232" s="14" t="str">
        <x:v>Earlier-Production Carry-In Cohort</x:v>
      </x:c>
      <x:c r="K232" s="14" t="n">
        <x:v>2023</x:v>
      </x:c>
      <x:c r="L232" s="14" t="str">
        <x:v>Used in 2025 annual analysis</x:v>
      </x:c>
      <x:c r="M232" s="15" t="n">
        <x:v>25</x:v>
      </x:c>
      <x:c r="N232" s="14" t="str">
        <x:v>Rick Warden</x:v>
      </x:c>
      <x:c r="O232" s="14" t="str">
        <x:v>nm0912012</x:v>
      </x:c>
      <x:c r="P232" s="14" t="str">
        <x:v>Eric Sawers</x:v>
      </x:c>
      <x:c r="Q232" s="15" t="n">
        <x:v>4</x:v>
      </x:c>
      <x:c r="R232" s="14" t="str">
        <x:v>2025</x:v>
      </x:c>
      <x:c r="S232" s="14" t="n">
        <x:v>2025</x:v>
      </x:c>
      <x:c r="T232" s="14" t="n">
        <x:v>2025</x:v>
      </x:c>
      <x:c r="U232" s="14" t="str">
        <x:v>Explicit source first year retained</x:v>
      </x:c>
      <x:c r="V232" s="14" t="str">
        <x:v>Earliest supplied year is 2025.</x:v>
      </x:c>
      <x:c r="W232" s="14"/>
      <x:c r="X232" s="14" t="str">
        <x:v>Included</x:v>
      </x:c>
      <x:c r="Y232" s="14"/>
      <x:c r="Z232" s="14" t="str">
        <x:v>Malpractice.docx</x:v>
      </x:c>
      <x:c r="AA232" s="14" t="str">
        <x:v>HYPERLINK is not implemented. linkLocation=https://www.imdb.com/title/tt20918594/fullcredits/,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HYPERLINK("https://en.wikipedia.org/wiki/Malpractice","Open source")</x:f>
        <x:v>HYPERLINK is not implemented. linkLocation=https://en.wikipedia.org/wiki/Malpractice,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10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4</x:v>
      </x:c>
      <x:c r="BS232" s="16" t="n">
        <x:v>0.4</x:v>
      </x:c>
      <x:c r="BT232" s="14" t="str">
        <x:v>Minority of episodes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4" t="str">
        <x:v>HYPERLINK is not implemented. linkLocation=https://www.imdb.com/title/tt20918594/fullcredits/,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tt20918594|nm1918701|indira</x:v>
      </x:c>
      <x:c r="B233" s="14" t="str">
        <x:v>02</x:v>
      </x:c>
      <x:c r="C233" s="14" t="str">
        <x:v>2023_IMDb_Cast_Lists_Batch_02(2).xlsx</x:v>
      </x:c>
      <x:c r="D233" s="14" t="str">
        <x:v>Malpractice</x:v>
      </x:c>
      <x:c r="E233" s="14" t="n">
        <x:v>33</x:v>
      </x:c>
      <x:c r="F233" s="14" t="str">
        <x:v>Malpractice</x:v>
      </x:c>
      <x:c r="G233" s="14" t="str">
        <x:v>tt20918594</x:v>
      </x:c>
      <x:c r="H233" s="14" t="n">
        <x:v>2023</x:v>
      </x:c>
      <x:c r="I233" s="14" t="n">
        <x:v>2025</x:v>
      </x:c>
      <x:c r="J233" s="14" t="str">
        <x:v>Earlier-Production Carry-In Cohort</x:v>
      </x:c>
      <x:c r="K233" s="14" t="n">
        <x:v>2023</x:v>
      </x:c>
      <x:c r="L233" s="14" t="str">
        <x:v>Used in 2025 annual analysis</x:v>
      </x:c>
      <x:c r="M233" s="15" t="n">
        <x:v>26</x:v>
      </x:c>
      <x:c r="N233" s="14" t="str">
        <x:v>Shereen Martin</x:v>
      </x:c>
      <x:c r="O233" s="14" t="str">
        <x:v>nm1918701</x:v>
      </x:c>
      <x:c r="P233" s="14" t="str">
        <x:v>Indira</x:v>
      </x:c>
      <x:c r="Q233" s="15" t="n">
        <x:v>4</x:v>
      </x:c>
      <x:c r="R233" s="14" t="str">
        <x:v>2025</x:v>
      </x:c>
      <x:c r="S233" s="14" t="n">
        <x:v>2025</x:v>
      </x:c>
      <x:c r="T233" s="14" t="n">
        <x:v>2025</x:v>
      </x:c>
      <x:c r="U233" s="14" t="str">
        <x:v>Explicit source first year retained</x:v>
      </x:c>
      <x:c r="V233" s="14" t="str">
        <x:v>Earliest supplied year is 2025.</x:v>
      </x:c>
      <x:c r="W233" s="14"/>
      <x:c r="X233" s="14" t="str">
        <x:v>Included</x:v>
      </x:c>
      <x:c r="Y233" s="14"/>
      <x:c r="Z233" s="14" t="str">
        <x:v>Malpractice.docx</x:v>
      </x:c>
      <x:c r="AA233" s="14" t="str">
        <x:v>HYPERLINK is not implemented. linkLocation=https://www.imdb.com/title/tt20918594/fullcredits/,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HYPERLINK("https://en.wikipedia.org/wiki/Malpractice","Open source")</x:f>
        <x:v>HYPERLINK is not implemented. linkLocation=https://en.wikipedia.org/wiki/Malpractice,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10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4</x:v>
      </x:c>
      <x:c r="BS233" s="16" t="n">
        <x:v>0.4</x:v>
      </x:c>
      <x:c r="BT233" s="14" t="str">
        <x:v>Minority of episodes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4" t="str">
        <x:v>HYPERLINK is not implemented. linkLocation=https://www.imdb.com/title/tt20918594/fullcredits/,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tt20918594|nm6739323|toni campbell-brown</x:v>
      </x:c>
      <x:c r="B234" s="14" t="str">
        <x:v>02</x:v>
      </x:c>
      <x:c r="C234" s="14" t="str">
        <x:v>2023_IMDb_Cast_Lists_Batch_02(2).xlsx</x:v>
      </x:c>
      <x:c r="D234" s="14" t="str">
        <x:v>Malpractice</x:v>
      </x:c>
      <x:c r="E234" s="14" t="n">
        <x:v>34</x:v>
      </x:c>
      <x:c r="F234" s="14" t="str">
        <x:v>Malpractice</x:v>
      </x:c>
      <x:c r="G234" s="14" t="str">
        <x:v>tt20918594</x:v>
      </x:c>
      <x:c r="H234" s="14" t="n">
        <x:v>2023</x:v>
      </x:c>
      <x:c r="I234" s="14" t="n">
        <x:v>2025</x:v>
      </x:c>
      <x:c r="J234" s="14" t="str">
        <x:v>Earlier-Production Carry-In Cohort</x:v>
      </x:c>
      <x:c r="K234" s="14" t="n">
        <x:v>2023</x:v>
      </x:c>
      <x:c r="L234" s="14" t="str">
        <x:v>Used in 2025 annual analysis</x:v>
      </x:c>
      <x:c r="M234" s="15" t="n">
        <x:v>27</x:v>
      </x:c>
      <x:c r="N234" s="14" t="str">
        <x:v>Seraphina Beh-Moore</x:v>
      </x:c>
      <x:c r="O234" s="14" t="str">
        <x:v>nm6739323</x:v>
      </x:c>
      <x:c r="P234" s="14" t="str">
        <x:v>Toni Campbell-Brown</x:v>
      </x:c>
      <x:c r="Q234" s="15" t="n">
        <x:v>4</x:v>
      </x:c>
      <x:c r="R234" s="14" t="str">
        <x:v>2025</x:v>
      </x:c>
      <x:c r="S234" s="14" t="n">
        <x:v>2025</x:v>
      </x:c>
      <x:c r="T234" s="14" t="n">
        <x:v>2025</x:v>
      </x:c>
      <x:c r="U234" s="14" t="str">
        <x:v>Explicit source first year retained</x:v>
      </x:c>
      <x:c r="V234" s="14" t="str">
        <x:v>Earliest supplied year is 2025.</x:v>
      </x:c>
      <x:c r="W234" s="14"/>
      <x:c r="X234" s="14" t="str">
        <x:v>Included</x:v>
      </x:c>
      <x:c r="Y234" s="14" t="str">
        <x:v>(as Seraphina Beh)</x:v>
      </x:c>
      <x:c r="Z234" s="14" t="str">
        <x:v>Malpractice.docx</x:v>
      </x:c>
      <x:c r="AA234" s="14" t="str">
        <x:v>HYPERLINK is not implemented. linkLocation=https://www.imdb.com/title/tt20918594/fullcredits/,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HYPERLINK("https://en.wikipedia.org/wiki/Malpractice","Open source")</x:f>
        <x:v>HYPERLINK is not implemented. linkLocation=https://en.wikipedia.org/wiki/Malpractice,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10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4</x:v>
      </x:c>
      <x:c r="BS234" s="16" t="n">
        <x:v>0.4</x:v>
      </x:c>
      <x:c r="BT234" s="14" t="str">
        <x:v>Minority of episodes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4" t="str">
        <x:v>HYPERLINK is not implemented. linkLocation=https://www.imdb.com/title/tt20918594/fullcredits/,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tt20918594|nm7509509|will</x:v>
      </x:c>
      <x:c r="B235" s="14" t="str">
        <x:v>02</x:v>
      </x:c>
      <x:c r="C235" s="14" t="str">
        <x:v>2023_IMDb_Cast_Lists_Batch_02(2).xlsx</x:v>
      </x:c>
      <x:c r="D235" s="14" t="str">
        <x:v>Malpractice</x:v>
      </x:c>
      <x:c r="E235" s="14" t="n">
        <x:v>35</x:v>
      </x:c>
      <x:c r="F235" s="14" t="str">
        <x:v>Malpractice</x:v>
      </x:c>
      <x:c r="G235" s="14" t="str">
        <x:v>tt20918594</x:v>
      </x:c>
      <x:c r="H235" s="14" t="n">
        <x:v>2023</x:v>
      </x:c>
      <x:c r="I235" s="14" t="n">
        <x:v>2025</x:v>
      </x:c>
      <x:c r="J235" s="14" t="str">
        <x:v>Earlier-Production Carry-In Cohort</x:v>
      </x:c>
      <x:c r="K235" s="14" t="n">
        <x:v>2023</x:v>
      </x:c>
      <x:c r="L235" s="14" t="str">
        <x:v>Used in 2025 annual analysis</x:v>
      </x:c>
      <x:c r="M235" s="15" t="n">
        <x:v>28</x:v>
      </x:c>
      <x:c r="N235" s="14" t="str">
        <x:v>Joshua Lacey</x:v>
      </x:c>
      <x:c r="O235" s="14" t="str">
        <x:v>nm7509509</x:v>
      </x:c>
      <x:c r="P235" s="14" t="str">
        <x:v>Will</x:v>
      </x:c>
      <x:c r="Q235" s="15" t="n">
        <x:v>4</x:v>
      </x:c>
      <x:c r="R235" s="14" t="str">
        <x:v>2025</x:v>
      </x:c>
      <x:c r="S235" s="14" t="n">
        <x:v>2025</x:v>
      </x:c>
      <x:c r="T235" s="14" t="n">
        <x:v>2025</x:v>
      </x:c>
      <x:c r="U235" s="14" t="str">
        <x:v>Explicit source first year retained</x:v>
      </x:c>
      <x:c r="V235" s="14" t="str">
        <x:v>Earliest supplied year is 2025.</x:v>
      </x:c>
      <x:c r="W235" s="14"/>
      <x:c r="X235" s="14" t="str">
        <x:v>Included</x:v>
      </x:c>
      <x:c r="Y235" s="14"/>
      <x:c r="Z235" s="14" t="str">
        <x:v>Malpractice.docx</x:v>
      </x:c>
      <x:c r="AA235" s="14" t="str">
        <x:v>HYPERLINK is not implemented. linkLocation=https://www.imdb.com/title/tt20918594/fullcredits/,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HYPERLINK("https://en.wikipedia.org/wiki/Malpractice","Open source")</x:f>
        <x:v>HYPERLINK is not implemented. linkLocation=https://en.wikipedia.org/wiki/Malpractice,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10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4</x:v>
      </x:c>
      <x:c r="BS235" s="16" t="n">
        <x:v>0.4</x:v>
      </x:c>
      <x:c r="BT235" s="14" t="str">
        <x:v>Minority of episodes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4" t="str">
        <x:v>HYPERLINK is not implemented. linkLocation=https://www.imdb.com/title/tt20918594/fullcredits/,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tt20918594|nm4926812|samira</x:v>
      </x:c>
      <x:c r="B236" s="14" t="str">
        <x:v>02</x:v>
      </x:c>
      <x:c r="C236" s="14" t="str">
        <x:v>2023_IMDb_Cast_Lists_Batch_02(2).xlsx</x:v>
      </x:c>
      <x:c r="D236" s="14" t="str">
        <x:v>Malpractice</x:v>
      </x:c>
      <x:c r="E236" s="14" t="n">
        <x:v>36</x:v>
      </x:c>
      <x:c r="F236" s="14" t="str">
        <x:v>Malpractice</x:v>
      </x:c>
      <x:c r="G236" s="14" t="str">
        <x:v>tt20918594</x:v>
      </x:c>
      <x:c r="H236" s="14" t="n">
        <x:v>2023</x:v>
      </x:c>
      <x:c r="I236" s="14" t="n">
        <x:v>2025</x:v>
      </x:c>
      <x:c r="J236" s="14" t="str">
        <x:v>Earlier-Production Carry-In Cohort</x:v>
      </x:c>
      <x:c r="K236" s="14" t="n">
        <x:v>2023</x:v>
      </x:c>
      <x:c r="L236" s="14" t="str">
        <x:v>Used in 2025 annual analysis</x:v>
      </x:c>
      <x:c r="M236" s="15" t="n">
        <x:v>29</x:v>
      </x:c>
      <x:c r="N236" s="14" t="str">
        <x:v>Romona Lewis-Malley</x:v>
      </x:c>
      <x:c r="O236" s="14" t="str">
        <x:v>nm4926812</x:v>
      </x:c>
      <x:c r="P236" s="14" t="str">
        <x:v>Samira</x:v>
      </x:c>
      <x:c r="Q236" s="15" t="n">
        <x:v>4</x:v>
      </x:c>
      <x:c r="R236" s="14" t="str">
        <x:v>2025</x:v>
      </x:c>
      <x:c r="S236" s="14" t="n">
        <x:v>2025</x:v>
      </x:c>
      <x:c r="T236" s="14" t="n">
        <x:v>2025</x:v>
      </x:c>
      <x:c r="U236" s="14" t="str">
        <x:v>Explicit source first year retained</x:v>
      </x:c>
      <x:c r="V236" s="14" t="str">
        <x:v>Earliest supplied year is 2025.</x:v>
      </x:c>
      <x:c r="W236" s="14"/>
      <x:c r="X236" s="14" t="str">
        <x:v>Included</x:v>
      </x:c>
      <x:c r="Y236" s="14"/>
      <x:c r="Z236" s="14" t="str">
        <x:v>Malpractice.docx</x:v>
      </x:c>
      <x:c r="AA236" s="14" t="str">
        <x:v>HYPERLINK is not implemented. linkLocation=https://www.imdb.com/title/tt20918594/fullcredits/,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HYPERLINK("https://en.wikipedia.org/wiki/Malpractice","Open source")</x:f>
        <x:v>HYPERLINK is not implemented. linkLocation=https://en.wikipedia.org/wiki/Malpractice,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10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4</x:v>
      </x:c>
      <x:c r="BS236" s="16" t="n">
        <x:v>0.4</x:v>
      </x:c>
      <x:c r="BT236" s="14" t="str">
        <x:v>Minority of episodes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4" t="str">
        <x:v>HYPERLINK is not implemented. linkLocation=https://www.imdb.com/title/tt20918594/fullcredits/,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tt20918594|nm2469730|ed newman</x:v>
      </x:c>
      <x:c r="B237" s="14" t="str">
        <x:v>02</x:v>
      </x:c>
      <x:c r="C237" s="14" t="str">
        <x:v>2023_IMDb_Cast_Lists_Batch_02(2).xlsx</x:v>
      </x:c>
      <x:c r="D237" s="14" t="str">
        <x:v>Malpractice</x:v>
      </x:c>
      <x:c r="E237" s="14" t="n">
        <x:v>40</x:v>
      </x:c>
      <x:c r="F237" s="14" t="str">
        <x:v>Malpractice</x:v>
      </x:c>
      <x:c r="G237" s="14" t="str">
        <x:v>tt20918594</x:v>
      </x:c>
      <x:c r="H237" s="14" t="n">
        <x:v>2023</x:v>
      </x:c>
      <x:c r="I237" s="14" t="n">
        <x:v>2025</x:v>
      </x:c>
      <x:c r="J237" s="14" t="str">
        <x:v>Earlier-Production Carry-In Cohort</x:v>
      </x:c>
      <x:c r="K237" s="14" t="n">
        <x:v>2023</x:v>
      </x:c>
      <x:c r="L237" s="14" t="str">
        <x:v>Used in 2025 annual analysis</x:v>
      </x:c>
      <x:c r="M237" s="15" t="n">
        <x:v>33</x:v>
      </x:c>
      <x:c r="N237" s="14" t="str">
        <x:v>Alex Price</x:v>
      </x:c>
      <x:c r="O237" s="14" t="str">
        <x:v>nm2469730</x:v>
      </x:c>
      <x:c r="P237" s="14" t="str">
        <x:v>Ed Newman</x:v>
      </x:c>
      <x:c r="Q237" s="15" t="n">
        <x:v>3</x:v>
      </x:c>
      <x:c r="R237" s="14" t="str">
        <x:v>2025</x:v>
      </x:c>
      <x:c r="S237" s="14" t="n">
        <x:v>2025</x:v>
      </x:c>
      <x:c r="T237" s="14" t="n">
        <x:v>2025</x:v>
      </x:c>
      <x:c r="U237" s="14" t="str">
        <x:v>Explicit source first year retained</x:v>
      </x:c>
      <x:c r="V237" s="14" t="str">
        <x:v>Earliest supplied year is 2025.</x:v>
      </x:c>
      <x:c r="W237" s="14"/>
      <x:c r="X237" s="14" t="str">
        <x:v>Included</x:v>
      </x:c>
      <x:c r="Y237" s="14"/>
      <x:c r="Z237" s="14" t="str">
        <x:v>Malpractice.docx</x:v>
      </x:c>
      <x:c r="AA237" s="14" t="str">
        <x:v>HYPERLINK is not implemented. linkLocation=https://www.imdb.com/title/tt20918594/fullcredits/,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ITV / ITVX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HYPERLINK("https://en.wikipedia.org/wiki/Malpractice","Open source")</x:f>
        <x:v>HYPERLINK is not implemented. linkLocation=https://en.wikipedia.org/wiki/Malpractice, friendlyName=Open source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10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4" t="str">
        <x:v>HYPERLINK is not implemented. linkLocation=https://www.imdb.com/title/tt20918594/fullcredits/,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tt20918594|nm7658803|gina</x:v>
      </x:c>
      <x:c r="B238" s="14" t="str">
        <x:v>02</x:v>
      </x:c>
      <x:c r="C238" s="14" t="str">
        <x:v>2023_IMDb_Cast_Lists_Batch_02(2).xlsx</x:v>
      </x:c>
      <x:c r="D238" s="14" t="str">
        <x:v>Malpractice</x:v>
      </x:c>
      <x:c r="E238" s="14" t="n">
        <x:v>41</x:v>
      </x:c>
      <x:c r="F238" s="14" t="str">
        <x:v>Malpractice</x:v>
      </x:c>
      <x:c r="G238" s="14" t="str">
        <x:v>tt20918594</x:v>
      </x:c>
      <x:c r="H238" s="14" t="n">
        <x:v>2023</x:v>
      </x:c>
      <x:c r="I238" s="14" t="n">
        <x:v>2025</x:v>
      </x:c>
      <x:c r="J238" s="14" t="str">
        <x:v>Earlier-Production Carry-In Cohort</x:v>
      </x:c>
      <x:c r="K238" s="14" t="n">
        <x:v>2023</x:v>
      </x:c>
      <x:c r="L238" s="14" t="str">
        <x:v>Used in 2025 annual analysis</x:v>
      </x:c>
      <x:c r="M238" s="15" t="n">
        <x:v>34</x:v>
      </x:c>
      <x:c r="N238" s="14" t="str">
        <x:v>Phoebe Sparrow</x:v>
      </x:c>
      <x:c r="O238" s="14" t="str">
        <x:v>nm7658803</x:v>
      </x:c>
      <x:c r="P238" s="14" t="str">
        <x:v>Gina</x:v>
      </x:c>
      <x:c r="Q238" s="15" t="n">
        <x:v>3</x:v>
      </x:c>
      <x:c r="R238" s="14" t="str">
        <x:v>2025</x:v>
      </x:c>
      <x:c r="S238" s="14" t="n">
        <x:v>2025</x:v>
      </x:c>
      <x:c r="T238" s="14" t="n">
        <x:v>2025</x:v>
      </x:c>
      <x:c r="U238" s="14" t="str">
        <x:v>Explicit source first year retained</x:v>
      </x:c>
      <x:c r="V238" s="14" t="str">
        <x:v>Earliest supplied year is 2025.</x:v>
      </x:c>
      <x:c r="W238" s="14"/>
      <x:c r="X238" s="14" t="str">
        <x:v>Included</x:v>
      </x:c>
      <x:c r="Y238" s="14"/>
      <x:c r="Z238" s="14" t="str">
        <x:v>Malpractice.docx</x:v>
      </x:c>
      <x:c r="AA238" s="14" t="str">
        <x:v>HYPERLINK is not implemented. linkLocation=https://www.imdb.com/title/tt20918594/fullcredits/,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ITV / ITVX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HYPERLINK("https://en.wikipedia.org/wiki/Malpractice","Open source")</x:f>
        <x:v>HYPERLINK is not implemented. linkLocation=https://en.wikipedia.org/wiki/Malpractice, friendlyName=Open source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10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3</x:v>
      </x:c>
      <x:c r="BS238" s="16" t="n">
        <x:v>0.3</x:v>
      </x:c>
      <x:c r="BT238" s="14" t="str">
        <x:v>Minority of episodes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4" t="str">
        <x:v>HYPERLINK is not implemented. linkLocation=https://www.imdb.com/title/tt20918594/fullcredits/,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tt20918594|nm6247581|fizz</x:v>
      </x:c>
      <x:c r="B239" s="14" t="str">
        <x:v>02</x:v>
      </x:c>
      <x:c r="C239" s="14" t="str">
        <x:v>2023_IMDb_Cast_Lists_Batch_02(2).xlsx</x:v>
      </x:c>
      <x:c r="D239" s="14" t="str">
        <x:v>Malpractice</x:v>
      </x:c>
      <x:c r="E239" s="14" t="n">
        <x:v>42</x:v>
      </x:c>
      <x:c r="F239" s="14" t="str">
        <x:v>Malpractice</x:v>
      </x:c>
      <x:c r="G239" s="14" t="str">
        <x:v>tt20918594</x:v>
      </x:c>
      <x:c r="H239" s="14" t="n">
        <x:v>2023</x:v>
      </x:c>
      <x:c r="I239" s="14" t="n">
        <x:v>2025</x:v>
      </x:c>
      <x:c r="J239" s="14" t="str">
        <x:v>Earlier-Production Carry-In Cohort</x:v>
      </x:c>
      <x:c r="K239" s="14" t="n">
        <x:v>2023</x:v>
      </x:c>
      <x:c r="L239" s="14" t="str">
        <x:v>Used in 2025 annual analysis</x:v>
      </x:c>
      <x:c r="M239" s="15" t="n">
        <x:v>35</x:v>
      </x:c>
      <x:c r="N239" s="14" t="str">
        <x:v>Hannah Chinn</x:v>
      </x:c>
      <x:c r="O239" s="14" t="str">
        <x:v>nm6247581</x:v>
      </x:c>
      <x:c r="P239" s="14" t="str">
        <x:v>Fizz</x:v>
      </x:c>
      <x:c r="Q239" s="15" t="n">
        <x:v>3</x:v>
      </x:c>
      <x:c r="R239" s="14" t="str">
        <x:v>2025</x:v>
      </x:c>
      <x:c r="S239" s="14" t="n">
        <x:v>2025</x:v>
      </x:c>
      <x:c r="T239" s="14" t="n">
        <x:v>2025</x:v>
      </x:c>
      <x:c r="U239" s="14" t="str">
        <x:v>Explicit source first year retained</x:v>
      </x:c>
      <x:c r="V239" s="14" t="str">
        <x:v>Earliest supplied year is 2025.</x:v>
      </x:c>
      <x:c r="W239" s="14"/>
      <x:c r="X239" s="14" t="str">
        <x:v>Included</x:v>
      </x:c>
      <x:c r="Y239" s="14"/>
      <x:c r="Z239" s="14" t="str">
        <x:v>Malpractice.docx</x:v>
      </x:c>
      <x:c r="AA239" s="14" t="str">
        <x:v>HYPERLINK is not implemented. linkLocation=https://www.imdb.com/title/tt20918594/fullcredits/,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ITV / ITVX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HYPERLINK("https://en.wikipedia.org/wiki/Malpractice","Open source")</x:f>
        <x:v>HYPERLINK is not implemented. linkLocation=https://en.wikipedia.org/wiki/Malpractice, friendlyName=Open source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10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3</x:v>
      </x:c>
      <x:c r="BS239" s="16" t="n">
        <x:v>0.3</x:v>
      </x:c>
      <x:c r="BT239" s="14" t="str">
        <x:v>Minority of episodes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4" t="str">
        <x:v>HYPERLINK is not implemented. linkLocation=https://www.imdb.com/title/tt20918594/fullcredits/,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tt20918594|nm5344575|martha</x:v>
      </x:c>
      <x:c r="B240" s="14" t="str">
        <x:v>02</x:v>
      </x:c>
      <x:c r="C240" s="14" t="str">
        <x:v>2023_IMDb_Cast_Lists_Batch_02(2).xlsx</x:v>
      </x:c>
      <x:c r="D240" s="14" t="str">
        <x:v>Malpractice</x:v>
      </x:c>
      <x:c r="E240" s="14" t="n">
        <x:v>43</x:v>
      </x:c>
      <x:c r="F240" s="14" t="str">
        <x:v>Malpractice</x:v>
      </x:c>
      <x:c r="G240" s="14" t="str">
        <x:v>tt20918594</x:v>
      </x:c>
      <x:c r="H240" s="14" t="n">
        <x:v>2023</x:v>
      </x:c>
      <x:c r="I240" s="14" t="n">
        <x:v>2025</x:v>
      </x:c>
      <x:c r="J240" s="14" t="str">
        <x:v>Earlier-Production Carry-In Cohort</x:v>
      </x:c>
      <x:c r="K240" s="14" t="n">
        <x:v>2023</x:v>
      </x:c>
      <x:c r="L240" s="14" t="str">
        <x:v>Used in 2025 annual analysis</x:v>
      </x:c>
      <x:c r="M240" s="15" t="n">
        <x:v>36</x:v>
      </x:c>
      <x:c r="N240" s="14" t="str">
        <x:v>Kirsty Averton</x:v>
      </x:c>
      <x:c r="O240" s="14" t="str">
        <x:v>nm5344575</x:v>
      </x:c>
      <x:c r="P240" s="14" t="str">
        <x:v>Martha</x:v>
      </x:c>
      <x:c r="Q240" s="15" t="n">
        <x:v>3</x:v>
      </x:c>
      <x:c r="R240" s="14" t="str">
        <x:v>2025</x:v>
      </x:c>
      <x:c r="S240" s="14" t="n">
        <x:v>2025</x:v>
      </x:c>
      <x:c r="T240" s="14" t="n">
        <x:v>2025</x:v>
      </x:c>
      <x:c r="U240" s="14" t="str">
        <x:v>Explicit source first year retained</x:v>
      </x:c>
      <x:c r="V240" s="14" t="str">
        <x:v>Earliest supplied year is 2025.</x:v>
      </x:c>
      <x:c r="W240" s="14"/>
      <x:c r="X240" s="14" t="str">
        <x:v>Included</x:v>
      </x:c>
      <x:c r="Y240" s="14"/>
      <x:c r="Z240" s="14" t="str">
        <x:v>Malpractice.docx</x:v>
      </x:c>
      <x:c r="AA240" s="14" t="str">
        <x:v>HYPERLINK is not implemented. linkLocation=https://www.imdb.com/title/tt20918594/fullcredits/,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ITV / ITVX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HYPERLINK("https://en.wikipedia.org/wiki/Malpractice","Open source")</x:f>
        <x:v>HYPERLINK is not implemented. linkLocation=https://en.wikipedia.org/wiki/Malpractice, friendlyName=Open source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10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3</x:v>
      </x:c>
      <x:c r="BS240" s="16" t="n">
        <x:v>0.3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4" t="str">
        <x:v>HYPERLINK is not implemented. linkLocation=https://www.imdb.com/title/tt20918594/fullcredits/,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tt20918594|nm15713902|rubi</x:v>
      </x:c>
      <x:c r="B241" s="14" t="str">
        <x:v>02</x:v>
      </x:c>
      <x:c r="C241" s="14" t="str">
        <x:v>2023_IMDb_Cast_Lists_Batch_02(2).xlsx</x:v>
      </x:c>
      <x:c r="D241" s="14" t="str">
        <x:v>Malpractice</x:v>
      </x:c>
      <x:c r="E241" s="14" t="n">
        <x:v>44</x:v>
      </x:c>
      <x:c r="F241" s="14" t="str">
        <x:v>Malpractice</x:v>
      </x:c>
      <x:c r="G241" s="14" t="str">
        <x:v>tt20918594</x:v>
      </x:c>
      <x:c r="H241" s="14" t="n">
        <x:v>2023</x:v>
      </x:c>
      <x:c r="I241" s="14" t="n">
        <x:v>2025</x:v>
      </x:c>
      <x:c r="J241" s="14" t="str">
        <x:v>Earlier-Production Carry-In Cohort</x:v>
      </x:c>
      <x:c r="K241" s="14" t="n">
        <x:v>2023</x:v>
      </x:c>
      <x:c r="L241" s="14" t="str">
        <x:v>Used in 2025 annual analysis</x:v>
      </x:c>
      <x:c r="M241" s="15" t="n">
        <x:v>37</x:v>
      </x:c>
      <x:c r="N241" s="14" t="str">
        <x:v>Imogen Sandhu</x:v>
      </x:c>
      <x:c r="O241" s="14" t="str">
        <x:v>nm15713902</x:v>
      </x:c>
      <x:c r="P241" s="14" t="str">
        <x:v>Rubi</x:v>
      </x:c>
      <x:c r="Q241" s="15" t="n">
        <x:v>3</x:v>
      </x:c>
      <x:c r="R241" s="14" t="str">
        <x:v>2025</x:v>
      </x:c>
      <x:c r="S241" s="14" t="n">
        <x:v>2025</x:v>
      </x:c>
      <x:c r="T241" s="14" t="n">
        <x:v>2025</x:v>
      </x:c>
      <x:c r="U241" s="14" t="str">
        <x:v>Explicit source first year retained</x:v>
      </x:c>
      <x:c r="V241" s="14" t="str">
        <x:v>Earliest supplied year is 2025.</x:v>
      </x:c>
      <x:c r="W241" s="14"/>
      <x:c r="X241" s="14" t="str">
        <x:v>Included</x:v>
      </x:c>
      <x:c r="Y241" s="14"/>
      <x:c r="Z241" s="14" t="str">
        <x:v>Malpractice.docx</x:v>
      </x:c>
      <x:c r="AA241" s="14" t="str">
        <x:v>HYPERLINK is not implemented. linkLocation=https://www.imdb.com/title/tt20918594/fullcredits/,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ITV / ITVX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HYPERLINK("https://en.wikipedia.org/wiki/Malpractice","Open source")</x:f>
        <x:v>HYPERLINK is not implemented. linkLocation=https://en.wikipedia.org/wiki/Malpractice, friendlyName=Open source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10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3</x:v>
      </x:c>
      <x:c r="BS241" s="16" t="n">
        <x:v>0.3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4" t="str">
        <x:v>HYPERLINK is not implemented. linkLocation=https://www.imdb.com/title/tt20918594/fullcredits/,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tt20918594|nm9537585|ravi</x:v>
      </x:c>
      <x:c r="B242" s="14" t="str">
        <x:v>02</x:v>
      </x:c>
      <x:c r="C242" s="14" t="str">
        <x:v>2023_IMDb_Cast_Lists_Batch_02(2).xlsx</x:v>
      </x:c>
      <x:c r="D242" s="14" t="str">
        <x:v>Malpractice</x:v>
      </x:c>
      <x:c r="E242" s="14" t="n">
        <x:v>51</x:v>
      </x:c>
      <x:c r="F242" s="14" t="str">
        <x:v>Malpractice</x:v>
      </x:c>
      <x:c r="G242" s="14" t="str">
        <x:v>tt20918594</x:v>
      </x:c>
      <x:c r="H242" s="14" t="n">
        <x:v>2023</x:v>
      </x:c>
      <x:c r="I242" s="14" t="n">
        <x:v>2025</x:v>
      </x:c>
      <x:c r="J242" s="14" t="str">
        <x:v>Earlier-Production Carry-In Cohort</x:v>
      </x:c>
      <x:c r="K242" s="14" t="n">
        <x:v>2023</x:v>
      </x:c>
      <x:c r="L242" s="14" t="str">
        <x:v>Used in 2025 annual analysis</x:v>
      </x:c>
      <x:c r="M242" s="15" t="n">
        <x:v>44</x:v>
      </x:c>
      <x:c r="N242" s="14" t="str">
        <x:v>Bhav Joshi</x:v>
      </x:c>
      <x:c r="O242" s="14" t="str">
        <x:v>nm9537585</x:v>
      </x:c>
      <x:c r="P242" s="14" t="str">
        <x:v>Ravi</x:v>
      </x:c>
      <x:c r="Q242" s="15" t="n">
        <x:v>2</x:v>
      </x:c>
      <x:c r="R242" s="14" t="str">
        <x:v>2025</x:v>
      </x:c>
      <x:c r="S242" s="14" t="n">
        <x:v>2025</x:v>
      </x:c>
      <x:c r="T242" s="14" t="n">
        <x:v>2025</x:v>
      </x:c>
      <x:c r="U242" s="14" t="str">
        <x:v>Explicit source first year retained</x:v>
      </x:c>
      <x:c r="V242" s="14" t="str">
        <x:v>Earliest supplied year is 2025.</x:v>
      </x:c>
      <x:c r="W242" s="14"/>
      <x:c r="X242" s="14" t="str">
        <x:v>Included</x:v>
      </x:c>
      <x:c r="Y242" s="14"/>
      <x:c r="Z242" s="14" t="str">
        <x:v>Malpractice.docx</x:v>
      </x:c>
      <x:c r="AA242" s="14" t="str">
        <x:v>HYPERLINK is not implemented. linkLocation=https://www.imdb.com/title/tt20918594/fullcredits/,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ITV / ITVX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HYPERLINK("https://en.wikipedia.org/wiki/Malpractice","Open source")</x:f>
        <x:v>HYPERLINK is not implemented. linkLocation=https://en.wikipedia.org/wiki/Malpractice, friendlyName=Open source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10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2</x:v>
      </x:c>
      <x:c r="BS242" s="16" t="n">
        <x:v>0.2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4" t="str">
        <x:v>HYPERLINK is not implemented. linkLocation=https://www.imdb.com/title/tt20918594/fullcredits/,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tt20918594|nm6007345|rosie newman</x:v>
      </x:c>
      <x:c r="B243" s="14" t="str">
        <x:v>02</x:v>
      </x:c>
      <x:c r="C243" s="14" t="str">
        <x:v>2023_IMDb_Cast_Lists_Batch_02(2).xlsx</x:v>
      </x:c>
      <x:c r="D243" s="14" t="str">
        <x:v>Malpractice</x:v>
      </x:c>
      <x:c r="E243" s="14" t="n">
        <x:v>52</x:v>
      </x:c>
      <x:c r="F243" s="14" t="str">
        <x:v>Malpractice</x:v>
      </x:c>
      <x:c r="G243" s="14" t="str">
        <x:v>tt20918594</x:v>
      </x:c>
      <x:c r="H243" s="14" t="n">
        <x:v>2023</x:v>
      </x:c>
      <x:c r="I243" s="14" t="n">
        <x:v>2025</x:v>
      </x:c>
      <x:c r="J243" s="14" t="str">
        <x:v>Earlier-Production Carry-In Cohort</x:v>
      </x:c>
      <x:c r="K243" s="14" t="n">
        <x:v>2023</x:v>
      </x:c>
      <x:c r="L243" s="14" t="str">
        <x:v>Used in 2025 annual analysis</x:v>
      </x:c>
      <x:c r="M243" s="15" t="n">
        <x:v>45</x:v>
      </x:c>
      <x:c r="N243" s="14" t="str">
        <x:v>Hannah McClean</x:v>
      </x:c>
      <x:c r="O243" s="14" t="str">
        <x:v>nm6007345</x:v>
      </x:c>
      <x:c r="P243" s="14" t="str">
        <x:v>Rosie Newman</x:v>
      </x:c>
      <x:c r="Q243" s="15" t="n">
        <x:v>2</x:v>
      </x:c>
      <x:c r="R243" s="14" t="str">
        <x:v>2025</x:v>
      </x:c>
      <x:c r="S243" s="14" t="n">
        <x:v>2025</x:v>
      </x:c>
      <x:c r="T243" s="14" t="n">
        <x:v>2025</x:v>
      </x:c>
      <x:c r="U243" s="14" t="str">
        <x:v>Explicit source first year retained</x:v>
      </x:c>
      <x:c r="V243" s="14" t="str">
        <x:v>Earliest supplied year is 2025.</x:v>
      </x:c>
      <x:c r="W243" s="14"/>
      <x:c r="X243" s="14" t="str">
        <x:v>Included</x:v>
      </x:c>
      <x:c r="Y243" s="14"/>
      <x:c r="Z243" s="14" t="str">
        <x:v>Malpractice.docx</x:v>
      </x:c>
      <x:c r="AA243" s="14" t="str">
        <x:v>HYPERLINK is not implemented. linkLocation=https://www.imdb.com/title/tt20918594/fullcredits/,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ITV / ITVX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HYPERLINK("https://en.wikipedia.org/wiki/Malpractice","Open source")</x:f>
        <x:v>HYPERLINK is not implemented. linkLocation=https://en.wikipedia.org/wiki/Malpractice, friendlyName=Open source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10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2</x:v>
      </x:c>
      <x:c r="BS243" s="16" t="n">
        <x:v>0.2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4" t="str">
        <x:v>HYPERLINK is not implemented. linkLocation=https://www.imdb.com/title/tt20918594/fullcredits/,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tt20918594|nm10067328|freya</x:v>
      </x:c>
      <x:c r="B244" s="14" t="str">
        <x:v>02</x:v>
      </x:c>
      <x:c r="C244" s="14" t="str">
        <x:v>2023_IMDb_Cast_Lists_Batch_02(2).xlsx</x:v>
      </x:c>
      <x:c r="D244" s="14" t="str">
        <x:v>Malpractice</x:v>
      </x:c>
      <x:c r="E244" s="14" t="n">
        <x:v>53</x:v>
      </x:c>
      <x:c r="F244" s="14" t="str">
        <x:v>Malpractice</x:v>
      </x:c>
      <x:c r="G244" s="14" t="str">
        <x:v>tt20918594</x:v>
      </x:c>
      <x:c r="H244" s="14" t="n">
        <x:v>2023</x:v>
      </x:c>
      <x:c r="I244" s="14" t="n">
        <x:v>2025</x:v>
      </x:c>
      <x:c r="J244" s="14" t="str">
        <x:v>Earlier-Production Carry-In Cohort</x:v>
      </x:c>
      <x:c r="K244" s="14" t="n">
        <x:v>2023</x:v>
      </x:c>
      <x:c r="L244" s="14" t="str">
        <x:v>Used in 2025 annual analysis</x:v>
      </x:c>
      <x:c r="M244" s="15" t="n">
        <x:v>46</x:v>
      </x:c>
      <x:c r="N244" s="14" t="str">
        <x:v>Jessica Temple</x:v>
      </x:c>
      <x:c r="O244" s="14" t="str">
        <x:v>nm10067328</x:v>
      </x:c>
      <x:c r="P244" s="14" t="str">
        <x:v>Freya</x:v>
      </x:c>
      <x:c r="Q244" s="15" t="n">
        <x:v>2</x:v>
      </x:c>
      <x:c r="R244" s="14" t="str">
        <x:v>2025</x:v>
      </x:c>
      <x:c r="S244" s="14" t="n">
        <x:v>2025</x:v>
      </x:c>
      <x:c r="T244" s="14" t="n">
        <x:v>2025</x:v>
      </x:c>
      <x:c r="U244" s="14" t="str">
        <x:v>Explicit source first year retained</x:v>
      </x:c>
      <x:c r="V244" s="14" t="str">
        <x:v>Earliest supplied year is 2025.</x:v>
      </x:c>
      <x:c r="W244" s="14"/>
      <x:c r="X244" s="14" t="str">
        <x:v>Included</x:v>
      </x:c>
      <x:c r="Y244" s="14"/>
      <x:c r="Z244" s="14" t="str">
        <x:v>Malpractice.docx</x:v>
      </x:c>
      <x:c r="AA244" s="14" t="str">
        <x:v>HYPERLINK is not implemented. linkLocation=https://www.imdb.com/title/tt20918594/fullcredits/,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ITV / ITVX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HYPERLINK("https://en.wikipedia.org/wiki/Malpractice","Open source")</x:f>
        <x:v>HYPERLINK is not implemented. linkLocation=https://en.wikipedia.org/wiki/Malpractice, friendlyName=Open source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10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2</x:v>
      </x:c>
      <x:c r="BS244" s="16" t="n">
        <x:v>0.2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4" t="str">
        <x:v>HYPERLINK is not implemented. linkLocation=https://www.imdb.com/title/tt20918594/fullcredits/,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tt20918594|nm8269025|ben munro</x:v>
      </x:c>
      <x:c r="B245" s="14" t="str">
        <x:v>02</x:v>
      </x:c>
      <x:c r="C245" s="14" t="str">
        <x:v>2023_IMDb_Cast_Lists_Batch_02(2).xlsx</x:v>
      </x:c>
      <x:c r="D245" s="14" t="str">
        <x:v>Malpractice</x:v>
      </x:c>
      <x:c r="E245" s="14" t="n">
        <x:v>54</x:v>
      </x:c>
      <x:c r="F245" s="14" t="str">
        <x:v>Malpractice</x:v>
      </x:c>
      <x:c r="G245" s="14" t="str">
        <x:v>tt20918594</x:v>
      </x:c>
      <x:c r="H245" s="14" t="n">
        <x:v>2023</x:v>
      </x:c>
      <x:c r="I245" s="14" t="n">
        <x:v>2025</x:v>
      </x:c>
      <x:c r="J245" s="14" t="str">
        <x:v>Earlier-Production Carry-In Cohort</x:v>
      </x:c>
      <x:c r="K245" s="14" t="n">
        <x:v>2023</x:v>
      </x:c>
      <x:c r="L245" s="14" t="str">
        <x:v>Used in 2025 annual analysis</x:v>
      </x:c>
      <x:c r="M245" s="15" t="n">
        <x:v>47</x:v>
      </x:c>
      <x:c r="N245" s="14" t="str">
        <x:v>Neil Pendleton</x:v>
      </x:c>
      <x:c r="O245" s="14" t="str">
        <x:v>nm8269025</x:v>
      </x:c>
      <x:c r="P245" s="14" t="str">
        <x:v>Ben Munro</x:v>
      </x:c>
      <x:c r="Q245" s="15" t="n">
        <x:v>2</x:v>
      </x:c>
      <x:c r="R245" s="14" t="str">
        <x:v>2025</x:v>
      </x:c>
      <x:c r="S245" s="14" t="n">
        <x:v>2025</x:v>
      </x:c>
      <x:c r="T245" s="14" t="n">
        <x:v>2025</x:v>
      </x:c>
      <x:c r="U245" s="14" t="str">
        <x:v>Explicit source first year retained</x:v>
      </x:c>
      <x:c r="V245" s="14" t="str">
        <x:v>Earliest supplied year is 2025.</x:v>
      </x:c>
      <x:c r="W245" s="14"/>
      <x:c r="X245" s="14" t="str">
        <x:v>Included</x:v>
      </x:c>
      <x:c r="Y245" s="14"/>
      <x:c r="Z245" s="14" t="str">
        <x:v>Malpractice.docx</x:v>
      </x:c>
      <x:c r="AA245" s="14" t="str">
        <x:v>HYPERLINK is not implemented. linkLocation=https://www.imdb.com/title/tt20918594/fullcredits/,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ITV / ITVX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HYPERLINK("https://en.wikipedia.org/wiki/Malpractice","Open source")</x:f>
        <x:v>HYPERLINK is not implemented. linkLocation=https://en.wikipedia.org/wiki/Malpractice, friendlyName=Open source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10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2</x:v>
      </x:c>
      <x:c r="BS245" s="16" t="n">
        <x:v>0.2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4" t="str">
        <x:v>HYPERLINK is not implemented. linkLocation=https://www.imdb.com/title/tt20918594/fullcredits/,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tt20918594|nm7787239|dr. amit shafi</x:v>
      </x:c>
      <x:c r="B246" s="14" t="str">
        <x:v>02</x:v>
      </x:c>
      <x:c r="C246" s="14" t="str">
        <x:v>2023_IMDb_Cast_Lists_Batch_02(2).xlsx</x:v>
      </x:c>
      <x:c r="D246" s="14" t="str">
        <x:v>Malpractice</x:v>
      </x:c>
      <x:c r="E246" s="14" t="n">
        <x:v>55</x:v>
      </x:c>
      <x:c r="F246" s="14" t="str">
        <x:v>Malpractice</x:v>
      </x:c>
      <x:c r="G246" s="14" t="str">
        <x:v>tt20918594</x:v>
      </x:c>
      <x:c r="H246" s="14" t="n">
        <x:v>2023</x:v>
      </x:c>
      <x:c r="I246" s="14" t="n">
        <x:v>2025</x:v>
      </x:c>
      <x:c r="J246" s="14" t="str">
        <x:v>Earlier-Production Carry-In Cohort</x:v>
      </x:c>
      <x:c r="K246" s="14" t="n">
        <x:v>2023</x:v>
      </x:c>
      <x:c r="L246" s="14" t="str">
        <x:v>Used in 2025 annual analysis</x:v>
      </x:c>
      <x:c r="M246" s="15" t="n">
        <x:v>48</x:v>
      </x:c>
      <x:c r="N246" s="14" t="str">
        <x:v>Ash Rizi</x:v>
      </x:c>
      <x:c r="O246" s="14" t="str">
        <x:v>nm7787239</x:v>
      </x:c>
      <x:c r="P246" s="14" t="str">
        <x:v>Dr. Amit Shafi</x:v>
      </x:c>
      <x:c r="Q246" s="15" t="n">
        <x:v>2</x:v>
      </x:c>
      <x:c r="R246" s="14" t="str">
        <x:v>2025</x:v>
      </x:c>
      <x:c r="S246" s="14" t="n">
        <x:v>2025</x:v>
      </x:c>
      <x:c r="T246" s="14" t="n">
        <x:v>2025</x:v>
      </x:c>
      <x:c r="U246" s="14" t="str">
        <x:v>Explicit source first year retained</x:v>
      </x:c>
      <x:c r="V246" s="14" t="str">
        <x:v>Earliest supplied year is 2025.</x:v>
      </x:c>
      <x:c r="W246" s="14"/>
      <x:c r="X246" s="14" t="str">
        <x:v>Included</x:v>
      </x:c>
      <x:c r="Y246" s="14"/>
      <x:c r="Z246" s="14" t="str">
        <x:v>Malpractice.docx</x:v>
      </x:c>
      <x:c r="AA246" s="14" t="str">
        <x:v>HYPERLINK is not implemented. linkLocation=https://www.imdb.com/title/tt20918594/fullcredits/,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ITV / ITVX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HYPERLINK("https://en.wikipedia.org/wiki/Malpractice","Open source")</x:f>
        <x:v>HYPERLINK is not implemented. linkLocation=https://en.wikipedia.org/wiki/Malpractice, friendlyName=Open source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10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2</x:v>
      </x:c>
      <x:c r="BS246" s="16" t="n">
        <x:v>0.2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4" t="str">
        <x:v>HYPERLINK is not implemented. linkLocation=https://www.imdb.com/title/tt20918594/fullcredits/,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tt20918594|nm7313350|michelle dornaway</x:v>
      </x:c>
      <x:c r="B247" s="14" t="str">
        <x:v>02</x:v>
      </x:c>
      <x:c r="C247" s="14" t="str">
        <x:v>2023_IMDb_Cast_Lists_Batch_02(2).xlsx</x:v>
      </x:c>
      <x:c r="D247" s="14" t="str">
        <x:v>Malpractice</x:v>
      </x:c>
      <x:c r="E247" s="14" t="n">
        <x:v>56</x:v>
      </x:c>
      <x:c r="F247" s="14" t="str">
        <x:v>Malpractice</x:v>
      </x:c>
      <x:c r="G247" s="14" t="str">
        <x:v>tt20918594</x:v>
      </x:c>
      <x:c r="H247" s="14" t="n">
        <x:v>2023</x:v>
      </x:c>
      <x:c r="I247" s="14" t="n">
        <x:v>2025</x:v>
      </x:c>
      <x:c r="J247" s="14" t="str">
        <x:v>Earlier-Production Carry-In Cohort</x:v>
      </x:c>
      <x:c r="K247" s="14" t="n">
        <x:v>2023</x:v>
      </x:c>
      <x:c r="L247" s="14" t="str">
        <x:v>Used in 2025 annual analysis</x:v>
      </x:c>
      <x:c r="M247" s="15" t="n">
        <x:v>49</x:v>
      </x:c>
      <x:c r="N247" s="14" t="str">
        <x:v>Charlotte Mills</x:v>
      </x:c>
      <x:c r="O247" s="14" t="str">
        <x:v>nm7313350</x:v>
      </x:c>
      <x:c r="P247" s="14" t="str">
        <x:v>Michelle Dornaway</x:v>
      </x:c>
      <x:c r="Q247" s="15" t="n">
        <x:v>2</x:v>
      </x:c>
      <x:c r="R247" s="14" t="str">
        <x:v>2025</x:v>
      </x:c>
      <x:c r="S247" s="14" t="n">
        <x:v>2025</x:v>
      </x:c>
      <x:c r="T247" s="14" t="n">
        <x:v>2025</x:v>
      </x:c>
      <x:c r="U247" s="14" t="str">
        <x:v>Explicit source first year retained</x:v>
      </x:c>
      <x:c r="V247" s="14" t="str">
        <x:v>Earliest supplied year is 2025.</x:v>
      </x:c>
      <x:c r="W247" s="14"/>
      <x:c r="X247" s="14" t="str">
        <x:v>Included</x:v>
      </x:c>
      <x:c r="Y247" s="14"/>
      <x:c r="Z247" s="14" t="str">
        <x:v>Malpractice.docx</x:v>
      </x:c>
      <x:c r="AA247" s="14" t="str">
        <x:v>HYPERLINK is not implemented. linkLocation=https://www.imdb.com/title/tt20918594/fullcredits/,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ITV / ITVX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HYPERLINK("https://en.wikipedia.org/wiki/Malpractice","Open source")</x:f>
        <x:v>HYPERLINK is not implemented. linkLocation=https://en.wikipedia.org/wiki/Malpractice, friendlyName=Open source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10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2</x:v>
      </x:c>
      <x:c r="BS247" s="16" t="n">
        <x:v>0.2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4" t="str">
        <x:v>HYPERLINK is not implemented. linkLocation=https://www.imdb.com/title/tt20918594/fullcredits/,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tt20918594|nm2265675|deepa mbu midwife / deepa bhatia</x:v>
      </x:c>
      <x:c r="B248" s="14" t="str">
        <x:v>02</x:v>
      </x:c>
      <x:c r="C248" s="14" t="str">
        <x:v>2023_IMDb_Cast_Lists_Batch_02(2).xlsx</x:v>
      </x:c>
      <x:c r="D248" s="14" t="str">
        <x:v>Malpractice</x:v>
      </x:c>
      <x:c r="E248" s="14" t="n">
        <x:v>57</x:v>
      </x:c>
      <x:c r="F248" s="14" t="str">
        <x:v>Malpractice</x:v>
      </x:c>
      <x:c r="G248" s="14" t="str">
        <x:v>tt20918594</x:v>
      </x:c>
      <x:c r="H248" s="14" t="n">
        <x:v>2023</x:v>
      </x:c>
      <x:c r="I248" s="14" t="n">
        <x:v>2025</x:v>
      </x:c>
      <x:c r="J248" s="14" t="str">
        <x:v>Earlier-Production Carry-In Cohort</x:v>
      </x:c>
      <x:c r="K248" s="14" t="n">
        <x:v>2023</x:v>
      </x:c>
      <x:c r="L248" s="14" t="str">
        <x:v>Used in 2025 annual analysis</x:v>
      </x:c>
      <x:c r="M248" s="15" t="n">
        <x:v>50</x:v>
      </x:c>
      <x:c r="N248" s="14" t="str">
        <x:v>Sheena Bhattessa</x:v>
      </x:c>
      <x:c r="O248" s="14" t="str">
        <x:v>nm2265675</x:v>
      </x:c>
      <x:c r="P248" s="14" t="str">
        <x:v>Deepa MBU Midwife / Deepa Bhatia</x:v>
      </x:c>
      <x:c r="Q248" s="15" t="n">
        <x:v>2</x:v>
      </x:c>
      <x:c r="R248" s="14" t="str">
        <x:v>2025</x:v>
      </x:c>
      <x:c r="S248" s="14" t="n">
        <x:v>2025</x:v>
      </x:c>
      <x:c r="T248" s="14" t="n">
        <x:v>2025</x:v>
      </x:c>
      <x:c r="U248" s="14" t="str">
        <x:v>Explicit source first year retained</x:v>
      </x:c>
      <x:c r="V248" s="14" t="str">
        <x:v>Earliest supplied year is 2025.</x:v>
      </x:c>
      <x:c r="W248" s="14"/>
      <x:c r="X248" s="14" t="str">
        <x:v>Included</x:v>
      </x:c>
      <x:c r="Y248" s="14"/>
      <x:c r="Z248" s="14" t="str">
        <x:v>Malpractice.docx</x:v>
      </x:c>
      <x:c r="AA248" s="14" t="str">
        <x:v>HYPERLINK is not implemented. linkLocation=https://www.imdb.com/title/tt20918594/fullcredits/,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ITV / ITVX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HYPERLINK("https://en.wikipedia.org/wiki/Malpractice","Open source")</x:f>
        <x:v>HYPERLINK is not implemented. linkLocation=https://en.wikipedia.org/wiki/Malpractice, friendlyName=Open source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10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4" t="str">
        <x:v>HYPERLINK is not implemented. linkLocation=https://www.imdb.com/title/tt20918594/fullcredits/,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tt20918594|nm0188780|senior midwife</x:v>
      </x:c>
      <x:c r="B249" s="14" t="str">
        <x:v>02</x:v>
      </x:c>
      <x:c r="C249" s="14" t="str">
        <x:v>2023_IMDb_Cast_Lists_Batch_02(2).xlsx</x:v>
      </x:c>
      <x:c r="D249" s="14" t="str">
        <x:v>Malpractice</x:v>
      </x:c>
      <x:c r="E249" s="14" t="n">
        <x:v>58</x:v>
      </x:c>
      <x:c r="F249" s="14" t="str">
        <x:v>Malpractice</x:v>
      </x:c>
      <x:c r="G249" s="14" t="str">
        <x:v>tt20918594</x:v>
      </x:c>
      <x:c r="H249" s="14" t="n">
        <x:v>2023</x:v>
      </x:c>
      <x:c r="I249" s="14" t="n">
        <x:v>2025</x:v>
      </x:c>
      <x:c r="J249" s="14" t="str">
        <x:v>Earlier-Production Carry-In Cohort</x:v>
      </x:c>
      <x:c r="K249" s="14" t="n">
        <x:v>2023</x:v>
      </x:c>
      <x:c r="L249" s="14" t="str">
        <x:v>Used in 2025 annual analysis</x:v>
      </x:c>
      <x:c r="M249" s="15" t="n">
        <x:v>51</x:v>
      </x:c>
      <x:c r="N249" s="14" t="str">
        <x:v>Maggie Cronin</x:v>
      </x:c>
      <x:c r="O249" s="14" t="str">
        <x:v>nm0188780</x:v>
      </x:c>
      <x:c r="P249" s="14" t="str">
        <x:v>Senior Midwife</x:v>
      </x:c>
      <x:c r="Q249" s="15" t="n">
        <x:v>2</x:v>
      </x:c>
      <x:c r="R249" s="14" t="str">
        <x:v>2025</x:v>
      </x:c>
      <x:c r="S249" s="14" t="n">
        <x:v>2025</x:v>
      </x:c>
      <x:c r="T249" s="14" t="n">
        <x:v>2025</x:v>
      </x:c>
      <x:c r="U249" s="14" t="str">
        <x:v>Explicit source first year retained</x:v>
      </x:c>
      <x:c r="V249" s="14" t="str">
        <x:v>Earliest supplied year is 2025.</x:v>
      </x:c>
      <x:c r="W249" s="14"/>
      <x:c r="X249" s="14" t="str">
        <x:v>Included</x:v>
      </x:c>
      <x:c r="Y249" s="14"/>
      <x:c r="Z249" s="14" t="str">
        <x:v>Malpractice.docx</x:v>
      </x:c>
      <x:c r="AA249" s="14" t="str">
        <x:v>HYPERLINK is not implemented. linkLocation=https://www.imdb.com/title/tt20918594/fullcredits/,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ITV / ITVX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HYPERLINK("https://en.wikipedia.org/wiki/Malpractice","Open source")</x:f>
        <x:v>HYPERLINK is not implemented. linkLocation=https://en.wikipedia.org/wiki/Malpractice, friendlyName=Open source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10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4" t="str">
        <x:v>HYPERLINK is not implemented. linkLocation=https://www.imdb.com/title/tt20918594/fullcredits/,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tt20918594|nm5098614|francis</x:v>
      </x:c>
      <x:c r="B250" s="14" t="str">
        <x:v>02</x:v>
      </x:c>
      <x:c r="C250" s="14" t="str">
        <x:v>2023_IMDb_Cast_Lists_Batch_02(2).xlsx</x:v>
      </x:c>
      <x:c r="D250" s="14" t="str">
        <x:v>Malpractice</x:v>
      </x:c>
      <x:c r="E250" s="14" t="n">
        <x:v>59</x:v>
      </x:c>
      <x:c r="F250" s="14" t="str">
        <x:v>Malpractice</x:v>
      </x:c>
      <x:c r="G250" s="14" t="str">
        <x:v>tt20918594</x:v>
      </x:c>
      <x:c r="H250" s="14" t="n">
        <x:v>2023</x:v>
      </x:c>
      <x:c r="I250" s="14" t="n">
        <x:v>2025</x:v>
      </x:c>
      <x:c r="J250" s="14" t="str">
        <x:v>Earlier-Production Carry-In Cohort</x:v>
      </x:c>
      <x:c r="K250" s="14" t="n">
        <x:v>2023</x:v>
      </x:c>
      <x:c r="L250" s="14" t="str">
        <x:v>Used in 2025 annual analysis</x:v>
      </x:c>
      <x:c r="M250" s="15" t="n">
        <x:v>52</x:v>
      </x:c>
      <x:c r="N250" s="14" t="str">
        <x:v>Alexander Theo</x:v>
      </x:c>
      <x:c r="O250" s="14" t="str">
        <x:v>nm5098614</x:v>
      </x:c>
      <x:c r="P250" s="14" t="str">
        <x:v>Francis</x:v>
      </x:c>
      <x:c r="Q250" s="15" t="n">
        <x:v>2</x:v>
      </x:c>
      <x:c r="R250" s="14" t="str">
        <x:v>2025</x:v>
      </x:c>
      <x:c r="S250" s="14" t="n">
        <x:v>2025</x:v>
      </x:c>
      <x:c r="T250" s="14" t="n">
        <x:v>2025</x:v>
      </x:c>
      <x:c r="U250" s="14" t="str">
        <x:v>Explicit source first year retained</x:v>
      </x:c>
      <x:c r="V250" s="14" t="str">
        <x:v>Earliest supplied year is 2025.</x:v>
      </x:c>
      <x:c r="W250" s="14"/>
      <x:c r="X250" s="14" t="str">
        <x:v>Included</x:v>
      </x:c>
      <x:c r="Y250" s="14"/>
      <x:c r="Z250" s="14" t="str">
        <x:v>Malpractice.docx</x:v>
      </x:c>
      <x:c r="AA250" s="14" t="str">
        <x:v>HYPERLINK is not implemented. linkLocation=https://www.imdb.com/title/tt20918594/fullcredits/,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ITV / ITVX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HYPERLINK("https://en.wikipedia.org/wiki/Malpractice","Open source")</x:f>
        <x:v>HYPERLINK is not implemented. linkLocation=https://en.wikipedia.org/wiki/Malpractice, friendlyName=Open source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10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4" t="str">
        <x:v>HYPERLINK is not implemented. linkLocation=https://www.imdb.com/title/tt20918594/fullcredits/,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tt20918594|nm17459018|imogen newman / imogen newman</x:v>
      </x:c>
      <x:c r="B251" s="14" t="str">
        <x:v>02</x:v>
      </x:c>
      <x:c r="C251" s="14" t="str">
        <x:v>2023_IMDb_Cast_Lists_Batch_02(2).xlsx</x:v>
      </x:c>
      <x:c r="D251" s="14" t="str">
        <x:v>Malpractice</x:v>
      </x:c>
      <x:c r="E251" s="14" t="n">
        <x:v>60</x:v>
      </x:c>
      <x:c r="F251" s="14" t="str">
        <x:v>Malpractice</x:v>
      </x:c>
      <x:c r="G251" s="14" t="str">
        <x:v>tt20918594</x:v>
      </x:c>
      <x:c r="H251" s="14" t="n">
        <x:v>2023</x:v>
      </x:c>
      <x:c r="I251" s="14" t="n">
        <x:v>2025</x:v>
      </x:c>
      <x:c r="J251" s="14" t="str">
        <x:v>Earlier-Production Carry-In Cohort</x:v>
      </x:c>
      <x:c r="K251" s="14" t="n">
        <x:v>2023</x:v>
      </x:c>
      <x:c r="L251" s="14" t="str">
        <x:v>Used in 2025 annual analysis</x:v>
      </x:c>
      <x:c r="M251" s="15" t="n">
        <x:v>53</x:v>
      </x:c>
      <x:c r="N251" s="14" t="str">
        <x:v>Sophie Elizabeth Ann Shaw</x:v>
      </x:c>
      <x:c r="O251" s="14" t="str">
        <x:v>nm17459018</x:v>
      </x:c>
      <x:c r="P251" s="14" t="str">
        <x:v>Imogen Newman / Imogen newman</x:v>
      </x:c>
      <x:c r="Q251" s="15" t="n">
        <x:v>2</x:v>
      </x:c>
      <x:c r="R251" s="14" t="str">
        <x:v>2025</x:v>
      </x:c>
      <x:c r="S251" s="14" t="n">
        <x:v>2025</x:v>
      </x:c>
      <x:c r="T251" s="14" t="n">
        <x:v>2025</x:v>
      </x:c>
      <x:c r="U251" s="14" t="str">
        <x:v>Explicit source first year retained</x:v>
      </x:c>
      <x:c r="V251" s="14" t="str">
        <x:v>Earliest supplied year is 2025.</x:v>
      </x:c>
      <x:c r="W251" s="14"/>
      <x:c r="X251" s="14" t="str">
        <x:v>Included</x:v>
      </x:c>
      <x:c r="Y251" s="14"/>
      <x:c r="Z251" s="14" t="str">
        <x:v>Malpractice.docx</x:v>
      </x:c>
      <x:c r="AA251" s="14" t="str">
        <x:v>HYPERLINK is not implemented. linkLocation=https://www.imdb.com/title/tt20918594/fullcredits/,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ITV / ITVX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HYPERLINK("https://en.wikipedia.org/wiki/Malpractice","Open source")</x:f>
        <x:v>HYPERLINK is not implemented. linkLocation=https://en.wikipedia.org/wiki/Malpractice, friendlyName=Open source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10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2</x:v>
      </x:c>
      <x:c r="BS251" s="16" t="n">
        <x:v>0.2</x:v>
      </x:c>
      <x:c r="BT251" s="14" t="str">
        <x:v>Minority of episodes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4" t="str">
        <x:v>HYPERLINK is not implemented. linkLocation=https://www.imdb.com/title/tt20918594/fullcredits/,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tt20918594|nm9130037|nurse (136 suite)</x:v>
      </x:c>
      <x:c r="B252" s="14" t="str">
        <x:v>02</x:v>
      </x:c>
      <x:c r="C252" s="14" t="str">
        <x:v>2023_IMDb_Cast_Lists_Batch_02(2).xlsx</x:v>
      </x:c>
      <x:c r="D252" s="14" t="str">
        <x:v>Malpractice</x:v>
      </x:c>
      <x:c r="E252" s="14" t="n">
        <x:v>89</x:v>
      </x:c>
      <x:c r="F252" s="14" t="str">
        <x:v>Malpractice</x:v>
      </x:c>
      <x:c r="G252" s="14" t="str">
        <x:v>tt20918594</x:v>
      </x:c>
      <x:c r="H252" s="14" t="n">
        <x:v>2023</x:v>
      </x:c>
      <x:c r="I252" s="14" t="n">
        <x:v>2025</x:v>
      </x:c>
      <x:c r="J252" s="14" t="str">
        <x:v>Earlier-Production Carry-In Cohort</x:v>
      </x:c>
      <x:c r="K252" s="14" t="n">
        <x:v>2023</x:v>
      </x:c>
      <x:c r="L252" s="14" t="str">
        <x:v>Used in 2025 annual analysis</x:v>
      </x:c>
      <x:c r="M252" s="15" t="n">
        <x:v>82</x:v>
      </x:c>
      <x:c r="N252" s="14" t="str">
        <x:v>Dearbháile McKinney</x:v>
      </x:c>
      <x:c r="O252" s="14" t="str">
        <x:v>nm9130037</x:v>
      </x:c>
      <x:c r="P252" s="14" t="str">
        <x:v>Nurse (136 Suite)</x:v>
      </x:c>
      <x:c r="Q252" s="15" t="n">
        <x:v>1</x:v>
      </x:c>
      <x:c r="R252" s="14" t="str">
        <x:v>2025</x:v>
      </x:c>
      <x:c r="S252" s="14" t="n">
        <x:v>2025</x:v>
      </x:c>
      <x:c r="T252" s="14" t="n">
        <x:v>2025</x:v>
      </x:c>
      <x:c r="U252" s="14" t="str">
        <x:v>Explicit source first year retained</x:v>
      </x:c>
      <x:c r="V252" s="14" t="str">
        <x:v>Earliest supplied year is 2025.</x:v>
      </x:c>
      <x:c r="W252" s="14"/>
      <x:c r="X252" s="14" t="str">
        <x:v>Included</x:v>
      </x:c>
      <x:c r="Y252" s="14"/>
      <x:c r="Z252" s="14" t="str">
        <x:v>Malpractice.docx</x:v>
      </x:c>
      <x:c r="AA252" s="14" t="str">
        <x:v>HYPERLINK is not implemented. linkLocation=https://www.imdb.com/title/tt20918594/fullcredits/,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ITV / ITVX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HYPERLINK("https://en.wikipedia.org/wiki/Malpractice","Open source")</x:f>
        <x:v>HYPERLINK is not implemented. linkLocation=https://en.wikipedia.org/wiki/Malpractice, friendlyName=Open source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10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4" t="str">
        <x:v>HYPERLINK is not implemented. linkLocation=https://www.imdb.com/title/tt20918594/fullcredits/,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tt20918594|nm0822697|amy</x:v>
      </x:c>
      <x:c r="B253" s="14" t="str">
        <x:v>02</x:v>
      </x:c>
      <x:c r="C253" s="14" t="str">
        <x:v>2023_IMDb_Cast_Lists_Batch_02(2).xlsx</x:v>
      </x:c>
      <x:c r="D253" s="14" t="str">
        <x:v>Malpractice</x:v>
      </x:c>
      <x:c r="E253" s="14" t="n">
        <x:v>90</x:v>
      </x:c>
      <x:c r="F253" s="14" t="str">
        <x:v>Malpractice</x:v>
      </x:c>
      <x:c r="G253" s="14" t="str">
        <x:v>tt20918594</x:v>
      </x:c>
      <x:c r="H253" s="14" t="n">
        <x:v>2023</x:v>
      </x:c>
      <x:c r="I253" s="14" t="n">
        <x:v>2025</x:v>
      </x:c>
      <x:c r="J253" s="14" t="str">
        <x:v>Earlier-Production Carry-In Cohort</x:v>
      </x:c>
      <x:c r="K253" s="14" t="n">
        <x:v>2023</x:v>
      </x:c>
      <x:c r="L253" s="14" t="str">
        <x:v>Used in 2025 annual analysis</x:v>
      </x:c>
      <x:c r="M253" s="15" t="n">
        <x:v>83</x:v>
      </x:c>
      <x:c r="N253" s="14" t="str">
        <x:v>Emma Stansfield</x:v>
      </x:c>
      <x:c r="O253" s="14" t="str">
        <x:v>nm0822697</x:v>
      </x:c>
      <x:c r="P253" s="14" t="str">
        <x:v>Amy</x:v>
      </x:c>
      <x:c r="Q253" s="15" t="n">
        <x:v>1</x:v>
      </x:c>
      <x:c r="R253" s="14" t="str">
        <x:v>2025</x:v>
      </x:c>
      <x:c r="S253" s="14" t="n">
        <x:v>2025</x:v>
      </x:c>
      <x:c r="T253" s="14" t="n">
        <x:v>2025</x:v>
      </x:c>
      <x:c r="U253" s="14" t="str">
        <x:v>Explicit source first year retained</x:v>
      </x:c>
      <x:c r="V253" s="14" t="str">
        <x:v>Earliest supplied year is 2025.</x:v>
      </x:c>
      <x:c r="W253" s="14"/>
      <x:c r="X253" s="14" t="str">
        <x:v>Included</x:v>
      </x:c>
      <x:c r="Y253" s="14"/>
      <x:c r="Z253" s="14" t="str">
        <x:v>Malpractice.docx</x:v>
      </x:c>
      <x:c r="AA253" s="14" t="str">
        <x:v>HYPERLINK is not implemented. linkLocation=https://www.imdb.com/title/tt20918594/fullcredits/,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ITV / ITVX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HYPERLINK("https://en.wikipedia.org/wiki/Malpractice","Open source")</x:f>
        <x:v>HYPERLINK is not implemented. linkLocation=https://en.wikipedia.org/wiki/Malpractice, friendlyName=Open source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10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4" t="str">
        <x:v>HYPERLINK is not implemented. linkLocation=https://www.imdb.com/title/tt20918594/fullcredits/,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tt20918594|nm4337810|pc john penwell</x:v>
      </x:c>
      <x:c r="B254" s="14" t="str">
        <x:v>02</x:v>
      </x:c>
      <x:c r="C254" s="14" t="str">
        <x:v>2023_IMDb_Cast_Lists_Batch_02(2).xlsx</x:v>
      </x:c>
      <x:c r="D254" s="14" t="str">
        <x:v>Malpractice</x:v>
      </x:c>
      <x:c r="E254" s="14" t="n">
        <x:v>91</x:v>
      </x:c>
      <x:c r="F254" s="14" t="str">
        <x:v>Malpractice</x:v>
      </x:c>
      <x:c r="G254" s="14" t="str">
        <x:v>tt20918594</x:v>
      </x:c>
      <x:c r="H254" s="14" t="n">
        <x:v>2023</x:v>
      </x:c>
      <x:c r="I254" s="14" t="n">
        <x:v>2025</x:v>
      </x:c>
      <x:c r="J254" s="14" t="str">
        <x:v>Earlier-Production Carry-In Cohort</x:v>
      </x:c>
      <x:c r="K254" s="14" t="n">
        <x:v>2023</x:v>
      </x:c>
      <x:c r="L254" s="14" t="str">
        <x:v>Used in 2025 annual analysis</x:v>
      </x:c>
      <x:c r="M254" s="15" t="n">
        <x:v>84</x:v>
      </x:c>
      <x:c r="N254" s="14" t="str">
        <x:v>Alistair Brammer</x:v>
      </x:c>
      <x:c r="O254" s="14" t="str">
        <x:v>nm4337810</x:v>
      </x:c>
      <x:c r="P254" s="14" t="str">
        <x:v>PC John Penwell</x:v>
      </x:c>
      <x:c r="Q254" s="15" t="n">
        <x:v>1</x:v>
      </x:c>
      <x:c r="R254" s="14" t="str">
        <x:v>2025</x:v>
      </x:c>
      <x:c r="S254" s="14" t="n">
        <x:v>2025</x:v>
      </x:c>
      <x:c r="T254" s="14" t="n">
        <x:v>2025</x:v>
      </x:c>
      <x:c r="U254" s="14" t="str">
        <x:v>Explicit source first year retained</x:v>
      </x:c>
      <x:c r="V254" s="14" t="str">
        <x:v>Earliest supplied year is 2025.</x:v>
      </x:c>
      <x:c r="W254" s="14"/>
      <x:c r="X254" s="14" t="str">
        <x:v>Included</x:v>
      </x:c>
      <x:c r="Y254" s="14"/>
      <x:c r="Z254" s="14" t="str">
        <x:v>Malpractice.docx</x:v>
      </x:c>
      <x:c r="AA254" s="14" t="str">
        <x:v>HYPERLINK is not implemented. linkLocation=https://www.imdb.com/title/tt20918594/fullcredits/,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ITV / ITVX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HYPERLINK("https://en.wikipedia.org/wiki/Malpractice","Open source")</x:f>
        <x:v>HYPERLINK is not implemented. linkLocation=https://en.wikipedia.org/wiki/Malpractice, friendlyName=Open source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10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4" t="str">
        <x:v>HYPERLINK is not implemented. linkLocation=https://www.imdb.com/title/tt20918594/fullcredits/,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tt20918594|nm13278985|ellie</x:v>
      </x:c>
      <x:c r="B255" s="14" t="str">
        <x:v>02</x:v>
      </x:c>
      <x:c r="C255" s="14" t="str">
        <x:v>2023_IMDb_Cast_Lists_Batch_02(2).xlsx</x:v>
      </x:c>
      <x:c r="D255" s="14" t="str">
        <x:v>Malpractice</x:v>
      </x:c>
      <x:c r="E255" s="14" t="n">
        <x:v>92</x:v>
      </x:c>
      <x:c r="F255" s="14" t="str">
        <x:v>Malpractice</x:v>
      </x:c>
      <x:c r="G255" s="14" t="str">
        <x:v>tt20918594</x:v>
      </x:c>
      <x:c r="H255" s="14" t="n">
        <x:v>2023</x:v>
      </x:c>
      <x:c r="I255" s="14" t="n">
        <x:v>2025</x:v>
      </x:c>
      <x:c r="J255" s="14" t="str">
        <x:v>Earlier-Production Carry-In Cohort</x:v>
      </x:c>
      <x:c r="K255" s="14" t="n">
        <x:v>2023</x:v>
      </x:c>
      <x:c r="L255" s="14" t="str">
        <x:v>Used in 2025 annual analysis</x:v>
      </x:c>
      <x:c r="M255" s="15" t="n">
        <x:v>85</x:v>
      </x:c>
      <x:c r="N255" s="14" t="str">
        <x:v>Katie Eldred</x:v>
      </x:c>
      <x:c r="O255" s="14" t="str">
        <x:v>nm13278985</x:v>
      </x:c>
      <x:c r="P255" s="14" t="str">
        <x:v>Ellie</x:v>
      </x:c>
      <x:c r="Q255" s="15" t="n">
        <x:v>1</x:v>
      </x:c>
      <x:c r="R255" s="14" t="str">
        <x:v>2025</x:v>
      </x:c>
      <x:c r="S255" s="14" t="n">
        <x:v>2025</x:v>
      </x:c>
      <x:c r="T255" s="14" t="n">
        <x:v>2025</x:v>
      </x:c>
      <x:c r="U255" s="14" t="str">
        <x:v>Explicit source first year retained</x:v>
      </x:c>
      <x:c r="V255" s="14" t="str">
        <x:v>Earliest supplied year is 2025.</x:v>
      </x:c>
      <x:c r="W255" s="14"/>
      <x:c r="X255" s="14" t="str">
        <x:v>Included</x:v>
      </x:c>
      <x:c r="Y255" s="14"/>
      <x:c r="Z255" s="14" t="str">
        <x:v>Malpractice.docx</x:v>
      </x:c>
      <x:c r="AA255" s="14" t="str">
        <x:v>HYPERLINK is not implemented. linkLocation=https://www.imdb.com/title/tt20918594/fullcredits/,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ITV / ITVX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HYPERLINK("https://en.wikipedia.org/wiki/Malpractice","Open source")</x:f>
        <x:v>HYPERLINK is not implemented. linkLocation=https://en.wikipedia.org/wiki/Malpractice, friendlyName=Open source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10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4" t="str">
        <x:v>HYPERLINK is not implemented. linkLocation=https://www.imdb.com/title/tt20918594/fullcredits/,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tt20918594|nm8490593|pc blakefield</x:v>
      </x:c>
      <x:c r="B256" s="14" t="str">
        <x:v>02</x:v>
      </x:c>
      <x:c r="C256" s="14" t="str">
        <x:v>2023_IMDb_Cast_Lists_Batch_02(2).xlsx</x:v>
      </x:c>
      <x:c r="D256" s="14" t="str">
        <x:v>Malpractice</x:v>
      </x:c>
      <x:c r="E256" s="14" t="n">
        <x:v>93</x:v>
      </x:c>
      <x:c r="F256" s="14" t="str">
        <x:v>Malpractice</x:v>
      </x:c>
      <x:c r="G256" s="14" t="str">
        <x:v>tt20918594</x:v>
      </x:c>
      <x:c r="H256" s="14" t="n">
        <x:v>2023</x:v>
      </x:c>
      <x:c r="I256" s="14" t="n">
        <x:v>2025</x:v>
      </x:c>
      <x:c r="J256" s="14" t="str">
        <x:v>Earlier-Production Carry-In Cohort</x:v>
      </x:c>
      <x:c r="K256" s="14" t="n">
        <x:v>2023</x:v>
      </x:c>
      <x:c r="L256" s="14" t="str">
        <x:v>Used in 2025 annual analysis</x:v>
      </x:c>
      <x:c r="M256" s="15" t="n">
        <x:v>86</x:v>
      </x:c>
      <x:c r="N256" s="14" t="str">
        <x:v>Matthew Forsythe</x:v>
      </x:c>
      <x:c r="O256" s="14" t="str">
        <x:v>nm8490593</x:v>
      </x:c>
      <x:c r="P256" s="14" t="str">
        <x:v>PC Blakefield</x:v>
      </x:c>
      <x:c r="Q256" s="15" t="n">
        <x:v>1</x:v>
      </x:c>
      <x:c r="R256" s="14" t="str">
        <x:v>2025</x:v>
      </x:c>
      <x:c r="S256" s="14" t="n">
        <x:v>2025</x:v>
      </x:c>
      <x:c r="T256" s="14" t="n">
        <x:v>2025</x:v>
      </x:c>
      <x:c r="U256" s="14" t="str">
        <x:v>Explicit source first year retained</x:v>
      </x:c>
      <x:c r="V256" s="14" t="str">
        <x:v>Earliest supplied year is 2025.</x:v>
      </x:c>
      <x:c r="W256" s="14"/>
      <x:c r="X256" s="14" t="str">
        <x:v>Included</x:v>
      </x:c>
      <x:c r="Y256" s="14"/>
      <x:c r="Z256" s="14" t="str">
        <x:v>Malpractice.docx</x:v>
      </x:c>
      <x:c r="AA256" s="14" t="str">
        <x:v>HYPERLINK is not implemented. linkLocation=https://www.imdb.com/title/tt20918594/fullcredits/,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ITV / ITVX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HYPERLINK("https://en.wikipedia.org/wiki/Malpractice","Open source")</x:f>
        <x:v>HYPERLINK is not implemented. linkLocation=https://en.wikipedia.org/wiki/Malpractice,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10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1</x:v>
      </x:c>
      <x:c r="BS256" s="16" t="n">
        <x:v>0.1</x:v>
      </x:c>
      <x:c r="BT256" s="14" t="str">
        <x:v>One episode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4" t="str">
        <x:v>HYPERLINK is not implemented. linkLocation=https://www.imdb.com/title/tt20918594/fullcredits/,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tt20918594|nm0042001|mr. anwaar</x:v>
      </x:c>
      <x:c r="B257" s="14" t="str">
        <x:v>02</x:v>
      </x:c>
      <x:c r="C257" s="14" t="str">
        <x:v>2023_IMDb_Cast_Lists_Batch_02(2).xlsx</x:v>
      </x:c>
      <x:c r="D257" s="14" t="str">
        <x:v>Malpractice</x:v>
      </x:c>
      <x:c r="E257" s="14" t="n">
        <x:v>94</x:v>
      </x:c>
      <x:c r="F257" s="14" t="str">
        <x:v>Malpractice</x:v>
      </x:c>
      <x:c r="G257" s="14" t="str">
        <x:v>tt20918594</x:v>
      </x:c>
      <x:c r="H257" s="14" t="n">
        <x:v>2023</x:v>
      </x:c>
      <x:c r="I257" s="14" t="n">
        <x:v>2025</x:v>
      </x:c>
      <x:c r="J257" s="14" t="str">
        <x:v>Earlier-Production Carry-In Cohort</x:v>
      </x:c>
      <x:c r="K257" s="14" t="n">
        <x:v>2023</x:v>
      </x:c>
      <x:c r="L257" s="14" t="str">
        <x:v>Used in 2025 annual analysis</x:v>
      </x:c>
      <x:c r="M257" s="15" t="n">
        <x:v>87</x:v>
      </x:c>
      <x:c r="N257" s="14" t="str">
        <x:v>Ravi Aujla</x:v>
      </x:c>
      <x:c r="O257" s="14" t="str">
        <x:v>nm0042001</x:v>
      </x:c>
      <x:c r="P257" s="14" t="str">
        <x:v>Mr. Anwaar</x:v>
      </x:c>
      <x:c r="Q257" s="15" t="n">
        <x:v>1</x:v>
      </x:c>
      <x:c r="R257" s="14" t="str">
        <x:v>2025</x:v>
      </x:c>
      <x:c r="S257" s="14" t="n">
        <x:v>2025</x:v>
      </x:c>
      <x:c r="T257" s="14" t="n">
        <x:v>2025</x:v>
      </x:c>
      <x:c r="U257" s="14" t="str">
        <x:v>Explicit source first year retained</x:v>
      </x:c>
      <x:c r="V257" s="14" t="str">
        <x:v>Earliest supplied year is 2025.</x:v>
      </x:c>
      <x:c r="W257" s="14"/>
      <x:c r="X257" s="14" t="str">
        <x:v>Included</x:v>
      </x:c>
      <x:c r="Y257" s="14"/>
      <x:c r="Z257" s="14" t="str">
        <x:v>Malpractice.docx</x:v>
      </x:c>
      <x:c r="AA257" s="14" t="str">
        <x:v>HYPERLINK is not implemented. linkLocation=https://www.imdb.com/title/tt20918594/fullcredits/,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ITV / ITVX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HYPERLINK("https://en.wikipedia.org/wiki/Malpractice","Open source")</x:f>
        <x:v>HYPERLINK is not implemented. linkLocation=https://en.wikipedia.org/wiki/Malpractice,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10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1</x:v>
      </x:c>
      <x:c r="BS257" s="16" t="n">
        <x:v>0.1</x:v>
      </x:c>
      <x:c r="BT257" s="14" t="str">
        <x:v>One episode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4" t="str">
        <x:v>HYPERLINK is not implemented. linkLocation=https://www.imdb.com/title/tt20918594/fullcredits/,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tt20918594|nm10029083|emma</x:v>
      </x:c>
      <x:c r="B258" s="14" t="str">
        <x:v>02</x:v>
      </x:c>
      <x:c r="C258" s="14" t="str">
        <x:v>2023_IMDb_Cast_Lists_Batch_02(2).xlsx</x:v>
      </x:c>
      <x:c r="D258" s="14" t="str">
        <x:v>Malpractice</x:v>
      </x:c>
      <x:c r="E258" s="14" t="n">
        <x:v>95</x:v>
      </x:c>
      <x:c r="F258" s="14" t="str">
        <x:v>Malpractice</x:v>
      </x:c>
      <x:c r="G258" s="14" t="str">
        <x:v>tt20918594</x:v>
      </x:c>
      <x:c r="H258" s="14" t="n">
        <x:v>2023</x:v>
      </x:c>
      <x:c r="I258" s="14" t="n">
        <x:v>2025</x:v>
      </x:c>
      <x:c r="J258" s="14" t="str">
        <x:v>Earlier-Production Carry-In Cohort</x:v>
      </x:c>
      <x:c r="K258" s="14" t="n">
        <x:v>2023</x:v>
      </x:c>
      <x:c r="L258" s="14" t="str">
        <x:v>Used in 2025 annual analysis</x:v>
      </x:c>
      <x:c r="M258" s="15" t="n">
        <x:v>88</x:v>
      </x:c>
      <x:c r="N258" s="14" t="str">
        <x:v>Allison Harding</x:v>
      </x:c>
      <x:c r="O258" s="14" t="str">
        <x:v>nm10029083</x:v>
      </x:c>
      <x:c r="P258" s="14" t="str">
        <x:v>Emma</x:v>
      </x:c>
      <x:c r="Q258" s="15" t="n">
        <x:v>1</x:v>
      </x:c>
      <x:c r="R258" s="14" t="str">
        <x:v>2025</x:v>
      </x:c>
      <x:c r="S258" s="14" t="n">
        <x:v>2025</x:v>
      </x:c>
      <x:c r="T258" s="14" t="n">
        <x:v>2025</x:v>
      </x:c>
      <x:c r="U258" s="14" t="str">
        <x:v>Explicit source first year retained</x:v>
      </x:c>
      <x:c r="V258" s="14" t="str">
        <x:v>Earliest supplied year is 2025.</x:v>
      </x:c>
      <x:c r="W258" s="14"/>
      <x:c r="X258" s="14" t="str">
        <x:v>Included</x:v>
      </x:c>
      <x:c r="Y258" s="14"/>
      <x:c r="Z258" s="14" t="str">
        <x:v>Malpractice.docx</x:v>
      </x:c>
      <x:c r="AA258" s="14" t="str">
        <x:v>HYPERLINK is not implemented. linkLocation=https://www.imdb.com/title/tt20918594/fullcredits/,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ITV / ITVX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HYPERLINK("https://en.wikipedia.org/wiki/Malpractice","Open source")</x:f>
        <x:v>HYPERLINK is not implemented. linkLocation=https://en.wikipedia.org/wiki/Malpractice,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10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1</x:v>
      </x:c>
      <x:c r="BS258" s="16" t="n">
        <x:v>0.1</x:v>
      </x:c>
      <x:c r="BT258" s="14" t="str">
        <x:v>One episode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4" t="str">
        <x:v>HYPERLINK is not implemented. linkLocation=https://www.imdb.com/title/tt20918594/fullcredits/,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tt20918594|nm13782082|dr. hussain</x:v>
      </x:c>
      <x:c r="B259" s="14" t="str">
        <x:v>02</x:v>
      </x:c>
      <x:c r="C259" s="14" t="str">
        <x:v>2023_IMDb_Cast_Lists_Batch_02(2).xlsx</x:v>
      </x:c>
      <x:c r="D259" s="14" t="str">
        <x:v>Malpractice</x:v>
      </x:c>
      <x:c r="E259" s="14" t="n">
        <x:v>96</x:v>
      </x:c>
      <x:c r="F259" s="14" t="str">
        <x:v>Malpractice</x:v>
      </x:c>
      <x:c r="G259" s="14" t="str">
        <x:v>tt20918594</x:v>
      </x:c>
      <x:c r="H259" s="14" t="n">
        <x:v>2023</x:v>
      </x:c>
      <x:c r="I259" s="14" t="n">
        <x:v>2025</x:v>
      </x:c>
      <x:c r="J259" s="14" t="str">
        <x:v>Earlier-Production Carry-In Cohort</x:v>
      </x:c>
      <x:c r="K259" s="14" t="n">
        <x:v>2023</x:v>
      </x:c>
      <x:c r="L259" s="14" t="str">
        <x:v>Used in 2025 annual analysis</x:v>
      </x:c>
      <x:c r="M259" s="15" t="n">
        <x:v>89</x:v>
      </x:c>
      <x:c r="N259" s="14" t="str">
        <x:v>Bairavi Manoharan</x:v>
      </x:c>
      <x:c r="O259" s="14" t="str">
        <x:v>nm13782082</x:v>
      </x:c>
      <x:c r="P259" s="14" t="str">
        <x:v>Dr. Hussain</x:v>
      </x:c>
      <x:c r="Q259" s="15" t="n">
        <x:v>1</x:v>
      </x:c>
      <x:c r="R259" s="14" t="str">
        <x:v>2025</x:v>
      </x:c>
      <x:c r="S259" s="14" t="n">
        <x:v>2025</x:v>
      </x:c>
      <x:c r="T259" s="14" t="n">
        <x:v>2025</x:v>
      </x:c>
      <x:c r="U259" s="14" t="str">
        <x:v>Explicit source first year retained</x:v>
      </x:c>
      <x:c r="V259" s="14" t="str">
        <x:v>Earliest supplied year is 2025.</x:v>
      </x:c>
      <x:c r="W259" s="14"/>
      <x:c r="X259" s="14" t="str">
        <x:v>Included</x:v>
      </x:c>
      <x:c r="Y259" s="14"/>
      <x:c r="Z259" s="14" t="str">
        <x:v>Malpractice.docx</x:v>
      </x:c>
      <x:c r="AA259" s="14" t="str">
        <x:v>HYPERLINK is not implemented. linkLocation=https://www.imdb.com/title/tt20918594/fullcredits/,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ITV / ITVX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HYPERLINK("https://en.wikipedia.org/wiki/Malpractice","Open source")</x:f>
        <x:v>HYPERLINK is not implemented. linkLocation=https://en.wikipedia.org/wiki/Malpractice,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10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1</x:v>
      </x:c>
      <x:c r="BS259" s="16" t="n">
        <x:v>0.1</x:v>
      </x:c>
      <x:c r="BT259" s="14" t="str">
        <x:v>One episode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4" t="str">
        <x:v>HYPERLINK is not implemented. linkLocation=https://www.imdb.com/title/tt20918594/fullcredits/,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tt20918594|nm0043293|dr. glyn armitage</x:v>
      </x:c>
      <x:c r="B260" s="14" t="str">
        <x:v>02</x:v>
      </x:c>
      <x:c r="C260" s="14" t="str">
        <x:v>2023_IMDb_Cast_Lists_Batch_02(2).xlsx</x:v>
      </x:c>
      <x:c r="D260" s="14" t="str">
        <x:v>Malpractice</x:v>
      </x:c>
      <x:c r="E260" s="14" t="n">
        <x:v>97</x:v>
      </x:c>
      <x:c r="F260" s="14" t="str">
        <x:v>Malpractice</x:v>
      </x:c>
      <x:c r="G260" s="14" t="str">
        <x:v>tt20918594</x:v>
      </x:c>
      <x:c r="H260" s="14" t="n">
        <x:v>2023</x:v>
      </x:c>
      <x:c r="I260" s="14" t="n">
        <x:v>2025</x:v>
      </x:c>
      <x:c r="J260" s="14" t="str">
        <x:v>Earlier-Production Carry-In Cohort</x:v>
      </x:c>
      <x:c r="K260" s="14" t="n">
        <x:v>2023</x:v>
      </x:c>
      <x:c r="L260" s="14" t="str">
        <x:v>Used in 2025 annual analysis</x:v>
      </x:c>
      <x:c r="M260" s="15" t="n">
        <x:v>90</x:v>
      </x:c>
      <x:c r="N260" s="14" t="str">
        <x:v>Justin Avoth</x:v>
      </x:c>
      <x:c r="O260" s="14" t="str">
        <x:v>nm0043293</x:v>
      </x:c>
      <x:c r="P260" s="14" t="str">
        <x:v>Dr. Glyn Armitage</x:v>
      </x:c>
      <x:c r="Q260" s="15" t="n">
        <x:v>1</x:v>
      </x:c>
      <x:c r="R260" s="14" t="str">
        <x:v>2025</x:v>
      </x:c>
      <x:c r="S260" s="14" t="n">
        <x:v>2025</x:v>
      </x:c>
      <x:c r="T260" s="14" t="n">
        <x:v>2025</x:v>
      </x:c>
      <x:c r="U260" s="14" t="str">
        <x:v>Explicit source first year retained</x:v>
      </x:c>
      <x:c r="V260" s="14" t="str">
        <x:v>Earliest supplied year is 2025.</x:v>
      </x:c>
      <x:c r="W260" s="14"/>
      <x:c r="X260" s="14" t="str">
        <x:v>Included</x:v>
      </x:c>
      <x:c r="Y260" s="14"/>
      <x:c r="Z260" s="14" t="str">
        <x:v>Malpractice.docx</x:v>
      </x:c>
      <x:c r="AA260" s="14" t="str">
        <x:v>HYPERLINK is not implemented. linkLocation=https://www.imdb.com/title/tt20918594/fullcredits/,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ITV / ITVX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HYPERLINK("https://en.wikipedia.org/wiki/Malpractice","Open source")</x:f>
        <x:v>HYPERLINK is not implemented. linkLocation=https://en.wikipedia.org/wiki/Malpractice,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10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1</x:v>
      </x:c>
      <x:c r="BS260" s="16" t="n">
        <x:v>0.1</x:v>
      </x:c>
      <x:c r="BT260" s="14" t="str">
        <x:v>One episode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4" t="str">
        <x:v>HYPERLINK is not implemented. linkLocation=https://www.imdb.com/title/tt20918594/fullcredits/,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tt20918594|nm7750520|kirsty</x:v>
      </x:c>
      <x:c r="B261" s="14" t="str">
        <x:v>02</x:v>
      </x:c>
      <x:c r="C261" s="14" t="str">
        <x:v>2023_IMDb_Cast_Lists_Batch_02(2).xlsx</x:v>
      </x:c>
      <x:c r="D261" s="14" t="str">
        <x:v>Malpractice</x:v>
      </x:c>
      <x:c r="E261" s="14" t="n">
        <x:v>98</x:v>
      </x:c>
      <x:c r="F261" s="14" t="str">
        <x:v>Malpractice</x:v>
      </x:c>
      <x:c r="G261" s="14" t="str">
        <x:v>tt20918594</x:v>
      </x:c>
      <x:c r="H261" s="14" t="n">
        <x:v>2023</x:v>
      </x:c>
      <x:c r="I261" s="14" t="n">
        <x:v>2025</x:v>
      </x:c>
      <x:c r="J261" s="14" t="str">
        <x:v>Earlier-Production Carry-In Cohort</x:v>
      </x:c>
      <x:c r="K261" s="14" t="n">
        <x:v>2023</x:v>
      </x:c>
      <x:c r="L261" s="14" t="str">
        <x:v>Used in 2025 annual analysis</x:v>
      </x:c>
      <x:c r="M261" s="15" t="n">
        <x:v>91</x:v>
      </x:c>
      <x:c r="N261" s="14" t="str">
        <x:v>Amy Drake</x:v>
      </x:c>
      <x:c r="O261" s="14" t="str">
        <x:v>nm7750520</x:v>
      </x:c>
      <x:c r="P261" s="14" t="str">
        <x:v>Kirsty</x:v>
      </x:c>
      <x:c r="Q261" s="15" t="n">
        <x:v>1</x:v>
      </x:c>
      <x:c r="R261" s="14" t="str">
        <x:v>2025</x:v>
      </x:c>
      <x:c r="S261" s="14" t="n">
        <x:v>2025</x:v>
      </x:c>
      <x:c r="T261" s="14" t="n">
        <x:v>2025</x:v>
      </x:c>
      <x:c r="U261" s="14" t="str">
        <x:v>Explicit source first year retained</x:v>
      </x:c>
      <x:c r="V261" s="14" t="str">
        <x:v>Earliest supplied year is 2025.</x:v>
      </x:c>
      <x:c r="W261" s="14"/>
      <x:c r="X261" s="14" t="str">
        <x:v>Included</x:v>
      </x:c>
      <x:c r="Y261" s="14"/>
      <x:c r="Z261" s="14" t="str">
        <x:v>Malpractice.docx</x:v>
      </x:c>
      <x:c r="AA261" s="14" t="str">
        <x:v>HYPERLINK is not implemented. linkLocation=https://www.imdb.com/title/tt20918594/fullcredits/,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ITV / ITVX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HYPERLINK("https://en.wikipedia.org/wiki/Malpractice","Open source")</x:f>
        <x:v>HYPERLINK is not implemented. linkLocation=https://en.wikipedia.org/wiki/Malpractice,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10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0.1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4" t="str">
        <x:v>HYPERLINK is not implemented. linkLocation=https://www.imdb.com/title/tt20918594/fullcredits/,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tt20918594|nm5937421|claire martin</x:v>
      </x:c>
      <x:c r="B262" s="14" t="str">
        <x:v>02</x:v>
      </x:c>
      <x:c r="C262" s="14" t="str">
        <x:v>2023_IMDb_Cast_Lists_Batch_02(2).xlsx</x:v>
      </x:c>
      <x:c r="D262" s="14" t="str">
        <x:v>Malpractice</x:v>
      </x:c>
      <x:c r="E262" s="14" t="n">
        <x:v>99</x:v>
      </x:c>
      <x:c r="F262" s="14" t="str">
        <x:v>Malpractice</x:v>
      </x:c>
      <x:c r="G262" s="14" t="str">
        <x:v>tt20918594</x:v>
      </x:c>
      <x:c r="H262" s="14" t="n">
        <x:v>2023</x:v>
      </x:c>
      <x:c r="I262" s="14" t="n">
        <x:v>2025</x:v>
      </x:c>
      <x:c r="J262" s="14" t="str">
        <x:v>Earlier-Production Carry-In Cohort</x:v>
      </x:c>
      <x:c r="K262" s="14" t="n">
        <x:v>2023</x:v>
      </x:c>
      <x:c r="L262" s="14" t="str">
        <x:v>Used in 2025 annual analysis</x:v>
      </x:c>
      <x:c r="M262" s="15" t="n">
        <x:v>92</x:v>
      </x:c>
      <x:c r="N262" s="14" t="str">
        <x:v>Kristy Philipps</x:v>
      </x:c>
      <x:c r="O262" s="14" t="str">
        <x:v>nm5937421</x:v>
      </x:c>
      <x:c r="P262" s="14" t="str">
        <x:v>Claire Martin</x:v>
      </x:c>
      <x:c r="Q262" s="15" t="n">
        <x:v>1</x:v>
      </x:c>
      <x:c r="R262" s="14" t="str">
        <x:v>2025</x:v>
      </x:c>
      <x:c r="S262" s="14" t="n">
        <x:v>2025</x:v>
      </x:c>
      <x:c r="T262" s="14" t="n">
        <x:v>2025</x:v>
      </x:c>
      <x:c r="U262" s="14" t="str">
        <x:v>Explicit source first year retained</x:v>
      </x:c>
      <x:c r="V262" s="14" t="str">
        <x:v>Earliest supplied year is 2025.</x:v>
      </x:c>
      <x:c r="W262" s="14"/>
      <x:c r="X262" s="14" t="str">
        <x:v>Included</x:v>
      </x:c>
      <x:c r="Y262" s="14"/>
      <x:c r="Z262" s="14" t="str">
        <x:v>Malpractice.docx</x:v>
      </x:c>
      <x:c r="AA262" s="14" t="str">
        <x:v>HYPERLINK is not implemented. linkLocation=https://www.imdb.com/title/tt20918594/fullcredits/,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ITV / ITVX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HYPERLINK("https://en.wikipedia.org/wiki/Malpractice","Open source")</x:f>
        <x:v>HYPERLINK is not implemented. linkLocation=https://en.wikipedia.org/wiki/Malpractice,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10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0.1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4" t="str">
        <x:v>HYPERLINK is not implemented. linkLocation=https://www.imdb.com/title/tt20918594/fullcredits/,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tt20918594|nm2375611|mark</x:v>
      </x:c>
      <x:c r="B263" s="14" t="str">
        <x:v>02</x:v>
      </x:c>
      <x:c r="C263" s="14" t="str">
        <x:v>2023_IMDb_Cast_Lists_Batch_02(2).xlsx</x:v>
      </x:c>
      <x:c r="D263" s="14" t="str">
        <x:v>Malpractice</x:v>
      </x:c>
      <x:c r="E263" s="14" t="n">
        <x:v>100</x:v>
      </x:c>
      <x:c r="F263" s="14" t="str">
        <x:v>Malpractice</x:v>
      </x:c>
      <x:c r="G263" s="14" t="str">
        <x:v>tt20918594</x:v>
      </x:c>
      <x:c r="H263" s="14" t="n">
        <x:v>2023</x:v>
      </x:c>
      <x:c r="I263" s="14" t="n">
        <x:v>2025</x:v>
      </x:c>
      <x:c r="J263" s="14" t="str">
        <x:v>Earlier-Production Carry-In Cohort</x:v>
      </x:c>
      <x:c r="K263" s="14" t="n">
        <x:v>2023</x:v>
      </x:c>
      <x:c r="L263" s="14" t="str">
        <x:v>Used in 2025 annual analysis</x:v>
      </x:c>
      <x:c r="M263" s="15" t="n">
        <x:v>93</x:v>
      </x:c>
      <x:c r="N263" s="14" t="str">
        <x:v>Tom Lorcan</x:v>
      </x:c>
      <x:c r="O263" s="14" t="str">
        <x:v>nm2375611</x:v>
      </x:c>
      <x:c r="P263" s="14" t="str">
        <x:v>Mark</x:v>
      </x:c>
      <x:c r="Q263" s="15" t="n">
        <x:v>1</x:v>
      </x:c>
      <x:c r="R263" s="14" t="str">
        <x:v>2025</x:v>
      </x:c>
      <x:c r="S263" s="14" t="n">
        <x:v>2025</x:v>
      </x:c>
      <x:c r="T263" s="14" t="n">
        <x:v>2025</x:v>
      </x:c>
      <x:c r="U263" s="14" t="str">
        <x:v>Explicit source first year retained</x:v>
      </x:c>
      <x:c r="V263" s="14" t="str">
        <x:v>Earliest supplied year is 2025.</x:v>
      </x:c>
      <x:c r="W263" s="14"/>
      <x:c r="X263" s="14" t="str">
        <x:v>Included</x:v>
      </x:c>
      <x:c r="Y263" s="14"/>
      <x:c r="Z263" s="14" t="str">
        <x:v>Malpractice.docx</x:v>
      </x:c>
      <x:c r="AA263" s="14" t="str">
        <x:v>HYPERLINK is not implemented. linkLocation=https://www.imdb.com/title/tt20918594/fullcredits/,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ITV / ITVX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HYPERLINK("https://en.wikipedia.org/wiki/Malpractice","Open source")</x:f>
        <x:v>HYPERLINK is not implemented. linkLocation=https://en.wikipedia.org/wiki/Malpractice,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10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0.1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4" t="str">
        <x:v>HYPERLINK is not implemented. linkLocation=https://www.imdb.com/title/tt20918594/fullcredits/,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tt20918594|nm7828260|dr. ava lawal</x:v>
      </x:c>
      <x:c r="B264" s="14" t="str">
        <x:v>02</x:v>
      </x:c>
      <x:c r="C264" s="14" t="str">
        <x:v>2023_IMDb_Cast_Lists_Batch_02(2).xlsx</x:v>
      </x:c>
      <x:c r="D264" s="14" t="str">
        <x:v>Malpractice</x:v>
      </x:c>
      <x:c r="E264" s="14" t="n">
        <x:v>101</x:v>
      </x:c>
      <x:c r="F264" s="14" t="str">
        <x:v>Malpractice</x:v>
      </x:c>
      <x:c r="G264" s="14" t="str">
        <x:v>tt20918594</x:v>
      </x:c>
      <x:c r="H264" s="14" t="n">
        <x:v>2023</x:v>
      </x:c>
      <x:c r="I264" s="14" t="n">
        <x:v>2025</x:v>
      </x:c>
      <x:c r="J264" s="14" t="str">
        <x:v>Earlier-Production Carry-In Cohort</x:v>
      </x:c>
      <x:c r="K264" s="14" t="n">
        <x:v>2023</x:v>
      </x:c>
      <x:c r="L264" s="14" t="str">
        <x:v>Used in 2025 annual analysis</x:v>
      </x:c>
      <x:c r="M264" s="15" t="n">
        <x:v>94</x:v>
      </x:c>
      <x:c r="N264" s="14" t="str">
        <x:v>Charis Agbonlahor</x:v>
      </x:c>
      <x:c r="O264" s="14" t="str">
        <x:v>nm7828260</x:v>
      </x:c>
      <x:c r="P264" s="14" t="str">
        <x:v>Dr. Ava Lawal</x:v>
      </x:c>
      <x:c r="Q264" s="15" t="n">
        <x:v>1</x:v>
      </x:c>
      <x:c r="R264" s="14" t="str">
        <x:v>2025</x:v>
      </x:c>
      <x:c r="S264" s="14" t="n">
        <x:v>2025</x:v>
      </x:c>
      <x:c r="T264" s="14" t="n">
        <x:v>2025</x:v>
      </x:c>
      <x:c r="U264" s="14" t="str">
        <x:v>Explicit source first year retained</x:v>
      </x:c>
      <x:c r="V264" s="14" t="str">
        <x:v>Earliest supplied year is 2025.</x:v>
      </x:c>
      <x:c r="W264" s="14"/>
      <x:c r="X264" s="14" t="str">
        <x:v>Included</x:v>
      </x:c>
      <x:c r="Y264" s="14"/>
      <x:c r="Z264" s="14" t="str">
        <x:v>Malpractice.docx</x:v>
      </x:c>
      <x:c r="AA264" s="14" t="str">
        <x:v>HYPERLINK is not implemented. linkLocation=https://www.imdb.com/title/tt20918594/fullcredits/,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ITV / ITVX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HYPERLINK("https://en.wikipedia.org/wiki/Malpractice","Open source")</x:f>
        <x:v>HYPERLINK is not implemented. linkLocation=https://en.wikipedia.org/wiki/Malpractice,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10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0.1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4" t="str">
        <x:v>HYPERLINK is not implemented. linkLocation=https://www.imdb.com/title/tt20918594/fullcredits/,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tt20918594|nm1418006|fiona</x:v>
      </x:c>
      <x:c r="B265" s="14" t="str">
        <x:v>02</x:v>
      </x:c>
      <x:c r="C265" s="14" t="str">
        <x:v>2023_IMDb_Cast_Lists_Batch_02(2).xlsx</x:v>
      </x:c>
      <x:c r="D265" s="14" t="str">
        <x:v>Malpractice</x:v>
      </x:c>
      <x:c r="E265" s="14" t="n">
        <x:v>102</x:v>
      </x:c>
      <x:c r="F265" s="14" t="str">
        <x:v>Malpractice</x:v>
      </x:c>
      <x:c r="G265" s="14" t="str">
        <x:v>tt20918594</x:v>
      </x:c>
      <x:c r="H265" s="14" t="n">
        <x:v>2023</x:v>
      </x:c>
      <x:c r="I265" s="14" t="n">
        <x:v>2025</x:v>
      </x:c>
      <x:c r="J265" s="14" t="str">
        <x:v>Earlier-Production Carry-In Cohort</x:v>
      </x:c>
      <x:c r="K265" s="14" t="n">
        <x:v>2023</x:v>
      </x:c>
      <x:c r="L265" s="14" t="str">
        <x:v>Used in 2025 annual analysis</x:v>
      </x:c>
      <x:c r="M265" s="15" t="n">
        <x:v>95</x:v>
      </x:c>
      <x:c r="N265" s="14" t="str">
        <x:v>Una Kavanagh</x:v>
      </x:c>
      <x:c r="O265" s="14" t="str">
        <x:v>nm1418006</x:v>
      </x:c>
      <x:c r="P265" s="14" t="str">
        <x:v>Fiona</x:v>
      </x:c>
      <x:c r="Q265" s="15" t="n">
        <x:v>1</x:v>
      </x:c>
      <x:c r="R265" s="14" t="str">
        <x:v>2025</x:v>
      </x:c>
      <x:c r="S265" s="14" t="n">
        <x:v>2025</x:v>
      </x:c>
      <x:c r="T265" s="14" t="n">
        <x:v>2025</x:v>
      </x:c>
      <x:c r="U265" s="14" t="str">
        <x:v>Explicit source first year retained</x:v>
      </x:c>
      <x:c r="V265" s="14" t="str">
        <x:v>Earliest supplied year is 2025.</x:v>
      </x:c>
      <x:c r="W265" s="14"/>
      <x:c r="X265" s="14" t="str">
        <x:v>Included</x:v>
      </x:c>
      <x:c r="Y265" s="14" t="str">
        <x:v>(as Úna Kavanagh)</x:v>
      </x:c>
      <x:c r="Z265" s="14" t="str">
        <x:v>Malpractice.docx</x:v>
      </x:c>
      <x:c r="AA265" s="14" t="str">
        <x:v>HYPERLINK is not implemented. linkLocation=https://www.imdb.com/title/tt20918594/fullcredits/,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ITV / ITVX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HYPERLINK("https://en.wikipedia.org/wiki/Malpractice","Open source")</x:f>
        <x:v>HYPERLINK is not implemented. linkLocation=https://en.wikipedia.org/wiki/Malpractice,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10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0.1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4" t="str">
        <x:v>HYPERLINK is not implemented. linkLocation=https://www.imdb.com/title/tt20918594/fullcredits/,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tt20918594|nm8719478|alison masters</x:v>
      </x:c>
      <x:c r="B266" s="14" t="str">
        <x:v>02</x:v>
      </x:c>
      <x:c r="C266" s="14" t="str">
        <x:v>2023_IMDb_Cast_Lists_Batch_02(2).xlsx</x:v>
      </x:c>
      <x:c r="D266" s="14" t="str">
        <x:v>Malpractice</x:v>
      </x:c>
      <x:c r="E266" s="14" t="n">
        <x:v>103</x:v>
      </x:c>
      <x:c r="F266" s="14" t="str">
        <x:v>Malpractice</x:v>
      </x:c>
      <x:c r="G266" s="14" t="str">
        <x:v>tt20918594</x:v>
      </x:c>
      <x:c r="H266" s="14" t="n">
        <x:v>2023</x:v>
      </x:c>
      <x:c r="I266" s="14" t="n">
        <x:v>2025</x:v>
      </x:c>
      <x:c r="J266" s="14" t="str">
        <x:v>Earlier-Production Carry-In Cohort</x:v>
      </x:c>
      <x:c r="K266" s="14" t="n">
        <x:v>2023</x:v>
      </x:c>
      <x:c r="L266" s="14" t="str">
        <x:v>Used in 2025 annual analysis</x:v>
      </x:c>
      <x:c r="M266" s="15" t="n">
        <x:v>96</x:v>
      </x:c>
      <x:c r="N266" s="14" t="str">
        <x:v>Maeve Smyth</x:v>
      </x:c>
      <x:c r="O266" s="14" t="str">
        <x:v>nm8719478</x:v>
      </x:c>
      <x:c r="P266" s="14" t="str">
        <x:v>Alison Masters</x:v>
      </x:c>
      <x:c r="Q266" s="15" t="n">
        <x:v>1</x:v>
      </x:c>
      <x:c r="R266" s="14" t="str">
        <x:v>2025</x:v>
      </x:c>
      <x:c r="S266" s="14" t="n">
        <x:v>2025</x:v>
      </x:c>
      <x:c r="T266" s="14" t="n">
        <x:v>2025</x:v>
      </x:c>
      <x:c r="U266" s="14" t="str">
        <x:v>Explicit source first year retained</x:v>
      </x:c>
      <x:c r="V266" s="14" t="str">
        <x:v>Earliest supplied year is 2025.</x:v>
      </x:c>
      <x:c r="W266" s="14"/>
      <x:c r="X266" s="14" t="str">
        <x:v>Included</x:v>
      </x:c>
      <x:c r="Y266" s="14"/>
      <x:c r="Z266" s="14" t="str">
        <x:v>Malpractice.docx</x:v>
      </x:c>
      <x:c r="AA266" s="14" t="str">
        <x:v>HYPERLINK is not implemented. linkLocation=https://www.imdb.com/title/tt20918594/fullcredits/,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ITV / ITVX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HYPERLINK("https://en.wikipedia.org/wiki/Malpractice","Open source")</x:f>
        <x:v>HYPERLINK is not implemented. linkLocation=https://en.wikipedia.org/wiki/Malpractice,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10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0.1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4" t="str">
        <x:v>HYPERLINK is not implemented. linkLocation=https://www.imdb.com/title/tt20918594/fullcredits/,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tt20918594|nm3792905|johnny</x:v>
      </x:c>
      <x:c r="B267" s="14" t="str">
        <x:v>02</x:v>
      </x:c>
      <x:c r="C267" s="14" t="str">
        <x:v>2023_IMDb_Cast_Lists_Batch_02(2).xlsx</x:v>
      </x:c>
      <x:c r="D267" s="14" t="str">
        <x:v>Malpractice</x:v>
      </x:c>
      <x:c r="E267" s="14" t="n">
        <x:v>104</x:v>
      </x:c>
      <x:c r="F267" s="14" t="str">
        <x:v>Malpractice</x:v>
      </x:c>
      <x:c r="G267" s="14" t="str">
        <x:v>tt20918594</x:v>
      </x:c>
      <x:c r="H267" s="14" t="n">
        <x:v>2023</x:v>
      </x:c>
      <x:c r="I267" s="14" t="n">
        <x:v>2025</x:v>
      </x:c>
      <x:c r="J267" s="14" t="str">
        <x:v>Earlier-Production Carry-In Cohort</x:v>
      </x:c>
      <x:c r="K267" s="14" t="n">
        <x:v>2023</x:v>
      </x:c>
      <x:c r="L267" s="14" t="str">
        <x:v>Used in 2025 annual analysis</x:v>
      </x:c>
      <x:c r="M267" s="15" t="n">
        <x:v>97</x:v>
      </x:c>
      <x:c r="N267" s="14" t="str">
        <x:v>Rob Witcomb</x:v>
      </x:c>
      <x:c r="O267" s="14" t="str">
        <x:v>nm3792905</x:v>
      </x:c>
      <x:c r="P267" s="14" t="str">
        <x:v>Johnny</x:v>
      </x:c>
      <x:c r="Q267" s="15" t="n">
        <x:v>1</x:v>
      </x:c>
      <x:c r="R267" s="14" t="str">
        <x:v>2025</x:v>
      </x:c>
      <x:c r="S267" s="14" t="n">
        <x:v>2025</x:v>
      </x:c>
      <x:c r="T267" s="14" t="n">
        <x:v>2025</x:v>
      </x:c>
      <x:c r="U267" s="14" t="str">
        <x:v>Explicit source first year retained</x:v>
      </x:c>
      <x:c r="V267" s="14" t="str">
        <x:v>Earliest supplied year is 2025.</x:v>
      </x:c>
      <x:c r="W267" s="14"/>
      <x:c r="X267" s="14" t="str">
        <x:v>Included</x:v>
      </x:c>
      <x:c r="Y267" s="14"/>
      <x:c r="Z267" s="14" t="str">
        <x:v>Malpractice.docx</x:v>
      </x:c>
      <x:c r="AA267" s="14" t="str">
        <x:v>HYPERLINK is not implemented. linkLocation=https://www.imdb.com/title/tt20918594/fullcredits/,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ITV / ITVX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HYPERLINK("https://en.wikipedia.org/wiki/Malpractice","Open source")</x:f>
        <x:v>HYPERLINK is not implemented. linkLocation=https://en.wikipedia.org/wiki/Malpractice,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10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0.1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4" t="str">
        <x:v>HYPERLINK is not implemented. linkLocation=https://www.imdb.com/title/tt20918594/fullcredits/,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tt20918594|nm7233931|security guard</x:v>
      </x:c>
      <x:c r="B268" s="14" t="str">
        <x:v>02</x:v>
      </x:c>
      <x:c r="C268" s="14" t="str">
        <x:v>2023_IMDb_Cast_Lists_Batch_02(2).xlsx</x:v>
      </x:c>
      <x:c r="D268" s="14" t="str">
        <x:v>Malpractice</x:v>
      </x:c>
      <x:c r="E268" s="14" t="n">
        <x:v>105</x:v>
      </x:c>
      <x:c r="F268" s="14" t="str">
        <x:v>Malpractice</x:v>
      </x:c>
      <x:c r="G268" s="14" t="str">
        <x:v>tt20918594</x:v>
      </x:c>
      <x:c r="H268" s="14" t="n">
        <x:v>2023</x:v>
      </x:c>
      <x:c r="I268" s="14" t="n">
        <x:v>2025</x:v>
      </x:c>
      <x:c r="J268" s="14" t="str">
        <x:v>Earlier-Production Carry-In Cohort</x:v>
      </x:c>
      <x:c r="K268" s="14" t="n">
        <x:v>2023</x:v>
      </x:c>
      <x:c r="L268" s="14" t="str">
        <x:v>Used in 2025 annual analysis</x:v>
      </x:c>
      <x:c r="M268" s="15" t="n">
        <x:v>98</x:v>
      </x:c>
      <x:c r="N268" s="14" t="str">
        <x:v>Desmond Edwards</x:v>
      </x:c>
      <x:c r="O268" s="14" t="str">
        <x:v>nm7233931</x:v>
      </x:c>
      <x:c r="P268" s="14" t="str">
        <x:v>Security Guard</x:v>
      </x:c>
      <x:c r="Q268" s="15" t="n">
        <x:v>1</x:v>
      </x:c>
      <x:c r="R268" s="14" t="str">
        <x:v>2025</x:v>
      </x:c>
      <x:c r="S268" s="14" t="n">
        <x:v>2025</x:v>
      </x:c>
      <x:c r="T268" s="14" t="n">
        <x:v>2025</x:v>
      </x:c>
      <x:c r="U268" s="14" t="str">
        <x:v>Explicit source first year retained</x:v>
      </x:c>
      <x:c r="V268" s="14" t="str">
        <x:v>Earliest supplied year is 2025.</x:v>
      </x:c>
      <x:c r="W268" s="14"/>
      <x:c r="X268" s="14" t="str">
        <x:v>Included</x:v>
      </x:c>
      <x:c r="Y268" s="14"/>
      <x:c r="Z268" s="14" t="str">
        <x:v>Malpractice.docx</x:v>
      </x:c>
      <x:c r="AA268" s="14" t="str">
        <x:v>HYPERLINK is not implemented. linkLocation=https://www.imdb.com/title/tt20918594/fullcredits/,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ITV / ITVX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HYPERLINK("https://en.wikipedia.org/wiki/Malpractice","Open source")</x:f>
        <x:v>HYPERLINK is not implemented. linkLocation=https://en.wikipedia.org/wiki/Malpractice,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10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0.1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4" t="str">
        <x:v>HYPERLINK is not implemented. linkLocation=https://www.imdb.com/title/tt20918594/fullcredits/,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tt20918594|nm9286165|dean</x:v>
      </x:c>
      <x:c r="B269" s="14" t="str">
        <x:v>02</x:v>
      </x:c>
      <x:c r="C269" s="14" t="str">
        <x:v>2023_IMDb_Cast_Lists_Batch_02(2).xlsx</x:v>
      </x:c>
      <x:c r="D269" s="14" t="str">
        <x:v>Malpractice</x:v>
      </x:c>
      <x:c r="E269" s="14" t="n">
        <x:v>106</x:v>
      </x:c>
      <x:c r="F269" s="14" t="str">
        <x:v>Malpractice</x:v>
      </x:c>
      <x:c r="G269" s="14" t="str">
        <x:v>tt20918594</x:v>
      </x:c>
      <x:c r="H269" s="14" t="n">
        <x:v>2023</x:v>
      </x:c>
      <x:c r="I269" s="14" t="n">
        <x:v>2025</x:v>
      </x:c>
      <x:c r="J269" s="14" t="str">
        <x:v>Earlier-Production Carry-In Cohort</x:v>
      </x:c>
      <x:c r="K269" s="14" t="n">
        <x:v>2023</x:v>
      </x:c>
      <x:c r="L269" s="14" t="str">
        <x:v>Used in 2025 annual analysis</x:v>
      </x:c>
      <x:c r="M269" s="15" t="n">
        <x:v>99</x:v>
      </x:c>
      <x:c r="N269" s="14" t="str">
        <x:v>Cailum Carragher</x:v>
      </x:c>
      <x:c r="O269" s="14" t="str">
        <x:v>nm9286165</x:v>
      </x:c>
      <x:c r="P269" s="14" t="str">
        <x:v>Dean</x:v>
      </x:c>
      <x:c r="Q269" s="15" t="n">
        <x:v>1</x:v>
      </x:c>
      <x:c r="R269" s="14" t="str">
        <x:v>2025</x:v>
      </x:c>
      <x:c r="S269" s="14" t="n">
        <x:v>2025</x:v>
      </x:c>
      <x:c r="T269" s="14" t="n">
        <x:v>2025</x:v>
      </x:c>
      <x:c r="U269" s="14" t="str">
        <x:v>Explicit source first year retained</x:v>
      </x:c>
      <x:c r="V269" s="14" t="str">
        <x:v>Earliest supplied year is 2025.</x:v>
      </x:c>
      <x:c r="W269" s="14"/>
      <x:c r="X269" s="14" t="str">
        <x:v>Included</x:v>
      </x:c>
      <x:c r="Y269" s="14" t="str">
        <x:v>(as Cáilum Carragher)</x:v>
      </x:c>
      <x:c r="Z269" s="14" t="str">
        <x:v>Malpractice.docx</x:v>
      </x:c>
      <x:c r="AA269" s="14" t="str">
        <x:v>HYPERLINK is not implemented. linkLocation=https://www.imdb.com/title/tt20918594/fullcredits/,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ITV / ITVX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HYPERLINK("https://en.wikipedia.org/wiki/Malpractice","Open source")</x:f>
        <x:v>HYPERLINK is not implemented. linkLocation=https://en.wikipedia.org/wiki/Malpractice,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10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0.1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4" t="str">
        <x:v>HYPERLINK is not implemented. linkLocation=https://www.imdb.com/title/tt20918594/fullcredits/,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tt20918594|nm0372293|a&amp;e staff nurse</x:v>
      </x:c>
      <x:c r="B270" s="14" t="str">
        <x:v>02</x:v>
      </x:c>
      <x:c r="C270" s="14" t="str">
        <x:v>2023_IMDb_Cast_Lists_Batch_02(2).xlsx</x:v>
      </x:c>
      <x:c r="D270" s="14" t="str">
        <x:v>Malpractice</x:v>
      </x:c>
      <x:c r="E270" s="14" t="n">
        <x:v>107</x:v>
      </x:c>
      <x:c r="F270" s="14" t="str">
        <x:v>Malpractice</x:v>
      </x:c>
      <x:c r="G270" s="14" t="str">
        <x:v>tt20918594</x:v>
      </x:c>
      <x:c r="H270" s="14" t="n">
        <x:v>2023</x:v>
      </x:c>
      <x:c r="I270" s="14" t="n">
        <x:v>2025</x:v>
      </x:c>
      <x:c r="J270" s="14" t="str">
        <x:v>Earlier-Production Carry-In Cohort</x:v>
      </x:c>
      <x:c r="K270" s="14" t="n">
        <x:v>2023</x:v>
      </x:c>
      <x:c r="L270" s="14" t="str">
        <x:v>Used in 2025 annual analysis</x:v>
      </x:c>
      <x:c r="M270" s="15" t="n">
        <x:v>100</x:v>
      </x:c>
      <x:c r="N270" s="14" t="str">
        <x:v>Anna Healy</x:v>
      </x:c>
      <x:c r="O270" s="14" t="str">
        <x:v>nm0372293</x:v>
      </x:c>
      <x:c r="P270" s="14" t="str">
        <x:v>A&amp;E Staff Nurse</x:v>
      </x:c>
      <x:c r="Q270" s="15" t="n">
        <x:v>1</x:v>
      </x:c>
      <x:c r="R270" s="14" t="str">
        <x:v>2025</x:v>
      </x:c>
      <x:c r="S270" s="14" t="n">
        <x:v>2025</x:v>
      </x:c>
      <x:c r="T270" s="14" t="n">
        <x:v>2025</x:v>
      </x:c>
      <x:c r="U270" s="14" t="str">
        <x:v>Explicit source first year retained</x:v>
      </x:c>
      <x:c r="V270" s="14" t="str">
        <x:v>Earliest supplied year is 2025.</x:v>
      </x:c>
      <x:c r="W270" s="14"/>
      <x:c r="X270" s="14" t="str">
        <x:v>Included</x:v>
      </x:c>
      <x:c r="Y270" s="14"/>
      <x:c r="Z270" s="14" t="str">
        <x:v>Malpractice.docx</x:v>
      </x:c>
      <x:c r="AA270" s="14" t="str">
        <x:v>HYPERLINK is not implemented. linkLocation=https://www.imdb.com/title/tt20918594/fullcredits/,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ITV / ITVX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HYPERLINK("https://en.wikipedia.org/wiki/Malpractice","Open source")</x:f>
        <x:v>HYPERLINK is not implemented. linkLocation=https://en.wikipedia.org/wiki/Malpractice,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10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0.1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4" t="str">
        <x:v>HYPERLINK is not implemented. linkLocation=https://www.imdb.com/title/tt20918594/fullcredits/,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tt20918594|nm14466087|volunteer</x:v>
      </x:c>
      <x:c r="B271" s="14" t="str">
        <x:v>02</x:v>
      </x:c>
      <x:c r="C271" s="14" t="str">
        <x:v>2023_IMDb_Cast_Lists_Batch_02(2).xlsx</x:v>
      </x:c>
      <x:c r="D271" s="14" t="str">
        <x:v>Malpractice</x:v>
      </x:c>
      <x:c r="E271" s="14" t="n">
        <x:v>108</x:v>
      </x:c>
      <x:c r="F271" s="14" t="str">
        <x:v>Malpractice</x:v>
      </x:c>
      <x:c r="G271" s="14" t="str">
        <x:v>tt20918594</x:v>
      </x:c>
      <x:c r="H271" s="14" t="n">
        <x:v>2023</x:v>
      </x:c>
      <x:c r="I271" s="14" t="n">
        <x:v>2025</x:v>
      </x:c>
      <x:c r="J271" s="14" t="str">
        <x:v>Earlier-Production Carry-In Cohort</x:v>
      </x:c>
      <x:c r="K271" s="14" t="n">
        <x:v>2023</x:v>
      </x:c>
      <x:c r="L271" s="14" t="str">
        <x:v>Used in 2025 annual analysis</x:v>
      </x:c>
      <x:c r="M271" s="15" t="n">
        <x:v>101</x:v>
      </x:c>
      <x:c r="N271" s="14" t="str">
        <x:v>Yvonne Jeffrey</x:v>
      </x:c>
      <x:c r="O271" s="14" t="str">
        <x:v>nm14466087</x:v>
      </x:c>
      <x:c r="P271" s="14" t="str">
        <x:v>Volunteer</x:v>
      </x:c>
      <x:c r="Q271" s="15" t="n">
        <x:v>1</x:v>
      </x:c>
      <x:c r="R271" s="14" t="str">
        <x:v>2025</x:v>
      </x:c>
      <x:c r="S271" s="14" t="n">
        <x:v>2025</x:v>
      </x:c>
      <x:c r="T271" s="14" t="n">
        <x:v>2025</x:v>
      </x:c>
      <x:c r="U271" s="14" t="str">
        <x:v>Explicit source first year retained</x:v>
      </x:c>
      <x:c r="V271" s="14" t="str">
        <x:v>Earliest supplied year is 2025.</x:v>
      </x:c>
      <x:c r="W271" s="14"/>
      <x:c r="X271" s="14" t="str">
        <x:v>Included</x:v>
      </x:c>
      <x:c r="Y271" s="14"/>
      <x:c r="Z271" s="14" t="str">
        <x:v>Malpractice.docx</x:v>
      </x:c>
      <x:c r="AA271" s="14" t="str">
        <x:v>HYPERLINK is not implemented. linkLocation=https://www.imdb.com/title/tt20918594/fullcredits/,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ITV / ITVX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HYPERLINK("https://en.wikipedia.org/wiki/Malpractice","Open source")</x:f>
        <x:v>HYPERLINK is not implemented. linkLocation=https://en.wikipedia.org/wiki/Malpractice,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10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0.1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4" t="str">
        <x:v>HYPERLINK is not implemented. linkLocation=https://www.imdb.com/title/tt20918594/fullcredits/,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tt20918594|nm2589753|police officer 3</x:v>
      </x:c>
      <x:c r="B272" s="14" t="str">
        <x:v>02</x:v>
      </x:c>
      <x:c r="C272" s="14" t="str">
        <x:v>2023_IMDb_Cast_Lists_Batch_02(2).xlsx</x:v>
      </x:c>
      <x:c r="D272" s="14" t="str">
        <x:v>Malpractice</x:v>
      </x:c>
      <x:c r="E272" s="14" t="n">
        <x:v>109</x:v>
      </x:c>
      <x:c r="F272" s="14" t="str">
        <x:v>Malpractice</x:v>
      </x:c>
      <x:c r="G272" s="14" t="str">
        <x:v>tt20918594</x:v>
      </x:c>
      <x:c r="H272" s="14" t="n">
        <x:v>2023</x:v>
      </x:c>
      <x:c r="I272" s="14" t="n">
        <x:v>2025</x:v>
      </x:c>
      <x:c r="J272" s="14" t="str">
        <x:v>Earlier-Production Carry-In Cohort</x:v>
      </x:c>
      <x:c r="K272" s="14" t="n">
        <x:v>2023</x:v>
      </x:c>
      <x:c r="L272" s="14" t="str">
        <x:v>Used in 2025 annual analysis</x:v>
      </x:c>
      <x:c r="M272" s="15" t="n">
        <x:v>102</x:v>
      </x:c>
      <x:c r="N272" s="14" t="str">
        <x:v>Paul Livingstone</x:v>
      </x:c>
      <x:c r="O272" s="14" t="str">
        <x:v>nm2589753</x:v>
      </x:c>
      <x:c r="P272" s="14" t="str">
        <x:v>Police Officer 3</x:v>
      </x:c>
      <x:c r="Q272" s="15" t="n">
        <x:v>1</x:v>
      </x:c>
      <x:c r="R272" s="14" t="str">
        <x:v>2025</x:v>
      </x:c>
      <x:c r="S272" s="14" t="n">
        <x:v>2025</x:v>
      </x:c>
      <x:c r="T272" s="14" t="n">
        <x:v>2025</x:v>
      </x:c>
      <x:c r="U272" s="14" t="str">
        <x:v>Explicit source first year retained</x:v>
      </x:c>
      <x:c r="V272" s="14" t="str">
        <x:v>Earliest supplied year is 2025.</x:v>
      </x:c>
      <x:c r="W272" s="14"/>
      <x:c r="X272" s="14" t="str">
        <x:v>Included</x:v>
      </x:c>
      <x:c r="Y272" s="14"/>
      <x:c r="Z272" s="14" t="str">
        <x:v>Malpractice.docx</x:v>
      </x:c>
      <x:c r="AA272" s="14" t="str">
        <x:v>HYPERLINK is not implemented. linkLocation=https://www.imdb.com/title/tt20918594/fullcredits/,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ITV / ITVX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HYPERLINK("https://en.wikipedia.org/wiki/Malpractice","Open source")</x:f>
        <x:v>HYPERLINK is not implemented. linkLocation=https://en.wikipedia.org/wiki/Malpractice,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10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0.1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4" t="str">
        <x:v>HYPERLINK is not implemented. linkLocation=https://www.imdb.com/title/tt20918594/fullcredits/,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tt20918594|nm8773879|north yorkshire dr.</x:v>
      </x:c>
      <x:c r="B273" s="14" t="str">
        <x:v>02</x:v>
      </x:c>
      <x:c r="C273" s="14" t="str">
        <x:v>2023_IMDb_Cast_Lists_Batch_02(2).xlsx</x:v>
      </x:c>
      <x:c r="D273" s="14" t="str">
        <x:v>Malpractice</x:v>
      </x:c>
      <x:c r="E273" s="14" t="n">
        <x:v>110</x:v>
      </x:c>
      <x:c r="F273" s="14" t="str">
        <x:v>Malpractice</x:v>
      </x:c>
      <x:c r="G273" s="14" t="str">
        <x:v>tt20918594</x:v>
      </x:c>
      <x:c r="H273" s="14" t="n">
        <x:v>2023</x:v>
      </x:c>
      <x:c r="I273" s="14" t="n">
        <x:v>2025</x:v>
      </x:c>
      <x:c r="J273" s="14" t="str">
        <x:v>Earlier-Production Carry-In Cohort</x:v>
      </x:c>
      <x:c r="K273" s="14" t="n">
        <x:v>2023</x:v>
      </x:c>
      <x:c r="L273" s="14" t="str">
        <x:v>Used in 2025 annual analysis</x:v>
      </x:c>
      <x:c r="M273" s="15" t="n">
        <x:v>103</x:v>
      </x:c>
      <x:c r="N273" s="14" t="str">
        <x:v>Rosie Barry</x:v>
      </x:c>
      <x:c r="O273" s="14" t="str">
        <x:v>nm8773879</x:v>
      </x:c>
      <x:c r="P273" s="14" t="str">
        <x:v>North Yorkshire Dr.</x:v>
      </x:c>
      <x:c r="Q273" s="15" t="n">
        <x:v>1</x:v>
      </x:c>
      <x:c r="R273" s="14" t="str">
        <x:v>2025</x:v>
      </x:c>
      <x:c r="S273" s="14" t="n">
        <x:v>2025</x:v>
      </x:c>
      <x:c r="T273" s="14" t="n">
        <x:v>2025</x:v>
      </x:c>
      <x:c r="U273" s="14" t="str">
        <x:v>Explicit source first year retained</x:v>
      </x:c>
      <x:c r="V273" s="14" t="str">
        <x:v>Earliest supplied year is 2025.</x:v>
      </x:c>
      <x:c r="W273" s="14"/>
      <x:c r="X273" s="14" t="str">
        <x:v>Included</x:v>
      </x:c>
      <x:c r="Y273" s="14"/>
      <x:c r="Z273" s="14" t="str">
        <x:v>Malpractice.docx</x:v>
      </x:c>
      <x:c r="AA273" s="14" t="str">
        <x:v>HYPERLINK is not implemented. linkLocation=https://www.imdb.com/title/tt20918594/fullcredits/,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ITV / ITVX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HYPERLINK("https://en.wikipedia.org/wiki/Malpractice","Open source")</x:f>
        <x:v>HYPERLINK is not implemented. linkLocation=https://en.wikipedia.org/wiki/Malpractice,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10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0.1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4" t="str">
        <x:v>HYPERLINK is not implemented. linkLocation=https://www.imdb.com/title/tt20918594/fullcredits/,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tt20918594|nm3666991|midwife (ruth)</x:v>
      </x:c>
      <x:c r="B274" s="14" t="str">
        <x:v>02</x:v>
      </x:c>
      <x:c r="C274" s="14" t="str">
        <x:v>2023_IMDb_Cast_Lists_Batch_02(2).xlsx</x:v>
      </x:c>
      <x:c r="D274" s="14" t="str">
        <x:v>Malpractice</x:v>
      </x:c>
      <x:c r="E274" s="14" t="n">
        <x:v>111</x:v>
      </x:c>
      <x:c r="F274" s="14" t="str">
        <x:v>Malpractice</x:v>
      </x:c>
      <x:c r="G274" s="14" t="str">
        <x:v>tt20918594</x:v>
      </x:c>
      <x:c r="H274" s="14" t="n">
        <x:v>2023</x:v>
      </x:c>
      <x:c r="I274" s="14" t="n">
        <x:v>2025</x:v>
      </x:c>
      <x:c r="J274" s="14" t="str">
        <x:v>Earlier-Production Carry-In Cohort</x:v>
      </x:c>
      <x:c r="K274" s="14" t="n">
        <x:v>2023</x:v>
      </x:c>
      <x:c r="L274" s="14" t="str">
        <x:v>Used in 2025 annual analysis</x:v>
      </x:c>
      <x:c r="M274" s="15" t="n">
        <x:v>104</x:v>
      </x:c>
      <x:c r="N274" s="14" t="str">
        <x:v>Julie Kinsella</x:v>
      </x:c>
      <x:c r="O274" s="14" t="str">
        <x:v>nm3666991</x:v>
      </x:c>
      <x:c r="P274" s="14" t="str">
        <x:v>Midwife (Ruth)</x:v>
      </x:c>
      <x:c r="Q274" s="15" t="n">
        <x:v>1</x:v>
      </x:c>
      <x:c r="R274" s="14" t="str">
        <x:v>2025</x:v>
      </x:c>
      <x:c r="S274" s="14" t="n">
        <x:v>2025</x:v>
      </x:c>
      <x:c r="T274" s="14" t="n">
        <x:v>2025</x:v>
      </x:c>
      <x:c r="U274" s="14" t="str">
        <x:v>Explicit source first year retained</x:v>
      </x:c>
      <x:c r="V274" s="14" t="str">
        <x:v>Earliest supplied year is 2025.</x:v>
      </x:c>
      <x:c r="W274" s="14"/>
      <x:c r="X274" s="14" t="str">
        <x:v>Included</x:v>
      </x:c>
      <x:c r="Y274" s="14"/>
      <x:c r="Z274" s="14" t="str">
        <x:v>Malpractice.docx</x:v>
      </x:c>
      <x:c r="AA274" s="14" t="str">
        <x:v>HYPERLINK is not implemented. linkLocation=https://www.imdb.com/title/tt20918594/fullcredits/,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ITV / ITVX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HYPERLINK("https://en.wikipedia.org/wiki/Malpractice","Open source")</x:f>
        <x:v>HYPERLINK is not implemented. linkLocation=https://en.wikipedia.org/wiki/Malpractice,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10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0.1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4" t="str">
        <x:v>HYPERLINK is not implemented. linkLocation=https://www.imdb.com/title/tt20918594/fullcredits/,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tt20918594|nm17936081|imogen newman</x:v>
      </x:c>
      <x:c r="B275" s="14" t="str">
        <x:v>02</x:v>
      </x:c>
      <x:c r="C275" s="14" t="str">
        <x:v>2023_IMDb_Cast_Lists_Batch_02(2).xlsx</x:v>
      </x:c>
      <x:c r="D275" s="14" t="str">
        <x:v>Malpractice</x:v>
      </x:c>
      <x:c r="E275" s="14" t="n">
        <x:v>112</x:v>
      </x:c>
      <x:c r="F275" s="14" t="str">
        <x:v>Malpractice</x:v>
      </x:c>
      <x:c r="G275" s="14" t="str">
        <x:v>tt20918594</x:v>
      </x:c>
      <x:c r="H275" s="14" t="n">
        <x:v>2023</x:v>
      </x:c>
      <x:c r="I275" s="14" t="n">
        <x:v>2025</x:v>
      </x:c>
      <x:c r="J275" s="14" t="str">
        <x:v>Earlier-Production Carry-In Cohort</x:v>
      </x:c>
      <x:c r="K275" s="14" t="n">
        <x:v>2023</x:v>
      </x:c>
      <x:c r="L275" s="14" t="str">
        <x:v>Used in 2025 annual analysis</x:v>
      </x:c>
      <x:c r="M275" s="15" t="n">
        <x:v>105</x:v>
      </x:c>
      <x:c r="N275" s="14" t="str">
        <x:v>Freya Shaw</x:v>
      </x:c>
      <x:c r="O275" s="14" t="str">
        <x:v>nm17936081</x:v>
      </x:c>
      <x:c r="P275" s="14" t="str">
        <x:v>Imogen Newman</x:v>
      </x:c>
      <x:c r="Q275" s="15" t="n">
        <x:v>1</x:v>
      </x:c>
      <x:c r="R275" s="14" t="str">
        <x:v>2025</x:v>
      </x:c>
      <x:c r="S275" s="14" t="n">
        <x:v>2025</x:v>
      </x:c>
      <x:c r="T275" s="14" t="n">
        <x:v>2025</x:v>
      </x:c>
      <x:c r="U275" s="14" t="str">
        <x:v>Explicit source first year retained</x:v>
      </x:c>
      <x:c r="V275" s="14" t="str">
        <x:v>Earliest supplied year is 2025.</x:v>
      </x:c>
      <x:c r="W275" s="14"/>
      <x:c r="X275" s="14" t="str">
        <x:v>Included</x:v>
      </x:c>
      <x:c r="Y275" s="14"/>
      <x:c r="Z275" s="14" t="str">
        <x:v>Malpractice.docx</x:v>
      </x:c>
      <x:c r="AA275" s="14" t="str">
        <x:v>HYPERLINK is not implemented. linkLocation=https://www.imdb.com/title/tt20918594/fullcredits/,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ITV / ITVX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HYPERLINK("https://en.wikipedia.org/wiki/Malpractice","Open source")</x:f>
        <x:v>HYPERLINK is not implemented. linkLocation=https://en.wikipedia.org/wiki/Malpractice,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10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0.1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4" t="str">
        <x:v>HYPERLINK is not implemented. linkLocation=https://www.imdb.com/title/tt20918594/fullcredits/,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tt20918594|nm1487512|lorraine hegarty</x:v>
      </x:c>
      <x:c r="B276" s="14" t="str">
        <x:v>02</x:v>
      </x:c>
      <x:c r="C276" s="14" t="str">
        <x:v>2023_IMDb_Cast_Lists_Batch_02(2).xlsx</x:v>
      </x:c>
      <x:c r="D276" s="14" t="str">
        <x:v>Malpractice</x:v>
      </x:c>
      <x:c r="E276" s="14" t="n">
        <x:v>113</x:v>
      </x:c>
      <x:c r="F276" s="14" t="str">
        <x:v>Malpractice</x:v>
      </x:c>
      <x:c r="G276" s="14" t="str">
        <x:v>tt20918594</x:v>
      </x:c>
      <x:c r="H276" s="14" t="n">
        <x:v>2023</x:v>
      </x:c>
      <x:c r="I276" s="14" t="n">
        <x:v>2025</x:v>
      </x:c>
      <x:c r="J276" s="14" t="str">
        <x:v>Earlier-Production Carry-In Cohort</x:v>
      </x:c>
      <x:c r="K276" s="14" t="n">
        <x:v>2023</x:v>
      </x:c>
      <x:c r="L276" s="14" t="str">
        <x:v>Used in 2025 annual analysis</x:v>
      </x:c>
      <x:c r="M276" s="15" t="n">
        <x:v>106</x:v>
      </x:c>
      <x:c r="N276" s="14" t="str">
        <x:v>Judith McSpadden</x:v>
      </x:c>
      <x:c r="O276" s="14" t="str">
        <x:v>nm1487512</x:v>
      </x:c>
      <x:c r="P276" s="14" t="str">
        <x:v>Lorraine Hegarty</x:v>
      </x:c>
      <x:c r="Q276" s="15" t="n">
        <x:v>1</x:v>
      </x:c>
      <x:c r="R276" s="14" t="str">
        <x:v>2025</x:v>
      </x:c>
      <x:c r="S276" s="14" t="n">
        <x:v>2025</x:v>
      </x:c>
      <x:c r="T276" s="14" t="n">
        <x:v>2025</x:v>
      </x:c>
      <x:c r="U276" s="14" t="str">
        <x:v>Explicit source first year retained</x:v>
      </x:c>
      <x:c r="V276" s="14" t="str">
        <x:v>Earliest supplied year is 2025.</x:v>
      </x:c>
      <x:c r="W276" s="14"/>
      <x:c r="X276" s="14" t="str">
        <x:v>Included</x:v>
      </x:c>
      <x:c r="Y276" s="14"/>
      <x:c r="Z276" s="14" t="str">
        <x:v>Malpractice.docx</x:v>
      </x:c>
      <x:c r="AA276" s="14" t="str">
        <x:v>HYPERLINK is not implemented. linkLocation=https://www.imdb.com/title/tt20918594/fullcredits/,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ITV / ITVX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HYPERLINK("https://en.wikipedia.org/wiki/Malpractice","Open source")</x:f>
        <x:v>HYPERLINK is not implemented. linkLocation=https://en.wikipedia.org/wiki/Malpractice,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10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0.1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4" t="str">
        <x:v>HYPERLINK is not implemented. linkLocation=https://www.imdb.com/title/tt20918594/fullcredits/,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tt20918594|nm4377292|paramedic</x:v>
      </x:c>
      <x:c r="B277" s="14" t="str">
        <x:v>02</x:v>
      </x:c>
      <x:c r="C277" s="14" t="str">
        <x:v>2023_IMDb_Cast_Lists_Batch_02(2).xlsx</x:v>
      </x:c>
      <x:c r="D277" s="14" t="str">
        <x:v>Malpractice</x:v>
      </x:c>
      <x:c r="E277" s="14" t="n">
        <x:v>114</x:v>
      </x:c>
      <x:c r="F277" s="14" t="str">
        <x:v>Malpractice</x:v>
      </x:c>
      <x:c r="G277" s="14" t="str">
        <x:v>tt20918594</x:v>
      </x:c>
      <x:c r="H277" s="14" t="n">
        <x:v>2023</x:v>
      </x:c>
      <x:c r="I277" s="14" t="n">
        <x:v>2025</x:v>
      </x:c>
      <x:c r="J277" s="14" t="str">
        <x:v>Earlier-Production Carry-In Cohort</x:v>
      </x:c>
      <x:c r="K277" s="14" t="n">
        <x:v>2023</x:v>
      </x:c>
      <x:c r="L277" s="14" t="str">
        <x:v>Used in 2025 annual analysis</x:v>
      </x:c>
      <x:c r="M277" s="15" t="n">
        <x:v>107</x:v>
      </x:c>
      <x:c r="N277" s="14" t="str">
        <x:v>Cat Barter</x:v>
      </x:c>
      <x:c r="O277" s="14" t="str">
        <x:v>nm4377292</x:v>
      </x:c>
      <x:c r="P277" s="14" t="str">
        <x:v>Paramedic</x:v>
      </x:c>
      <x:c r="Q277" s="15" t="n">
        <x:v>1</x:v>
      </x:c>
      <x:c r="R277" s="14" t="str">
        <x:v>2025</x:v>
      </x:c>
      <x:c r="S277" s="14" t="n">
        <x:v>2025</x:v>
      </x:c>
      <x:c r="T277" s="14" t="n">
        <x:v>2025</x:v>
      </x:c>
      <x:c r="U277" s="14" t="str">
        <x:v>Explicit source first year retained</x:v>
      </x:c>
      <x:c r="V277" s="14" t="str">
        <x:v>Earliest supplied year is 2025.</x:v>
      </x:c>
      <x:c r="W277" s="14"/>
      <x:c r="X277" s="14" t="str">
        <x:v>Included</x:v>
      </x:c>
      <x:c r="Y277" s="14"/>
      <x:c r="Z277" s="14" t="str">
        <x:v>Malpractice.docx</x:v>
      </x:c>
      <x:c r="AA277" s="14" t="str">
        <x:v>HYPERLINK is not implemented. linkLocation=https://www.imdb.com/title/tt20918594/fullcredits/,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ITV / ITVX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HYPERLINK("https://en.wikipedia.org/wiki/Malpractice","Open source")</x:f>
        <x:v>HYPERLINK is not implemented. linkLocation=https://en.wikipedia.org/wiki/Malpractice,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10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0.1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4" t="str">
        <x:v>HYPERLINK is not implemented. linkLocation=https://www.imdb.com/title/tt20918594/fullcredits/,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tt20918594|nm17666868|anaesthetist</x:v>
      </x:c>
      <x:c r="B278" s="14" t="str">
        <x:v>02</x:v>
      </x:c>
      <x:c r="C278" s="14" t="str">
        <x:v>2023_IMDb_Cast_Lists_Batch_02(2).xlsx</x:v>
      </x:c>
      <x:c r="D278" s="14" t="str">
        <x:v>Malpractice</x:v>
      </x:c>
      <x:c r="E278" s="14" t="n">
        <x:v>115</x:v>
      </x:c>
      <x:c r="F278" s="14" t="str">
        <x:v>Malpractice</x:v>
      </x:c>
      <x:c r="G278" s="14" t="str">
        <x:v>tt20918594</x:v>
      </x:c>
      <x:c r="H278" s="14" t="n">
        <x:v>2023</x:v>
      </x:c>
      <x:c r="I278" s="14" t="n">
        <x:v>2025</x:v>
      </x:c>
      <x:c r="J278" s="14" t="str">
        <x:v>Earlier-Production Carry-In Cohort</x:v>
      </x:c>
      <x:c r="K278" s="14" t="n">
        <x:v>2023</x:v>
      </x:c>
      <x:c r="L278" s="14" t="str">
        <x:v>Used in 2025 annual analysis</x:v>
      </x:c>
      <x:c r="M278" s="15" t="n">
        <x:v>108</x:v>
      </x:c>
      <x:c r="N278" s="14" t="str">
        <x:v>Alice O'Neill</x:v>
      </x:c>
      <x:c r="O278" s="14" t="str">
        <x:v>nm17666868</x:v>
      </x:c>
      <x:c r="P278" s="14" t="str">
        <x:v>Anaesthetist</x:v>
      </x:c>
      <x:c r="Q278" s="15" t="n">
        <x:v>1</x:v>
      </x:c>
      <x:c r="R278" s="14" t="str">
        <x:v>2025</x:v>
      </x:c>
      <x:c r="S278" s="14" t="n">
        <x:v>2025</x:v>
      </x:c>
      <x:c r="T278" s="14" t="n">
        <x:v>2025</x:v>
      </x:c>
      <x:c r="U278" s="14" t="str">
        <x:v>Explicit source first year retained</x:v>
      </x:c>
      <x:c r="V278" s="14" t="str">
        <x:v>Earliest supplied year is 2025.</x:v>
      </x:c>
      <x:c r="W278" s="14"/>
      <x:c r="X278" s="14" t="str">
        <x:v>Included</x:v>
      </x:c>
      <x:c r="Y278" s="14" t="str">
        <x:v>(as Dr Alice O'Neill)</x:v>
      </x:c>
      <x:c r="Z278" s="14" t="str">
        <x:v>Malpractice.docx</x:v>
      </x:c>
      <x:c r="AA278" s="14" t="str">
        <x:v>HYPERLINK is not implemented. linkLocation=https://www.imdb.com/title/tt20918594/fullcredits/,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ITV / ITVX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HYPERLINK("https://en.wikipedia.org/wiki/Malpractice","Open source")</x:f>
        <x:v>HYPERLINK is not implemented. linkLocation=https://en.wikipedia.org/wiki/Malpractice,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10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0.1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4" t="str">
        <x:v>HYPERLINK is not implemented. linkLocation=https://www.imdb.com/title/tt20918594/fullcredits/,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tt26115810|nm2131821|theresa</x:v>
      </x:c>
      <x:c r="B279" s="14" t="str">
        <x:v>04</x:v>
      </x:c>
      <x:c r="C279" s="14" t="str">
        <x:v>2023_IMDb_Cast_Lists_Batch_04(2).xlsx</x:v>
      </x:c>
      <x:c r="D279" s="14" t="str">
        <x:v>The Change</x:v>
      </x:c>
      <x:c r="E279" s="14" t="n">
        <x:v>18</x:v>
      </x:c>
      <x:c r="F279" s="14" t="str">
        <x:v>The Change</x:v>
      </x:c>
      <x:c r="G279" s="14" t="str">
        <x:v>tt26115810</x:v>
      </x:c>
      <x:c r="H279" s="14" t="n">
        <x:v>2023</x:v>
      </x:c>
      <x:c r="I279" s="14" t="n">
        <x:v>2025</x:v>
      </x:c>
      <x:c r="J279" s="14" t="str">
        <x:v>Earlier-Production Carry-In Cohort</x:v>
      </x:c>
      <x:c r="K279" s="14" t="n">
        <x:v>2023</x:v>
      </x:c>
      <x:c r="L279" s="14" t="str">
        <x:v>Used in 2025 annual analysis</x:v>
      </x:c>
      <x:c r="M279" s="15" t="n">
        <x:v>11</x:v>
      </x:c>
      <x:c r="N279" s="14" t="str">
        <x:v>Laura Checkley</x:v>
      </x:c>
      <x:c r="O279" s="14" t="str">
        <x:v>nm2131821</x:v>
      </x:c>
      <x:c r="P279" s="14" t="str">
        <x:v>Theresa</x:v>
      </x:c>
      <x:c r="Q279" s="15" t="n">
        <x:v>6</x:v>
      </x:c>
      <x:c r="R279" s="14" t="str">
        <x:v>2025</x:v>
      </x:c>
      <x:c r="S279" s="14" t="n">
        <x:v>2025</x:v>
      </x:c>
      <x:c r="T279" s="14" t="n">
        <x:v>2025</x:v>
      </x:c>
      <x:c r="U279" s="14" t="str">
        <x:v>Explicit source first year retained</x:v>
      </x:c>
      <x:c r="V279" s="14" t="str">
        <x:v>Earliest supplied year is 2025.</x:v>
      </x:c>
      <x:c r="W279" s="14"/>
      <x:c r="X279" s="14" t="str">
        <x:v>Included</x:v>
      </x:c>
      <x:c r="Y279" s="14"/>
      <x:c r="Z279" s="14" t="str">
        <x:v>The Change.docx</x:v>
      </x:c>
      <x:c r="AA279" s="14" t="str">
        <x:v>HYPERLINK is not implemented. linkLocation=https://www.imdb.com/title/tt26115810/fullcredits/,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Channel 4 / E4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HYPERLINK("https://en.wikipedia.org/wiki/Change","Open source")</x:f>
        <x:v>HYPERLINK is not implemented. linkLocation=https://en.wikipedia.org/wiki/Change,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6</x:v>
      </x:c>
      <x:c r="BS279" s="16" t="n">
        <x:v>0.5</x:v>
      </x:c>
      <x:c r="BT279" s="14" t="str">
        <x:v>Minority of episodes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4" t="str">
        <x:v>HYPERLINK is not implemented. linkLocation=https://www.imdb.com/title/tt26115810/fullcredits/,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tt26115810|nm13640091|forest fm cafe wheelchair user</x:v>
      </x:c>
      <x:c r="B280" s="14" t="str">
        <x:v>04</x:v>
      </x:c>
      <x:c r="C280" s="14" t="str">
        <x:v>2023_IMDb_Cast_Lists_Batch_04(2).xlsx</x:v>
      </x:c>
      <x:c r="D280" s="14" t="str">
        <x:v>The Change</x:v>
      </x:c>
      <x:c r="E280" s="14" t="n">
        <x:v>19</x:v>
      </x:c>
      <x:c r="F280" s="14" t="str">
        <x:v>The Change</x:v>
      </x:c>
      <x:c r="G280" s="14" t="str">
        <x:v>tt26115810</x:v>
      </x:c>
      <x:c r="H280" s="14" t="n">
        <x:v>2023</x:v>
      </x:c>
      <x:c r="I280" s="14" t="n">
        <x:v>2025</x:v>
      </x:c>
      <x:c r="J280" s="14" t="str">
        <x:v>Earlier-Production Carry-In Cohort</x:v>
      </x:c>
      <x:c r="K280" s="14" t="n">
        <x:v>2023</x:v>
      </x:c>
      <x:c r="L280" s="14" t="str">
        <x:v>Used in 2025 annual analysis</x:v>
      </x:c>
      <x:c r="M280" s="15" t="n">
        <x:v>12</x:v>
      </x:c>
      <x:c r="N280" s="14" t="str">
        <x:v>Malcolm J K Baker</x:v>
      </x:c>
      <x:c r="O280" s="14" t="str">
        <x:v>nm13640091</x:v>
      </x:c>
      <x:c r="P280" s="14" t="str">
        <x:v>Forest FM cafe wheelchair user</x:v>
      </x:c>
      <x:c r="Q280" s="15" t="n">
        <x:v>6</x:v>
      </x:c>
      <x:c r="R280" s="14" t="str">
        <x:v>2025</x:v>
      </x:c>
      <x:c r="S280" s="14" t="n">
        <x:v>2025</x:v>
      </x:c>
      <x:c r="T280" s="14" t="n">
        <x:v>2025</x:v>
      </x:c>
      <x:c r="U280" s="14" t="str">
        <x:v>Explicit source first year retained</x:v>
      </x:c>
      <x:c r="V280" s="14" t="str">
        <x:v>Earliest supplied year is 2025.</x:v>
      </x:c>
      <x:c r="W280" s="14"/>
      <x:c r="X280" s="14" t="str">
        <x:v>Included</x:v>
      </x:c>
      <x:c r="Y280" s="14"/>
      <x:c r="Z280" s="14" t="str">
        <x:v>The Change.docx</x:v>
      </x:c>
      <x:c r="AA280" s="14" t="str">
        <x:v>HYPERLINK is not implemented. linkLocation=https://www.imdb.com/title/tt26115810/fullcredits/,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Channel 4 / E4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HYPERLINK("https://en.wikipedia.org/wiki/Change","Open source")</x:f>
        <x:v>HYPERLINK is not implemented. linkLocation=https://en.wikipedia.org/wiki/Change,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6</x:v>
      </x:c>
      <x:c r="BS280" s="16" t="n">
        <x:v>0.5</x:v>
      </x:c>
      <x:c r="BT280" s="14" t="str">
        <x:v>Minority of episodes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4" t="str">
        <x:v>HYPERLINK is not implemented. linkLocation=https://www.imdb.com/title/tt26115810/fullcredits/,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tt26115810|nm17164561|young siobhain</x:v>
      </x:c>
      <x:c r="B281" s="14" t="str">
        <x:v>04</x:v>
      </x:c>
      <x:c r="C281" s="14" t="str">
        <x:v>2023_IMDb_Cast_Lists_Batch_04(2).xlsx</x:v>
      </x:c>
      <x:c r="D281" s="14" t="str">
        <x:v>The Change</x:v>
      </x:c>
      <x:c r="E281" s="14" t="n">
        <x:v>24</x:v>
      </x:c>
      <x:c r="F281" s="14" t="str">
        <x:v>The Change</x:v>
      </x:c>
      <x:c r="G281" s="14" t="str">
        <x:v>tt26115810</x:v>
      </x:c>
      <x:c r="H281" s="14" t="n">
        <x:v>2023</x:v>
      </x:c>
      <x:c r="I281" s="14" t="n">
        <x:v>2025</x:v>
      </x:c>
      <x:c r="J281" s="14" t="str">
        <x:v>Earlier-Production Carry-In Cohort</x:v>
      </x:c>
      <x:c r="K281" s="14" t="n">
        <x:v>2023</x:v>
      </x:c>
      <x:c r="L281" s="14" t="str">
        <x:v>Used in 2025 annual analysis</x:v>
      </x:c>
      <x:c r="M281" s="15" t="n">
        <x:v>17</x:v>
      </x:c>
      <x:c r="N281" s="14" t="str">
        <x:v>Orla Neill</x:v>
      </x:c>
      <x:c r="O281" s="14" t="str">
        <x:v>nm17164561</x:v>
      </x:c>
      <x:c r="P281" s="14" t="str">
        <x:v>Young Siobhain</x:v>
      </x:c>
      <x:c r="Q281" s="15" t="n">
        <x:v>3</x:v>
      </x:c>
      <x:c r="R281" s="14" t="str">
        <x:v>2025</x:v>
      </x:c>
      <x:c r="S281" s="14" t="n">
        <x:v>2025</x:v>
      </x:c>
      <x:c r="T281" s="14" t="n">
        <x:v>2025</x:v>
      </x:c>
      <x:c r="U281" s="14" t="str">
        <x:v>Explicit source first year retained</x:v>
      </x:c>
      <x:c r="V281" s="14" t="str">
        <x:v>Earliest supplied year is 2025.</x:v>
      </x:c>
      <x:c r="W281" s="14"/>
      <x:c r="X281" s="14" t="str">
        <x:v>Included</x:v>
      </x:c>
      <x:c r="Y281" s="14" t="str">
        <x:v>(as Orla Neil)</x:v>
      </x:c>
      <x:c r="Z281" s="14" t="str">
        <x:v>The Change.docx</x:v>
      </x:c>
      <x:c r="AA281" s="14" t="str">
        <x:v>HYPERLINK is not implemented. linkLocation=https://www.imdb.com/title/tt26115810/fullcredits/,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Channel 4 / E4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HYPERLINK("https://en.wikipedia.org/wiki/Change","Open source")</x:f>
        <x:v>HYPERLINK is not implemented. linkLocation=https://en.wikipedia.org/wiki/Change,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3</x:v>
      </x:c>
      <x:c r="BS281" s="16" t="n">
        <x:v>0.25</x:v>
      </x:c>
      <x:c r="BT281" s="14" t="str">
        <x:v>Minority of episodes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4" t="str">
        <x:v>HYPERLINK is not implemented. linkLocation=https://www.imdb.com/title/tt26115810/fullcredits/,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tt26115810|nm14430582|young linda</x:v>
      </x:c>
      <x:c r="B282" s="14" t="str">
        <x:v>04</x:v>
      </x:c>
      <x:c r="C282" s="14" t="str">
        <x:v>2023_IMDb_Cast_Lists_Batch_04(2).xlsx</x:v>
      </x:c>
      <x:c r="D282" s="14" t="str">
        <x:v>The Change</x:v>
      </x:c>
      <x:c r="E282" s="14" t="n">
        <x:v>25</x:v>
      </x:c>
      <x:c r="F282" s="14" t="str">
        <x:v>The Change</x:v>
      </x:c>
      <x:c r="G282" s="14" t="str">
        <x:v>tt26115810</x:v>
      </x:c>
      <x:c r="H282" s="14" t="n">
        <x:v>2023</x:v>
      </x:c>
      <x:c r="I282" s="14" t="n">
        <x:v>2025</x:v>
      </x:c>
      <x:c r="J282" s="14" t="str">
        <x:v>Earlier-Production Carry-In Cohort</x:v>
      </x:c>
      <x:c r="K282" s="14" t="n">
        <x:v>2023</x:v>
      </x:c>
      <x:c r="L282" s="14" t="str">
        <x:v>Used in 2025 annual analysis</x:v>
      </x:c>
      <x:c r="M282" s="15" t="n">
        <x:v>18</x:v>
      </x:c>
      <x:c r="N282" s="14" t="str">
        <x:v>Bonnie Stott</x:v>
      </x:c>
      <x:c r="O282" s="14" t="str">
        <x:v>nm14430582</x:v>
      </x:c>
      <x:c r="P282" s="14" t="str">
        <x:v>Young Linda</x:v>
      </x:c>
      <x:c r="Q282" s="15" t="n">
        <x:v>3</x:v>
      </x:c>
      <x:c r="R282" s="14" t="str">
        <x:v>2025</x:v>
      </x:c>
      <x:c r="S282" s="14" t="n">
        <x:v>2025</x:v>
      </x:c>
      <x:c r="T282" s="14" t="n">
        <x:v>2025</x:v>
      </x:c>
      <x:c r="U282" s="14" t="str">
        <x:v>Explicit source first year retained</x:v>
      </x:c>
      <x:c r="V282" s="14" t="str">
        <x:v>Earliest supplied year is 2025.</x:v>
      </x:c>
      <x:c r="W282" s="14"/>
      <x:c r="X282" s="14" t="str">
        <x:v>Included</x:v>
      </x:c>
      <x:c r="Y282" s="14"/>
      <x:c r="Z282" s="14" t="str">
        <x:v>The Change.docx</x:v>
      </x:c>
      <x:c r="AA282" s="14" t="str">
        <x:v>HYPERLINK is not implemented. linkLocation=https://www.imdb.com/title/tt26115810/fullcredits/,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Channel 4 / E4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HYPERLINK("https://en.wikipedia.org/wiki/Change","Open source")</x:f>
        <x:v>HYPERLINK is not implemented. linkLocation=https://en.wikipedia.org/wiki/Change,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3</x:v>
      </x:c>
      <x:c r="BS282" s="16" t="n">
        <x:v>0.25</x:v>
      </x:c>
      <x:c r="BT282" s="14" t="str">
        <x:v>Minority of episodes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4" t="str">
        <x:v>HYPERLINK is not implemented. linkLocation=https://www.imdb.com/title/tt26115810/fullcredits/,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tt26115810|nm6410424|ian</x:v>
      </x:c>
      <x:c r="B283" s="14" t="str">
        <x:v>04</x:v>
      </x:c>
      <x:c r="C283" s="14" t="str">
        <x:v>2023_IMDb_Cast_Lists_Batch_04(2).xlsx</x:v>
      </x:c>
      <x:c r="D283" s="14" t="str">
        <x:v>The Change</x:v>
      </x:c>
      <x:c r="E283" s="14" t="n">
        <x:v>27</x:v>
      </x:c>
      <x:c r="F283" s="14" t="str">
        <x:v>The Change</x:v>
      </x:c>
      <x:c r="G283" s="14" t="str">
        <x:v>tt26115810</x:v>
      </x:c>
      <x:c r="H283" s="14" t="n">
        <x:v>2023</x:v>
      </x:c>
      <x:c r="I283" s="14" t="n">
        <x:v>2025</x:v>
      </x:c>
      <x:c r="J283" s="14" t="str">
        <x:v>Earlier-Production Carry-In Cohort</x:v>
      </x:c>
      <x:c r="K283" s="14" t="n">
        <x:v>2023</x:v>
      </x:c>
      <x:c r="L283" s="14" t="str">
        <x:v>Used in 2025 annual analysis</x:v>
      </x:c>
      <x:c r="M283" s="15" t="n">
        <x:v>20</x:v>
      </x:c>
      <x:c r="N283" s="14" t="str">
        <x:v>Danny Flack</x:v>
      </x:c>
      <x:c r="O283" s="14" t="str">
        <x:v>nm6410424</x:v>
      </x:c>
      <x:c r="P283" s="14" t="str">
        <x:v>Ian</x:v>
      </x:c>
      <x:c r="Q283" s="15" t="n">
        <x:v>2</x:v>
      </x:c>
      <x:c r="R283" s="14" t="str">
        <x:v>2025</x:v>
      </x:c>
      <x:c r="S283" s="14" t="n">
        <x:v>2025</x:v>
      </x:c>
      <x:c r="T283" s="14" t="n">
        <x:v>2025</x:v>
      </x:c>
      <x:c r="U283" s="14" t="str">
        <x:v>Explicit source first year retained</x:v>
      </x:c>
      <x:c r="V283" s="14" t="str">
        <x:v>Earliest supplied year is 2025.</x:v>
      </x:c>
      <x:c r="W283" s="14"/>
      <x:c r="X283" s="14" t="str">
        <x:v>Included</x:v>
      </x:c>
      <x:c r="Y283" s="14"/>
      <x:c r="Z283" s="14" t="str">
        <x:v>The Change.docx</x:v>
      </x:c>
      <x:c r="AA283" s="14" t="str">
        <x:v>HYPERLINK is not implemented. linkLocation=https://www.imdb.com/title/tt26115810/fullcredits/,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Channel 4 / E4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HYPERLINK("https://en.wikipedia.org/wiki/Change","Open source")</x:f>
        <x:v>HYPERLINK is not implemented. linkLocation=https://en.wikipedia.org/wiki/Change,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2</x:v>
      </x:c>
      <x:c r="BS283" s="16" t="n">
        <x:v>0.16666666666666666</x:v>
      </x:c>
      <x:c r="BT283" s="14" t="str">
        <x:v>Minority of episodes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4" t="str">
        <x:v>HYPERLINK is not implemented. linkLocation=https://www.imdb.com/title/tt26115810/fullcredits/,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tt26115810|nm15484293|verderer's man</x:v>
      </x:c>
      <x:c r="B284" s="14" t="str">
        <x:v>04</x:v>
      </x:c>
      <x:c r="C284" s="14" t="str">
        <x:v>2023_IMDb_Cast_Lists_Batch_04(2).xlsx</x:v>
      </x:c>
      <x:c r="D284" s="14" t="str">
        <x:v>The Change</x:v>
      </x:c>
      <x:c r="E284" s="14" t="n">
        <x:v>33</x:v>
      </x:c>
      <x:c r="F284" s="14" t="str">
        <x:v>The Change</x:v>
      </x:c>
      <x:c r="G284" s="14" t="str">
        <x:v>tt26115810</x:v>
      </x:c>
      <x:c r="H284" s="14" t="n">
        <x:v>2023</x:v>
      </x:c>
      <x:c r="I284" s="14" t="n">
        <x:v>2025</x:v>
      </x:c>
      <x:c r="J284" s="14" t="str">
        <x:v>Earlier-Production Carry-In Cohort</x:v>
      </x:c>
      <x:c r="K284" s="14" t="n">
        <x:v>2023</x:v>
      </x:c>
      <x:c r="L284" s="14" t="str">
        <x:v>Used in 2025 annual analysis</x:v>
      </x:c>
      <x:c r="M284" s="15" t="n">
        <x:v>26</x:v>
      </x:c>
      <x:c r="N284" s="14" t="str">
        <x:v>Arnold Baksi</x:v>
      </x:c>
      <x:c r="O284" s="14" t="str">
        <x:v>nm15484293</x:v>
      </x:c>
      <x:c r="P284" s="14" t="str">
        <x:v>Verderer's man</x:v>
      </x:c>
      <x:c r="Q284" s="15" t="n">
        <x:v>2</x:v>
      </x:c>
      <x:c r="R284" s="14" t="str">
        <x:v>2025</x:v>
      </x:c>
      <x:c r="S284" s="14" t="n">
        <x:v>2025</x:v>
      </x:c>
      <x:c r="T284" s="14" t="n">
        <x:v>2025</x:v>
      </x:c>
      <x:c r="U284" s="14" t="str">
        <x:v>Explicit source first year retained</x:v>
      </x:c>
      <x:c r="V284" s="14" t="str">
        <x:v>Earliest supplied year is 2025.</x:v>
      </x:c>
      <x:c r="W284" s="14"/>
      <x:c r="X284" s="14" t="str">
        <x:v>Included</x:v>
      </x:c>
      <x:c r="Y284" s="14"/>
      <x:c r="Z284" s="14" t="str">
        <x:v>The Change.docx</x:v>
      </x:c>
      <x:c r="AA284" s="14" t="str">
        <x:v>HYPERLINK is not implemented. linkLocation=https://www.imdb.com/title/tt26115810/fullcredits/,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Channel 4 / E4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HYPERLINK("https://en.wikipedia.org/wiki/Change","Open source")</x:f>
        <x:v>HYPERLINK is not implemented. linkLocation=https://en.wikipedia.org/wiki/Change,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2</x:v>
      </x:c>
      <x:c r="BS284" s="16" t="n">
        <x:v>0.16666666666666666</x:v>
      </x:c>
      <x:c r="BT284" s="14" t="str">
        <x:v>Minority of episodes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4" t="str">
        <x:v>HYPERLINK is not implemented. linkLocation=https://www.imdb.com/title/tt26115810/fullcredits/,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tt26115810|nm0332817|shirley</x:v>
      </x:c>
      <x:c r="B285" s="14" t="str">
        <x:v>04</x:v>
      </x:c>
      <x:c r="C285" s="14" t="str">
        <x:v>2023_IMDb_Cast_Lists_Batch_04(2).xlsx</x:v>
      </x:c>
      <x:c r="D285" s="14" t="str">
        <x:v>The Change</x:v>
      </x:c>
      <x:c r="E285" s="14" t="n">
        <x:v>37</x:v>
      </x:c>
      <x:c r="F285" s="14" t="str">
        <x:v>The Change</x:v>
      </x:c>
      <x:c r="G285" s="14" t="str">
        <x:v>tt26115810</x:v>
      </x:c>
      <x:c r="H285" s="14" t="n">
        <x:v>2023</x:v>
      </x:c>
      <x:c r="I285" s="14" t="n">
        <x:v>2025</x:v>
      </x:c>
      <x:c r="J285" s="14" t="str">
        <x:v>Earlier-Production Carry-In Cohort</x:v>
      </x:c>
      <x:c r="K285" s="14" t="n">
        <x:v>2023</x:v>
      </x:c>
      <x:c r="L285" s="14" t="str">
        <x:v>Used in 2025 annual analysis</x:v>
      </x:c>
      <x:c r="M285" s="15" t="n">
        <x:v>30</x:v>
      </x:c>
      <x:c r="N285" s="14" t="str">
        <x:v>Shenagh Govan</x:v>
      </x:c>
      <x:c r="O285" s="14" t="str">
        <x:v>nm0332817</x:v>
      </x:c>
      <x:c r="P285" s="14" t="str">
        <x:v>Shirley</x:v>
      </x:c>
      <x:c r="Q285" s="15" t="n">
        <x:v>1</x:v>
      </x:c>
      <x:c r="R285" s="14" t="str">
        <x:v>2025</x:v>
      </x:c>
      <x:c r="S285" s="14" t="n">
        <x:v>2025</x:v>
      </x:c>
      <x:c r="T285" s="14" t="n">
        <x:v>2025</x:v>
      </x:c>
      <x:c r="U285" s="14" t="str">
        <x:v>Explicit source first year retained</x:v>
      </x:c>
      <x:c r="V285" s="14" t="str">
        <x:v>Earliest supplied year is 2025.</x:v>
      </x:c>
      <x:c r="W285" s="14"/>
      <x:c r="X285" s="14" t="str">
        <x:v>Included</x:v>
      </x:c>
      <x:c r="Y285" s="14"/>
      <x:c r="Z285" s="14" t="str">
        <x:v>The Change.docx</x:v>
      </x:c>
      <x:c r="AA285" s="14" t="str">
        <x:v>HYPERLINK is not implemented. linkLocation=https://www.imdb.com/title/tt26115810/fullcredits/,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Channel 4 / E4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HYPERLINK("https://en.wikipedia.org/wiki/Change","Open source")</x:f>
        <x:v>HYPERLINK is not implemented. linkLocation=https://en.wikipedia.org/wiki/Change,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4" t="str">
        <x:v>HYPERLINK is not implemented. linkLocation=https://www.imdb.com/title/tt26115810/fullcredits/,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tt26115810|nm3540491|paul</x:v>
      </x:c>
      <x:c r="B286" s="14" t="str">
        <x:v>04</x:v>
      </x:c>
      <x:c r="C286" s="14" t="str">
        <x:v>2023_IMDb_Cast_Lists_Batch_04(2).xlsx</x:v>
      </x:c>
      <x:c r="D286" s="14" t="str">
        <x:v>The Change</x:v>
      </x:c>
      <x:c r="E286" s="14" t="n">
        <x:v>39</x:v>
      </x:c>
      <x:c r="F286" s="14" t="str">
        <x:v>The Change</x:v>
      </x:c>
      <x:c r="G286" s="14" t="str">
        <x:v>tt26115810</x:v>
      </x:c>
      <x:c r="H286" s="14" t="n">
        <x:v>2023</x:v>
      </x:c>
      <x:c r="I286" s="14" t="n">
        <x:v>2025</x:v>
      </x:c>
      <x:c r="J286" s="14" t="str">
        <x:v>Earlier-Production Carry-In Cohort</x:v>
      </x:c>
      <x:c r="K286" s="14" t="n">
        <x:v>2023</x:v>
      </x:c>
      <x:c r="L286" s="14" t="str">
        <x:v>Used in 2025 annual analysis</x:v>
      </x:c>
      <x:c r="M286" s="15" t="n">
        <x:v>32</x:v>
      </x:c>
      <x:c r="N286" s="14" t="str">
        <x:v>Adam Howden</x:v>
      </x:c>
      <x:c r="O286" s="14" t="str">
        <x:v>nm3540491</x:v>
      </x:c>
      <x:c r="P286" s="14" t="str">
        <x:v>Paul</x:v>
      </x:c>
      <x:c r="Q286" s="15" t="n">
        <x:v>1</x:v>
      </x:c>
      <x:c r="R286" s="14" t="str">
        <x:v>2025</x:v>
      </x:c>
      <x:c r="S286" s="14" t="n">
        <x:v>2025</x:v>
      </x:c>
      <x:c r="T286" s="14" t="n">
        <x:v>2025</x:v>
      </x:c>
      <x:c r="U286" s="14" t="str">
        <x:v>Explicit source first year retained</x:v>
      </x:c>
      <x:c r="V286" s="14" t="str">
        <x:v>Earliest supplied year is 2025.</x:v>
      </x:c>
      <x:c r="W286" s="14"/>
      <x:c r="X286" s="14" t="str">
        <x:v>Included</x:v>
      </x:c>
      <x:c r="Y286" s="14"/>
      <x:c r="Z286" s="14" t="str">
        <x:v>The Change.docx</x:v>
      </x:c>
      <x:c r="AA286" s="14" t="str">
        <x:v>HYPERLINK is not implemented. linkLocation=https://www.imdb.com/title/tt26115810/fullcredits/,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Channel 4 / E4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HYPERLINK("https://en.wikipedia.org/wiki/Change","Open source")</x:f>
        <x:v>HYPERLINK is not implemented. linkLocation=https://en.wikipedia.org/wiki/Change,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4" t="str">
        <x:v>HYPERLINK is not implemented. linkLocation=https://www.imdb.com/title/tt26115810/fullcredits/,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tt26115810|nm8015845|tattooist</x:v>
      </x:c>
      <x:c r="B287" s="14" t="str">
        <x:v>04</x:v>
      </x:c>
      <x:c r="C287" s="14" t="str">
        <x:v>2023_IMDb_Cast_Lists_Batch_04(2).xlsx</x:v>
      </x:c>
      <x:c r="D287" s="14" t="str">
        <x:v>The Change</x:v>
      </x:c>
      <x:c r="E287" s="14" t="n">
        <x:v>40</x:v>
      </x:c>
      <x:c r="F287" s="14" t="str">
        <x:v>The Change</x:v>
      </x:c>
      <x:c r="G287" s="14" t="str">
        <x:v>tt26115810</x:v>
      </x:c>
      <x:c r="H287" s="14" t="n">
        <x:v>2023</x:v>
      </x:c>
      <x:c r="I287" s="14" t="n">
        <x:v>2025</x:v>
      </x:c>
      <x:c r="J287" s="14" t="str">
        <x:v>Earlier-Production Carry-In Cohort</x:v>
      </x:c>
      <x:c r="K287" s="14" t="n">
        <x:v>2023</x:v>
      </x:c>
      <x:c r="L287" s="14" t="str">
        <x:v>Used in 2025 annual analysis</x:v>
      </x:c>
      <x:c r="M287" s="15" t="n">
        <x:v>33</x:v>
      </x:c>
      <x:c r="N287" s="14" t="str">
        <x:v>Rob Auton</x:v>
      </x:c>
      <x:c r="O287" s="14" t="str">
        <x:v>nm8015845</x:v>
      </x:c>
      <x:c r="P287" s="14" t="str">
        <x:v>Tattooist</x:v>
      </x:c>
      <x:c r="Q287" s="15" t="n">
        <x:v>1</x:v>
      </x:c>
      <x:c r="R287" s="14" t="str">
        <x:v>2025</x:v>
      </x:c>
      <x:c r="S287" s="14" t="n">
        <x:v>2025</x:v>
      </x:c>
      <x:c r="T287" s="14" t="n">
        <x:v>2025</x:v>
      </x:c>
      <x:c r="U287" s="14" t="str">
        <x:v>Explicit source first year retained</x:v>
      </x:c>
      <x:c r="V287" s="14" t="str">
        <x:v>Earliest supplied year is 2025.</x:v>
      </x:c>
      <x:c r="W287" s="14"/>
      <x:c r="X287" s="14" t="str">
        <x:v>Included</x:v>
      </x:c>
      <x:c r="Y287" s="14"/>
      <x:c r="Z287" s="14" t="str">
        <x:v>The Change.docx</x:v>
      </x:c>
      <x:c r="AA287" s="14" t="str">
        <x:v>HYPERLINK is not implemented. linkLocation=https://www.imdb.com/title/tt26115810/fullcredits/,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Channel 4 / E4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HYPERLINK("https://en.wikipedia.org/wiki/Change","Open source")</x:f>
        <x:v>HYPERLINK is not implemented. linkLocation=https://en.wikipedia.org/wiki/Change,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4" t="str">
        <x:v>HYPERLINK is not implemented. linkLocation=https://www.imdb.com/title/tt26115810/fullcredits/,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tt26115810|nm5655989|sally</x:v>
      </x:c>
      <x:c r="B288" s="14" t="str">
        <x:v>04</x:v>
      </x:c>
      <x:c r="C288" s="14" t="str">
        <x:v>2023_IMDb_Cast_Lists_Batch_04(2).xlsx</x:v>
      </x:c>
      <x:c r="D288" s="14" t="str">
        <x:v>The Change</x:v>
      </x:c>
      <x:c r="E288" s="14" t="n">
        <x:v>42</x:v>
      </x:c>
      <x:c r="F288" s="14" t="str">
        <x:v>The Change</x:v>
      </x:c>
      <x:c r="G288" s="14" t="str">
        <x:v>tt26115810</x:v>
      </x:c>
      <x:c r="H288" s="14" t="n">
        <x:v>2023</x:v>
      </x:c>
      <x:c r="I288" s="14" t="n">
        <x:v>2025</x:v>
      </x:c>
      <x:c r="J288" s="14" t="str">
        <x:v>Earlier-Production Carry-In Cohort</x:v>
      </x:c>
      <x:c r="K288" s="14" t="n">
        <x:v>2023</x:v>
      </x:c>
      <x:c r="L288" s="14" t="str">
        <x:v>Used in 2025 annual analysis</x:v>
      </x:c>
      <x:c r="M288" s="15" t="n">
        <x:v>35</x:v>
      </x:c>
      <x:c r="N288" s="14" t="str">
        <x:v>Philippa Cole</x:v>
      </x:c>
      <x:c r="O288" s="14" t="str">
        <x:v>nm5655989</x:v>
      </x:c>
      <x:c r="P288" s="14" t="str">
        <x:v>Sally</x:v>
      </x:c>
      <x:c r="Q288" s="15" t="n">
        <x:v>1</x:v>
      </x:c>
      <x:c r="R288" s="14" t="str">
        <x:v>2025</x:v>
      </x:c>
      <x:c r="S288" s="14" t="n">
        <x:v>2025</x:v>
      </x:c>
      <x:c r="T288" s="14" t="n">
        <x:v>2025</x:v>
      </x:c>
      <x:c r="U288" s="14" t="str">
        <x:v>Explicit source first year retained</x:v>
      </x:c>
      <x:c r="V288" s="14" t="str">
        <x:v>Earliest supplied year is 2025.</x:v>
      </x:c>
      <x:c r="W288" s="14"/>
      <x:c r="X288" s="14" t="str">
        <x:v>Included</x:v>
      </x:c>
      <x:c r="Y288" s="14"/>
      <x:c r="Z288" s="14" t="str">
        <x:v>The Change.docx</x:v>
      </x:c>
      <x:c r="AA288" s="14" t="str">
        <x:v>HYPERLINK is not implemented. linkLocation=https://www.imdb.com/title/tt26115810/fullcredits/,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4 / E4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HYPERLINK("https://en.wikipedia.org/wiki/Change","Open source")</x:f>
        <x:v>HYPERLINK is not implemented. linkLocation=https://en.wikipedia.org/wiki/Change,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4" t="str">
        <x:v>HYPERLINK is not implemented. linkLocation=https://www.imdb.com/title/tt26115810/fullcredits/,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tt26115810|nm18532051|daughter</x:v>
      </x:c>
      <x:c r="B289" s="14" t="str">
        <x:v>04</x:v>
      </x:c>
      <x:c r="C289" s="14" t="str">
        <x:v>2023_IMDb_Cast_Lists_Batch_04(2).xlsx</x:v>
      </x:c>
      <x:c r="D289" s="14" t="str">
        <x:v>The Change</x:v>
      </x:c>
      <x:c r="E289" s="14" t="n">
        <x:v>46</x:v>
      </x:c>
      <x:c r="F289" s="14" t="str">
        <x:v>The Change</x:v>
      </x:c>
      <x:c r="G289" s="14" t="str">
        <x:v>tt26115810</x:v>
      </x:c>
      <x:c r="H289" s="14" t="n">
        <x:v>2023</x:v>
      </x:c>
      <x:c r="I289" s="14" t="n">
        <x:v>2025</x:v>
      </x:c>
      <x:c r="J289" s="14" t="str">
        <x:v>Earlier-Production Carry-In Cohort</x:v>
      </x:c>
      <x:c r="K289" s="14" t="n">
        <x:v>2023</x:v>
      </x:c>
      <x:c r="L289" s="14" t="str">
        <x:v>Used in 2025 annual analysis</x:v>
      </x:c>
      <x:c r="M289" s="15" t="n">
        <x:v>39</x:v>
      </x:c>
      <x:c r="N289" s="14" t="str">
        <x:v>Freya Milne-Brown</x:v>
      </x:c>
      <x:c r="O289" s="14" t="str">
        <x:v>nm18532051</x:v>
      </x:c>
      <x:c r="P289" s="14" t="str">
        <x:v>Daughter</x:v>
      </x:c>
      <x:c r="Q289" s="15" t="n">
        <x:v>1</x:v>
      </x:c>
      <x:c r="R289" s="14" t="str">
        <x:v>2025</x:v>
      </x:c>
      <x:c r="S289" s="14" t="n">
        <x:v>2025</x:v>
      </x:c>
      <x:c r="T289" s="14" t="n">
        <x:v>2025</x:v>
      </x:c>
      <x:c r="U289" s="14" t="str">
        <x:v>Explicit source first year retained</x:v>
      </x:c>
      <x:c r="V289" s="14" t="str">
        <x:v>Earliest supplied year is 2025.</x:v>
      </x:c>
      <x:c r="W289" s="14"/>
      <x:c r="X289" s="14" t="str">
        <x:v>Included</x:v>
      </x:c>
      <x:c r="Y289" s="14"/>
      <x:c r="Z289" s="14" t="str">
        <x:v>The Change.docx</x:v>
      </x:c>
      <x:c r="AA289" s="14" t="str">
        <x:v>HYPERLINK is not implemented. linkLocation=https://www.imdb.com/title/tt26115810/fullcredits/,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HYPERLINK("https://en.wikipedia.org/wiki/Change","Open source")</x:f>
        <x:v>HYPERLINK is not implemented. linkLocation=https://en.wikipedia.org/wiki/Change,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0.08333333333333333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4" t="str">
        <x:v>HYPERLINK is not implemented. linkLocation=https://www.imdb.com/title/tt26115810/fullcredits/,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tt27369122|nm4112253|jacob</x:v>
      </x:c>
      <x:c r="B290" s="14" t="str">
        <x:v>04</x:v>
      </x:c>
      <x:c r="C290" s="14" t="str">
        <x:v>2023_IMDb_Cast_Lists_Batch_04(2).xlsx</x:v>
      </x:c>
      <x:c r="D290" s="14" t="str">
        <x:v>The Couple Next Door</x:v>
      </x:c>
      <x:c r="E290" s="14" t="n">
        <x:v>11</x:v>
      </x:c>
      <x:c r="F290" s="14" t="str">
        <x:v>The Couple Next Door</x:v>
      </x:c>
      <x:c r="G290" s="14" t="str">
        <x:v>tt27369122</x:v>
      </x:c>
      <x:c r="H290" s="14" t="n">
        <x:v>2023</x:v>
      </x:c>
      <x:c r="I290" s="14" t="n">
        <x:v>2025</x:v>
      </x:c>
      <x:c r="J290" s="14" t="str">
        <x:v>Earlier-Production Carry-In Cohort</x:v>
      </x:c>
      <x:c r="K290" s="14" t="n">
        <x:v>2023</x:v>
      </x:c>
      <x:c r="L290" s="14" t="str">
        <x:v>Used in 2025 annual analysis</x:v>
      </x:c>
      <x:c r="M290" s="15" t="n">
        <x:v>4</x:v>
      </x:c>
      <x:c r="N290" s="14" t="str">
        <x:v>Sam Palladio</x:v>
      </x:c>
      <x:c r="O290" s="14" t="str">
        <x:v>nm4112253</x:v>
      </x:c>
      <x:c r="P290" s="14" t="str">
        <x:v>Jacob</x:v>
      </x:c>
      <x:c r="Q290" s="15" t="n">
        <x:v>6</x:v>
      </x:c>
      <x:c r="R290" s="14" t="str">
        <x:v>2025</x:v>
      </x:c>
      <x:c r="S290" s="14" t="n">
        <x:v>2025</x:v>
      </x:c>
      <x:c r="T290" s="14" t="n">
        <x:v>2025</x:v>
      </x:c>
      <x:c r="U290" s="14" t="str">
        <x:v>Explicit source first year retained</x:v>
      </x:c>
      <x:c r="V290" s="14" t="str">
        <x:v>Earliest supplied year is 2025.</x:v>
      </x:c>
      <x:c r="W290" s="14"/>
      <x:c r="X290" s="14" t="str">
        <x:v>Included</x:v>
      </x:c>
      <x:c r="Y290" s="14"/>
      <x:c r="Z290" s="14" t="str">
        <x:v>The Couple Next Door.docx</x:v>
      </x:c>
      <x:c r="AA290" s="14" t="str">
        <x:v>HYPERLINK is not implemented. linkLocation=https://www.imdb.com/title/tt27369122/fullcredits/,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Qualifying UK co-commission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qualifying uk co-commission.</x:v>
      </x:c>
      <x:c r="AM29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6</x:v>
      </x:c>
      <x:c r="BS290" s="16" t="n">
        <x:v>0.5</x:v>
      </x:c>
      <x:c r="BT290" s="14" t="str">
        <x:v>Minority of episodes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4" t="str">
        <x:v>HYPERLINK is not implemented. linkLocation=https://www.imdb.com/title/tt27369122/fullcredits/,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tt27369122|nm4890759|mia</x:v>
      </x:c>
      <x:c r="B291" s="14" t="str">
        <x:v>04</x:v>
      </x:c>
      <x:c r="C291" s="14" t="str">
        <x:v>2023_IMDb_Cast_Lists_Batch_04(2).xlsx</x:v>
      </x:c>
      <x:c r="D291" s="14" t="str">
        <x:v>The Couple Next Door</x:v>
      </x:c>
      <x:c r="E291" s="14" t="n">
        <x:v>12</x:v>
      </x:c>
      <x:c r="F291" s="14" t="str">
        <x:v>The Couple Next Door</x:v>
      </x:c>
      <x:c r="G291" s="14" t="str">
        <x:v>tt27369122</x:v>
      </x:c>
      <x:c r="H291" s="14" t="n">
        <x:v>2023</x:v>
      </x:c>
      <x:c r="I291" s="14" t="n">
        <x:v>2025</x:v>
      </x:c>
      <x:c r="J291" s="14" t="str">
        <x:v>Earlier-Production Carry-In Cohort</x:v>
      </x:c>
      <x:c r="K291" s="14" t="n">
        <x:v>2023</x:v>
      </x:c>
      <x:c r="L291" s="14" t="str">
        <x:v>Used in 2025 annual analysis</x:v>
      </x:c>
      <x:c r="M291" s="15" t="n">
        <x:v>5</x:v>
      </x:c>
      <x:c r="N291" s="14" t="str">
        <x:v>Aggy K. Adams</x:v>
      </x:c>
      <x:c r="O291" s="14" t="str">
        <x:v>nm4890759</x:v>
      </x:c>
      <x:c r="P291" s="14" t="str">
        <x:v>Mia</x:v>
      </x:c>
      <x:c r="Q291" s="15" t="n">
        <x:v>6</x:v>
      </x:c>
      <x:c r="R291" s="14" t="str">
        <x:v>2025</x:v>
      </x:c>
      <x:c r="S291" s="14" t="n">
        <x:v>2025</x:v>
      </x:c>
      <x:c r="T291" s="14" t="n">
        <x:v>2025</x:v>
      </x:c>
      <x:c r="U291" s="14" t="str">
        <x:v>Explicit source first year retained</x:v>
      </x:c>
      <x:c r="V291" s="14" t="str">
        <x:v>Earliest supplied year is 2025.</x:v>
      </x:c>
      <x:c r="W291" s="14"/>
      <x:c r="X291" s="14" t="str">
        <x:v>Included</x:v>
      </x:c>
      <x:c r="Y291" s="14"/>
      <x:c r="Z291" s="14" t="str">
        <x:v>The Couple Next Door.docx</x:v>
      </x:c>
      <x:c r="AA291" s="14" t="str">
        <x:v>HYPERLINK is not implemented. linkLocation=https://www.imdb.com/title/tt27369122/fullcredits/,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Qualifying UK co-commission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qualifying uk co-commission.</x:v>
      </x:c>
      <x:c r="AM29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6</x:v>
      </x:c>
      <x:c r="BS291" s="16" t="n">
        <x:v>0.5</x:v>
      </x:c>
      <x:c r="BT291" s="14" t="str">
        <x:v>Minority of episodes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4" t="str">
        <x:v>HYPERLINK is not implemented. linkLocation=https://www.imdb.com/title/tt27369122/fullcredits/,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tt27369122|nm2118257|charlotte</x:v>
      </x:c>
      <x:c r="B292" s="14" t="str">
        <x:v>04</x:v>
      </x:c>
      <x:c r="C292" s="14" t="str">
        <x:v>2023_IMDb_Cast_Lists_Batch_04(2).xlsx</x:v>
      </x:c>
      <x:c r="D292" s="14" t="str">
        <x:v>The Couple Next Door</x:v>
      </x:c>
      <x:c r="E292" s="14" t="n">
        <x:v>14</x:v>
      </x:c>
      <x:c r="F292" s="14" t="str">
        <x:v>The Couple Next Door</x:v>
      </x:c>
      <x:c r="G292" s="14" t="str">
        <x:v>tt27369122</x:v>
      </x:c>
      <x:c r="H292" s="14" t="n">
        <x:v>2023</x:v>
      </x:c>
      <x:c r="I292" s="14" t="n">
        <x:v>2025</x:v>
      </x:c>
      <x:c r="J292" s="14" t="str">
        <x:v>Earlier-Production Carry-In Cohort</x:v>
      </x:c>
      <x:c r="K292" s="14" t="n">
        <x:v>2023</x:v>
      </x:c>
      <x:c r="L292" s="14" t="str">
        <x:v>Used in 2025 annual analysis</x:v>
      </x:c>
      <x:c r="M292" s="15" t="n">
        <x:v>7</x:v>
      </x:c>
      <x:c r="N292" s="14" t="str">
        <x:v>Annabel Scholey</x:v>
      </x:c>
      <x:c r="O292" s="14" t="str">
        <x:v>nm2118257</x:v>
      </x:c>
      <x:c r="P292" s="14" t="str">
        <x:v>Charlotte</x:v>
      </x:c>
      <x:c r="Q292" s="15" t="n">
        <x:v>6</x:v>
      </x:c>
      <x:c r="R292" s="14" t="str">
        <x:v>2025</x:v>
      </x:c>
      <x:c r="S292" s="14" t="n">
        <x:v>2025</x:v>
      </x:c>
      <x:c r="T292" s="14" t="n">
        <x:v>2025</x:v>
      </x:c>
      <x:c r="U292" s="14" t="str">
        <x:v>Explicit source first year retained</x:v>
      </x:c>
      <x:c r="V292" s="14" t="str">
        <x:v>Earliest supplied year is 2025.</x:v>
      </x:c>
      <x:c r="W292" s="14"/>
      <x:c r="X292" s="14" t="str">
        <x:v>Included</x:v>
      </x:c>
      <x:c r="Y292" s="14"/>
      <x:c r="Z292" s="14" t="str">
        <x:v>The Couple Next Door.docx</x:v>
      </x:c>
      <x:c r="AA292" s="14" t="str">
        <x:v>HYPERLINK is not implemented. linkLocation=https://www.imdb.com/title/tt27369122/fullcredits/,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Qualifying UK co-commission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qualifying uk co-commission.</x:v>
      </x:c>
      <x:c r="AM29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6</x:v>
      </x:c>
      <x:c r="BS292" s="16" t="n">
        <x:v>0.5</x:v>
      </x:c>
      <x:c r="BT292" s="14" t="str">
        <x:v>Minority of episodes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4" t="str">
        <x:v>HYPERLINK is not implemented. linkLocation=https://www.imdb.com/title/tt27369122/fullcredits/,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tt27369122|nm0707983|leo</x:v>
      </x:c>
      <x:c r="B293" s="14" t="str">
        <x:v>04</x:v>
      </x:c>
      <x:c r="C293" s="14" t="str">
        <x:v>2023_IMDb_Cast_Lists_Batch_04(2).xlsx</x:v>
      </x:c>
      <x:c r="D293" s="14" t="str">
        <x:v>The Couple Next Door</x:v>
      </x:c>
      <x:c r="E293" s="14" t="n">
        <x:v>17</x:v>
      </x:c>
      <x:c r="F293" s="14" t="str">
        <x:v>The Couple Next Door</x:v>
      </x:c>
      <x:c r="G293" s="14" t="str">
        <x:v>tt27369122</x:v>
      </x:c>
      <x:c r="H293" s="14" t="n">
        <x:v>2023</x:v>
      </x:c>
      <x:c r="I293" s="14" t="n">
        <x:v>2025</x:v>
      </x:c>
      <x:c r="J293" s="14" t="str">
        <x:v>Earlier-Production Carry-In Cohort</x:v>
      </x:c>
      <x:c r="K293" s="14" t="n">
        <x:v>2023</x:v>
      </x:c>
      <x:c r="L293" s="14" t="str">
        <x:v>Used in 2025 annual analysis</x:v>
      </x:c>
      <x:c r="M293" s="15" t="n">
        <x:v>10</x:v>
      </x:c>
      <x:c r="N293" s="14" t="str">
        <x:v>Sendhil Ramamurthy</x:v>
      </x:c>
      <x:c r="O293" s="14" t="str">
        <x:v>nm0707983</x:v>
      </x:c>
      <x:c r="P293" s="14" t="str">
        <x:v>Leo</x:v>
      </x:c>
      <x:c r="Q293" s="15" t="n">
        <x:v>6</x:v>
      </x:c>
      <x:c r="R293" s="14" t="str">
        <x:v>2025</x:v>
      </x:c>
      <x:c r="S293" s="14" t="n">
        <x:v>2025</x:v>
      </x:c>
      <x:c r="T293" s="14" t="n">
        <x:v>2025</x:v>
      </x:c>
      <x:c r="U293" s="14" t="str">
        <x:v>Explicit source first year retained</x:v>
      </x:c>
      <x:c r="V293" s="14" t="str">
        <x:v>Earliest supplied year is 2025.</x:v>
      </x:c>
      <x:c r="W293" s="14"/>
      <x:c r="X293" s="14" t="str">
        <x:v>Included</x:v>
      </x:c>
      <x:c r="Y293" s="14"/>
      <x:c r="Z293" s="14" t="str">
        <x:v>The Couple Next Door.docx</x:v>
      </x:c>
      <x:c r="AA293" s="14" t="str">
        <x:v>HYPERLINK is not implemented. linkLocation=https://www.imdb.com/title/tt27369122/fullcredits/,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Qualifying UK co-commission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qualifying uk co-commission.</x:v>
      </x:c>
      <x:c r="AM29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6</x:v>
      </x:c>
      <x:c r="BS293" s="16" t="n">
        <x:v>0.5</x:v>
      </x:c>
      <x:c r="BT293" s="14" t="str">
        <x:v>Minority of episodes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4" t="str">
        <x:v>HYPERLINK is not implemented. linkLocation=https://www.imdb.com/title/tt27369122/fullcredits/,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tt27369122|nm0416253|ben</x:v>
      </x:c>
      <x:c r="B294" s="14" t="str">
        <x:v>04</x:v>
      </x:c>
      <x:c r="C294" s="14" t="str">
        <x:v>2023_IMDb_Cast_Lists_Batch_04(2).xlsx</x:v>
      </x:c>
      <x:c r="D294" s="14" t="str">
        <x:v>The Couple Next Door</x:v>
      </x:c>
      <x:c r="E294" s="14" t="n">
        <x:v>19</x:v>
      </x:c>
      <x:c r="F294" s="14" t="str">
        <x:v>The Couple Next Door</x:v>
      </x:c>
      <x:c r="G294" s="14" t="str">
        <x:v>tt27369122</x:v>
      </x:c>
      <x:c r="H294" s="14" t="n">
        <x:v>2023</x:v>
      </x:c>
      <x:c r="I294" s="14" t="n">
        <x:v>2025</x:v>
      </x:c>
      <x:c r="J294" s="14" t="str">
        <x:v>Earlier-Production Carry-In Cohort</x:v>
      </x:c>
      <x:c r="K294" s="14" t="n">
        <x:v>2023</x:v>
      </x:c>
      <x:c r="L294" s="14" t="str">
        <x:v>Used in 2025 annual analysis</x:v>
      </x:c>
      <x:c r="M294" s="15" t="n">
        <x:v>12</x:v>
      </x:c>
      <x:c r="N294" s="14" t="str">
        <x:v>Adam James</x:v>
      </x:c>
      <x:c r="O294" s="14" t="str">
        <x:v>nm0416253</x:v>
      </x:c>
      <x:c r="P294" s="14" t="str">
        <x:v>Ben</x:v>
      </x:c>
      <x:c r="Q294" s="15" t="n">
        <x:v>6</x:v>
      </x:c>
      <x:c r="R294" s="14" t="str">
        <x:v>2025</x:v>
      </x:c>
      <x:c r="S294" s="14" t="n">
        <x:v>2025</x:v>
      </x:c>
      <x:c r="T294" s="14" t="n">
        <x:v>2025</x:v>
      </x:c>
      <x:c r="U294" s="14" t="str">
        <x:v>Explicit source first year retained</x:v>
      </x:c>
      <x:c r="V294" s="14" t="str">
        <x:v>Earliest supplied year is 2025.</x:v>
      </x:c>
      <x:c r="W294" s="14"/>
      <x:c r="X294" s="14" t="str">
        <x:v>Included</x:v>
      </x:c>
      <x:c r="Y294" s="14"/>
      <x:c r="Z294" s="14" t="str">
        <x:v>The Couple Next Door.docx</x:v>
      </x:c>
      <x:c r="AA294" s="14" t="str">
        <x:v>HYPERLINK is not implemented. linkLocation=https://www.imdb.com/title/tt27369122/fullcredits/,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Qualifying UK co-commission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qualifying uk co-commission.</x:v>
      </x:c>
      <x:c r="AM29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6</x:v>
      </x:c>
      <x:c r="BS294" s="16" t="n">
        <x:v>0.5</x:v>
      </x:c>
      <x:c r="BT294" s="14" t="str">
        <x:v>Minority of episodes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4" t="str">
        <x:v>HYPERLINK is not implemented. linkLocation=https://www.imdb.com/title/tt27369122/fullcredits/,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tt27369122|nm1676622|gemma</x:v>
      </x:c>
      <x:c r="B295" s="14" t="str">
        <x:v>04</x:v>
      </x:c>
      <x:c r="C295" s="14" t="str">
        <x:v>2023_IMDb_Cast_Lists_Batch_04(2).xlsx</x:v>
      </x:c>
      <x:c r="D295" s="14" t="str">
        <x:v>The Couple Next Door</x:v>
      </x:c>
      <x:c r="E295" s="14" t="n">
        <x:v>21</x:v>
      </x:c>
      <x:c r="F295" s="14" t="str">
        <x:v>The Couple Next Door</x:v>
      </x:c>
      <x:c r="G295" s="14" t="str">
        <x:v>tt27369122</x:v>
      </x:c>
      <x:c r="H295" s="14" t="n">
        <x:v>2023</x:v>
      </x:c>
      <x:c r="I295" s="14" t="n">
        <x:v>2025</x:v>
      </x:c>
      <x:c r="J295" s="14" t="str">
        <x:v>Earlier-Production Carry-In Cohort</x:v>
      </x:c>
      <x:c r="K295" s="14" t="n">
        <x:v>2023</x:v>
      </x:c>
      <x:c r="L295" s="14" t="str">
        <x:v>Used in 2025 annual analysis</x:v>
      </x:c>
      <x:c r="M295" s="15" t="n">
        <x:v>14</x:v>
      </x:c>
      <x:c r="N295" s="14" t="str">
        <x:v>Maimie McCoy</x:v>
      </x:c>
      <x:c r="O295" s="14" t="str">
        <x:v>nm1676622</x:v>
      </x:c>
      <x:c r="P295" s="14" t="str">
        <x:v>Gemma</x:v>
      </x:c>
      <x:c r="Q295" s="15" t="n">
        <x:v>6</x:v>
      </x:c>
      <x:c r="R295" s="14" t="str">
        <x:v>2025</x:v>
      </x:c>
      <x:c r="S295" s="14" t="n">
        <x:v>2025</x:v>
      </x:c>
      <x:c r="T295" s="14" t="n">
        <x:v>2025</x:v>
      </x:c>
      <x:c r="U295" s="14" t="str">
        <x:v>Explicit source first year retained</x:v>
      </x:c>
      <x:c r="V295" s="14" t="str">
        <x:v>Earliest supplied year is 2025.</x:v>
      </x:c>
      <x:c r="W295" s="14"/>
      <x:c r="X295" s="14" t="str">
        <x:v>Included</x:v>
      </x:c>
      <x:c r="Y295" s="14"/>
      <x:c r="Z295" s="14" t="str">
        <x:v>The Couple Next Door.docx</x:v>
      </x:c>
      <x:c r="AA295" s="14" t="str">
        <x:v>HYPERLINK is not implemented. linkLocation=https://www.imdb.com/title/tt27369122/fullcredits/,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Qualifying UK co-commission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qualifying uk co-commission.</x:v>
      </x:c>
      <x:c r="AM29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6</x:v>
      </x:c>
      <x:c r="BS295" s="16" t="n">
        <x:v>0.5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4" t="str">
        <x:v>HYPERLINK is not implemented. linkLocation=https://www.imdb.com/title/tt27369122/fullcredits/,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tt27369122|nm0167334|annette</x:v>
      </x:c>
      <x:c r="B296" s="14" t="str">
        <x:v>04</x:v>
      </x:c>
      <x:c r="C296" s="14" t="str">
        <x:v>2023_IMDb_Cast_Lists_Batch_04(2).xlsx</x:v>
      </x:c>
      <x:c r="D296" s="14" t="str">
        <x:v>The Couple Next Door</x:v>
      </x:c>
      <x:c r="E296" s="14" t="n">
        <x:v>22</x:v>
      </x:c>
      <x:c r="F296" s="14" t="str">
        <x:v>The Couple Next Door</x:v>
      </x:c>
      <x:c r="G296" s="14" t="str">
        <x:v>tt27369122</x:v>
      </x:c>
      <x:c r="H296" s="14" t="n">
        <x:v>2023</x:v>
      </x:c>
      <x:c r="I296" s="14" t="n">
        <x:v>2025</x:v>
      </x:c>
      <x:c r="J296" s="14" t="str">
        <x:v>Earlier-Production Carry-In Cohort</x:v>
      </x:c>
      <x:c r="K296" s="14" t="n">
        <x:v>2023</x:v>
      </x:c>
      <x:c r="L296" s="14" t="str">
        <x:v>Used in 2025 annual analysis</x:v>
      </x:c>
      <x:c r="M296" s="15" t="n">
        <x:v>15</x:v>
      </x:c>
      <x:c r="N296" s="14" t="str">
        <x:v>Jackie Clune</x:v>
      </x:c>
      <x:c r="O296" s="14" t="str">
        <x:v>nm0167334</x:v>
      </x:c>
      <x:c r="P296" s="14" t="str">
        <x:v>Annette</x:v>
      </x:c>
      <x:c r="Q296" s="15" t="n">
        <x:v>6</x:v>
      </x:c>
      <x:c r="R296" s="14" t="str">
        <x:v>2025</x:v>
      </x:c>
      <x:c r="S296" s="14" t="n">
        <x:v>2025</x:v>
      </x:c>
      <x:c r="T296" s="14" t="n">
        <x:v>2025</x:v>
      </x:c>
      <x:c r="U296" s="14" t="str">
        <x:v>Explicit source first year retained</x:v>
      </x:c>
      <x:c r="V296" s="14" t="str">
        <x:v>Earliest supplied year is 2025.</x:v>
      </x:c>
      <x:c r="W296" s="14"/>
      <x:c r="X296" s="14" t="str">
        <x:v>Included</x:v>
      </x:c>
      <x:c r="Y296" s="14"/>
      <x:c r="Z296" s="14" t="str">
        <x:v>The Couple Next Door.docx</x:v>
      </x:c>
      <x:c r="AA296" s="14" t="str">
        <x:v>HYPERLINK is not implemented. linkLocation=https://www.imdb.com/title/tt27369122/fullcredits/,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Qualifying UK co-commission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qualifying uk co-commission.</x:v>
      </x:c>
      <x:c r="AM29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6</x:v>
      </x:c>
      <x:c r="BS296" s="16" t="n">
        <x:v>0.5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4" t="str">
        <x:v>HYPERLINK is not implemented. linkLocation=https://www.imdb.com/title/tt27369122/fullcredits/,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tt27369122|nm1914298|isak</x:v>
      </x:c>
      <x:c r="B297" s="14" t="str">
        <x:v>04</x:v>
      </x:c>
      <x:c r="C297" s="14" t="str">
        <x:v>2023_IMDb_Cast_Lists_Batch_04(2).xlsx</x:v>
      </x:c>
      <x:c r="D297" s="14" t="str">
        <x:v>The Couple Next Door</x:v>
      </x:c>
      <x:c r="E297" s="14" t="n">
        <x:v>23</x:v>
      </x:c>
      <x:c r="F297" s="14" t="str">
        <x:v>The Couple Next Door</x:v>
      </x:c>
      <x:c r="G297" s="14" t="str">
        <x:v>tt27369122</x:v>
      </x:c>
      <x:c r="H297" s="14" t="n">
        <x:v>2023</x:v>
      </x:c>
      <x:c r="I297" s="14" t="n">
        <x:v>2025</x:v>
      </x:c>
      <x:c r="J297" s="14" t="str">
        <x:v>Earlier-Production Carry-In Cohort</x:v>
      </x:c>
      <x:c r="K297" s="14" t="n">
        <x:v>2023</x:v>
      </x:c>
      <x:c r="L297" s="14" t="str">
        <x:v>Used in 2025 annual analysis</x:v>
      </x:c>
      <x:c r="M297" s="15" t="n">
        <x:v>16</x:v>
      </x:c>
      <x:c r="N297" s="14" t="str">
        <x:v>Pål Sverre Hagen</x:v>
      </x:c>
      <x:c r="O297" s="14" t="str">
        <x:v>nm1914298</x:v>
      </x:c>
      <x:c r="P297" s="14" t="str">
        <x:v>Isak</x:v>
      </x:c>
      <x:c r="Q297" s="15" t="n">
        <x:v>5</x:v>
      </x:c>
      <x:c r="R297" s="14" t="str">
        <x:v>2025</x:v>
      </x:c>
      <x:c r="S297" s="14" t="n">
        <x:v>2025</x:v>
      </x:c>
      <x:c r="T297" s="14" t="n">
        <x:v>2025</x:v>
      </x:c>
      <x:c r="U297" s="14" t="str">
        <x:v>Explicit source first year retained</x:v>
      </x:c>
      <x:c r="V297" s="14" t="str">
        <x:v>Earliest supplied year is 2025.</x:v>
      </x:c>
      <x:c r="W297" s="14"/>
      <x:c r="X297" s="14" t="str">
        <x:v>Included</x:v>
      </x:c>
      <x:c r="Y297" s="14"/>
      <x:c r="Z297" s="14" t="str">
        <x:v>The Couple Next Door.docx</x:v>
      </x:c>
      <x:c r="AA297" s="14" t="str">
        <x:v>HYPERLINK is not implemented. linkLocation=https://www.imdb.com/title/tt27369122/fullcredits/,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Qualifying UK co-commission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qualifying uk co-commission.</x:v>
      </x:c>
      <x:c r="AM29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5</x:v>
      </x:c>
      <x:c r="BS297" s="16" t="n">
        <x:v>0.4166666666666667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4" t="str">
        <x:v>HYPERLINK is not implemented. linkLocation=https://www.imdb.com/title/tt27369122/fullcredits/,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tt27369122|nm1600132|hari</x:v>
      </x:c>
      <x:c r="B298" s="14" t="str">
        <x:v>04</x:v>
      </x:c>
      <x:c r="C298" s="14" t="str">
        <x:v>2023_IMDb_Cast_Lists_Batch_04(2).xlsx</x:v>
      </x:c>
      <x:c r="D298" s="14" t="str">
        <x:v>The Couple Next Door</x:v>
      </x:c>
      <x:c r="E298" s="14" t="n">
        <x:v>26</x:v>
      </x:c>
      <x:c r="F298" s="14" t="str">
        <x:v>The Couple Next Door</x:v>
      </x:c>
      <x:c r="G298" s="14" t="str">
        <x:v>tt27369122</x:v>
      </x:c>
      <x:c r="H298" s="14" t="n">
        <x:v>2023</x:v>
      </x:c>
      <x:c r="I298" s="14" t="n">
        <x:v>2025</x:v>
      </x:c>
      <x:c r="J298" s="14" t="str">
        <x:v>Earlier-Production Carry-In Cohort</x:v>
      </x:c>
      <x:c r="K298" s="14" t="n">
        <x:v>2023</x:v>
      </x:c>
      <x:c r="L298" s="14" t="str">
        <x:v>Used in 2025 annual analysis</x:v>
      </x:c>
      <x:c r="M298" s="15" t="n">
        <x:v>19</x:v>
      </x:c>
      <x:c r="N298" s="14" t="str">
        <x:v>Shane Zaza</x:v>
      </x:c>
      <x:c r="O298" s="14" t="str">
        <x:v>nm1600132</x:v>
      </x:c>
      <x:c r="P298" s="14" t="str">
        <x:v>Hari</x:v>
      </x:c>
      <x:c r="Q298" s="15" t="n">
        <x:v>5</x:v>
      </x:c>
      <x:c r="R298" s="14" t="str">
        <x:v>2025</x:v>
      </x:c>
      <x:c r="S298" s="14" t="n">
        <x:v>2025</x:v>
      </x:c>
      <x:c r="T298" s="14" t="n">
        <x:v>2025</x:v>
      </x:c>
      <x:c r="U298" s="14" t="str">
        <x:v>Explicit source first year retained</x:v>
      </x:c>
      <x:c r="V298" s="14" t="str">
        <x:v>Earliest supplied year is 2025.</x:v>
      </x:c>
      <x:c r="W298" s="14"/>
      <x:c r="X298" s="14" t="str">
        <x:v>Included</x:v>
      </x:c>
      <x:c r="Y298" s="14"/>
      <x:c r="Z298" s="14" t="str">
        <x:v>The Couple Next Door.docx</x:v>
      </x:c>
      <x:c r="AA298" s="14" t="str">
        <x:v>HYPERLINK is not implemented. linkLocation=https://www.imdb.com/title/tt27369122/fullcredits/,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Qualifying UK co-commission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qualifying uk co-commission.</x:v>
      </x:c>
      <x:c r="AM29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5</x:v>
      </x:c>
      <x:c r="BS298" s="16" t="n">
        <x:v>0.4166666666666667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4" t="str">
        <x:v>HYPERLINK is not implemented. linkLocation=https://www.imdb.com/title/tt27369122/fullcredits/,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tt27369122|nm11922182|jaden</x:v>
      </x:c>
      <x:c r="B299" s="14" t="str">
        <x:v>04</x:v>
      </x:c>
      <x:c r="C299" s="14" t="str">
        <x:v>2023_IMDb_Cast_Lists_Batch_04(2).xlsx</x:v>
      </x:c>
      <x:c r="D299" s="14" t="str">
        <x:v>The Couple Next Door</x:v>
      </x:c>
      <x:c r="E299" s="14" t="n">
        <x:v>27</x:v>
      </x:c>
      <x:c r="F299" s="14" t="str">
        <x:v>The Couple Next Door</x:v>
      </x:c>
      <x:c r="G299" s="14" t="str">
        <x:v>tt27369122</x:v>
      </x:c>
      <x:c r="H299" s="14" t="n">
        <x:v>2023</x:v>
      </x:c>
      <x:c r="I299" s="14" t="n">
        <x:v>2025</x:v>
      </x:c>
      <x:c r="J299" s="14" t="str">
        <x:v>Earlier-Production Carry-In Cohort</x:v>
      </x:c>
      <x:c r="K299" s="14" t="n">
        <x:v>2023</x:v>
      </x:c>
      <x:c r="L299" s="14" t="str">
        <x:v>Used in 2025 annual analysis</x:v>
      </x:c>
      <x:c r="M299" s="15" t="n">
        <x:v>20</x:v>
      </x:c>
      <x:c r="N299" s="14" t="str">
        <x:v>Anthony Rickman</x:v>
      </x:c>
      <x:c r="O299" s="14" t="str">
        <x:v>nm11922182</x:v>
      </x:c>
      <x:c r="P299" s="14" t="str">
        <x:v>Jaden</x:v>
      </x:c>
      <x:c r="Q299" s="15" t="n">
        <x:v>5</x:v>
      </x:c>
      <x:c r="R299" s="14" t="str">
        <x:v>2025</x:v>
      </x:c>
      <x:c r="S299" s="14" t="n">
        <x:v>2025</x:v>
      </x:c>
      <x:c r="T299" s="14" t="n">
        <x:v>2025</x:v>
      </x:c>
      <x:c r="U299" s="14" t="str">
        <x:v>Explicit source first year retained</x:v>
      </x:c>
      <x:c r="V299" s="14" t="str">
        <x:v>Earliest supplied year is 2025.</x:v>
      </x:c>
      <x:c r="W299" s="14"/>
      <x:c r="X299" s="14" t="str">
        <x:v>Included</x:v>
      </x:c>
      <x:c r="Y299" s="14"/>
      <x:c r="Z299" s="14" t="str">
        <x:v>The Couple Next Door.docx</x:v>
      </x:c>
      <x:c r="AA299" s="14" t="str">
        <x:v>HYPERLINK is not implemented. linkLocation=https://www.imdb.com/title/tt27369122/fullcredits/,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Qualifying UK co-commission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qualifying uk co-commission.</x:v>
      </x:c>
      <x:c r="AM29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5</x:v>
      </x:c>
      <x:c r="BS299" s="16" t="n">
        <x:v>0.4166666666666667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4" t="str">
        <x:v>HYPERLINK is not implemented. linkLocation=https://www.imdb.com/title/tt27369122/fullcredits/,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tt27369122|nm0600439|yvonne</x:v>
      </x:c>
      <x:c r="B300" s="14" t="str">
        <x:v>04</x:v>
      </x:c>
      <x:c r="C300" s="14" t="str">
        <x:v>2023_IMDb_Cast_Lists_Batch_04(2).xlsx</x:v>
      </x:c>
      <x:c r="D300" s="14" t="str">
        <x:v>The Couple Next Door</x:v>
      </x:c>
      <x:c r="E300" s="14" t="n">
        <x:v>28</x:v>
      </x:c>
      <x:c r="F300" s="14" t="str">
        <x:v>The Couple Next Door</x:v>
      </x:c>
      <x:c r="G300" s="14" t="str">
        <x:v>tt27369122</x:v>
      </x:c>
      <x:c r="H300" s="14" t="n">
        <x:v>2023</x:v>
      </x:c>
      <x:c r="I300" s="14" t="n">
        <x:v>2025</x:v>
      </x:c>
      <x:c r="J300" s="14" t="str">
        <x:v>Earlier-Production Carry-In Cohort</x:v>
      </x:c>
      <x:c r="K300" s="14" t="n">
        <x:v>2023</x:v>
      </x:c>
      <x:c r="L300" s="14" t="str">
        <x:v>Used in 2025 annual analysis</x:v>
      </x:c>
      <x:c r="M300" s="15" t="n">
        <x:v>21</x:v>
      </x:c>
      <x:c r="N300" s="14" t="str">
        <x:v>Tanya Moodie</x:v>
      </x:c>
      <x:c r="O300" s="14" t="str">
        <x:v>nm0600439</x:v>
      </x:c>
      <x:c r="P300" s="14" t="str">
        <x:v>Yvonne</x:v>
      </x:c>
      <x:c r="Q300" s="15" t="n">
        <x:v>5</x:v>
      </x:c>
      <x:c r="R300" s="14" t="str">
        <x:v>2025</x:v>
      </x:c>
      <x:c r="S300" s="14" t="n">
        <x:v>2025</x:v>
      </x:c>
      <x:c r="T300" s="14" t="n">
        <x:v>2025</x:v>
      </x:c>
      <x:c r="U300" s="14" t="str">
        <x:v>Explicit source first year retained</x:v>
      </x:c>
      <x:c r="V300" s="14" t="str">
        <x:v>Earliest supplied year is 2025.</x:v>
      </x:c>
      <x:c r="W300" s="14"/>
      <x:c r="X300" s="14" t="str">
        <x:v>Included</x:v>
      </x:c>
      <x:c r="Y300" s="14"/>
      <x:c r="Z300" s="14" t="str">
        <x:v>The Couple Next Door.docx</x:v>
      </x:c>
      <x:c r="AA300" s="14" t="str">
        <x:v>HYPERLINK is not implemented. linkLocation=https://www.imdb.com/title/tt27369122/fullcredits/,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Qualifying UK co-commission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qualifying uk co-commission.</x:v>
      </x:c>
      <x:c r="AM30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5</x:v>
      </x:c>
      <x:c r="BS300" s="16" t="n">
        <x:v>0.4166666666666667</x:v>
      </x:c>
      <x:c r="BT300" s="14" t="str">
        <x:v>Minority of episodes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4" t="str">
        <x:v>HYPERLINK is not implemented. linkLocation=https://www.imdb.com/title/tt27369122/fullcredits/,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tt27369122|nm0788884|viraj</x:v>
      </x:c>
      <x:c r="B301" s="14" t="str">
        <x:v>04</x:v>
      </x:c>
      <x:c r="C301" s="14" t="str">
        <x:v>2023_IMDb_Cast_Lists_Batch_04(2).xlsx</x:v>
      </x:c>
      <x:c r="D301" s="14" t="str">
        <x:v>The Couple Next Door</x:v>
      </x:c>
      <x:c r="E301" s="14" t="n">
        <x:v>30</x:v>
      </x:c>
      <x:c r="F301" s="14" t="str">
        <x:v>The Couple Next Door</x:v>
      </x:c>
      <x:c r="G301" s="14" t="str">
        <x:v>tt27369122</x:v>
      </x:c>
      <x:c r="H301" s="14" t="n">
        <x:v>2023</x:v>
      </x:c>
      <x:c r="I301" s="14" t="n">
        <x:v>2025</x:v>
      </x:c>
      <x:c r="J301" s="14" t="str">
        <x:v>Earlier-Production Carry-In Cohort</x:v>
      </x:c>
      <x:c r="K301" s="14" t="n">
        <x:v>2023</x:v>
      </x:c>
      <x:c r="L301" s="14" t="str">
        <x:v>Used in 2025 annual analysis</x:v>
      </x:c>
      <x:c r="M301" s="15" t="n">
        <x:v>23</x:v>
      </x:c>
      <x:c r="N301" s="14" t="str">
        <x:v>Madhav Sharma</x:v>
      </x:c>
      <x:c r="O301" s="14" t="str">
        <x:v>nm0788884</x:v>
      </x:c>
      <x:c r="P301" s="14" t="str">
        <x:v>Viraj</x:v>
      </x:c>
      <x:c r="Q301" s="15" t="n">
        <x:v>4</x:v>
      </x:c>
      <x:c r="R301" s="14" t="str">
        <x:v>2025</x:v>
      </x:c>
      <x:c r="S301" s="14" t="n">
        <x:v>2025</x:v>
      </x:c>
      <x:c r="T301" s="14" t="n">
        <x:v>2025</x:v>
      </x:c>
      <x:c r="U301" s="14" t="str">
        <x:v>Explicit source first year retained</x:v>
      </x:c>
      <x:c r="V301" s="14" t="str">
        <x:v>Earliest supplied year is 2025.</x:v>
      </x:c>
      <x:c r="W301" s="14"/>
      <x:c r="X301" s="14" t="str">
        <x:v>Included</x:v>
      </x:c>
      <x:c r="Y301" s="14"/>
      <x:c r="Z301" s="14" t="str">
        <x:v>The Couple Next Door.docx</x:v>
      </x:c>
      <x:c r="AA301" s="14" t="str">
        <x:v>HYPERLINK is not implemented. linkLocation=https://www.imdb.com/title/tt27369122/fullcredits/,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Qualifying UK co-commission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qualifying uk co-commission.</x:v>
      </x:c>
      <x:c r="AM30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4</x:v>
      </x:c>
      <x:c r="BS301" s="16" t="n">
        <x:v>0.3333333333333333</x:v>
      </x:c>
      <x:c r="BT301" s="14" t="str">
        <x:v>Minority of episodes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4" t="str">
        <x:v>HYPERLINK is not implemented. linkLocation=https://www.imdb.com/title/tt27369122/fullcredits/,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tt27369122|nm6657090|brandon</x:v>
      </x:c>
      <x:c r="B302" s="14" t="str">
        <x:v>04</x:v>
      </x:c>
      <x:c r="C302" s="14" t="str">
        <x:v>2023_IMDb_Cast_Lists_Batch_04(2).xlsx</x:v>
      </x:c>
      <x:c r="D302" s="14" t="str">
        <x:v>The Couple Next Door</x:v>
      </x:c>
      <x:c r="E302" s="14" t="n">
        <x:v>31</x:v>
      </x:c>
      <x:c r="F302" s="14" t="str">
        <x:v>The Couple Next Door</x:v>
      </x:c>
      <x:c r="G302" s="14" t="str">
        <x:v>tt27369122</x:v>
      </x:c>
      <x:c r="H302" s="14" t="n">
        <x:v>2023</x:v>
      </x:c>
      <x:c r="I302" s="14" t="n">
        <x:v>2025</x:v>
      </x:c>
      <x:c r="J302" s="14" t="str">
        <x:v>Earlier-Production Carry-In Cohort</x:v>
      </x:c>
      <x:c r="K302" s="14" t="n">
        <x:v>2023</x:v>
      </x:c>
      <x:c r="L302" s="14" t="str">
        <x:v>Used in 2025 annual analysis</x:v>
      </x:c>
      <x:c r="M302" s="15" t="n">
        <x:v>24</x:v>
      </x:c>
      <x:c r="N302" s="14" t="str">
        <x:v>Barney White</x:v>
      </x:c>
      <x:c r="O302" s="14" t="str">
        <x:v>nm6657090</x:v>
      </x:c>
      <x:c r="P302" s="14" t="str">
        <x:v>Brandon</x:v>
      </x:c>
      <x:c r="Q302" s="15" t="n">
        <x:v>4</x:v>
      </x:c>
      <x:c r="R302" s="14" t="str">
        <x:v>2025</x:v>
      </x:c>
      <x:c r="S302" s="14" t="n">
        <x:v>2025</x:v>
      </x:c>
      <x:c r="T302" s="14" t="n">
        <x:v>2025</x:v>
      </x:c>
      <x:c r="U302" s="14" t="str">
        <x:v>Explicit source first year retained</x:v>
      </x:c>
      <x:c r="V302" s="14" t="str">
        <x:v>Earliest supplied year is 2025.</x:v>
      </x:c>
      <x:c r="W302" s="14"/>
      <x:c r="X302" s="14" t="str">
        <x:v>Included</x:v>
      </x:c>
      <x:c r="Y302" s="14"/>
      <x:c r="Z302" s="14" t="str">
        <x:v>The Couple Next Door.docx</x:v>
      </x:c>
      <x:c r="AA302" s="14" t="str">
        <x:v>HYPERLINK is not implemented. linkLocation=https://www.imdb.com/title/tt27369122/fullcredits/,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4 / E4</x:v>
      </x:c>
      <x:c r="AI302" s="14" t="str">
        <x:v>Qualifying UK co-commission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qualifying uk co-commission.</x:v>
      </x:c>
      <x:c r="AM30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4</x:v>
      </x:c>
      <x:c r="BS302" s="16" t="n">
        <x:v>0.3333333333333333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4" t="str">
        <x:v>HYPERLINK is not implemented. linkLocation=https://www.imdb.com/title/tt27369122/fullcredits/,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tt27369122|nm7478688|amber</x:v>
      </x:c>
      <x:c r="B303" s="14" t="str">
        <x:v>04</x:v>
      </x:c>
      <x:c r="C303" s="14" t="str">
        <x:v>2023_IMDb_Cast_Lists_Batch_04(2).xlsx</x:v>
      </x:c>
      <x:c r="D303" s="14" t="str">
        <x:v>The Couple Next Door</x:v>
      </x:c>
      <x:c r="E303" s="14" t="n">
        <x:v>33</x:v>
      </x:c>
      <x:c r="F303" s="14" t="str">
        <x:v>The Couple Next Door</x:v>
      </x:c>
      <x:c r="G303" s="14" t="str">
        <x:v>tt27369122</x:v>
      </x:c>
      <x:c r="H303" s="14" t="n">
        <x:v>2023</x:v>
      </x:c>
      <x:c r="I303" s="14" t="n">
        <x:v>2025</x:v>
      </x:c>
      <x:c r="J303" s="14" t="str">
        <x:v>Earlier-Production Carry-In Cohort</x:v>
      </x:c>
      <x:c r="K303" s="14" t="n">
        <x:v>2023</x:v>
      </x:c>
      <x:c r="L303" s="14" t="str">
        <x:v>Used in 2025 annual analysis</x:v>
      </x:c>
      <x:c r="M303" s="15" t="n">
        <x:v>26</x:v>
      </x:c>
      <x:c r="N303" s="14" t="str">
        <x:v>Amy Trigg</x:v>
      </x:c>
      <x:c r="O303" s="14" t="str">
        <x:v>nm7478688</x:v>
      </x:c>
      <x:c r="P303" s="14" t="str">
        <x:v>Amber</x:v>
      </x:c>
      <x:c r="Q303" s="15" t="n">
        <x:v>4</x:v>
      </x:c>
      <x:c r="R303" s="14" t="str">
        <x:v>2025</x:v>
      </x:c>
      <x:c r="S303" s="14" t="n">
        <x:v>2025</x:v>
      </x:c>
      <x:c r="T303" s="14" t="n">
        <x:v>2025</x:v>
      </x:c>
      <x:c r="U303" s="14" t="str">
        <x:v>Explicit source first year retained</x:v>
      </x:c>
      <x:c r="V303" s="14" t="str">
        <x:v>Earliest supplied year is 2025.</x:v>
      </x:c>
      <x:c r="W303" s="14"/>
      <x:c r="X303" s="14" t="str">
        <x:v>Included</x:v>
      </x:c>
      <x:c r="Y303" s="14"/>
      <x:c r="Z303" s="14" t="str">
        <x:v>The Couple Next Door.docx</x:v>
      </x:c>
      <x:c r="AA303" s="14" t="str">
        <x:v>HYPERLINK is not implemented. linkLocation=https://www.imdb.com/title/tt27369122/fullcredits/, friendlyName=Open source</x:v>
      </x:c>
      <x:c r="AB303" s="14" t="str">
        <x:v>Existing established-register match</x:v>
      </x:c>
      <x:c r="AC303" s="14" t="str">
        <x:v>Wheelchair user | Physical disability</x:v>
      </x:c>
      <x:c r="AD303" s="14" t="str">
        <x:v>Existing register classification: Wheelchair user | Physical disability</x:v>
      </x:c>
      <x:c r="AE303" s="14" t="str">
        <x:v>Established_Disability_Category_Register V1.2.xlsx</x:v>
      </x:c>
      <x:c r="AF303" s="14"/>
      <x:c r="AG303" s="14" t="str">
        <x:v>Established user-supplied classification retained for deduplication; evidence was not re-researched in this batch.</x:v>
      </x:c>
      <x:c r="AH303" s="14" t="str">
        <x:v>Channel 4 / E4</x:v>
      </x:c>
      <x:c r="AI303" s="14" t="str">
        <x:v>Qualifying UK co-commission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qualifying uk co-commission.</x:v>
      </x:c>
      <x:c r="AM30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Exact IMDb performer ID match</x:v>
      </x:c>
      <x:c r="AT303" s="14" t="str">
        <x:v>nm7478688</x:v>
      </x:c>
      <x:c r="AU303" s="14" t="str">
        <x:v>Wheelchair user | Physical disability</x:v>
      </x:c>
      <x:c r="AV303" s="14" t="str">
        <x:v>Yes</x:v>
      </x:c>
      <x:c r="AW303" s="14" t="str">
        <x:v>Wheelchair user | Physical disability</x:v>
      </x:c>
      <x:c r="AX303" s="14" t="str">
        <x:v>No</x:v>
      </x:c>
      <x:c r="AY303" s="14" t="str">
        <x:v>Matched</x:v>
      </x:c>
      <x:c r="AZ303" s="14" t="str">
        <x:v>Final supplied register</x:v>
      </x:c>
      <x:c r="BA303" s="14"/>
      <x:c r="BB303" s="14" t="str">
        <x:v>Exact IMDb performer ID match</x:v>
      </x:c>
      <x:c r="BC303" s="14" t="str">
        <x:v>nm7478688</x:v>
      </x:c>
      <x:c r="BD303" s="14" t="str">
        <x:v>Amy Trigg</x:v>
      </x:c>
      <x:c r="BE303" s="14" t="str">
        <x:v>Wheelchair user | Physical disability</x:v>
      </x:c>
      <x:c r="BF303" s="14" t="str">
        <x:v>Yes</x:v>
      </x:c>
      <x:c r="BG303" s="14" t="str">
        <x:v>Wheelchair user | Physical disability</x:v>
      </x:c>
      <x:c r="BH303" s="14" t="str">
        <x:v>No</x:v>
      </x:c>
      <x:c r="BI303" s="14" t="str">
        <x:v>User-supplied established classification</x:v>
      </x:c>
      <x:c r="BJ303" s="14" t="str">
        <x:v>03_Wheelchair_user.csv | 04_Physical_disability.csv</x:v>
      </x:c>
      <x:c r="BK303" s="14"/>
      <x:c r="BL303" s="14" t="str">
        <x:v>Matched</x:v>
      </x:c>
      <x:c r="BM303" s="14" t="str">
        <x:v>Final supplied register</x:v>
      </x:c>
      <x:c r="BN303" s="14"/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4</x:v>
      </x:c>
      <x:c r="BS303" s="16" t="n">
        <x:v>0.3333333333333333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4" t="str">
        <x:v>HYPERLINK is not implemented. linkLocation=https://www.imdb.com/title/tt27369122/fullcredits/,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tt27369122|nm5937421|alyssa</x:v>
      </x:c>
      <x:c r="B304" s="14" t="str">
        <x:v>04</x:v>
      </x:c>
      <x:c r="C304" s="14" t="str">
        <x:v>2023_IMDb_Cast_Lists_Batch_04(2).xlsx</x:v>
      </x:c>
      <x:c r="D304" s="14" t="str">
        <x:v>The Couple Next Door</x:v>
      </x:c>
      <x:c r="E304" s="14" t="n">
        <x:v>34</x:v>
      </x:c>
      <x:c r="F304" s="14" t="str">
        <x:v>The Couple Next Door</x:v>
      </x:c>
      <x:c r="G304" s="14" t="str">
        <x:v>tt27369122</x:v>
      </x:c>
      <x:c r="H304" s="14" t="n">
        <x:v>2023</x:v>
      </x:c>
      <x:c r="I304" s="14" t="n">
        <x:v>2025</x:v>
      </x:c>
      <x:c r="J304" s="14" t="str">
        <x:v>Earlier-Production Carry-In Cohort</x:v>
      </x:c>
      <x:c r="K304" s="14" t="n">
        <x:v>2023</x:v>
      </x:c>
      <x:c r="L304" s="14" t="str">
        <x:v>Used in 2025 annual analysis</x:v>
      </x:c>
      <x:c r="M304" s="15" t="n">
        <x:v>27</x:v>
      </x:c>
      <x:c r="N304" s="14" t="str">
        <x:v>Kristy Philipps</x:v>
      </x:c>
      <x:c r="O304" s="14" t="str">
        <x:v>nm5937421</x:v>
      </x:c>
      <x:c r="P304" s="14" t="str">
        <x:v>Alyssa</x:v>
      </x:c>
      <x:c r="Q304" s="15" t="n">
        <x:v>4</x:v>
      </x:c>
      <x:c r="R304" s="14" t="str">
        <x:v>2025</x:v>
      </x:c>
      <x:c r="S304" s="14" t="n">
        <x:v>2025</x:v>
      </x:c>
      <x:c r="T304" s="14" t="n">
        <x:v>2025</x:v>
      </x:c>
      <x:c r="U304" s="14" t="str">
        <x:v>Explicit source first year retained</x:v>
      </x:c>
      <x:c r="V304" s="14" t="str">
        <x:v>Earliest supplied year is 2025.</x:v>
      </x:c>
      <x:c r="W304" s="14"/>
      <x:c r="X304" s="14" t="str">
        <x:v>Included</x:v>
      </x:c>
      <x:c r="Y304" s="14"/>
      <x:c r="Z304" s="14" t="str">
        <x:v>The Couple Next Door.docx</x:v>
      </x:c>
      <x:c r="AA304" s="14" t="str">
        <x:v>HYPERLINK is not implemented. linkLocation=https://www.imdb.com/title/tt27369122/fullcredits/,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4 / E4</x:v>
      </x:c>
      <x:c r="AI304" s="14" t="str">
        <x:v>Qualifying UK co-commission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qualifying uk co-commission.</x:v>
      </x:c>
      <x:c r="AM30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4</x:v>
      </x:c>
      <x:c r="BS304" s="16" t="n">
        <x:v>0.3333333333333333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4" t="str">
        <x:v>HYPERLINK is not implemented. linkLocation=https://www.imdb.com/title/tt27369122/fullcredits/,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tt27369122|nm0712575|henry</x:v>
      </x:c>
      <x:c r="B305" s="14" t="str">
        <x:v>04</x:v>
      </x:c>
      <x:c r="C305" s="14" t="str">
        <x:v>2023_IMDb_Cast_Lists_Batch_04(2).xlsx</x:v>
      </x:c>
      <x:c r="D305" s="14" t="str">
        <x:v>The Couple Next Door</x:v>
      </x:c>
      <x:c r="E305" s="14" t="n">
        <x:v>35</x:v>
      </x:c>
      <x:c r="F305" s="14" t="str">
        <x:v>The Couple Next Door</x:v>
      </x:c>
      <x:c r="G305" s="14" t="str">
        <x:v>tt27369122</x:v>
      </x:c>
      <x:c r="H305" s="14" t="n">
        <x:v>2023</x:v>
      </x:c>
      <x:c r="I305" s="14" t="n">
        <x:v>2025</x:v>
      </x:c>
      <x:c r="J305" s="14" t="str">
        <x:v>Earlier-Production Carry-In Cohort</x:v>
      </x:c>
      <x:c r="K305" s="14" t="n">
        <x:v>2023</x:v>
      </x:c>
      <x:c r="L305" s="14" t="str">
        <x:v>Used in 2025 annual analysis</x:v>
      </x:c>
      <x:c r="M305" s="15" t="n">
        <x:v>28</x:v>
      </x:c>
      <x:c r="N305" s="14" t="str">
        <x:v>Jeff Rawle</x:v>
      </x:c>
      <x:c r="O305" s="14" t="str">
        <x:v>nm0712575</x:v>
      </x:c>
      <x:c r="P305" s="14" t="str">
        <x:v>Henry</x:v>
      </x:c>
      <x:c r="Q305" s="15" t="n">
        <x:v>4</x:v>
      </x:c>
      <x:c r="R305" s="14" t="str">
        <x:v>2025</x:v>
      </x:c>
      <x:c r="S305" s="14" t="n">
        <x:v>2025</x:v>
      </x:c>
      <x:c r="T305" s="14" t="n">
        <x:v>2025</x:v>
      </x:c>
      <x:c r="U305" s="14" t="str">
        <x:v>Explicit source first year retained</x:v>
      </x:c>
      <x:c r="V305" s="14" t="str">
        <x:v>Earliest supplied year is 2025.</x:v>
      </x:c>
      <x:c r="W305" s="14"/>
      <x:c r="X305" s="14" t="str">
        <x:v>Included</x:v>
      </x:c>
      <x:c r="Y305" s="14"/>
      <x:c r="Z305" s="14" t="str">
        <x:v>The Couple Next Door.docx</x:v>
      </x:c>
      <x:c r="AA305" s="14" t="str">
        <x:v>HYPERLINK is not implemented. linkLocation=https://www.imdb.com/title/tt27369122/fullcredits/,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4 / E4</x:v>
      </x:c>
      <x:c r="AI305" s="14" t="str">
        <x:v>Qualifying UK co-commission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qualifying uk co-commission.</x:v>
      </x:c>
      <x:c r="AM30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4</x:v>
      </x:c>
      <x:c r="BS305" s="16" t="n">
        <x:v>0.3333333333333333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4" t="str">
        <x:v>HYPERLINK is not implemented. linkLocation=https://www.imdb.com/title/tt27369122/fullcredits/,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tt27369122|nm6704097|kali</x:v>
      </x:c>
      <x:c r="B306" s="14" t="str">
        <x:v>04</x:v>
      </x:c>
      <x:c r="C306" s="14" t="str">
        <x:v>2023_IMDb_Cast_Lists_Batch_04(2).xlsx</x:v>
      </x:c>
      <x:c r="D306" s="14" t="str">
        <x:v>The Couple Next Door</x:v>
      </x:c>
      <x:c r="E306" s="14" t="n">
        <x:v>37</x:v>
      </x:c>
      <x:c r="F306" s="14" t="str">
        <x:v>The Couple Next Door</x:v>
      </x:c>
      <x:c r="G306" s="14" t="str">
        <x:v>tt27369122</x:v>
      </x:c>
      <x:c r="H306" s="14" t="n">
        <x:v>2023</x:v>
      </x:c>
      <x:c r="I306" s="14" t="n">
        <x:v>2025</x:v>
      </x:c>
      <x:c r="J306" s="14" t="str">
        <x:v>Earlier-Production Carry-In Cohort</x:v>
      </x:c>
      <x:c r="K306" s="14" t="n">
        <x:v>2023</x:v>
      </x:c>
      <x:c r="L306" s="14" t="str">
        <x:v>Used in 2025 annual analysis</x:v>
      </x:c>
      <x:c r="M306" s="15" t="n">
        <x:v>30</x:v>
      </x:c>
      <x:c r="N306" s="14" t="str">
        <x:v>Saskia Rose</x:v>
      </x:c>
      <x:c r="O306" s="14" t="str">
        <x:v>nm6704097</x:v>
      </x:c>
      <x:c r="P306" s="14" t="str">
        <x:v>Kali</x:v>
      </x:c>
      <x:c r="Q306" s="15" t="n">
        <x:v>3</x:v>
      </x:c>
      <x:c r="R306" s="14" t="str">
        <x:v>2025</x:v>
      </x:c>
      <x:c r="S306" s="14" t="n">
        <x:v>2025</x:v>
      </x:c>
      <x:c r="T306" s="14" t="n">
        <x:v>2025</x:v>
      </x:c>
      <x:c r="U306" s="14" t="str">
        <x:v>Explicit source first year retained</x:v>
      </x:c>
      <x:c r="V306" s="14" t="str">
        <x:v>Earliest supplied year is 2025.</x:v>
      </x:c>
      <x:c r="W306" s="14"/>
      <x:c r="X306" s="14" t="str">
        <x:v>Included</x:v>
      </x:c>
      <x:c r="Y306" s="14"/>
      <x:c r="Z306" s="14" t="str">
        <x:v>The Couple Next Door.docx</x:v>
      </x:c>
      <x:c r="AA306" s="14" t="str">
        <x:v>HYPERLINK is not implemented. linkLocation=https://www.imdb.com/title/tt27369122/fullcredits/,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4 / E4</x:v>
      </x:c>
      <x:c r="AI306" s="14" t="str">
        <x:v>Qualifying UK co-commission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qualifying uk co-commission.</x:v>
      </x:c>
      <x:c r="AM30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3</x:v>
      </x:c>
      <x:c r="BS306" s="16" t="n">
        <x:v>0.25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4" t="str">
        <x:v>HYPERLINK is not implemented. linkLocation=https://www.imdb.com/title/tt27369122/fullcredits/,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tt27369122|nm14908775|care home manager</x:v>
      </x:c>
      <x:c r="B307" s="14" t="str">
        <x:v>04</x:v>
      </x:c>
      <x:c r="C307" s="14" t="str">
        <x:v>2023_IMDb_Cast_Lists_Batch_04(2).xlsx</x:v>
      </x:c>
      <x:c r="D307" s="14" t="str">
        <x:v>The Couple Next Door</x:v>
      </x:c>
      <x:c r="E307" s="14" t="n">
        <x:v>51</x:v>
      </x:c>
      <x:c r="F307" s="14" t="str">
        <x:v>The Couple Next Door</x:v>
      </x:c>
      <x:c r="G307" s="14" t="str">
        <x:v>tt27369122</x:v>
      </x:c>
      <x:c r="H307" s="14" t="n">
        <x:v>2023</x:v>
      </x:c>
      <x:c r="I307" s="14" t="n">
        <x:v>2025</x:v>
      </x:c>
      <x:c r="J307" s="14" t="str">
        <x:v>Earlier-Production Carry-In Cohort</x:v>
      </x:c>
      <x:c r="K307" s="14" t="n">
        <x:v>2023</x:v>
      </x:c>
      <x:c r="L307" s="14" t="str">
        <x:v>Used in 2025 annual analysis</x:v>
      </x:c>
      <x:c r="M307" s="15" t="n">
        <x:v>44</x:v>
      </x:c>
      <x:c r="N307" s="14" t="str">
        <x:v>Bonnie Milnes</x:v>
      </x:c>
      <x:c r="O307" s="14" t="str">
        <x:v>nm14908775</x:v>
      </x:c>
      <x:c r="P307" s="14" t="str">
        <x:v>Care Home Manager</x:v>
      </x:c>
      <x:c r="Q307" s="15" t="n">
        <x:v>2</x:v>
      </x:c>
      <x:c r="R307" s="14" t="str">
        <x:v>2025</x:v>
      </x:c>
      <x:c r="S307" s="14" t="n">
        <x:v>2025</x:v>
      </x:c>
      <x:c r="T307" s="14" t="n">
        <x:v>2025</x:v>
      </x:c>
      <x:c r="U307" s="14" t="str">
        <x:v>Explicit source first year retained</x:v>
      </x:c>
      <x:c r="V307" s="14" t="str">
        <x:v>Earliest supplied year is 2025.</x:v>
      </x:c>
      <x:c r="W307" s="14"/>
      <x:c r="X307" s="14" t="str">
        <x:v>Included</x:v>
      </x:c>
      <x:c r="Y307" s="14"/>
      <x:c r="Z307" s="14" t="str">
        <x:v>The Couple Next Door.docx</x:v>
      </x:c>
      <x:c r="AA307" s="14" t="str">
        <x:v>HYPERLINK is not implemented. linkLocation=https://www.imdb.com/title/tt27369122/fullcredits/,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4 / E4</x:v>
      </x:c>
      <x:c r="AI307" s="14" t="str">
        <x:v>Qualifying UK co-commission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qualifying uk co-commission.</x:v>
      </x:c>
      <x:c r="AM30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2</x:v>
      </x:c>
      <x:c r="BS307" s="16" t="n">
        <x:v>0.16666666666666666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4" t="str">
        <x:v>HYPERLINK is not implemented. linkLocation=https://www.imdb.com/title/tt27369122/fullcredits/,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tt27369122|nm1800937|anka</x:v>
      </x:c>
      <x:c r="B308" s="14" t="str">
        <x:v>04</x:v>
      </x:c>
      <x:c r="C308" s="14" t="str">
        <x:v>2023_IMDb_Cast_Lists_Batch_04(2).xlsx</x:v>
      </x:c>
      <x:c r="D308" s="14" t="str">
        <x:v>The Couple Next Door</x:v>
      </x:c>
      <x:c r="E308" s="14" t="n">
        <x:v>57</x:v>
      </x:c>
      <x:c r="F308" s="14" t="str">
        <x:v>The Couple Next Door</x:v>
      </x:c>
      <x:c r="G308" s="14" t="str">
        <x:v>tt27369122</x:v>
      </x:c>
      <x:c r="H308" s="14" t="n">
        <x:v>2023</x:v>
      </x:c>
      <x:c r="I308" s="14" t="n">
        <x:v>2025</x:v>
      </x:c>
      <x:c r="J308" s="14" t="str">
        <x:v>Earlier-Production Carry-In Cohort</x:v>
      </x:c>
      <x:c r="K308" s="14" t="n">
        <x:v>2023</x:v>
      </x:c>
      <x:c r="L308" s="14" t="str">
        <x:v>Used in 2025 annual analysis</x:v>
      </x:c>
      <x:c r="M308" s="15" t="n">
        <x:v>50</x:v>
      </x:c>
      <x:c r="N308" s="14" t="str">
        <x:v>Dagmar Operskalski</x:v>
      </x:c>
      <x:c r="O308" s="14" t="str">
        <x:v>nm1800937</x:v>
      </x:c>
      <x:c r="P308" s="14" t="str">
        <x:v>Anka</x:v>
      </x:c>
      <x:c r="Q308" s="15" t="n">
        <x:v>1</x:v>
      </x:c>
      <x:c r="R308" s="14" t="str">
        <x:v>2025</x:v>
      </x:c>
      <x:c r="S308" s="14" t="n">
        <x:v>2025</x:v>
      </x:c>
      <x:c r="T308" s="14" t="n">
        <x:v>2025</x:v>
      </x:c>
      <x:c r="U308" s="14" t="str">
        <x:v>Explicit source first year retained</x:v>
      </x:c>
      <x:c r="V308" s="14" t="str">
        <x:v>Earliest supplied year is 2025.</x:v>
      </x:c>
      <x:c r="W308" s="14"/>
      <x:c r="X308" s="14" t="str">
        <x:v>Included</x:v>
      </x:c>
      <x:c r="Y308" s="14"/>
      <x:c r="Z308" s="14" t="str">
        <x:v>The Couple Next Door.docx</x:v>
      </x:c>
      <x:c r="AA308" s="14" t="str">
        <x:v>HYPERLINK is not implemented. linkLocation=https://www.imdb.com/title/tt27369122/fullcredits/,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4 / E4</x:v>
      </x:c>
      <x:c r="AI308" s="14" t="str">
        <x:v>Qualifying UK co-commission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qualifying uk co-commission.</x:v>
      </x:c>
      <x:c r="AM30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1</x:v>
      </x:c>
      <x:c r="BS308" s="16" t="n">
        <x:v>0.08333333333333333</x:v>
      </x:c>
      <x:c r="BT308" s="14" t="str">
        <x:v>One episode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4" t="str">
        <x:v>HYPERLINK is not implemented. linkLocation=https://www.imdb.com/title/tt27369122/fullcredits/,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tt27369122|nm17449475|case worker</x:v>
      </x:c>
      <x:c r="B309" s="14" t="str">
        <x:v>04</x:v>
      </x:c>
      <x:c r="C309" s="14" t="str">
        <x:v>2023_IMDb_Cast_Lists_Batch_04(2).xlsx</x:v>
      </x:c>
      <x:c r="D309" s="14" t="str">
        <x:v>The Couple Next Door</x:v>
      </x:c>
      <x:c r="E309" s="14" t="n">
        <x:v>58</x:v>
      </x:c>
      <x:c r="F309" s="14" t="str">
        <x:v>The Couple Next Door</x:v>
      </x:c>
      <x:c r="G309" s="14" t="str">
        <x:v>tt27369122</x:v>
      </x:c>
      <x:c r="H309" s="14" t="n">
        <x:v>2023</x:v>
      </x:c>
      <x:c r="I309" s="14" t="n">
        <x:v>2025</x:v>
      </x:c>
      <x:c r="J309" s="14" t="str">
        <x:v>Earlier-Production Carry-In Cohort</x:v>
      </x:c>
      <x:c r="K309" s="14" t="n">
        <x:v>2023</x:v>
      </x:c>
      <x:c r="L309" s="14" t="str">
        <x:v>Used in 2025 annual analysis</x:v>
      </x:c>
      <x:c r="M309" s="15" t="n">
        <x:v>51</x:v>
      </x:c>
      <x:c r="N309" s="14" t="str">
        <x:v>Esthel Davidsen</x:v>
      </x:c>
      <x:c r="O309" s="14" t="str">
        <x:v>nm17449475</x:v>
      </x:c>
      <x:c r="P309" s="14" t="str">
        <x:v>Case Worker</x:v>
      </x:c>
      <x:c r="Q309" s="15" t="n">
        <x:v>1</x:v>
      </x:c>
      <x:c r="R309" s="14" t="str">
        <x:v>2025</x:v>
      </x:c>
      <x:c r="S309" s="14" t="n">
        <x:v>2025</x:v>
      </x:c>
      <x:c r="T309" s="14" t="n">
        <x:v>2025</x:v>
      </x:c>
      <x:c r="U309" s="14" t="str">
        <x:v>Explicit source first year retained</x:v>
      </x:c>
      <x:c r="V309" s="14" t="str">
        <x:v>Earliest supplied year is 2025.</x:v>
      </x:c>
      <x:c r="W309" s="14"/>
      <x:c r="X309" s="14" t="str">
        <x:v>Included</x:v>
      </x:c>
      <x:c r="Y309" s="14"/>
      <x:c r="Z309" s="14" t="str">
        <x:v>The Couple Next Door.docx</x:v>
      </x:c>
      <x:c r="AA309" s="14" t="str">
        <x:v>HYPERLINK is not implemented. linkLocation=https://www.imdb.com/title/tt27369122/fullcredits/,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4 / E4</x:v>
      </x:c>
      <x:c r="AI309" s="14" t="str">
        <x:v>Qualifying UK co-commission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qualifying uk co-commission.</x:v>
      </x:c>
      <x:c r="AM30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1</x:v>
      </x:c>
      <x:c r="BS309" s="16" t="n">
        <x:v>0.08333333333333333</x:v>
      </x:c>
      <x:c r="BT309" s="14" t="str">
        <x:v>One episode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4" t="str">
        <x:v>HYPERLINK is not implemented. linkLocation=https://www.imdb.com/title/tt27369122/fullcredits/,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tt27369122|nm3412606|receptionist</x:v>
      </x:c>
      <x:c r="B310" s="14" t="str">
        <x:v>04</x:v>
      </x:c>
      <x:c r="C310" s="14" t="str">
        <x:v>2023_IMDb_Cast_Lists_Batch_04(2).xlsx</x:v>
      </x:c>
      <x:c r="D310" s="14" t="str">
        <x:v>The Couple Next Door</x:v>
      </x:c>
      <x:c r="E310" s="14" t="n">
        <x:v>59</x:v>
      </x:c>
      <x:c r="F310" s="14" t="str">
        <x:v>The Couple Next Door</x:v>
      </x:c>
      <x:c r="G310" s="14" t="str">
        <x:v>tt27369122</x:v>
      </x:c>
      <x:c r="H310" s="14" t="n">
        <x:v>2023</x:v>
      </x:c>
      <x:c r="I310" s="14" t="n">
        <x:v>2025</x:v>
      </x:c>
      <x:c r="J310" s="14" t="str">
        <x:v>Earlier-Production Carry-In Cohort</x:v>
      </x:c>
      <x:c r="K310" s="14" t="n">
        <x:v>2023</x:v>
      </x:c>
      <x:c r="L310" s="14" t="str">
        <x:v>Used in 2025 annual analysis</x:v>
      </x:c>
      <x:c r="M310" s="15" t="n">
        <x:v>52</x:v>
      </x:c>
      <x:c r="N310" s="14" t="str">
        <x:v>Marit Stocker</x:v>
      </x:c>
      <x:c r="O310" s="14" t="str">
        <x:v>nm3412606</x:v>
      </x:c>
      <x:c r="P310" s="14" t="str">
        <x:v>Receptionist</x:v>
      </x:c>
      <x:c r="Q310" s="15" t="n">
        <x:v>1</x:v>
      </x:c>
      <x:c r="R310" s="14" t="str">
        <x:v>2025</x:v>
      </x:c>
      <x:c r="S310" s="14" t="n">
        <x:v>2025</x:v>
      </x:c>
      <x:c r="T310" s="14" t="n">
        <x:v>2025</x:v>
      </x:c>
      <x:c r="U310" s="14" t="str">
        <x:v>Explicit source first year retained</x:v>
      </x:c>
      <x:c r="V310" s="14" t="str">
        <x:v>Earliest supplied year is 2025.</x:v>
      </x:c>
      <x:c r="W310" s="14"/>
      <x:c r="X310" s="14" t="str">
        <x:v>Included</x:v>
      </x:c>
      <x:c r="Y310" s="14"/>
      <x:c r="Z310" s="14" t="str">
        <x:v>The Couple Next Door.docx</x:v>
      </x:c>
      <x:c r="AA310" s="14" t="str">
        <x:v>HYPERLINK is not implemented. linkLocation=https://www.imdb.com/title/tt27369122/fullcredits/,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4 / E4</x:v>
      </x:c>
      <x:c r="AI310" s="14" t="str">
        <x:v>Qualifying UK co-commission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qualifying uk co-commission.</x:v>
      </x:c>
      <x:c r="AM31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1</x:v>
      </x:c>
      <x:c r="BS310" s="16" t="n">
        <x:v>0.08333333333333333</x:v>
      </x:c>
      <x:c r="BT310" s="14" t="str">
        <x:v>One episode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4" t="str">
        <x:v>HYPERLINK is not implemented. linkLocation=https://www.imdb.com/title/tt27369122/fullcredits/,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tt27369122|nm0708436|alfie</x:v>
      </x:c>
      <x:c r="B311" s="14" t="str">
        <x:v>04</x:v>
      </x:c>
      <x:c r="C311" s="14" t="str">
        <x:v>2023_IMDb_Cast_Lists_Batch_04(2).xlsx</x:v>
      </x:c>
      <x:c r="D311" s="14" t="str">
        <x:v>The Couple Next Door</x:v>
      </x:c>
      <x:c r="E311" s="14" t="n">
        <x:v>61</x:v>
      </x:c>
      <x:c r="F311" s="14" t="str">
        <x:v>The Couple Next Door</x:v>
      </x:c>
      <x:c r="G311" s="14" t="str">
        <x:v>tt27369122</x:v>
      </x:c>
      <x:c r="H311" s="14" t="n">
        <x:v>2023</x:v>
      </x:c>
      <x:c r="I311" s="14" t="n">
        <x:v>2025</x:v>
      </x:c>
      <x:c r="J311" s="14" t="str">
        <x:v>Earlier-Production Carry-In Cohort</x:v>
      </x:c>
      <x:c r="K311" s="14" t="n">
        <x:v>2023</x:v>
      </x:c>
      <x:c r="L311" s="14" t="str">
        <x:v>Used in 2025 annual analysis</x:v>
      </x:c>
      <x:c r="M311" s="15" t="n">
        <x:v>54</x:v>
      </x:c>
      <x:c r="N311" s="14" t="str">
        <x:v>John Ramm</x:v>
      </x:c>
      <x:c r="O311" s="14" t="str">
        <x:v>nm0708436</x:v>
      </x:c>
      <x:c r="P311" s="14" t="str">
        <x:v>Alfie</x:v>
      </x:c>
      <x:c r="Q311" s="15" t="n">
        <x:v>1</x:v>
      </x:c>
      <x:c r="R311" s="14" t="str">
        <x:v>2025</x:v>
      </x:c>
      <x:c r="S311" s="14" t="n">
        <x:v>2025</x:v>
      </x:c>
      <x:c r="T311" s="14" t="n">
        <x:v>2025</x:v>
      </x:c>
      <x:c r="U311" s="14" t="str">
        <x:v>Explicit source first year retained</x:v>
      </x:c>
      <x:c r="V311" s="14" t="str">
        <x:v>Earliest supplied year is 2025.</x:v>
      </x:c>
      <x:c r="W311" s="14"/>
      <x:c r="X311" s="14" t="str">
        <x:v>Included</x:v>
      </x:c>
      <x:c r="Y311" s="14"/>
      <x:c r="Z311" s="14" t="str">
        <x:v>The Couple Next Door.docx</x:v>
      </x:c>
      <x:c r="AA311" s="14" t="str">
        <x:v>HYPERLINK is not implemented. linkLocation=https://www.imdb.com/title/tt27369122/fullcredits/,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4 / E4</x:v>
      </x:c>
      <x:c r="AI311" s="14" t="str">
        <x:v>Qualifying UK co-commission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qualifying uk co-commission.</x:v>
      </x:c>
      <x:c r="AM31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1</x:v>
      </x:c>
      <x:c r="BS311" s="16" t="n">
        <x:v>0.08333333333333333</x:v>
      </x:c>
      <x:c r="BT311" s="14" t="str">
        <x:v>One episode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4" t="str">
        <x:v>HYPERLINK is not implemented. linkLocation=https://www.imdb.com/title/tt27369122/fullcredits/,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tt27369122|nm2456166|tour guide</x:v>
      </x:c>
      <x:c r="B312" s="14" t="str">
        <x:v>04</x:v>
      </x:c>
      <x:c r="C312" s="14" t="str">
        <x:v>2023_IMDb_Cast_Lists_Batch_04(2).xlsx</x:v>
      </x:c>
      <x:c r="D312" s="14" t="str">
        <x:v>The Couple Next Door</x:v>
      </x:c>
      <x:c r="E312" s="14" t="n">
        <x:v>62</x:v>
      </x:c>
      <x:c r="F312" s="14" t="str">
        <x:v>The Couple Next Door</x:v>
      </x:c>
      <x:c r="G312" s="14" t="str">
        <x:v>tt27369122</x:v>
      </x:c>
      <x:c r="H312" s="14" t="n">
        <x:v>2023</x:v>
      </x:c>
      <x:c r="I312" s="14" t="n">
        <x:v>2025</x:v>
      </x:c>
      <x:c r="J312" s="14" t="str">
        <x:v>Earlier-Production Carry-In Cohort</x:v>
      </x:c>
      <x:c r="K312" s="14" t="n">
        <x:v>2023</x:v>
      </x:c>
      <x:c r="L312" s="14" t="str">
        <x:v>Used in 2025 annual analysis</x:v>
      </x:c>
      <x:c r="M312" s="15" t="n">
        <x:v>55</x:v>
      </x:c>
      <x:c r="N312" s="14" t="str">
        <x:v>Tanguy Ottomer</x:v>
      </x:c>
      <x:c r="O312" s="14" t="str">
        <x:v>nm2456166</x:v>
      </x:c>
      <x:c r="P312" s="14" t="str">
        <x:v>Tour Guide</x:v>
      </x:c>
      <x:c r="Q312" s="15" t="n">
        <x:v>1</x:v>
      </x:c>
      <x:c r="R312" s="14" t="str">
        <x:v>2025</x:v>
      </x:c>
      <x:c r="S312" s="14" t="n">
        <x:v>2025</x:v>
      </x:c>
      <x:c r="T312" s="14" t="n">
        <x:v>2025</x:v>
      </x:c>
      <x:c r="U312" s="14" t="str">
        <x:v>Explicit source first year retained</x:v>
      </x:c>
      <x:c r="V312" s="14" t="str">
        <x:v>Earliest supplied year is 2025.</x:v>
      </x:c>
      <x:c r="W312" s="14"/>
      <x:c r="X312" s="14" t="str">
        <x:v>Included</x:v>
      </x:c>
      <x:c r="Y312" s="14"/>
      <x:c r="Z312" s="14" t="str">
        <x:v>The Couple Next Door.docx</x:v>
      </x:c>
      <x:c r="AA312" s="14" t="str">
        <x:v>HYPERLINK is not implemented. linkLocation=https://www.imdb.com/title/tt27369122/fullcredits/,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4 / E4</x:v>
      </x:c>
      <x:c r="AI312" s="14" t="str">
        <x:v>Qualifying UK co-commission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qualifying uk co-commission.</x:v>
      </x:c>
      <x:c r="AM31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1</x:v>
      </x:c>
      <x:c r="BS312" s="16" t="n">
        <x:v>0.08333333333333333</x:v>
      </x:c>
      <x:c r="BT312" s="14" t="str">
        <x:v>One episode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4" t="str">
        <x:v>HYPERLINK is not implemented. linkLocation=https://www.imdb.com/title/tt27369122/fullcredits/,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tt27369122|nm17025886|waiter</x:v>
      </x:c>
      <x:c r="B313" s="14" t="str">
        <x:v>04</x:v>
      </x:c>
      <x:c r="C313" s="14" t="str">
        <x:v>2023_IMDb_Cast_Lists_Batch_04(2).xlsx</x:v>
      </x:c>
      <x:c r="D313" s="14" t="str">
        <x:v>The Couple Next Door</x:v>
      </x:c>
      <x:c r="E313" s="14" t="n">
        <x:v>67</x:v>
      </x:c>
      <x:c r="F313" s="14" t="str">
        <x:v>The Couple Next Door</x:v>
      </x:c>
      <x:c r="G313" s="14" t="str">
        <x:v>tt27369122</x:v>
      </x:c>
      <x:c r="H313" s="14" t="n">
        <x:v>2023</x:v>
      </x:c>
      <x:c r="I313" s="14" t="n">
        <x:v>2025</x:v>
      </x:c>
      <x:c r="J313" s="14" t="str">
        <x:v>Earlier-Production Carry-In Cohort</x:v>
      </x:c>
      <x:c r="K313" s="14" t="n">
        <x:v>2023</x:v>
      </x:c>
      <x:c r="L313" s="14" t="str">
        <x:v>Used in 2025 annual analysis</x:v>
      </x:c>
      <x:c r="M313" s="15" t="n">
        <x:v>60</x:v>
      </x:c>
      <x:c r="N313" s="14" t="str">
        <x:v>Andreas Claushuis</x:v>
      </x:c>
      <x:c r="O313" s="14" t="str">
        <x:v>nm17025886</x:v>
      </x:c>
      <x:c r="P313" s="14" t="str">
        <x:v>Waiter</x:v>
      </x:c>
      <x:c r="Q313" s="15" t="n">
        <x:v>1</x:v>
      </x:c>
      <x:c r="R313" s="14" t="str">
        <x:v>2025</x:v>
      </x:c>
      <x:c r="S313" s="14" t="n">
        <x:v>2025</x:v>
      </x:c>
      <x:c r="T313" s="14" t="n">
        <x:v>2025</x:v>
      </x:c>
      <x:c r="U313" s="14" t="str">
        <x:v>Explicit source first year retained</x:v>
      </x:c>
      <x:c r="V313" s="14" t="str">
        <x:v>Earliest supplied year is 2025.</x:v>
      </x:c>
      <x:c r="W313" s="14"/>
      <x:c r="X313" s="14" t="str">
        <x:v>Included</x:v>
      </x:c>
      <x:c r="Y313" s="14"/>
      <x:c r="Z313" s="14" t="str">
        <x:v>The Couple Next Door.docx</x:v>
      </x:c>
      <x:c r="AA313" s="14" t="str">
        <x:v>HYPERLINK is not implemented. linkLocation=https://www.imdb.com/title/tt27369122/fullcredits/,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4 / E4</x:v>
      </x:c>
      <x:c r="AI313" s="14" t="str">
        <x:v>Qualifying UK co-commission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qualifying uk co-commission.</x:v>
      </x:c>
      <x:c r="AM31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1</x:v>
      </x:c>
      <x:c r="BS313" s="16" t="n">
        <x:v>0.08333333333333333</x:v>
      </x:c>
      <x:c r="BT313" s="14" t="str">
        <x:v>One episode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4" t="str">
        <x:v>HYPERLINK is not implemented. linkLocation=https://www.imdb.com/title/tt27369122/fullcredits/,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tt27369122|nm1469299|business woman</x:v>
      </x:c>
      <x:c r="B314" s="14" t="str">
        <x:v>04</x:v>
      </x:c>
      <x:c r="C314" s="14" t="str">
        <x:v>2023_IMDb_Cast_Lists_Batch_04(2).xlsx</x:v>
      </x:c>
      <x:c r="D314" s="14" t="str">
        <x:v>The Couple Next Door</x:v>
      </x:c>
      <x:c r="E314" s="14" t="n">
        <x:v>68</x:v>
      </x:c>
      <x:c r="F314" s="14" t="str">
        <x:v>The Couple Next Door</x:v>
      </x:c>
      <x:c r="G314" s="14" t="str">
        <x:v>tt27369122</x:v>
      </x:c>
      <x:c r="H314" s="14" t="n">
        <x:v>2023</x:v>
      </x:c>
      <x:c r="I314" s="14" t="n">
        <x:v>2025</x:v>
      </x:c>
      <x:c r="J314" s="14" t="str">
        <x:v>Earlier-Production Carry-In Cohort</x:v>
      </x:c>
      <x:c r="K314" s="14" t="n">
        <x:v>2023</x:v>
      </x:c>
      <x:c r="L314" s="14" t="str">
        <x:v>Used in 2025 annual analysis</x:v>
      </x:c>
      <x:c r="M314" s="15" t="n">
        <x:v>61</x:v>
      </x:c>
      <x:c r="N314" s="14" t="str">
        <x:v>Dianne Weller</x:v>
      </x:c>
      <x:c r="O314" s="14" t="str">
        <x:v>nm1469299</x:v>
      </x:c>
      <x:c r="P314" s="14" t="str">
        <x:v>Business Woman</x:v>
      </x:c>
      <x:c r="Q314" s="15" t="n">
        <x:v>1</x:v>
      </x:c>
      <x:c r="R314" s="14" t="str">
        <x:v>2025</x:v>
      </x:c>
      <x:c r="S314" s="14" t="n">
        <x:v>2025</x:v>
      </x:c>
      <x:c r="T314" s="14" t="n">
        <x:v>2025</x:v>
      </x:c>
      <x:c r="U314" s="14" t="str">
        <x:v>Explicit source first year retained</x:v>
      </x:c>
      <x:c r="V314" s="14" t="str">
        <x:v>Earliest supplied year is 2025.</x:v>
      </x:c>
      <x:c r="W314" s="14"/>
      <x:c r="X314" s="14" t="str">
        <x:v>Included</x:v>
      </x:c>
      <x:c r="Y314" s="14"/>
      <x:c r="Z314" s="14" t="str">
        <x:v>The Couple Next Door.docx</x:v>
      </x:c>
      <x:c r="AA314" s="14" t="str">
        <x:v>HYPERLINK is not implemented. linkLocation=https://www.imdb.com/title/tt27369122/fullcredits/,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4 / E4</x:v>
      </x:c>
      <x:c r="AI314" s="14" t="str">
        <x:v>Qualifying UK co-commission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qualifying uk co-commission.</x:v>
      </x:c>
      <x:c r="AM31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1</x:v>
      </x:c>
      <x:c r="BS314" s="16" t="n">
        <x:v>0.08333333333333333</x:v>
      </x:c>
      <x:c r="BT314" s="14" t="str">
        <x:v>One episode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4" t="str">
        <x:v>HYPERLINK is not implemented. linkLocation=https://www.imdb.com/title/tt27369122/fullcredits/,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tt27369122|nm15274674|norman</x:v>
      </x:c>
      <x:c r="B315" s="14" t="str">
        <x:v>04</x:v>
      </x:c>
      <x:c r="C315" s="14" t="str">
        <x:v>2023_IMDb_Cast_Lists_Batch_04(2).xlsx</x:v>
      </x:c>
      <x:c r="D315" s="14" t="str">
        <x:v>The Couple Next Door</x:v>
      </x:c>
      <x:c r="E315" s="14" t="n">
        <x:v>73</x:v>
      </x:c>
      <x:c r="F315" s="14" t="str">
        <x:v>The Couple Next Door</x:v>
      </x:c>
      <x:c r="G315" s="14" t="str">
        <x:v>tt27369122</x:v>
      </x:c>
      <x:c r="H315" s="14" t="n">
        <x:v>2023</x:v>
      </x:c>
      <x:c r="I315" s="14" t="n">
        <x:v>2025</x:v>
      </x:c>
      <x:c r="J315" s="14" t="str">
        <x:v>Earlier-Production Carry-In Cohort</x:v>
      </x:c>
      <x:c r="K315" s="14" t="n">
        <x:v>2023</x:v>
      </x:c>
      <x:c r="L315" s="14" t="str">
        <x:v>Used in 2025 annual analysis</x:v>
      </x:c>
      <x:c r="M315" s="15" t="n">
        <x:v>66</x:v>
      </x:c>
      <x:c r="N315" s="14" t="str">
        <x:v>Chris Brooker</x:v>
      </x:c>
      <x:c r="O315" s="14" t="str">
        <x:v>nm15274674</x:v>
      </x:c>
      <x:c r="P315" s="14" t="str">
        <x:v>Norman</x:v>
      </x:c>
      <x:c r="Q315" s="15" t="n">
        <x:v>1</x:v>
      </x:c>
      <x:c r="R315" s="14" t="str">
        <x:v>2025</x:v>
      </x:c>
      <x:c r="S315" s="14" t="n">
        <x:v>2025</x:v>
      </x:c>
      <x:c r="T315" s="14" t="n">
        <x:v>2025</x:v>
      </x:c>
      <x:c r="U315" s="14" t="str">
        <x:v>Explicit source first year retained</x:v>
      </x:c>
      <x:c r="V315" s="14" t="str">
        <x:v>Earliest supplied year is 2025.</x:v>
      </x:c>
      <x:c r="W315" s="14"/>
      <x:c r="X315" s="14" t="str">
        <x:v>Included</x:v>
      </x:c>
      <x:c r="Y315" s="14"/>
      <x:c r="Z315" s="14" t="str">
        <x:v>The Couple Next Door.docx</x:v>
      </x:c>
      <x:c r="AA315" s="14" t="str">
        <x:v>HYPERLINK is not implemented. linkLocation=https://www.imdb.com/title/tt27369122/fullcredits/,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4 / E4</x:v>
      </x:c>
      <x:c r="AI315" s="14" t="str">
        <x:v>Qualifying UK co-commission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qualifying uk co-commission.</x:v>
      </x:c>
      <x:c r="AM31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1</x:v>
      </x:c>
      <x:c r="BS315" s="16" t="n">
        <x:v>0.08333333333333333</x:v>
      </x:c>
      <x:c r="BT315" s="14" t="str">
        <x:v>One episode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4" t="str">
        <x:v>HYPERLINK is not implemented. linkLocation=https://www.imdb.com/title/tt27369122/fullcredits/,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tt27369122|nm0898377|malcolm</x:v>
      </x:c>
      <x:c r="B316" s="14" t="str">
        <x:v>04</x:v>
      </x:c>
      <x:c r="C316" s="14" t="str">
        <x:v>2023_IMDb_Cast_Lists_Batch_04(2).xlsx</x:v>
      </x:c>
      <x:c r="D316" s="14" t="str">
        <x:v>The Couple Next Door</x:v>
      </x:c>
      <x:c r="E316" s="14" t="n">
        <x:v>76</x:v>
      </x:c>
      <x:c r="F316" s="14" t="str">
        <x:v>The Couple Next Door</x:v>
      </x:c>
      <x:c r="G316" s="14" t="str">
        <x:v>tt27369122</x:v>
      </x:c>
      <x:c r="H316" s="14" t="n">
        <x:v>2023</x:v>
      </x:c>
      <x:c r="I316" s="14" t="n">
        <x:v>2025</x:v>
      </x:c>
      <x:c r="J316" s="14" t="str">
        <x:v>Earlier-Production Carry-In Cohort</x:v>
      </x:c>
      <x:c r="K316" s="14" t="n">
        <x:v>2023</x:v>
      </x:c>
      <x:c r="L316" s="14" t="str">
        <x:v>Used in 2025 annual analysis</x:v>
      </x:c>
      <x:c r="M316" s="15" t="n">
        <x:v>69</x:v>
      </x:c>
      <x:c r="N316" s="14" t="str">
        <x:v>Jay Villiers</x:v>
      </x:c>
      <x:c r="O316" s="14" t="str">
        <x:v>nm0898377</x:v>
      </x:c>
      <x:c r="P316" s="14" t="str">
        <x:v>Malcolm</x:v>
      </x:c>
      <x:c r="Q316" s="15" t="n">
        <x:v>1</x:v>
      </x:c>
      <x:c r="R316" s="14" t="str">
        <x:v>2025</x:v>
      </x:c>
      <x:c r="S316" s="14" t="n">
        <x:v>2025</x:v>
      </x:c>
      <x:c r="T316" s="14" t="n">
        <x:v>2025</x:v>
      </x:c>
      <x:c r="U316" s="14" t="str">
        <x:v>Explicit source first year retained</x:v>
      </x:c>
      <x:c r="V316" s="14" t="str">
        <x:v>Earliest supplied year is 2025.</x:v>
      </x:c>
      <x:c r="W316" s="14"/>
      <x:c r="X316" s="14" t="str">
        <x:v>Included</x:v>
      </x:c>
      <x:c r="Y316" s="14"/>
      <x:c r="Z316" s="14" t="str">
        <x:v>The Couple Next Door.docx</x:v>
      </x:c>
      <x:c r="AA316" s="14" t="str">
        <x:v>HYPERLINK is not implemented. linkLocation=https://www.imdb.com/title/tt27369122/fullcredits/,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4 / E4</x:v>
      </x:c>
      <x:c r="AI316" s="14" t="str">
        <x:v>Qualifying UK co-commission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qualifying uk co-commission.</x:v>
      </x:c>
      <x:c r="AM31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0.08333333333333333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4" t="str">
        <x:v>HYPERLINK is not implemented. linkLocation=https://www.imdb.com/title/tt27369122/fullcredits/,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tt27369122|nm17449476|community supervisor</x:v>
      </x:c>
      <x:c r="B317" s="14" t="str">
        <x:v>04</x:v>
      </x:c>
      <x:c r="C317" s="14" t="str">
        <x:v>2023_IMDb_Cast_Lists_Batch_04(2).xlsx</x:v>
      </x:c>
      <x:c r="D317" s="14" t="str">
        <x:v>The Couple Next Door</x:v>
      </x:c>
      <x:c r="E317" s="14" t="n">
        <x:v>81</x:v>
      </x:c>
      <x:c r="F317" s="14" t="str">
        <x:v>The Couple Next Door</x:v>
      </x:c>
      <x:c r="G317" s="14" t="str">
        <x:v>tt27369122</x:v>
      </x:c>
      <x:c r="H317" s="14" t="n">
        <x:v>2023</x:v>
      </x:c>
      <x:c r="I317" s="14" t="n">
        <x:v>2025</x:v>
      </x:c>
      <x:c r="J317" s="14" t="str">
        <x:v>Earlier-Production Carry-In Cohort</x:v>
      </x:c>
      <x:c r="K317" s="14" t="n">
        <x:v>2023</x:v>
      </x:c>
      <x:c r="L317" s="14" t="str">
        <x:v>Used in 2025 annual analysis</x:v>
      </x:c>
      <x:c r="M317" s="15" t="n">
        <x:v>74</x:v>
      </x:c>
      <x:c r="N317" s="14" t="str">
        <x:v>Simon Turner</x:v>
      </x:c>
      <x:c r="O317" s="14" t="str">
        <x:v>nm17449476</x:v>
      </x:c>
      <x:c r="P317" s="14" t="str">
        <x:v>Community Supervisor</x:v>
      </x:c>
      <x:c r="Q317" s="15" t="n">
        <x:v>1</x:v>
      </x:c>
      <x:c r="R317" s="14" t="str">
        <x:v>2025</x:v>
      </x:c>
      <x:c r="S317" s="14" t="n">
        <x:v>2025</x:v>
      </x:c>
      <x:c r="T317" s="14" t="n">
        <x:v>2025</x:v>
      </x:c>
      <x:c r="U317" s="14" t="str">
        <x:v>Explicit source first year retained</x:v>
      </x:c>
      <x:c r="V317" s="14" t="str">
        <x:v>Earliest supplied year is 2025.</x:v>
      </x:c>
      <x:c r="W317" s="14"/>
      <x:c r="X317" s="14" t="str">
        <x:v>Included</x:v>
      </x:c>
      <x:c r="Y317" s="14"/>
      <x:c r="Z317" s="14" t="str">
        <x:v>The Couple Next Door.docx</x:v>
      </x:c>
      <x:c r="AA317" s="14" t="str">
        <x:v>HYPERLINK is not implemented. linkLocation=https://www.imdb.com/title/tt27369122/fullcredits/,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4 / E4</x:v>
      </x:c>
      <x:c r="AI317" s="14" t="str">
        <x:v>Qualifying UK co-commission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qualifying uk co-commission.</x:v>
      </x:c>
      <x:c r="AM31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0.08333333333333333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4" t="str">
        <x:v>HYPERLINK is not implemented. linkLocation=https://www.imdb.com/title/tt27369122/fullcredits/,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tt27369122|nm6932252|norwegian journalist</x:v>
      </x:c>
      <x:c r="B318" s="14" t="str">
        <x:v>04</x:v>
      </x:c>
      <x:c r="C318" s="14" t="str">
        <x:v>2023_IMDb_Cast_Lists_Batch_04(2).xlsx</x:v>
      </x:c>
      <x:c r="D318" s="14" t="str">
        <x:v>The Couple Next Door</x:v>
      </x:c>
      <x:c r="E318" s="14" t="n">
        <x:v>85</x:v>
      </x:c>
      <x:c r="F318" s="14" t="str">
        <x:v>The Couple Next Door</x:v>
      </x:c>
      <x:c r="G318" s="14" t="str">
        <x:v>tt27369122</x:v>
      </x:c>
      <x:c r="H318" s="14" t="n">
        <x:v>2023</x:v>
      </x:c>
      <x:c r="I318" s="14" t="n">
        <x:v>2025</x:v>
      </x:c>
      <x:c r="J318" s="14" t="str">
        <x:v>Earlier-Production Carry-In Cohort</x:v>
      </x:c>
      <x:c r="K318" s="14" t="n">
        <x:v>2023</x:v>
      </x:c>
      <x:c r="L318" s="14" t="str">
        <x:v>Used in 2025 annual analysis</x:v>
      </x:c>
      <x:c r="M318" s="15" t="n">
        <x:v>78</x:v>
      </x:c>
      <x:c r="N318" s="14" t="str">
        <x:v>Nicholas Snyder</x:v>
      </x:c>
      <x:c r="O318" s="14" t="str">
        <x:v>nm6932252</x:v>
      </x:c>
      <x:c r="P318" s="14" t="str">
        <x:v>Norwegian Journalist</x:v>
      </x:c>
      <x:c r="Q318" s="15" t="n">
        <x:v>1</x:v>
      </x:c>
      <x:c r="R318" s="14" t="str">
        <x:v>2025</x:v>
      </x:c>
      <x:c r="S318" s="14" t="n">
        <x:v>2025</x:v>
      </x:c>
      <x:c r="T318" s="14" t="n">
        <x:v>2025</x:v>
      </x:c>
      <x:c r="U318" s="14" t="str">
        <x:v>Explicit source first year retained</x:v>
      </x:c>
      <x:c r="V318" s="14" t="str">
        <x:v>Earliest supplied year is 2025.</x:v>
      </x:c>
      <x:c r="W318" s="14"/>
      <x:c r="X318" s="14" t="str">
        <x:v>Included</x:v>
      </x:c>
      <x:c r="Y318" s="14"/>
      <x:c r="Z318" s="14" t="str">
        <x:v>The Couple Next Door.docx</x:v>
      </x:c>
      <x:c r="AA318" s="14" t="str">
        <x:v>HYPERLINK is not implemented. linkLocation=https://www.imdb.com/title/tt27369122/fullcredits/,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4 / E4</x:v>
      </x:c>
      <x:c r="AI318" s="14" t="str">
        <x:v>Qualifying UK co-commission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qualifying uk co-commission.</x:v>
      </x:c>
      <x:c r="AM31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4" t="str">
        <x:v>HYPERLINK is not implemented. linkLocation=https://www.imdb.com/title/tt27369122/fullcredits/,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tt14063678|nm1304386|tony lundy</x:v>
      </x:c>
      <x:c r="B319" s="14" t="str">
        <x:v>04</x:v>
      </x:c>
      <x:c r="C319" s="14" t="str">
        <x:v>2023_IMDb_Cast_Lists_Batch_04(2).xlsx</x:v>
      </x:c>
      <x:c r="D319" s="14" t="str">
        <x:v>The Gold</x:v>
      </x:c>
      <x:c r="E319" s="14" t="n">
        <x:v>19</x:v>
      </x:c>
      <x:c r="F319" s="14" t="str">
        <x:v>The Gold</x:v>
      </x:c>
      <x:c r="G319" s="14" t="str">
        <x:v>tt14063678</x:v>
      </x:c>
      <x:c r="H319" s="14" t="n">
        <x:v>2023</x:v>
      </x:c>
      <x:c r="I319" s="14" t="n">
        <x:v>2025</x:v>
      </x:c>
      <x:c r="J319" s="14" t="str">
        <x:v>Earlier-Production Carry-In Cohort</x:v>
      </x:c>
      <x:c r="K319" s="14" t="n">
        <x:v>2023</x:v>
      </x:c>
      <x:c r="L319" s="14" t="str">
        <x:v>Used in 2025 annual analysis</x:v>
      </x:c>
      <x:c r="M319" s="15" t="n">
        <x:v>12</x:v>
      </x:c>
      <x:c r="N319" s="14" t="str">
        <x:v>Stephen Campbell Moore</x:v>
      </x:c>
      <x:c r="O319" s="14" t="str">
        <x:v>nm1304386</x:v>
      </x:c>
      <x:c r="P319" s="14" t="str">
        <x:v>Tony Lundy</x:v>
      </x:c>
      <x:c r="Q319" s="15" t="n">
        <x:v>6</x:v>
      </x:c>
      <x:c r="R319" s="14" t="str">
        <x:v>2025</x:v>
      </x:c>
      <x:c r="S319" s="14" t="n">
        <x:v>2025</x:v>
      </x:c>
      <x:c r="T319" s="14" t="n">
        <x:v>2025</x:v>
      </x:c>
      <x:c r="U319" s="14" t="str">
        <x:v>Explicit source first year retained</x:v>
      </x:c>
      <x:c r="V319" s="14" t="str">
        <x:v>Earliest supplied year is 2025.</x:v>
      </x:c>
      <x:c r="W319" s="14"/>
      <x:c r="X319" s="14" t="str">
        <x:v>Included</x:v>
      </x:c>
      <x:c r="Y319" s="14"/>
      <x:c r="Z319" s="14" t="str">
        <x:v>The Gold.docx</x:v>
      </x:c>
      <x:c r="AA319" s="14" t="str">
        <x:v>HYPERLINK is not implemented. linkLocation=https://www.imdb.com/title/tt14063678/fullcredits/,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BBC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19" s="14" t="str">
        <x:v>BBC public-service commission</x:v>
      </x:c>
      <x:c r="AO319" s="14" t="str">
        <x:v>Yes</x:v>
      </x:c>
      <x:c r="AP319" s="14" t="str">
        <x:v>Direct BBC public-service scope</x:v>
      </x:c>
      <x:c r="AQ319" s="14" t="str">
        <x:v>Yes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6</x:v>
      </x:c>
      <x:c r="BS319" s="16" t="n">
        <x:v>0.5</x:v>
      </x:c>
      <x:c r="BT319" s="14" t="str">
        <x:v>Minority of episodes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4" t="str">
        <x:v>HYPERLINK is not implemented. linkLocation=https://www.imdb.com/title/tt14063678/fullcredits/,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tt14063678|nm3992182|douglas baxter</x:v>
      </x:c>
      <x:c r="B320" s="14" t="str">
        <x:v>04</x:v>
      </x:c>
      <x:c r="C320" s="14" t="str">
        <x:v>2023_IMDb_Cast_Lists_Batch_04(2).xlsx</x:v>
      </x:c>
      <x:c r="D320" s="14" t="str">
        <x:v>The Gold</x:v>
      </x:c>
      <x:c r="E320" s="14" t="n">
        <x:v>25</x:v>
      </x:c>
      <x:c r="F320" s="14" t="str">
        <x:v>The Gold</x:v>
      </x:c>
      <x:c r="G320" s="14" t="str">
        <x:v>tt14063678</x:v>
      </x:c>
      <x:c r="H320" s="14" t="n">
        <x:v>2023</x:v>
      </x:c>
      <x:c r="I320" s="14" t="n">
        <x:v>2025</x:v>
      </x:c>
      <x:c r="J320" s="14" t="str">
        <x:v>Earlier-Production Carry-In Cohort</x:v>
      </x:c>
      <x:c r="K320" s="14" t="n">
        <x:v>2023</x:v>
      </x:c>
      <x:c r="L320" s="14" t="str">
        <x:v>Used in 2025 annual analysis</x:v>
      </x:c>
      <x:c r="M320" s="15" t="n">
        <x:v>18</x:v>
      </x:c>
      <x:c r="N320" s="14" t="str">
        <x:v>Joshua McGuire</x:v>
      </x:c>
      <x:c r="O320" s="14" t="str">
        <x:v>nm3992182</x:v>
      </x:c>
      <x:c r="P320" s="14" t="str">
        <x:v>Douglas Baxter</x:v>
      </x:c>
      <x:c r="Q320" s="15" t="n">
        <x:v>5</x:v>
      </x:c>
      <x:c r="R320" s="14" t="str">
        <x:v>2025</x:v>
      </x:c>
      <x:c r="S320" s="14" t="n">
        <x:v>2025</x:v>
      </x:c>
      <x:c r="T320" s="14" t="n">
        <x:v>2025</x:v>
      </x:c>
      <x:c r="U320" s="14" t="str">
        <x:v>Explicit source first year retained</x:v>
      </x:c>
      <x:c r="V320" s="14" t="str">
        <x:v>Earliest supplied year is 2025.</x:v>
      </x:c>
      <x:c r="W320" s="14"/>
      <x:c r="X320" s="14" t="str">
        <x:v>Included</x:v>
      </x:c>
      <x:c r="Y320" s="14"/>
      <x:c r="Z320" s="14" t="str">
        <x:v>The Gold.docx</x:v>
      </x:c>
      <x:c r="AA320" s="14" t="str">
        <x:v>HYPERLINK is not implemented. linkLocation=https://www.imdb.com/title/tt14063678/fullcredits/,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BBC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0" s="14" t="str">
        <x:v>BBC public-service commission</x:v>
      </x:c>
      <x:c r="AO320" s="14" t="str">
        <x:v>Yes</x:v>
      </x:c>
      <x:c r="AP320" s="14" t="str">
        <x:v>Direct BBC public-service scope</x:v>
      </x:c>
      <x:c r="AQ320" s="14" t="str">
        <x:v>Yes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5</x:v>
      </x:c>
      <x:c r="BS320" s="16" t="n">
        <x:v>0.4166666666666667</x:v>
      </x:c>
      <x:c r="BT320" s="14" t="str">
        <x:v>Minority of episodes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4" t="str">
        <x:v>HYPERLINK is not implemented. linkLocation=https://www.imdb.com/title/tt14063678/fullcredits/,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tt14063678|nm4148614|enriqué</x:v>
      </x:c>
      <x:c r="B321" s="14" t="str">
        <x:v>04</x:v>
      </x:c>
      <x:c r="C321" s="14" t="str">
        <x:v>2023_IMDb_Cast_Lists_Batch_04(2).xlsx</x:v>
      </x:c>
      <x:c r="D321" s="14" t="str">
        <x:v>The Gold</x:v>
      </x:c>
      <x:c r="E321" s="14" t="n">
        <x:v>27</x:v>
      </x:c>
      <x:c r="F321" s="14" t="str">
        <x:v>The Gold</x:v>
      </x:c>
      <x:c r="G321" s="14" t="str">
        <x:v>tt14063678</x:v>
      </x:c>
      <x:c r="H321" s="14" t="n">
        <x:v>2023</x:v>
      </x:c>
      <x:c r="I321" s="14" t="n">
        <x:v>2025</x:v>
      </x:c>
      <x:c r="J321" s="14" t="str">
        <x:v>Earlier-Production Carry-In Cohort</x:v>
      </x:c>
      <x:c r="K321" s="14" t="n">
        <x:v>2023</x:v>
      </x:c>
      <x:c r="L321" s="14" t="str">
        <x:v>Used in 2025 annual analysis</x:v>
      </x:c>
      <x:c r="M321" s="15" t="n">
        <x:v>20</x:v>
      </x:c>
      <x:c r="N321" s="14" t="str">
        <x:v>Sean Teale</x:v>
      </x:c>
      <x:c r="O321" s="14" t="str">
        <x:v>nm4148614</x:v>
      </x:c>
      <x:c r="P321" s="14" t="str">
        <x:v>Enriqué</x:v>
      </x:c>
      <x:c r="Q321" s="15" t="n">
        <x:v>5</x:v>
      </x:c>
      <x:c r="R321" s="14" t="str">
        <x:v>2025</x:v>
      </x:c>
      <x:c r="S321" s="14" t="n">
        <x:v>2025</x:v>
      </x:c>
      <x:c r="T321" s="14" t="n">
        <x:v>2025</x:v>
      </x:c>
      <x:c r="U321" s="14" t="str">
        <x:v>Explicit source first year retained</x:v>
      </x:c>
      <x:c r="V321" s="14" t="str">
        <x:v>Earliest supplied year is 2025.</x:v>
      </x:c>
      <x:c r="W321" s="14"/>
      <x:c r="X321" s="14" t="str">
        <x:v>Included</x:v>
      </x:c>
      <x:c r="Y321" s="14"/>
      <x:c r="Z321" s="14" t="str">
        <x:v>The Gold.docx</x:v>
      </x:c>
      <x:c r="AA321" s="14" t="str">
        <x:v>HYPERLINK is not implemented. linkLocation=https://www.imdb.com/title/tt14063678/fullcredits/,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BBC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1" s="14" t="str">
        <x:v>BBC public-service commission</x:v>
      </x:c>
      <x:c r="AO321" s="14" t="str">
        <x:v>Yes</x:v>
      </x:c>
      <x:c r="AP321" s="14" t="str">
        <x:v>Direct BBC public-service scope</x:v>
      </x:c>
      <x:c r="AQ321" s="14" t="str">
        <x:v>Yes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5</x:v>
      </x:c>
      <x:c r="BS321" s="16" t="n">
        <x:v>0.4166666666666667</x:v>
      </x:c>
      <x:c r="BT321" s="14" t="str">
        <x:v>Minority of episodes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4" t="str">
        <x:v>HYPERLINK is not implemented. linkLocation=https://www.imdb.com/title/tt14063678/fullcredits/,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tt14063678|nm3433735|logan campbell</x:v>
      </x:c>
      <x:c r="B322" s="14" t="str">
        <x:v>04</x:v>
      </x:c>
      <x:c r="C322" s="14" t="str">
        <x:v>2023_IMDb_Cast_Lists_Batch_04(2).xlsx</x:v>
      </x:c>
      <x:c r="D322" s="14" t="str">
        <x:v>The Gold</x:v>
      </x:c>
      <x:c r="E322" s="14" t="n">
        <x:v>31</x:v>
      </x:c>
      <x:c r="F322" s="14" t="str">
        <x:v>The Gold</x:v>
      </x:c>
      <x:c r="G322" s="14" t="str">
        <x:v>tt14063678</x:v>
      </x:c>
      <x:c r="H322" s="14" t="n">
        <x:v>2023</x:v>
      </x:c>
      <x:c r="I322" s="14" t="n">
        <x:v>2025</x:v>
      </x:c>
      <x:c r="J322" s="14" t="str">
        <x:v>Earlier-Production Carry-In Cohort</x:v>
      </x:c>
      <x:c r="K322" s="14" t="n">
        <x:v>2023</x:v>
      </x:c>
      <x:c r="L322" s="14" t="str">
        <x:v>Used in 2025 annual analysis</x:v>
      </x:c>
      <x:c r="M322" s="15" t="n">
        <x:v>24</x:v>
      </x:c>
      <x:c r="N322" s="14" t="str">
        <x:v>Tom Hughes</x:v>
      </x:c>
      <x:c r="O322" s="14" t="str">
        <x:v>nm3433735</x:v>
      </x:c>
      <x:c r="P322" s="14" t="str">
        <x:v>Logan Campbell</x:v>
      </x:c>
      <x:c r="Q322" s="15" t="n">
        <x:v>4</x:v>
      </x:c>
      <x:c r="R322" s="14" t="str">
        <x:v>2025</x:v>
      </x:c>
      <x:c r="S322" s="14" t="n">
        <x:v>2025</x:v>
      </x:c>
      <x:c r="T322" s="14" t="n">
        <x:v>2025</x:v>
      </x:c>
      <x:c r="U322" s="14" t="str">
        <x:v>Explicit source first year retained</x:v>
      </x:c>
      <x:c r="V322" s="14" t="str">
        <x:v>Earliest supplied year is 2025.</x:v>
      </x:c>
      <x:c r="W322" s="14"/>
      <x:c r="X322" s="14" t="str">
        <x:v>Included</x:v>
      </x:c>
      <x:c r="Y322" s="14"/>
      <x:c r="Z322" s="14" t="str">
        <x:v>The Gold.docx</x:v>
      </x:c>
      <x:c r="AA322" s="14" t="str">
        <x:v>HYPERLINK is not implemented. linkLocation=https://www.imdb.com/title/tt14063678/fullcredits/,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BBC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2" s="14" t="str">
        <x:v>BBC public-service commission</x:v>
      </x:c>
      <x:c r="AO322" s="14" t="str">
        <x:v>Yes</x:v>
      </x:c>
      <x:c r="AP322" s="14" t="str">
        <x:v>Direct BBC public-service scope</x:v>
      </x:c>
      <x:c r="AQ322" s="14" t="str">
        <x:v>Yes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4</x:v>
      </x:c>
      <x:c r="BS322" s="16" t="n">
        <x:v>0.3333333333333333</x:v>
      </x:c>
      <x:c r="BT322" s="14" t="str">
        <x:v>Minority of episodes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4" t="str">
        <x:v>HYPERLINK is not implemented. linkLocation=https://www.imdb.com/title/tt14063678/fullcredits/,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tt14063678|nm1202600|gabriella lunez</x:v>
      </x:c>
      <x:c r="B323" s="14" t="str">
        <x:v>04</x:v>
      </x:c>
      <x:c r="C323" s="14" t="str">
        <x:v>2023_IMDb_Cast_Lists_Batch_04(2).xlsx</x:v>
      </x:c>
      <x:c r="D323" s="14" t="str">
        <x:v>The Gold</x:v>
      </x:c>
      <x:c r="E323" s="14" t="n">
        <x:v>32</x:v>
      </x:c>
      <x:c r="F323" s="14" t="str">
        <x:v>The Gold</x:v>
      </x:c>
      <x:c r="G323" s="14" t="str">
        <x:v>tt14063678</x:v>
      </x:c>
      <x:c r="H323" s="14" t="n">
        <x:v>2023</x:v>
      </x:c>
      <x:c r="I323" s="14" t="n">
        <x:v>2025</x:v>
      </x:c>
      <x:c r="J323" s="14" t="str">
        <x:v>Earlier-Production Carry-In Cohort</x:v>
      </x:c>
      <x:c r="K323" s="14" t="n">
        <x:v>2023</x:v>
      </x:c>
      <x:c r="L323" s="14" t="str">
        <x:v>Used in 2025 annual analysis</x:v>
      </x:c>
      <x:c r="M323" s="15" t="n">
        <x:v>25</x:v>
      </x:c>
      <x:c r="N323" s="14" t="str">
        <x:v>Madalena Alberto</x:v>
      </x:c>
      <x:c r="O323" s="14" t="str">
        <x:v>nm1202600</x:v>
      </x:c>
      <x:c r="P323" s="14" t="str">
        <x:v>Gabriella Lunez</x:v>
      </x:c>
      <x:c r="Q323" s="15" t="n">
        <x:v>4</x:v>
      </x:c>
      <x:c r="R323" s="14" t="str">
        <x:v>2025</x:v>
      </x:c>
      <x:c r="S323" s="14" t="n">
        <x:v>2025</x:v>
      </x:c>
      <x:c r="T323" s="14" t="n">
        <x:v>2025</x:v>
      </x:c>
      <x:c r="U323" s="14" t="str">
        <x:v>Explicit source first year retained</x:v>
      </x:c>
      <x:c r="V323" s="14" t="str">
        <x:v>Earliest supplied year is 2025.</x:v>
      </x:c>
      <x:c r="W323" s="14"/>
      <x:c r="X323" s="14" t="str">
        <x:v>Included</x:v>
      </x:c>
      <x:c r="Y323" s="14"/>
      <x:c r="Z323" s="14" t="str">
        <x:v>The Gold.docx</x:v>
      </x:c>
      <x:c r="AA323" s="14" t="str">
        <x:v>HYPERLINK is not implemented. linkLocation=https://www.imdb.com/title/tt14063678/fullcredits/,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BBC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3" s="14" t="str">
        <x:v>BBC public-service commission</x:v>
      </x:c>
      <x:c r="AO323" s="14" t="str">
        <x:v>Yes</x:v>
      </x:c>
      <x:c r="AP323" s="14" t="str">
        <x:v>Direct BBC public-service scope</x:v>
      </x:c>
      <x:c r="AQ323" s="14" t="str">
        <x:v>Yes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4</x:v>
      </x:c>
      <x:c r="BS323" s="16" t="n">
        <x:v>0.3333333333333333</x:v>
      </x:c>
      <x:c r="BT323" s="14" t="str">
        <x:v>Minority of episodes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4" t="str">
        <x:v>HYPERLINK is not implemented. linkLocation=https://www.imdb.com/title/tt14063678/fullcredits/,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tt14063678|nm2446898|léna</x:v>
      </x:c>
      <x:c r="B324" s="14" t="str">
        <x:v>04</x:v>
      </x:c>
      <x:c r="C324" s="14" t="str">
        <x:v>2023_IMDb_Cast_Lists_Batch_04(2).xlsx</x:v>
      </x:c>
      <x:c r="D324" s="14" t="str">
        <x:v>The Gold</x:v>
      </x:c>
      <x:c r="E324" s="14" t="n">
        <x:v>36</x:v>
      </x:c>
      <x:c r="F324" s="14" t="str">
        <x:v>The Gold</x:v>
      </x:c>
      <x:c r="G324" s="14" t="str">
        <x:v>tt14063678</x:v>
      </x:c>
      <x:c r="H324" s="14" t="n">
        <x:v>2023</x:v>
      </x:c>
      <x:c r="I324" s="14" t="n">
        <x:v>2025</x:v>
      </x:c>
      <x:c r="J324" s="14" t="str">
        <x:v>Earlier-Production Carry-In Cohort</x:v>
      </x:c>
      <x:c r="K324" s="14" t="n">
        <x:v>2023</x:v>
      </x:c>
      <x:c r="L324" s="14" t="str">
        <x:v>Used in 2025 annual analysis</x:v>
      </x:c>
      <x:c r="M324" s="15" t="n">
        <x:v>29</x:v>
      </x:c>
      <x:c r="N324" s="14" t="str">
        <x:v>Antonia Desplat</x:v>
      </x:c>
      <x:c r="O324" s="14" t="str">
        <x:v>nm2446898</x:v>
      </x:c>
      <x:c r="P324" s="14" t="str">
        <x:v>Léna</x:v>
      </x:c>
      <x:c r="Q324" s="15" t="n">
        <x:v>4</x:v>
      </x:c>
      <x:c r="R324" s="14" t="str">
        <x:v>2025</x:v>
      </x:c>
      <x:c r="S324" s="14" t="n">
        <x:v>2025</x:v>
      </x:c>
      <x:c r="T324" s="14" t="n">
        <x:v>2025</x:v>
      </x:c>
      <x:c r="U324" s="14" t="str">
        <x:v>Explicit source first year retained</x:v>
      </x:c>
      <x:c r="V324" s="14" t="str">
        <x:v>Earliest supplied year is 2025.</x:v>
      </x:c>
      <x:c r="W324" s="14"/>
      <x:c r="X324" s="14" t="str">
        <x:v>Included</x:v>
      </x:c>
      <x:c r="Y324" s="14"/>
      <x:c r="Z324" s="14" t="str">
        <x:v>The Gold.docx</x:v>
      </x:c>
      <x:c r="AA324" s="14" t="str">
        <x:v>HYPERLINK is not implemented. linkLocation=https://www.imdb.com/title/tt14063678/fullcredits/,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4</x:v>
      </x:c>
      <x:c r="BS324" s="16" t="n">
        <x:v>0.3333333333333333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4" t="str">
        <x:v>HYPERLINK is not implemented. linkLocation=https://www.imdb.com/title/tt14063678/fullcredits/,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tt14063678|nm0431235|ivan</x:v>
      </x:c>
      <x:c r="B325" s="14" t="str">
        <x:v>04</x:v>
      </x:c>
      <x:c r="C325" s="14" t="str">
        <x:v>2023_IMDb_Cast_Lists_Batch_04(2).xlsx</x:v>
      </x:c>
      <x:c r="D325" s="14" t="str">
        <x:v>The Gold</x:v>
      </x:c>
      <x:c r="E325" s="14" t="n">
        <x:v>37</x:v>
      </x:c>
      <x:c r="F325" s="14" t="str">
        <x:v>The Gold</x:v>
      </x:c>
      <x:c r="G325" s="14" t="str">
        <x:v>tt14063678</x:v>
      </x:c>
      <x:c r="H325" s="14" t="n">
        <x:v>2023</x:v>
      </x:c>
      <x:c r="I325" s="14" t="n">
        <x:v>2025</x:v>
      </x:c>
      <x:c r="J325" s="14" t="str">
        <x:v>Earlier-Production Carry-In Cohort</x:v>
      </x:c>
      <x:c r="K325" s="14" t="n">
        <x:v>2023</x:v>
      </x:c>
      <x:c r="L325" s="14" t="str">
        <x:v>Used in 2025 annual analysis</x:v>
      </x:c>
      <x:c r="M325" s="15" t="n">
        <x:v>30</x:v>
      </x:c>
      <x:c r="N325" s="14" t="str">
        <x:v>Aleksandar Jovanovic</x:v>
      </x:c>
      <x:c r="O325" s="14" t="str">
        <x:v>nm0431235</x:v>
      </x:c>
      <x:c r="P325" s="14" t="str">
        <x:v>Ivan</x:v>
      </x:c>
      <x:c r="Q325" s="15" t="n">
        <x:v>4</x:v>
      </x:c>
      <x:c r="R325" s="14" t="str">
        <x:v>2025</x:v>
      </x:c>
      <x:c r="S325" s="14" t="n">
        <x:v>2025</x:v>
      </x:c>
      <x:c r="T325" s="14" t="n">
        <x:v>2025</x:v>
      </x:c>
      <x:c r="U325" s="14" t="str">
        <x:v>Explicit source first year retained</x:v>
      </x:c>
      <x:c r="V325" s="14" t="str">
        <x:v>Earliest supplied year is 2025.</x:v>
      </x:c>
      <x:c r="W325" s="14"/>
      <x:c r="X325" s="14" t="str">
        <x:v>Included</x:v>
      </x:c>
      <x:c r="Y325" s="14"/>
      <x:c r="Z325" s="14" t="str">
        <x:v>The Gold.docx</x:v>
      </x:c>
      <x:c r="AA325" s="14" t="str">
        <x:v>HYPERLINK is not implemented. linkLocation=https://www.imdb.com/title/tt14063678/fullcredits/,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4</x:v>
      </x:c>
      <x:c r="BS325" s="16" t="n">
        <x:v>0.3333333333333333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4" t="str">
        <x:v>HYPERLINK is not implemented. linkLocation=https://www.imdb.com/title/tt14063678/fullcredits/,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tt14063678|nm2406518|kadene</x:v>
      </x:c>
      <x:c r="B326" s="14" t="str">
        <x:v>04</x:v>
      </x:c>
      <x:c r="C326" s="14" t="str">
        <x:v>2023_IMDb_Cast_Lists_Batch_04(2).xlsx</x:v>
      </x:c>
      <x:c r="D326" s="14" t="str">
        <x:v>The Gold</x:v>
      </x:c>
      <x:c r="E326" s="14" t="n">
        <x:v>39</x:v>
      </x:c>
      <x:c r="F326" s="14" t="str">
        <x:v>The Gold</x:v>
      </x:c>
      <x:c r="G326" s="14" t="str">
        <x:v>tt14063678</x:v>
      </x:c>
      <x:c r="H326" s="14" t="n">
        <x:v>2023</x:v>
      </x:c>
      <x:c r="I326" s="14" t="n">
        <x:v>2025</x:v>
      </x:c>
      <x:c r="J326" s="14" t="str">
        <x:v>Earlier-Production Carry-In Cohort</x:v>
      </x:c>
      <x:c r="K326" s="14" t="n">
        <x:v>2023</x:v>
      </x:c>
      <x:c r="L326" s="14" t="str">
        <x:v>Used in 2025 annual analysis</x:v>
      </x:c>
      <x:c r="M326" s="15" t="n">
        <x:v>32</x:v>
      </x:c>
      <x:c r="N326" s="14" t="str">
        <x:v>Rochelle Neil</x:v>
      </x:c>
      <x:c r="O326" s="14" t="str">
        <x:v>nm2406518</x:v>
      </x:c>
      <x:c r="P326" s="14" t="str">
        <x:v>Kadene</x:v>
      </x:c>
      <x:c r="Q326" s="15" t="n">
        <x:v>4</x:v>
      </x:c>
      <x:c r="R326" s="14" t="str">
        <x:v>2025</x:v>
      </x:c>
      <x:c r="S326" s="14" t="n">
        <x:v>2025</x:v>
      </x:c>
      <x:c r="T326" s="14" t="n">
        <x:v>2025</x:v>
      </x:c>
      <x:c r="U326" s="14" t="str">
        <x:v>Explicit source first year retained</x:v>
      </x:c>
      <x:c r="V326" s="14" t="str">
        <x:v>Earliest supplied year is 2025.</x:v>
      </x:c>
      <x:c r="W326" s="14"/>
      <x:c r="X326" s="14" t="str">
        <x:v>Included</x:v>
      </x:c>
      <x:c r="Y326" s="14"/>
      <x:c r="Z326" s="14" t="str">
        <x:v>The Gold.docx</x:v>
      </x:c>
      <x:c r="AA326" s="14" t="str">
        <x:v>HYPERLINK is not implemented. linkLocation=https://www.imdb.com/title/tt14063678/fullcredits/,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4</x:v>
      </x:c>
      <x:c r="BS326" s="16" t="n">
        <x:v>0.3333333333333333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4" t="str">
        <x:v>HYPERLINK is not implemented. linkLocation=https://www.imdb.com/title/tt14063678/fullcredits/,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tt14063678|nm9870367|jerren</x:v>
      </x:c>
      <x:c r="B327" s="14" t="str">
        <x:v>04</x:v>
      </x:c>
      <x:c r="C327" s="14" t="str">
        <x:v>2023_IMDb_Cast_Lists_Batch_04(2).xlsx</x:v>
      </x:c>
      <x:c r="D327" s="14" t="str">
        <x:v>The Gold</x:v>
      </x:c>
      <x:c r="E327" s="14" t="n">
        <x:v>42</x:v>
      </x:c>
      <x:c r="F327" s="14" t="str">
        <x:v>The Gold</x:v>
      </x:c>
      <x:c r="G327" s="14" t="str">
        <x:v>tt14063678</x:v>
      </x:c>
      <x:c r="H327" s="14" t="n">
        <x:v>2023</x:v>
      </x:c>
      <x:c r="I327" s="14" t="n">
        <x:v>2025</x:v>
      </x:c>
      <x:c r="J327" s="14" t="str">
        <x:v>Earlier-Production Carry-In Cohort</x:v>
      </x:c>
      <x:c r="K327" s="14" t="n">
        <x:v>2023</x:v>
      </x:c>
      <x:c r="L327" s="14" t="str">
        <x:v>Used in 2025 annual analysis</x:v>
      </x:c>
      <x:c r="M327" s="15" t="n">
        <x:v>35</x:v>
      </x:c>
      <x:c r="N327" s="14" t="str">
        <x:v>Joshua Samuels</x:v>
      </x:c>
      <x:c r="O327" s="14" t="str">
        <x:v>nm9870367</x:v>
      </x:c>
      <x:c r="P327" s="14" t="str">
        <x:v>Jerren</x:v>
      </x:c>
      <x:c r="Q327" s="15" t="n">
        <x:v>4</x:v>
      </x:c>
      <x:c r="R327" s="14" t="str">
        <x:v>2025</x:v>
      </x:c>
      <x:c r="S327" s="14" t="n">
        <x:v>2025</x:v>
      </x:c>
      <x:c r="T327" s="14" t="n">
        <x:v>2025</x:v>
      </x:c>
      <x:c r="U327" s="14" t="str">
        <x:v>Explicit source first year retained</x:v>
      </x:c>
      <x:c r="V327" s="14" t="str">
        <x:v>Earliest supplied year is 2025.</x:v>
      </x:c>
      <x:c r="W327" s="14"/>
      <x:c r="X327" s="14" t="str">
        <x:v>Included</x:v>
      </x:c>
      <x:c r="Y327" s="14"/>
      <x:c r="Z327" s="14" t="str">
        <x:v>The Gold.docx</x:v>
      </x:c>
      <x:c r="AA327" s="14" t="str">
        <x:v>HYPERLINK is not implemented. linkLocation=https://www.imdb.com/title/tt14063678/fullcredits/,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4</x:v>
      </x:c>
      <x:c r="BS327" s="16" t="n">
        <x:v>0.3333333333333333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4" t="str">
        <x:v>HYPERLINK is not implemented. linkLocation=https://www.imdb.com/title/tt14063678/fullcredits/,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tt14063678|nm0114132|lauretta</x:v>
      </x:c>
      <x:c r="B328" s="14" t="str">
        <x:v>04</x:v>
      </x:c>
      <x:c r="C328" s="14" t="str">
        <x:v>2023_IMDb_Cast_Lists_Batch_04(2).xlsx</x:v>
      </x:c>
      <x:c r="D328" s="14" t="str">
        <x:v>The Gold</x:v>
      </x:c>
      <x:c r="E328" s="14" t="n">
        <x:v>43</x:v>
      </x:c>
      <x:c r="F328" s="14" t="str">
        <x:v>The Gold</x:v>
      </x:c>
      <x:c r="G328" s="14" t="str">
        <x:v>tt14063678</x:v>
      </x:c>
      <x:c r="H328" s="14" t="n">
        <x:v>2023</x:v>
      </x:c>
      <x:c r="I328" s="14" t="n">
        <x:v>2025</x:v>
      </x:c>
      <x:c r="J328" s="14" t="str">
        <x:v>Earlier-Production Carry-In Cohort</x:v>
      </x:c>
      <x:c r="K328" s="14" t="n">
        <x:v>2023</x:v>
      </x:c>
      <x:c r="L328" s="14" t="str">
        <x:v>Used in 2025 annual analysis</x:v>
      </x:c>
      <x:c r="M328" s="15" t="n">
        <x:v>36</x:v>
      </x:c>
      <x:c r="N328" s="14" t="str">
        <x:v>Lorna Brown</x:v>
      </x:c>
      <x:c r="O328" s="14" t="str">
        <x:v>nm0114132</x:v>
      </x:c>
      <x:c r="P328" s="14" t="str">
        <x:v>Lauretta</x:v>
      </x:c>
      <x:c r="Q328" s="15" t="n">
        <x:v>3</x:v>
      </x:c>
      <x:c r="R328" s="14" t="str">
        <x:v>2025</x:v>
      </x:c>
      <x:c r="S328" s="14" t="n">
        <x:v>2025</x:v>
      </x:c>
      <x:c r="T328" s="14" t="n">
        <x:v>2025</x:v>
      </x:c>
      <x:c r="U328" s="14" t="str">
        <x:v>Explicit source first year retained</x:v>
      </x:c>
      <x:c r="V328" s="14" t="str">
        <x:v>Earliest supplied year is 2025.</x:v>
      </x:c>
      <x:c r="W328" s="14"/>
      <x:c r="X328" s="14" t="str">
        <x:v>Included</x:v>
      </x:c>
      <x:c r="Y328" s="14"/>
      <x:c r="Z328" s="14" t="str">
        <x:v>The Gold.docx</x:v>
      </x:c>
      <x:c r="AA328" s="14" t="str">
        <x:v>HYPERLINK is not implemented. linkLocation=https://www.imdb.com/title/tt14063678/fullcredits/,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3</x:v>
      </x:c>
      <x:c r="BS328" s="16" t="n">
        <x:v>0.25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4" t="str">
        <x:v>HYPERLINK is not implemented. linkLocation=https://www.imdb.com/title/tt14063678/fullcredits/,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tt14063678|nm0323764|shirley</x:v>
      </x:c>
      <x:c r="B329" s="14" t="str">
        <x:v>04</x:v>
      </x:c>
      <x:c r="C329" s="14" t="str">
        <x:v>2023_IMDb_Cast_Lists_Batch_04(2).xlsx</x:v>
      </x:c>
      <x:c r="D329" s="14" t="str">
        <x:v>The Gold</x:v>
      </x:c>
      <x:c r="E329" s="14" t="n">
        <x:v>44</x:v>
      </x:c>
      <x:c r="F329" s="14" t="str">
        <x:v>The Gold</x:v>
      </x:c>
      <x:c r="G329" s="14" t="str">
        <x:v>tt14063678</x:v>
      </x:c>
      <x:c r="H329" s="14" t="n">
        <x:v>2023</x:v>
      </x:c>
      <x:c r="I329" s="14" t="n">
        <x:v>2025</x:v>
      </x:c>
      <x:c r="J329" s="14" t="str">
        <x:v>Earlier-Production Carry-In Cohort</x:v>
      </x:c>
      <x:c r="K329" s="14" t="n">
        <x:v>2023</x:v>
      </x:c>
      <x:c r="L329" s="14" t="str">
        <x:v>Used in 2025 annual analysis</x:v>
      </x:c>
      <x:c r="M329" s="15" t="n">
        <x:v>37</x:v>
      </x:c>
      <x:c r="N329" s="14" t="str">
        <x:v>Beth Goddard</x:v>
      </x:c>
      <x:c r="O329" s="14" t="str">
        <x:v>nm0323764</x:v>
      </x:c>
      <x:c r="P329" s="14" t="str">
        <x:v>Shirley</x:v>
      </x:c>
      <x:c r="Q329" s="15" t="n">
        <x:v>3</x:v>
      </x:c>
      <x:c r="R329" s="14" t="str">
        <x:v>2025</x:v>
      </x:c>
      <x:c r="S329" s="14" t="n">
        <x:v>2025</x:v>
      </x:c>
      <x:c r="T329" s="14" t="n">
        <x:v>2025</x:v>
      </x:c>
      <x:c r="U329" s="14" t="str">
        <x:v>Explicit source first year retained</x:v>
      </x:c>
      <x:c r="V329" s="14" t="str">
        <x:v>Earliest supplied year is 2025.</x:v>
      </x:c>
      <x:c r="W329" s="14"/>
      <x:c r="X329" s="14" t="str">
        <x:v>Included</x:v>
      </x:c>
      <x:c r="Y329" s="14"/>
      <x:c r="Z329" s="14" t="str">
        <x:v>The Gold.docx</x:v>
      </x:c>
      <x:c r="AA329" s="14" t="str">
        <x:v>HYPERLINK is not implemented. linkLocation=https://www.imdb.com/title/tt14063678/fullcredits/,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3</x:v>
      </x:c>
      <x:c r="BS329" s="16" t="n">
        <x:v>0.25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4" t="str">
        <x:v>HYPERLINK is not implemented. linkLocation=https://www.imdb.com/title/tt14063678/fullcredits/,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tt14063678|nm12549107|linda</x:v>
      </x:c>
      <x:c r="B330" s="14" t="str">
        <x:v>04</x:v>
      </x:c>
      <x:c r="C330" s="14" t="str">
        <x:v>2023_IMDb_Cast_Lists_Batch_04(2).xlsx</x:v>
      </x:c>
      <x:c r="D330" s="14" t="str">
        <x:v>The Gold</x:v>
      </x:c>
      <x:c r="E330" s="14" t="n">
        <x:v>47</x:v>
      </x:c>
      <x:c r="F330" s="14" t="str">
        <x:v>The Gold</x:v>
      </x:c>
      <x:c r="G330" s="14" t="str">
        <x:v>tt14063678</x:v>
      </x:c>
      <x:c r="H330" s="14" t="n">
        <x:v>2023</x:v>
      </x:c>
      <x:c r="I330" s="14" t="n">
        <x:v>2025</x:v>
      </x:c>
      <x:c r="J330" s="14" t="str">
        <x:v>Earlier-Production Carry-In Cohort</x:v>
      </x:c>
      <x:c r="K330" s="14" t="n">
        <x:v>2023</x:v>
      </x:c>
      <x:c r="L330" s="14" t="str">
        <x:v>Used in 2025 annual analysis</x:v>
      </x:c>
      <x:c r="M330" s="15" t="n">
        <x:v>40</x:v>
      </x:c>
      <x:c r="N330" s="14" t="str">
        <x:v>Amelia Isaac Jones</x:v>
      </x:c>
      <x:c r="O330" s="14" t="str">
        <x:v>nm12549107</x:v>
      </x:c>
      <x:c r="P330" s="14" t="str">
        <x:v>Linda</x:v>
      </x:c>
      <x:c r="Q330" s="15" t="n">
        <x:v>3</x:v>
      </x:c>
      <x:c r="R330" s="14" t="str">
        <x:v>2025</x:v>
      </x:c>
      <x:c r="S330" s="14" t="n">
        <x:v>2025</x:v>
      </x:c>
      <x:c r="T330" s="14" t="n">
        <x:v>2025</x:v>
      </x:c>
      <x:c r="U330" s="14" t="str">
        <x:v>Explicit source first year retained</x:v>
      </x:c>
      <x:c r="V330" s="14" t="str">
        <x:v>Earliest supplied year is 2025.</x:v>
      </x:c>
      <x:c r="W330" s="14"/>
      <x:c r="X330" s="14" t="str">
        <x:v>Included</x:v>
      </x:c>
      <x:c r="Y330" s="14"/>
      <x:c r="Z330" s="14" t="str">
        <x:v>The Gold.docx</x:v>
      </x:c>
      <x:c r="AA330" s="14" t="str">
        <x:v>HYPERLINK is not implemented. linkLocation=https://www.imdb.com/title/tt14063678/fullcredits/,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3</x:v>
      </x:c>
      <x:c r="BS330" s="16" t="n">
        <x:v>0.25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4" t="str">
        <x:v>HYPERLINK is not implemented. linkLocation=https://www.imdb.com/title/tt14063678/fullcredits/,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tt14063678|nm3948996|sergio / postman</x:v>
      </x:c>
      <x:c r="B331" s="14" t="str">
        <x:v>04</x:v>
      </x:c>
      <x:c r="C331" s="14" t="str">
        <x:v>2023_IMDb_Cast_Lists_Batch_04(2).xlsx</x:v>
      </x:c>
      <x:c r="D331" s="14" t="str">
        <x:v>The Gold</x:v>
      </x:c>
      <x:c r="E331" s="14" t="n">
        <x:v>50</x:v>
      </x:c>
      <x:c r="F331" s="14" t="str">
        <x:v>The Gold</x:v>
      </x:c>
      <x:c r="G331" s="14" t="str">
        <x:v>tt14063678</x:v>
      </x:c>
      <x:c r="H331" s="14" t="n">
        <x:v>2023</x:v>
      </x:c>
      <x:c r="I331" s="14" t="n">
        <x:v>2025</x:v>
      </x:c>
      <x:c r="J331" s="14" t="str">
        <x:v>Earlier-Production Carry-In Cohort</x:v>
      </x:c>
      <x:c r="K331" s="14" t="n">
        <x:v>2023</x:v>
      </x:c>
      <x:c r="L331" s="14" t="str">
        <x:v>Used in 2025 annual analysis</x:v>
      </x:c>
      <x:c r="M331" s="15" t="n">
        <x:v>43</x:v>
      </x:c>
      <x:c r="N331" s="14" t="str">
        <x:v>Eduardo Ferrés</x:v>
      </x:c>
      <x:c r="O331" s="14" t="str">
        <x:v>nm3948996</x:v>
      </x:c>
      <x:c r="P331" s="14" t="str">
        <x:v>Sergio / Postman</x:v>
      </x:c>
      <x:c r="Q331" s="15" t="n">
        <x:v>3</x:v>
      </x:c>
      <x:c r="R331" s="14" t="str">
        <x:v>2025</x:v>
      </x:c>
      <x:c r="S331" s="14" t="n">
        <x:v>2025</x:v>
      </x:c>
      <x:c r="T331" s="14" t="n">
        <x:v>2025</x:v>
      </x:c>
      <x:c r="U331" s="14" t="str">
        <x:v>Explicit source first year retained</x:v>
      </x:c>
      <x:c r="V331" s="14" t="str">
        <x:v>Earliest supplied year is 2025.</x:v>
      </x:c>
      <x:c r="W331" s="14"/>
      <x:c r="X331" s="14" t="str">
        <x:v>Included</x:v>
      </x:c>
      <x:c r="Y331" s="14"/>
      <x:c r="Z331" s="14" t="str">
        <x:v>The Gold.docx</x:v>
      </x:c>
      <x:c r="AA331" s="14" t="str">
        <x:v>HYPERLINK is not implemented. linkLocation=https://www.imdb.com/title/tt14063678/fullcredits/,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3</x:v>
      </x:c>
      <x:c r="BS331" s="16" t="n">
        <x:v>0.25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4" t="str">
        <x:v>HYPERLINK is not implemented. linkLocation=https://www.imdb.com/title/tt14063678/fullcredits/,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tt14063678|nm6466535|alice harper</x:v>
      </x:c>
      <x:c r="B332" s="14" t="str">
        <x:v>04</x:v>
      </x:c>
      <x:c r="C332" s="14" t="str">
        <x:v>2023_IMDb_Cast_Lists_Batch_04(2).xlsx</x:v>
      </x:c>
      <x:c r="D332" s="14" t="str">
        <x:v>The Gold</x:v>
      </x:c>
      <x:c r="E332" s="14" t="n">
        <x:v>52</x:v>
      </x:c>
      <x:c r="F332" s="14" t="str">
        <x:v>The Gold</x:v>
      </x:c>
      <x:c r="G332" s="14" t="str">
        <x:v>tt14063678</x:v>
      </x:c>
      <x:c r="H332" s="14" t="n">
        <x:v>2023</x:v>
      </x:c>
      <x:c r="I332" s="14" t="n">
        <x:v>2025</x:v>
      </x:c>
      <x:c r="J332" s="14" t="str">
        <x:v>Earlier-Production Carry-In Cohort</x:v>
      </x:c>
      <x:c r="K332" s="14" t="n">
        <x:v>2023</x:v>
      </x:c>
      <x:c r="L332" s="14" t="str">
        <x:v>Used in 2025 annual analysis</x:v>
      </x:c>
      <x:c r="M332" s="15" t="n">
        <x:v>45</x:v>
      </x:c>
      <x:c r="N332" s="14" t="str">
        <x:v>Tamsin Topolski</x:v>
      </x:c>
      <x:c r="O332" s="14" t="str">
        <x:v>nm6466535</x:v>
      </x:c>
      <x:c r="P332" s="14" t="str">
        <x:v>Alice Harper</x:v>
      </x:c>
      <x:c r="Q332" s="15" t="n">
        <x:v>3</x:v>
      </x:c>
      <x:c r="R332" s="14" t="str">
        <x:v>2025</x:v>
      </x:c>
      <x:c r="S332" s="14" t="n">
        <x:v>2025</x:v>
      </x:c>
      <x:c r="T332" s="14" t="n">
        <x:v>2025</x:v>
      </x:c>
      <x:c r="U332" s="14" t="str">
        <x:v>Explicit source first year retained</x:v>
      </x:c>
      <x:c r="V332" s="14" t="str">
        <x:v>Earliest supplied year is 2025.</x:v>
      </x:c>
      <x:c r="W332" s="14"/>
      <x:c r="X332" s="14" t="str">
        <x:v>Included</x:v>
      </x:c>
      <x:c r="Y332" s="14"/>
      <x:c r="Z332" s="14" t="str">
        <x:v>The Gold.docx</x:v>
      </x:c>
      <x:c r="AA332" s="14" t="str">
        <x:v>HYPERLINK is not implemented. linkLocation=https://www.imdb.com/title/tt14063678/fullcredits/,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3</x:v>
      </x:c>
      <x:c r="BS332" s="16" t="n">
        <x:v>0.25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4" t="str">
        <x:v>HYPERLINK is not implemented. linkLocation=https://www.imdb.com/title/tt14063678/fullcredits/,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tt14063678|nm5640405|sarah</x:v>
      </x:c>
      <x:c r="B333" s="14" t="str">
        <x:v>04</x:v>
      </x:c>
      <x:c r="C333" s="14" t="str">
        <x:v>2023_IMDb_Cast_Lists_Batch_04(2).xlsx</x:v>
      </x:c>
      <x:c r="D333" s="14" t="str">
        <x:v>The Gold</x:v>
      </x:c>
      <x:c r="E333" s="14" t="n">
        <x:v>54</x:v>
      </x:c>
      <x:c r="F333" s="14" t="str">
        <x:v>The Gold</x:v>
      </x:c>
      <x:c r="G333" s="14" t="str">
        <x:v>tt14063678</x:v>
      </x:c>
      <x:c r="H333" s="14" t="n">
        <x:v>2023</x:v>
      </x:c>
      <x:c r="I333" s="14" t="n">
        <x:v>2025</x:v>
      </x:c>
      <x:c r="J333" s="14" t="str">
        <x:v>Earlier-Production Carry-In Cohort</x:v>
      </x:c>
      <x:c r="K333" s="14" t="n">
        <x:v>2023</x:v>
      </x:c>
      <x:c r="L333" s="14" t="str">
        <x:v>Used in 2025 annual analysis</x:v>
      </x:c>
      <x:c r="M333" s="15" t="n">
        <x:v>47</x:v>
      </x:c>
      <x:c r="N333" s="14" t="str">
        <x:v>Jennifer Kirby</x:v>
      </x:c>
      <x:c r="O333" s="14" t="str">
        <x:v>nm5640405</x:v>
      </x:c>
      <x:c r="P333" s="14" t="str">
        <x:v>Sarah</x:v>
      </x:c>
      <x:c r="Q333" s="15" t="n">
        <x:v>3</x:v>
      </x:c>
      <x:c r="R333" s="14" t="str">
        <x:v>2025</x:v>
      </x:c>
      <x:c r="S333" s="14" t="n">
        <x:v>2025</x:v>
      </x:c>
      <x:c r="T333" s="14" t="n">
        <x:v>2025</x:v>
      </x:c>
      <x:c r="U333" s="14" t="str">
        <x:v>Explicit source first year retained</x:v>
      </x:c>
      <x:c r="V333" s="14" t="str">
        <x:v>Earliest supplied year is 2025.</x:v>
      </x:c>
      <x:c r="W333" s="14"/>
      <x:c r="X333" s="14" t="str">
        <x:v>Included</x:v>
      </x:c>
      <x:c r="Y333" s="14"/>
      <x:c r="Z333" s="14" t="str">
        <x:v>The Gold.docx</x:v>
      </x:c>
      <x:c r="AA333" s="14" t="str">
        <x:v>HYPERLINK is not implemented. linkLocation=https://www.imdb.com/title/tt14063678/fullcredits/,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3</x:v>
      </x:c>
      <x:c r="BS333" s="16" t="n">
        <x:v>0.25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4" t="str">
        <x:v>HYPERLINK is not implemented. linkLocation=https://www.imdb.com/title/tt14063678/fullcredits/,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tt14063678|nm7858011|scott errico</x:v>
      </x:c>
      <x:c r="B334" s="14" t="str">
        <x:v>04</x:v>
      </x:c>
      <x:c r="C334" s="14" t="str">
        <x:v>2023_IMDb_Cast_Lists_Batch_04(2).xlsx</x:v>
      </x:c>
      <x:c r="D334" s="14" t="str">
        <x:v>The Gold</x:v>
      </x:c>
      <x:c r="E334" s="14" t="n">
        <x:v>56</x:v>
      </x:c>
      <x:c r="F334" s="14" t="str">
        <x:v>The Gold</x:v>
      </x:c>
      <x:c r="G334" s="14" t="str">
        <x:v>tt14063678</x:v>
      </x:c>
      <x:c r="H334" s="14" t="n">
        <x:v>2023</x:v>
      </x:c>
      <x:c r="I334" s="14" t="n">
        <x:v>2025</x:v>
      </x:c>
      <x:c r="J334" s="14" t="str">
        <x:v>Earlier-Production Carry-In Cohort</x:v>
      </x:c>
      <x:c r="K334" s="14" t="n">
        <x:v>2023</x:v>
      </x:c>
      <x:c r="L334" s="14" t="str">
        <x:v>Used in 2025 annual analysis</x:v>
      </x:c>
      <x:c r="M334" s="15" t="n">
        <x:v>49</x:v>
      </x:c>
      <x:c r="N334" s="14" t="str">
        <x:v>Jack Bandeira</x:v>
      </x:c>
      <x:c r="O334" s="14" t="str">
        <x:v>nm7858011</x:v>
      </x:c>
      <x:c r="P334" s="14" t="str">
        <x:v>Scott Errico</x:v>
      </x:c>
      <x:c r="Q334" s="15" t="n">
        <x:v>2</x:v>
      </x:c>
      <x:c r="R334" s="14" t="str">
        <x:v>2025</x:v>
      </x:c>
      <x:c r="S334" s="14" t="n">
        <x:v>2025</x:v>
      </x:c>
      <x:c r="T334" s="14" t="n">
        <x:v>2025</x:v>
      </x:c>
      <x:c r="U334" s="14" t="str">
        <x:v>Explicit source first year retained</x:v>
      </x:c>
      <x:c r="V334" s="14" t="str">
        <x:v>Earliest supplied year is 2025.</x:v>
      </x:c>
      <x:c r="W334" s="14"/>
      <x:c r="X334" s="14" t="str">
        <x:v>Included</x:v>
      </x:c>
      <x:c r="Y334" s="14"/>
      <x:c r="Z334" s="14" t="str">
        <x:v>The Gold.docx</x:v>
      </x:c>
      <x:c r="AA334" s="14" t="str">
        <x:v>HYPERLINK is not implemented. linkLocation=https://www.imdb.com/title/tt14063678/fullcredits/,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2</x:v>
      </x:c>
      <x:c r="BS334" s="16" t="n">
        <x:v>0.16666666666666666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4" t="str">
        <x:v>HYPERLINK is not implemented. linkLocation=https://www.imdb.com/title/tt14063678/fullcredits/,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tt14063678|nm2466976|palmer's secretary</x:v>
      </x:c>
      <x:c r="B335" s="14" t="str">
        <x:v>04</x:v>
      </x:c>
      <x:c r="C335" s="14" t="str">
        <x:v>2023_IMDb_Cast_Lists_Batch_04(2).xlsx</x:v>
      </x:c>
      <x:c r="D335" s="14" t="str">
        <x:v>The Gold</x:v>
      </x:c>
      <x:c r="E335" s="14" t="n">
        <x:v>58</x:v>
      </x:c>
      <x:c r="F335" s="14" t="str">
        <x:v>The Gold</x:v>
      </x:c>
      <x:c r="G335" s="14" t="str">
        <x:v>tt14063678</x:v>
      </x:c>
      <x:c r="H335" s="14" t="n">
        <x:v>2023</x:v>
      </x:c>
      <x:c r="I335" s="14" t="n">
        <x:v>2025</x:v>
      </x:c>
      <x:c r="J335" s="14" t="str">
        <x:v>Earlier-Production Carry-In Cohort</x:v>
      </x:c>
      <x:c r="K335" s="14" t="n">
        <x:v>2023</x:v>
      </x:c>
      <x:c r="L335" s="14" t="str">
        <x:v>Used in 2025 annual analysis</x:v>
      </x:c>
      <x:c r="M335" s="15" t="n">
        <x:v>51</x:v>
      </x:c>
      <x:c r="N335" s="14" t="str">
        <x:v>Anna Coll Miller</x:v>
      </x:c>
      <x:c r="O335" s="14" t="str">
        <x:v>nm2466976</x:v>
      </x:c>
      <x:c r="P335" s="14" t="str">
        <x:v>Palmer's Secretary</x:v>
      </x:c>
      <x:c r="Q335" s="15" t="n">
        <x:v>2</x:v>
      </x:c>
      <x:c r="R335" s="14" t="str">
        <x:v>2025</x:v>
      </x:c>
      <x:c r="S335" s="14" t="n">
        <x:v>2025</x:v>
      </x:c>
      <x:c r="T335" s="14" t="n">
        <x:v>2025</x:v>
      </x:c>
      <x:c r="U335" s="14" t="str">
        <x:v>Explicit source first year retained</x:v>
      </x:c>
      <x:c r="V335" s="14" t="str">
        <x:v>Earliest supplied year is 2025.</x:v>
      </x:c>
      <x:c r="W335" s="14"/>
      <x:c r="X335" s="14" t="str">
        <x:v>Included</x:v>
      </x:c>
      <x:c r="Y335" s="14" t="str">
        <x:v>(as Anna Coll)</x:v>
      </x:c>
      <x:c r="Z335" s="14" t="str">
        <x:v>The Gold.docx</x:v>
      </x:c>
      <x:c r="AA335" s="14" t="str">
        <x:v>HYPERLINK is not implemented. linkLocation=https://www.imdb.com/title/tt14063678/fullcredits/,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2</x:v>
      </x:c>
      <x:c r="BS335" s="16" t="n">
        <x:v>0.16666666666666666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4" t="str">
        <x:v>HYPERLINK is not implemented. linkLocation=https://www.imdb.com/title/tt14063678/fullcredits/,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tt14063678|nm0230577|nick biddiss</x:v>
      </x:c>
      <x:c r="B336" s="14" t="str">
        <x:v>04</x:v>
      </x:c>
      <x:c r="C336" s="14" t="str">
        <x:v>2023_IMDb_Cast_Lists_Batch_04(2).xlsx</x:v>
      </x:c>
      <x:c r="D336" s="14" t="str">
        <x:v>The Gold</x:v>
      </x:c>
      <x:c r="E336" s="14" t="n">
        <x:v>60</x:v>
      </x:c>
      <x:c r="F336" s="14" t="str">
        <x:v>The Gold</x:v>
      </x:c>
      <x:c r="G336" s="14" t="str">
        <x:v>tt14063678</x:v>
      </x:c>
      <x:c r="H336" s="14" t="n">
        <x:v>2023</x:v>
      </x:c>
      <x:c r="I336" s="14" t="n">
        <x:v>2025</x:v>
      </x:c>
      <x:c r="J336" s="14" t="str">
        <x:v>Earlier-Production Carry-In Cohort</x:v>
      </x:c>
      <x:c r="K336" s="14" t="n">
        <x:v>2023</x:v>
      </x:c>
      <x:c r="L336" s="14" t="str">
        <x:v>Used in 2025 annual analysis</x:v>
      </x:c>
      <x:c r="M336" s="15" t="n">
        <x:v>53</x:v>
      </x:c>
      <x:c r="N336" s="14" t="str">
        <x:v>James Doherty</x:v>
      </x:c>
      <x:c r="O336" s="14" t="str">
        <x:v>nm0230577</x:v>
      </x:c>
      <x:c r="P336" s="14" t="str">
        <x:v>Nick Biddiss</x:v>
      </x:c>
      <x:c r="Q336" s="15" t="n">
        <x:v>2</x:v>
      </x:c>
      <x:c r="R336" s="14" t="str">
        <x:v>2025</x:v>
      </x:c>
      <x:c r="S336" s="14" t="n">
        <x:v>2025</x:v>
      </x:c>
      <x:c r="T336" s="14" t="n">
        <x:v>2025</x:v>
      </x:c>
      <x:c r="U336" s="14" t="str">
        <x:v>Explicit source first year retained</x:v>
      </x:c>
      <x:c r="V336" s="14" t="str">
        <x:v>Earliest supplied year is 2025.</x:v>
      </x:c>
      <x:c r="W336" s="14"/>
      <x:c r="X336" s="14" t="str">
        <x:v>Included</x:v>
      </x:c>
      <x:c r="Y336" s="14"/>
      <x:c r="Z336" s="14" t="str">
        <x:v>The Gold.docx</x:v>
      </x:c>
      <x:c r="AA336" s="14" t="str">
        <x:v>HYPERLINK is not implemented. linkLocation=https://www.imdb.com/title/tt14063678/fullcredits/,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2</x:v>
      </x:c>
      <x:c r="BS336" s="16" t="n">
        <x:v>0.16666666666666666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4" t="str">
        <x:v>HYPERLINK is not implemented. linkLocation=https://www.imdb.com/title/tt14063678/fullcredits/,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tt14063678|nm0885847|gloria dominguez</x:v>
      </x:c>
      <x:c r="B337" s="14" t="str">
        <x:v>04</x:v>
      </x:c>
      <x:c r="C337" s="14" t="str">
        <x:v>2023_IMDb_Cast_Lists_Batch_04(2).xlsx</x:v>
      </x:c>
      <x:c r="D337" s="14" t="str">
        <x:v>The Gold</x:v>
      </x:c>
      <x:c r="E337" s="14" t="n">
        <x:v>64</x:v>
      </x:c>
      <x:c r="F337" s="14" t="str">
        <x:v>The Gold</x:v>
      </x:c>
      <x:c r="G337" s="14" t="str">
        <x:v>tt14063678</x:v>
      </x:c>
      <x:c r="H337" s="14" t="n">
        <x:v>2023</x:v>
      </x:c>
      <x:c r="I337" s="14" t="n">
        <x:v>2025</x:v>
      </x:c>
      <x:c r="J337" s="14" t="str">
        <x:v>Earlier-Production Carry-In Cohort</x:v>
      </x:c>
      <x:c r="K337" s="14" t="n">
        <x:v>2023</x:v>
      </x:c>
      <x:c r="L337" s="14" t="str">
        <x:v>Used in 2025 annual analysis</x:v>
      </x:c>
      <x:c r="M337" s="15" t="n">
        <x:v>57</x:v>
      </x:c>
      <x:c r="N337" s="14" t="str">
        <x:v>Mònica Van Campen</x:v>
      </x:c>
      <x:c r="O337" s="14" t="str">
        <x:v>nm0885847</x:v>
      </x:c>
      <x:c r="P337" s="14" t="str">
        <x:v>Gloria Dominguez</x:v>
      </x:c>
      <x:c r="Q337" s="15" t="n">
        <x:v>2</x:v>
      </x:c>
      <x:c r="R337" s="14" t="str">
        <x:v>2025</x:v>
      </x:c>
      <x:c r="S337" s="14" t="n">
        <x:v>2025</x:v>
      </x:c>
      <x:c r="T337" s="14" t="n">
        <x:v>2025</x:v>
      </x:c>
      <x:c r="U337" s="14" t="str">
        <x:v>Explicit source first year retained</x:v>
      </x:c>
      <x:c r="V337" s="14" t="str">
        <x:v>Earliest supplied year is 2025.</x:v>
      </x:c>
      <x:c r="W337" s="14"/>
      <x:c r="X337" s="14" t="str">
        <x:v>Included</x:v>
      </x:c>
      <x:c r="Y337" s="14"/>
      <x:c r="Z337" s="14" t="str">
        <x:v>The Gold.docx</x:v>
      </x:c>
      <x:c r="AA337" s="14" t="str">
        <x:v>HYPERLINK is not implemented. linkLocation=https://www.imdb.com/title/tt14063678/fullcredits/,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2</x:v>
      </x:c>
      <x:c r="BS337" s="16" t="n">
        <x:v>0.16666666666666666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4" t="str">
        <x:v>HYPERLINK is not implemented. linkLocation=https://www.imdb.com/title/tt14063678/fullcredits/,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tt14063678|nm0917347|tina keyes</x:v>
      </x:c>
      <x:c r="B338" s="14" t="str">
        <x:v>04</x:v>
      </x:c>
      <x:c r="C338" s="14" t="str">
        <x:v>2023_IMDb_Cast_Lists_Batch_04(2).xlsx</x:v>
      </x:c>
      <x:c r="D338" s="14" t="str">
        <x:v>The Gold</x:v>
      </x:c>
      <x:c r="E338" s="14" t="n">
        <x:v>67</x:v>
      </x:c>
      <x:c r="F338" s="14" t="str">
        <x:v>The Gold</x:v>
      </x:c>
      <x:c r="G338" s="14" t="str">
        <x:v>tt14063678</x:v>
      </x:c>
      <x:c r="H338" s="14" t="n">
        <x:v>2023</x:v>
      </x:c>
      <x:c r="I338" s="14" t="n">
        <x:v>2025</x:v>
      </x:c>
      <x:c r="J338" s="14" t="str">
        <x:v>Earlier-Production Carry-In Cohort</x:v>
      </x:c>
      <x:c r="K338" s="14" t="n">
        <x:v>2023</x:v>
      </x:c>
      <x:c r="L338" s="14" t="str">
        <x:v>Used in 2025 annual analysis</x:v>
      </x:c>
      <x:c r="M338" s="15" t="n">
        <x:v>60</x:v>
      </x:c>
      <x:c r="N338" s="14" t="str">
        <x:v>Perdita Weeks</x:v>
      </x:c>
      <x:c r="O338" s="14" t="str">
        <x:v>nm0917347</x:v>
      </x:c>
      <x:c r="P338" s="14" t="str">
        <x:v>Tina Keyes</x:v>
      </x:c>
      <x:c r="Q338" s="15" t="n">
        <x:v>2</x:v>
      </x:c>
      <x:c r="R338" s="14" t="str">
        <x:v>2025</x:v>
      </x:c>
      <x:c r="S338" s="14" t="n">
        <x:v>2025</x:v>
      </x:c>
      <x:c r="T338" s="14" t="n">
        <x:v>2025</x:v>
      </x:c>
      <x:c r="U338" s="14" t="str">
        <x:v>Explicit source first year retained</x:v>
      </x:c>
      <x:c r="V338" s="14" t="str">
        <x:v>Earliest supplied year is 2025.</x:v>
      </x:c>
      <x:c r="W338" s="14"/>
      <x:c r="X338" s="14" t="str">
        <x:v>Included</x:v>
      </x:c>
      <x:c r="Y338" s="14"/>
      <x:c r="Z338" s="14" t="str">
        <x:v>The Gold.docx</x:v>
      </x:c>
      <x:c r="AA338" s="14" t="str">
        <x:v>HYPERLINK is not implemented. linkLocation=https://www.imdb.com/title/tt14063678/fullcredits/,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2</x:v>
      </x:c>
      <x:c r="BS338" s="16" t="n">
        <x:v>0.16666666666666666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4" t="str">
        <x:v>HYPERLINK is not implemented. linkLocation=https://www.imdb.com/title/tt14063678/fullcredits/,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tt14063678|nm2372275|alyssa / alyssa banks</x:v>
      </x:c>
      <x:c r="B339" s="14" t="str">
        <x:v>04</x:v>
      </x:c>
      <x:c r="C339" s="14" t="str">
        <x:v>2023_IMDb_Cast_Lists_Batch_04(2).xlsx</x:v>
      </x:c>
      <x:c r="D339" s="14" t="str">
        <x:v>The Gold</x:v>
      </x:c>
      <x:c r="E339" s="14" t="n">
        <x:v>70</x:v>
      </x:c>
      <x:c r="F339" s="14" t="str">
        <x:v>The Gold</x:v>
      </x:c>
      <x:c r="G339" s="14" t="str">
        <x:v>tt14063678</x:v>
      </x:c>
      <x:c r="H339" s="14" t="n">
        <x:v>2023</x:v>
      </x:c>
      <x:c r="I339" s="14" t="n">
        <x:v>2025</x:v>
      </x:c>
      <x:c r="J339" s="14" t="str">
        <x:v>Earlier-Production Carry-In Cohort</x:v>
      </x:c>
      <x:c r="K339" s="14" t="n">
        <x:v>2023</x:v>
      </x:c>
      <x:c r="L339" s="14" t="str">
        <x:v>Used in 2025 annual analysis</x:v>
      </x:c>
      <x:c r="M339" s="15" t="n">
        <x:v>63</x:v>
      </x:c>
      <x:c r="N339" s="14" t="str">
        <x:v>Olivia Grant</x:v>
      </x:c>
      <x:c r="O339" s="14" t="str">
        <x:v>nm2372275</x:v>
      </x:c>
      <x:c r="P339" s="14" t="str">
        <x:v>Alyssa / Alyssa Banks</x:v>
      </x:c>
      <x:c r="Q339" s="15" t="n">
        <x:v>2</x:v>
      </x:c>
      <x:c r="R339" s="14" t="str">
        <x:v>2025</x:v>
      </x:c>
      <x:c r="S339" s="14" t="n">
        <x:v>2025</x:v>
      </x:c>
      <x:c r="T339" s="14" t="n">
        <x:v>2025</x:v>
      </x:c>
      <x:c r="U339" s="14" t="str">
        <x:v>Explicit source first year retained</x:v>
      </x:c>
      <x:c r="V339" s="14" t="str">
        <x:v>Earliest supplied year is 2025.</x:v>
      </x:c>
      <x:c r="W339" s="14"/>
      <x:c r="X339" s="14" t="str">
        <x:v>Included</x:v>
      </x:c>
      <x:c r="Y339" s="14"/>
      <x:c r="Z339" s="14" t="str">
        <x:v>The Gold.docx</x:v>
      </x:c>
      <x:c r="AA339" s="14" t="str">
        <x:v>HYPERLINK is not implemented. linkLocation=https://www.imdb.com/title/tt14063678/fullcredits/,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2</x:v>
      </x:c>
      <x:c r="BS339" s="16" t="n">
        <x:v>0.16666666666666666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4" t="str">
        <x:v>HYPERLINK is not implemented. linkLocation=https://www.imdb.com/title/tt14063678/fullcredits/,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tt14063678|nm6343650|pam</x:v>
      </x:c>
      <x:c r="B340" s="14" t="str">
        <x:v>04</x:v>
      </x:c>
      <x:c r="C340" s="14" t="str">
        <x:v>2023_IMDb_Cast_Lists_Batch_04(2).xlsx</x:v>
      </x:c>
      <x:c r="D340" s="14" t="str">
        <x:v>The Gold</x:v>
      </x:c>
      <x:c r="E340" s="14" t="n">
        <x:v>71</x:v>
      </x:c>
      <x:c r="F340" s="14" t="str">
        <x:v>The Gold</x:v>
      </x:c>
      <x:c r="G340" s="14" t="str">
        <x:v>tt14063678</x:v>
      </x:c>
      <x:c r="H340" s="14" t="n">
        <x:v>2023</x:v>
      </x:c>
      <x:c r="I340" s="14" t="n">
        <x:v>2025</x:v>
      </x:c>
      <x:c r="J340" s="14" t="str">
        <x:v>Earlier-Production Carry-In Cohort</x:v>
      </x:c>
      <x:c r="K340" s="14" t="n">
        <x:v>2023</x:v>
      </x:c>
      <x:c r="L340" s="14" t="str">
        <x:v>Used in 2025 annual analysis</x:v>
      </x:c>
      <x:c r="M340" s="15" t="n">
        <x:v>64</x:v>
      </x:c>
      <x:c r="N340" s="14" t="str">
        <x:v>Julie Nash</x:v>
      </x:c>
      <x:c r="O340" s="14" t="str">
        <x:v>nm6343650</x:v>
      </x:c>
      <x:c r="P340" s="14" t="str">
        <x:v>Pam</x:v>
      </x:c>
      <x:c r="Q340" s="15" t="n">
        <x:v>2</x:v>
      </x:c>
      <x:c r="R340" s="14" t="str">
        <x:v>2025</x:v>
      </x:c>
      <x:c r="S340" s="14" t="n">
        <x:v>2025</x:v>
      </x:c>
      <x:c r="T340" s="14" t="n">
        <x:v>2025</x:v>
      </x:c>
      <x:c r="U340" s="14" t="str">
        <x:v>Explicit source first year retained</x:v>
      </x:c>
      <x:c r="V340" s="14" t="str">
        <x:v>Earliest supplied year is 2025.</x:v>
      </x:c>
      <x:c r="W340" s="14"/>
      <x:c r="X340" s="14" t="str">
        <x:v>Included</x:v>
      </x:c>
      <x:c r="Y340" s="14"/>
      <x:c r="Z340" s="14" t="str">
        <x:v>The Gold.docx</x:v>
      </x:c>
      <x:c r="AA340" s="14" t="str">
        <x:v>HYPERLINK is not implemented. linkLocation=https://www.imdb.com/title/tt14063678/fullcredits/,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2</x:v>
      </x:c>
      <x:c r="BS340" s="16" t="n">
        <x:v>0.16666666666666666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4" t="str">
        <x:v>HYPERLINK is not implemented. linkLocation=https://www.imdb.com/title/tt14063678/fullcredits/,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tt14063678|nm0205289|joey wilkins</x:v>
      </x:c>
      <x:c r="B341" s="14" t="str">
        <x:v>04</x:v>
      </x:c>
      <x:c r="C341" s="14" t="str">
        <x:v>2023_IMDb_Cast_Lists_Batch_04(2).xlsx</x:v>
      </x:c>
      <x:c r="D341" s="14" t="str">
        <x:v>The Gold</x:v>
      </x:c>
      <x:c r="E341" s="14" t="n">
        <x:v>72</x:v>
      </x:c>
      <x:c r="F341" s="14" t="str">
        <x:v>The Gold</x:v>
      </x:c>
      <x:c r="G341" s="14" t="str">
        <x:v>tt14063678</x:v>
      </x:c>
      <x:c r="H341" s="14" t="n">
        <x:v>2023</x:v>
      </x:c>
      <x:c r="I341" s="14" t="n">
        <x:v>2025</x:v>
      </x:c>
      <x:c r="J341" s="14" t="str">
        <x:v>Earlier-Production Carry-In Cohort</x:v>
      </x:c>
      <x:c r="K341" s="14" t="n">
        <x:v>2023</x:v>
      </x:c>
      <x:c r="L341" s="14" t="str">
        <x:v>Used in 2025 annual analysis</x:v>
      </x:c>
      <x:c r="M341" s="15" t="n">
        <x:v>65</x:v>
      </x:c>
      <x:c r="N341" s="14" t="str">
        <x:v>Phil Davis</x:v>
      </x:c>
      <x:c r="O341" s="14" t="str">
        <x:v>nm0205289</x:v>
      </x:c>
      <x:c r="P341" s="14" t="str">
        <x:v>Joey Wilkins</x:v>
      </x:c>
      <x:c r="Q341" s="15" t="n">
        <x:v>1</x:v>
      </x:c>
      <x:c r="R341" s="14" t="str">
        <x:v>2025</x:v>
      </x:c>
      <x:c r="S341" s="14" t="n">
        <x:v>2025</x:v>
      </x:c>
      <x:c r="T341" s="14" t="n">
        <x:v>2025</x:v>
      </x:c>
      <x:c r="U341" s="14" t="str">
        <x:v>Explicit source first year retained</x:v>
      </x:c>
      <x:c r="V341" s="14" t="str">
        <x:v>Earliest supplied year is 2025.</x:v>
      </x:c>
      <x:c r="W341" s="14"/>
      <x:c r="X341" s="14" t="str">
        <x:v>Included</x:v>
      </x:c>
      <x:c r="Y341" s="14"/>
      <x:c r="Z341" s="14" t="str">
        <x:v>The Gold.docx</x:v>
      </x:c>
      <x:c r="AA341" s="14" t="str">
        <x:v>HYPERLINK is not implemented. linkLocation=https://www.imdb.com/title/tt14063678/fullcredits/,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1</x:v>
      </x:c>
      <x:c r="BS341" s="16" t="n">
        <x:v>0.08333333333333333</x:v>
      </x:c>
      <x:c r="BT341" s="14" t="str">
        <x:v>One episode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4" t="str">
        <x:v>HYPERLINK is not implemented. linkLocation=https://www.imdb.com/title/tt14063678/fullcredits/,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tt14063678|nm2668439|ethel</x:v>
      </x:c>
      <x:c r="B342" s="14" t="str">
        <x:v>04</x:v>
      </x:c>
      <x:c r="C342" s="14" t="str">
        <x:v>2023_IMDb_Cast_Lists_Batch_04(2).xlsx</x:v>
      </x:c>
      <x:c r="D342" s="14" t="str">
        <x:v>The Gold</x:v>
      </x:c>
      <x:c r="E342" s="14" t="n">
        <x:v>76</x:v>
      </x:c>
      <x:c r="F342" s="14" t="str">
        <x:v>The Gold</x:v>
      </x:c>
      <x:c r="G342" s="14" t="str">
        <x:v>tt14063678</x:v>
      </x:c>
      <x:c r="H342" s="14" t="n">
        <x:v>2023</x:v>
      </x:c>
      <x:c r="I342" s="14" t="n">
        <x:v>2025</x:v>
      </x:c>
      <x:c r="J342" s="14" t="str">
        <x:v>Earlier-Production Carry-In Cohort</x:v>
      </x:c>
      <x:c r="K342" s="14" t="n">
        <x:v>2023</x:v>
      </x:c>
      <x:c r="L342" s="14" t="str">
        <x:v>Used in 2025 annual analysis</x:v>
      </x:c>
      <x:c r="M342" s="15" t="n">
        <x:v>69</x:v>
      </x:c>
      <x:c r="N342" s="14" t="str">
        <x:v>Annie Aldington</x:v>
      </x:c>
      <x:c r="O342" s="14" t="str">
        <x:v>nm2668439</x:v>
      </x:c>
      <x:c r="P342" s="14" t="str">
        <x:v>Ethel</x:v>
      </x:c>
      <x:c r="Q342" s="15" t="n">
        <x:v>1</x:v>
      </x:c>
      <x:c r="R342" s="14" t="str">
        <x:v>2025</x:v>
      </x:c>
      <x:c r="S342" s="14" t="n">
        <x:v>2025</x:v>
      </x:c>
      <x:c r="T342" s="14" t="n">
        <x:v>2025</x:v>
      </x:c>
      <x:c r="U342" s="14" t="str">
        <x:v>Explicit source first year retained</x:v>
      </x:c>
      <x:c r="V342" s="14" t="str">
        <x:v>Earliest supplied year is 2025.</x:v>
      </x:c>
      <x:c r="W342" s="14"/>
      <x:c r="X342" s="14" t="str">
        <x:v>Included</x:v>
      </x:c>
      <x:c r="Y342" s="14"/>
      <x:c r="Z342" s="14" t="str">
        <x:v>The Gold.docx</x:v>
      </x:c>
      <x:c r="AA342" s="14" t="str">
        <x:v>HYPERLINK is not implemented. linkLocation=https://www.imdb.com/title/tt14063678/fullcredits/,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1</x:v>
      </x:c>
      <x:c r="BS342" s="16" t="n">
        <x:v>0.08333333333333333</x:v>
      </x:c>
      <x:c r="BT342" s="14" t="str">
        <x:v>One episode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4" t="str">
        <x:v>HYPERLINK is not implemented. linkLocation=https://www.imdb.com/title/tt14063678/fullcredits/,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tt14063678|nm5004033|danny</x:v>
      </x:c>
      <x:c r="B343" s="14" t="str">
        <x:v>04</x:v>
      </x:c>
      <x:c r="C343" s="14" t="str">
        <x:v>2023_IMDb_Cast_Lists_Batch_04(2).xlsx</x:v>
      </x:c>
      <x:c r="D343" s="14" t="str">
        <x:v>The Gold</x:v>
      </x:c>
      <x:c r="E343" s="14" t="n">
        <x:v>79</x:v>
      </x:c>
      <x:c r="F343" s="14" t="str">
        <x:v>The Gold</x:v>
      </x:c>
      <x:c r="G343" s="14" t="str">
        <x:v>tt14063678</x:v>
      </x:c>
      <x:c r="H343" s="14" t="n">
        <x:v>2023</x:v>
      </x:c>
      <x:c r="I343" s="14" t="n">
        <x:v>2025</x:v>
      </x:c>
      <x:c r="J343" s="14" t="str">
        <x:v>Earlier-Production Carry-In Cohort</x:v>
      </x:c>
      <x:c r="K343" s="14" t="n">
        <x:v>2023</x:v>
      </x:c>
      <x:c r="L343" s="14" t="str">
        <x:v>Used in 2025 annual analysis</x:v>
      </x:c>
      <x:c r="M343" s="15" t="n">
        <x:v>72</x:v>
      </x:c>
      <x:c r="N343" s="14" t="str">
        <x:v>Dickie Beau</x:v>
      </x:c>
      <x:c r="O343" s="14" t="str">
        <x:v>nm5004033</x:v>
      </x:c>
      <x:c r="P343" s="14" t="str">
        <x:v>Danny</x:v>
      </x:c>
      <x:c r="Q343" s="15" t="n">
        <x:v>1</x:v>
      </x:c>
      <x:c r="R343" s="14" t="str">
        <x:v>2025</x:v>
      </x:c>
      <x:c r="S343" s="14" t="n">
        <x:v>2025</x:v>
      </x:c>
      <x:c r="T343" s="14" t="n">
        <x:v>2025</x:v>
      </x:c>
      <x:c r="U343" s="14" t="str">
        <x:v>Explicit source first year retained</x:v>
      </x:c>
      <x:c r="V343" s="14" t="str">
        <x:v>Earliest supplied year is 2025.</x:v>
      </x:c>
      <x:c r="W343" s="14"/>
      <x:c r="X343" s="14" t="str">
        <x:v>Included</x:v>
      </x:c>
      <x:c r="Y343" s="14"/>
      <x:c r="Z343" s="14" t="str">
        <x:v>The Gold.docx</x:v>
      </x:c>
      <x:c r="AA343" s="14" t="str">
        <x:v>HYPERLINK is not implemented. linkLocation=https://www.imdb.com/title/tt14063678/fullcredits/,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1</x:v>
      </x:c>
      <x:c r="BS343" s="16" t="n">
        <x:v>0.08333333333333333</x:v>
      </x:c>
      <x:c r="BT343" s="14" t="str">
        <x:v>One episode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4" t="str">
        <x:v>HYPERLINK is not implemented. linkLocation=https://www.imdb.com/title/tt14063678/fullcredits/,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tt14063678|nm1510027|dave</x:v>
      </x:c>
      <x:c r="B344" s="14" t="str">
        <x:v>04</x:v>
      </x:c>
      <x:c r="C344" s="14" t="str">
        <x:v>2023_IMDb_Cast_Lists_Batch_04(2).xlsx</x:v>
      </x:c>
      <x:c r="D344" s="14" t="str">
        <x:v>The Gold</x:v>
      </x:c>
      <x:c r="E344" s="14" t="n">
        <x:v>82</x:v>
      </x:c>
      <x:c r="F344" s="14" t="str">
        <x:v>The Gold</x:v>
      </x:c>
      <x:c r="G344" s="14" t="str">
        <x:v>tt14063678</x:v>
      </x:c>
      <x:c r="H344" s="14" t="n">
        <x:v>2023</x:v>
      </x:c>
      <x:c r="I344" s="14" t="n">
        <x:v>2025</x:v>
      </x:c>
      <x:c r="J344" s="14" t="str">
        <x:v>Earlier-Production Carry-In Cohort</x:v>
      </x:c>
      <x:c r="K344" s="14" t="n">
        <x:v>2023</x:v>
      </x:c>
      <x:c r="L344" s="14" t="str">
        <x:v>Used in 2025 annual analysis</x:v>
      </x:c>
      <x:c r="M344" s="15" t="n">
        <x:v>75</x:v>
      </x:c>
      <x:c r="N344" s="14" t="str">
        <x:v>Paul Albertson</x:v>
      </x:c>
      <x:c r="O344" s="14" t="str">
        <x:v>nm1510027</x:v>
      </x:c>
      <x:c r="P344" s="14" t="str">
        <x:v>Dave</x:v>
      </x:c>
      <x:c r="Q344" s="15" t="n">
        <x:v>1</x:v>
      </x:c>
      <x:c r="R344" s="14" t="str">
        <x:v>2025</x:v>
      </x:c>
      <x:c r="S344" s="14" t="n">
        <x:v>2025</x:v>
      </x:c>
      <x:c r="T344" s="14" t="n">
        <x:v>2025</x:v>
      </x:c>
      <x:c r="U344" s="14" t="str">
        <x:v>Explicit source first year retained</x:v>
      </x:c>
      <x:c r="V344" s="14" t="str">
        <x:v>Earliest supplied year is 2025.</x:v>
      </x:c>
      <x:c r="W344" s="14"/>
      <x:c r="X344" s="14" t="str">
        <x:v>Included</x:v>
      </x:c>
      <x:c r="Y344" s="14"/>
      <x:c r="Z344" s="14" t="str">
        <x:v>The Gold.docx</x:v>
      </x:c>
      <x:c r="AA344" s="14" t="str">
        <x:v>HYPERLINK is not implemented. linkLocation=https://www.imdb.com/title/tt14063678/fullcredits/,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1</x:v>
      </x:c>
      <x:c r="BS344" s="16" t="n">
        <x:v>0.08333333333333333</x:v>
      </x:c>
      <x:c r="BT344" s="14" t="str">
        <x:v>One episode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4" t="str">
        <x:v>HYPERLINK is not implemented. linkLocation=https://www.imdb.com/title/tt14063678/fullcredits/,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tt14063678|nm7933276|francisca</x:v>
      </x:c>
      <x:c r="B345" s="14" t="str">
        <x:v>04</x:v>
      </x:c>
      <x:c r="C345" s="14" t="str">
        <x:v>2023_IMDb_Cast_Lists_Batch_04(2).xlsx</x:v>
      </x:c>
      <x:c r="D345" s="14" t="str">
        <x:v>The Gold</x:v>
      </x:c>
      <x:c r="E345" s="14" t="n">
        <x:v>83</x:v>
      </x:c>
      <x:c r="F345" s="14" t="str">
        <x:v>The Gold</x:v>
      </x:c>
      <x:c r="G345" s="14" t="str">
        <x:v>tt14063678</x:v>
      </x:c>
      <x:c r="H345" s="14" t="n">
        <x:v>2023</x:v>
      </x:c>
      <x:c r="I345" s="14" t="n">
        <x:v>2025</x:v>
      </x:c>
      <x:c r="J345" s="14" t="str">
        <x:v>Earlier-Production Carry-In Cohort</x:v>
      </x:c>
      <x:c r="K345" s="14" t="n">
        <x:v>2023</x:v>
      </x:c>
      <x:c r="L345" s="14" t="str">
        <x:v>Used in 2025 annual analysis</x:v>
      </x:c>
      <x:c r="M345" s="15" t="n">
        <x:v>76</x:v>
      </x:c>
      <x:c r="N345" s="14" t="str">
        <x:v>Adriana Segurado</x:v>
      </x:c>
      <x:c r="O345" s="14" t="str">
        <x:v>nm7933276</x:v>
      </x:c>
      <x:c r="P345" s="14" t="str">
        <x:v>Francisca</x:v>
      </x:c>
      <x:c r="Q345" s="15" t="n">
        <x:v>1</x:v>
      </x:c>
      <x:c r="R345" s="14" t="str">
        <x:v>2025</x:v>
      </x:c>
      <x:c r="S345" s="14" t="n">
        <x:v>2025</x:v>
      </x:c>
      <x:c r="T345" s="14" t="n">
        <x:v>2025</x:v>
      </x:c>
      <x:c r="U345" s="14" t="str">
        <x:v>Explicit source first year retained</x:v>
      </x:c>
      <x:c r="V345" s="14" t="str">
        <x:v>Earliest supplied year is 2025.</x:v>
      </x:c>
      <x:c r="W345" s="14"/>
      <x:c r="X345" s="14" t="str">
        <x:v>Included</x:v>
      </x:c>
      <x:c r="Y345" s="14"/>
      <x:c r="Z345" s="14" t="str">
        <x:v>The Gold.docx</x:v>
      </x:c>
      <x:c r="AA345" s="14" t="str">
        <x:v>HYPERLINK is not implemented. linkLocation=https://www.imdb.com/title/tt14063678/fullcredits/,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1</x:v>
      </x:c>
      <x:c r="BS345" s="16" t="n">
        <x:v>0.08333333333333333</x:v>
      </x:c>
      <x:c r="BT345" s="14" t="str">
        <x:v>One episode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4" t="str">
        <x:v>HYPERLINK is not implemented. linkLocation=https://www.imdb.com/title/tt14063678/fullcredits/,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tt14063678|nm4662005|angie</x:v>
      </x:c>
      <x:c r="B346" s="14" t="str">
        <x:v>04</x:v>
      </x:c>
      <x:c r="C346" s="14" t="str">
        <x:v>2023_IMDb_Cast_Lists_Batch_04(2).xlsx</x:v>
      </x:c>
      <x:c r="D346" s="14" t="str">
        <x:v>The Gold</x:v>
      </x:c>
      <x:c r="E346" s="14" t="n">
        <x:v>84</x:v>
      </x:c>
      <x:c r="F346" s="14" t="str">
        <x:v>The Gold</x:v>
      </x:c>
      <x:c r="G346" s="14" t="str">
        <x:v>tt14063678</x:v>
      </x:c>
      <x:c r="H346" s="14" t="n">
        <x:v>2023</x:v>
      </x:c>
      <x:c r="I346" s="14" t="n">
        <x:v>2025</x:v>
      </x:c>
      <x:c r="J346" s="14" t="str">
        <x:v>Earlier-Production Carry-In Cohort</x:v>
      </x:c>
      <x:c r="K346" s="14" t="n">
        <x:v>2023</x:v>
      </x:c>
      <x:c r="L346" s="14" t="str">
        <x:v>Used in 2025 annual analysis</x:v>
      </x:c>
      <x:c r="M346" s="15" t="n">
        <x:v>77</x:v>
      </x:c>
      <x:c r="N346" s="14" t="str">
        <x:v>Gennifer Becouarn</x:v>
      </x:c>
      <x:c r="O346" s="14" t="str">
        <x:v>nm4662005</x:v>
      </x:c>
      <x:c r="P346" s="14" t="str">
        <x:v>Angie</x:v>
      </x:c>
      <x:c r="Q346" s="15" t="n">
        <x:v>1</x:v>
      </x:c>
      <x:c r="R346" s="14" t="str">
        <x:v>2025</x:v>
      </x:c>
      <x:c r="S346" s="14" t="n">
        <x:v>2025</x:v>
      </x:c>
      <x:c r="T346" s="14" t="n">
        <x:v>2025</x:v>
      </x:c>
      <x:c r="U346" s="14" t="str">
        <x:v>Explicit source first year retained</x:v>
      </x:c>
      <x:c r="V346" s="14" t="str">
        <x:v>Earliest supplied year is 2025.</x:v>
      </x:c>
      <x:c r="W346" s="14"/>
      <x:c r="X346" s="14" t="str">
        <x:v>Included</x:v>
      </x:c>
      <x:c r="Y346" s="14"/>
      <x:c r="Z346" s="14" t="str">
        <x:v>The Gold.docx</x:v>
      </x:c>
      <x:c r="AA346" s="14" t="str">
        <x:v>HYPERLINK is not implemented. linkLocation=https://www.imdb.com/title/tt14063678/fullcredits/,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1</x:v>
      </x:c>
      <x:c r="BS346" s="16" t="n">
        <x:v>0.08333333333333333</x:v>
      </x:c>
      <x:c r="BT346" s="14" t="str">
        <x:v>One episode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4" t="str">
        <x:v>HYPERLINK is not implemented. linkLocation=https://www.imdb.com/title/tt14063678/fullcredits/,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tt14063678|nm0033691|judge goodwin</x:v>
      </x:c>
      <x:c r="B347" s="14" t="str">
        <x:v>04</x:v>
      </x:c>
      <x:c r="C347" s="14" t="str">
        <x:v>2023_IMDb_Cast_Lists_Batch_04(2).xlsx</x:v>
      </x:c>
      <x:c r="D347" s="14" t="str">
        <x:v>The Gold</x:v>
      </x:c>
      <x:c r="E347" s="14" t="n">
        <x:v>87</x:v>
      </x:c>
      <x:c r="F347" s="14" t="str">
        <x:v>The Gold</x:v>
      </x:c>
      <x:c r="G347" s="14" t="str">
        <x:v>tt14063678</x:v>
      </x:c>
      <x:c r="H347" s="14" t="n">
        <x:v>2023</x:v>
      </x:c>
      <x:c r="I347" s="14" t="n">
        <x:v>2025</x:v>
      </x:c>
      <x:c r="J347" s="14" t="str">
        <x:v>Earlier-Production Carry-In Cohort</x:v>
      </x:c>
      <x:c r="K347" s="14" t="n">
        <x:v>2023</x:v>
      </x:c>
      <x:c r="L347" s="14" t="str">
        <x:v>Used in 2025 annual analysis</x:v>
      </x:c>
      <x:c r="M347" s="15" t="n">
        <x:v>80</x:v>
      </x:c>
      <x:c r="N347" s="14" t="str">
        <x:v>Karen Archer</x:v>
      </x:c>
      <x:c r="O347" s="14" t="str">
        <x:v>nm0033691</x:v>
      </x:c>
      <x:c r="P347" s="14" t="str">
        <x:v>Judge Goodwin</x:v>
      </x:c>
      <x:c r="Q347" s="15" t="n">
        <x:v>1</x:v>
      </x:c>
      <x:c r="R347" s="14" t="str">
        <x:v>2025</x:v>
      </x:c>
      <x:c r="S347" s="14" t="n">
        <x:v>2025</x:v>
      </x:c>
      <x:c r="T347" s="14" t="n">
        <x:v>2025</x:v>
      </x:c>
      <x:c r="U347" s="14" t="str">
        <x:v>Explicit source first year retained</x:v>
      </x:c>
      <x:c r="V347" s="14" t="str">
        <x:v>Earliest supplied year is 2025.</x:v>
      </x:c>
      <x:c r="W347" s="14"/>
      <x:c r="X347" s="14" t="str">
        <x:v>Included</x:v>
      </x:c>
      <x:c r="Y347" s="14"/>
      <x:c r="Z347" s="14" t="str">
        <x:v>The Gold.docx</x:v>
      </x:c>
      <x:c r="AA347" s="14" t="str">
        <x:v>HYPERLINK is not implemented. linkLocation=https://www.imdb.com/title/tt14063678/fullcredits/,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1</x:v>
      </x:c>
      <x:c r="BS347" s="16" t="n">
        <x:v>0.08333333333333333</x:v>
      </x:c>
      <x:c r="BT347" s="14" t="str">
        <x:v>One episode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4" t="str">
        <x:v>HYPERLINK is not implemented. linkLocation=https://www.imdb.com/title/tt14063678/fullcredits/,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tt14063678|nm8395657|spanish policeman</x:v>
      </x:c>
      <x:c r="B348" s="14" t="str">
        <x:v>04</x:v>
      </x:c>
      <x:c r="C348" s="14" t="str">
        <x:v>2023_IMDb_Cast_Lists_Batch_04(2).xlsx</x:v>
      </x:c>
      <x:c r="D348" s="14" t="str">
        <x:v>The Gold</x:v>
      </x:c>
      <x:c r="E348" s="14" t="n">
        <x:v>88</x:v>
      </x:c>
      <x:c r="F348" s="14" t="str">
        <x:v>The Gold</x:v>
      </x:c>
      <x:c r="G348" s="14" t="str">
        <x:v>tt14063678</x:v>
      </x:c>
      <x:c r="H348" s="14" t="n">
        <x:v>2023</x:v>
      </x:c>
      <x:c r="I348" s="14" t="n">
        <x:v>2025</x:v>
      </x:c>
      <x:c r="J348" s="14" t="str">
        <x:v>Earlier-Production Carry-In Cohort</x:v>
      </x:c>
      <x:c r="K348" s="14" t="n">
        <x:v>2023</x:v>
      </x:c>
      <x:c r="L348" s="14" t="str">
        <x:v>Used in 2025 annual analysis</x:v>
      </x:c>
      <x:c r="M348" s="15" t="n">
        <x:v>81</x:v>
      </x:c>
      <x:c r="N348" s="14" t="str">
        <x:v>Nestor Barreto</x:v>
      </x:c>
      <x:c r="O348" s="14" t="str">
        <x:v>nm8395657</x:v>
      </x:c>
      <x:c r="P348" s="14" t="str">
        <x:v>Spanish Policeman</x:v>
      </x:c>
      <x:c r="Q348" s="15" t="n">
        <x:v>1</x:v>
      </x:c>
      <x:c r="R348" s="14" t="str">
        <x:v>2025</x:v>
      </x:c>
      <x:c r="S348" s="14" t="n">
        <x:v>2025</x:v>
      </x:c>
      <x:c r="T348" s="14" t="n">
        <x:v>2025</x:v>
      </x:c>
      <x:c r="U348" s="14" t="str">
        <x:v>Explicit source first year retained</x:v>
      </x:c>
      <x:c r="V348" s="14" t="str">
        <x:v>Earliest supplied year is 2025.</x:v>
      </x:c>
      <x:c r="W348" s="14"/>
      <x:c r="X348" s="14" t="str">
        <x:v>Included</x:v>
      </x:c>
      <x:c r="Y348" s="14"/>
      <x:c r="Z348" s="14" t="str">
        <x:v>The Gold.docx</x:v>
      </x:c>
      <x:c r="AA348" s="14" t="str">
        <x:v>HYPERLINK is not implemented. linkLocation=https://www.imdb.com/title/tt14063678/fullcredits/,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BBC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8" s="14" t="str">
        <x:v>BBC public-service commission</x:v>
      </x:c>
      <x:c r="AO348" s="14" t="str">
        <x:v>Yes</x:v>
      </x:c>
      <x:c r="AP348" s="14" t="str">
        <x:v>Direct BBC public-service scope</x:v>
      </x:c>
      <x:c r="AQ348" s="14" t="str">
        <x:v>Yes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1</x:v>
      </x:c>
      <x:c r="BS348" s="16" t="n">
        <x:v>0.08333333333333333</x:v>
      </x:c>
      <x:c r="BT348" s="14" t="str">
        <x:v>One episode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4" t="str">
        <x:v>HYPERLINK is not implemented. linkLocation=https://www.imdb.com/title/tt14063678/fullcredits/,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tt14063678|nm1565422|walter</x:v>
      </x:c>
      <x:c r="B349" s="14" t="str">
        <x:v>04</x:v>
      </x:c>
      <x:c r="C349" s="14" t="str">
        <x:v>2023_IMDb_Cast_Lists_Batch_04(2).xlsx</x:v>
      </x:c>
      <x:c r="D349" s="14" t="str">
        <x:v>The Gold</x:v>
      </x:c>
      <x:c r="E349" s="14" t="n">
        <x:v>90</x:v>
      </x:c>
      <x:c r="F349" s="14" t="str">
        <x:v>The Gold</x:v>
      </x:c>
      <x:c r="G349" s="14" t="str">
        <x:v>tt14063678</x:v>
      </x:c>
      <x:c r="H349" s="14" t="n">
        <x:v>2023</x:v>
      </x:c>
      <x:c r="I349" s="14" t="n">
        <x:v>2025</x:v>
      </x:c>
      <x:c r="J349" s="14" t="str">
        <x:v>Earlier-Production Carry-In Cohort</x:v>
      </x:c>
      <x:c r="K349" s="14" t="n">
        <x:v>2023</x:v>
      </x:c>
      <x:c r="L349" s="14" t="str">
        <x:v>Used in 2025 annual analysis</x:v>
      </x:c>
      <x:c r="M349" s="15" t="n">
        <x:v>83</x:v>
      </x:c>
      <x:c r="N349" s="14" t="str">
        <x:v>Phillip Browne</x:v>
      </x:c>
      <x:c r="O349" s="14" t="str">
        <x:v>nm1565422</x:v>
      </x:c>
      <x:c r="P349" s="14" t="str">
        <x:v>Walter</x:v>
      </x:c>
      <x:c r="Q349" s="15" t="n">
        <x:v>1</x:v>
      </x:c>
      <x:c r="R349" s="14" t="str">
        <x:v>2025</x:v>
      </x:c>
      <x:c r="S349" s="14" t="n">
        <x:v>2025</x:v>
      </x:c>
      <x:c r="T349" s="14" t="n">
        <x:v>2025</x:v>
      </x:c>
      <x:c r="U349" s="14" t="str">
        <x:v>Explicit source first year retained</x:v>
      </x:c>
      <x:c r="V349" s="14" t="str">
        <x:v>Earliest supplied year is 2025.</x:v>
      </x:c>
      <x:c r="W349" s="14"/>
      <x:c r="X349" s="14" t="str">
        <x:v>Included</x:v>
      </x:c>
      <x:c r="Y349" s="14"/>
      <x:c r="Z349" s="14" t="str">
        <x:v>The Gold.docx</x:v>
      </x:c>
      <x:c r="AA349" s="14" t="str">
        <x:v>HYPERLINK is not implemented. linkLocation=https://www.imdb.com/title/tt14063678/fullcredits/,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BBC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9" s="14" t="str">
        <x:v>BBC public-service commission</x:v>
      </x:c>
      <x:c r="AO349" s="14" t="str">
        <x:v>Yes</x:v>
      </x:c>
      <x:c r="AP349" s="14" t="str">
        <x:v>Direct BBC public-service scope</x:v>
      </x:c>
      <x:c r="AQ349" s="14" t="str">
        <x:v>Yes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1</x:v>
      </x:c>
      <x:c r="BS349" s="16" t="n">
        <x:v>0.08333333333333333</x:v>
      </x:c>
      <x:c r="BT349" s="14" t="str">
        <x:v>One episode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4" t="str">
        <x:v>HYPERLINK is not implemented. linkLocation=https://www.imdb.com/title/tt14063678/fullcredits/,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tt14063678|nm10195260|waiter</x:v>
      </x:c>
      <x:c r="B350" s="14" t="str">
        <x:v>04</x:v>
      </x:c>
      <x:c r="C350" s="14" t="str">
        <x:v>2023_IMDb_Cast_Lists_Batch_04(2).xlsx</x:v>
      </x:c>
      <x:c r="D350" s="14" t="str">
        <x:v>The Gold</x:v>
      </x:c>
      <x:c r="E350" s="14" t="n">
        <x:v>91</x:v>
      </x:c>
      <x:c r="F350" s="14" t="str">
        <x:v>The Gold</x:v>
      </x:c>
      <x:c r="G350" s="14" t="str">
        <x:v>tt14063678</x:v>
      </x:c>
      <x:c r="H350" s="14" t="n">
        <x:v>2023</x:v>
      </x:c>
      <x:c r="I350" s="14" t="n">
        <x:v>2025</x:v>
      </x:c>
      <x:c r="J350" s="14" t="str">
        <x:v>Earlier-Production Carry-In Cohort</x:v>
      </x:c>
      <x:c r="K350" s="14" t="n">
        <x:v>2023</x:v>
      </x:c>
      <x:c r="L350" s="14" t="str">
        <x:v>Used in 2025 annual analysis</x:v>
      </x:c>
      <x:c r="M350" s="15" t="n">
        <x:v>84</x:v>
      </x:c>
      <x:c r="N350" s="14" t="str">
        <x:v>Toni Báez</x:v>
      </x:c>
      <x:c r="O350" s="14" t="str">
        <x:v>nm10195260</x:v>
      </x:c>
      <x:c r="P350" s="14" t="str">
        <x:v>Waiter</x:v>
      </x:c>
      <x:c r="Q350" s="15" t="n">
        <x:v>1</x:v>
      </x:c>
      <x:c r="R350" s="14" t="str">
        <x:v>2025</x:v>
      </x:c>
      <x:c r="S350" s="14" t="n">
        <x:v>2025</x:v>
      </x:c>
      <x:c r="T350" s="14" t="n">
        <x:v>2025</x:v>
      </x:c>
      <x:c r="U350" s="14" t="str">
        <x:v>Explicit source first year retained</x:v>
      </x:c>
      <x:c r="V350" s="14" t="str">
        <x:v>Earliest supplied year is 2025.</x:v>
      </x:c>
      <x:c r="W350" s="14"/>
      <x:c r="X350" s="14" t="str">
        <x:v>Included</x:v>
      </x:c>
      <x:c r="Y350" s="14"/>
      <x:c r="Z350" s="14" t="str">
        <x:v>The Gold.docx</x:v>
      </x:c>
      <x:c r="AA350" s="14" t="str">
        <x:v>HYPERLINK is not implemented. linkLocation=https://www.imdb.com/title/tt14063678/fullcredits/,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BBC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0" s="14" t="str">
        <x:v>BBC public-service commission</x:v>
      </x:c>
      <x:c r="AO350" s="14" t="str">
        <x:v>Yes</x:v>
      </x:c>
      <x:c r="AP350" s="14" t="str">
        <x:v>Direct BBC public-service scope</x:v>
      </x:c>
      <x:c r="AQ350" s="14" t="str">
        <x:v>Yes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1</x:v>
      </x:c>
      <x:c r="BS350" s="16" t="n">
        <x:v>0.08333333333333333</x:v>
      </x:c>
      <x:c r="BT350" s="14" t="str">
        <x:v>One episode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4" t="str">
        <x:v>HYPERLINK is not implemented. linkLocation=https://www.imdb.com/title/tt14063678/fullcredits/,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tt14063678|nm9567905|woman in spain</x:v>
      </x:c>
      <x:c r="B351" s="14" t="str">
        <x:v>04</x:v>
      </x:c>
      <x:c r="C351" s="14" t="str">
        <x:v>2023_IMDb_Cast_Lists_Batch_04(2).xlsx</x:v>
      </x:c>
      <x:c r="D351" s="14" t="str">
        <x:v>The Gold</x:v>
      </x:c>
      <x:c r="E351" s="14" t="n">
        <x:v>94</x:v>
      </x:c>
      <x:c r="F351" s="14" t="str">
        <x:v>The Gold</x:v>
      </x:c>
      <x:c r="G351" s="14" t="str">
        <x:v>tt14063678</x:v>
      </x:c>
      <x:c r="H351" s="14" t="n">
        <x:v>2023</x:v>
      </x:c>
      <x:c r="I351" s="14" t="n">
        <x:v>2025</x:v>
      </x:c>
      <x:c r="J351" s="14" t="str">
        <x:v>Earlier-Production Carry-In Cohort</x:v>
      </x:c>
      <x:c r="K351" s="14" t="n">
        <x:v>2023</x:v>
      </x:c>
      <x:c r="L351" s="14" t="str">
        <x:v>Used in 2025 annual analysis</x:v>
      </x:c>
      <x:c r="M351" s="15" t="n">
        <x:v>87</x:v>
      </x:c>
      <x:c r="N351" s="14" t="str">
        <x:v>Federica Basile</x:v>
      </x:c>
      <x:c r="O351" s="14" t="str">
        <x:v>nm9567905</x:v>
      </x:c>
      <x:c r="P351" s="14" t="str">
        <x:v>Woman in Spain</x:v>
      </x:c>
      <x:c r="Q351" s="15" t="n">
        <x:v>1</x:v>
      </x:c>
      <x:c r="R351" s="14" t="str">
        <x:v>2025</x:v>
      </x:c>
      <x:c r="S351" s="14" t="n">
        <x:v>2025</x:v>
      </x:c>
      <x:c r="T351" s="14" t="n">
        <x:v>2025</x:v>
      </x:c>
      <x:c r="U351" s="14" t="str">
        <x:v>Explicit source first year retained</x:v>
      </x:c>
      <x:c r="V351" s="14" t="str">
        <x:v>Earliest supplied year is 2025.</x:v>
      </x:c>
      <x:c r="W351" s="14"/>
      <x:c r="X351" s="14" t="str">
        <x:v>Included</x:v>
      </x:c>
      <x:c r="Y351" s="14"/>
      <x:c r="Z351" s="14" t="str">
        <x:v>The Gold.docx</x:v>
      </x:c>
      <x:c r="AA351" s="14" t="str">
        <x:v>HYPERLINK is not implemented. linkLocation=https://www.imdb.com/title/tt14063678/fullcredits/,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BBC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1" s="14" t="str">
        <x:v>BBC public-service commission</x:v>
      </x:c>
      <x:c r="AO351" s="14" t="str">
        <x:v>Yes</x:v>
      </x:c>
      <x:c r="AP351" s="14" t="str">
        <x:v>Direct BBC public-service scope</x:v>
      </x:c>
      <x:c r="AQ351" s="14" t="str">
        <x:v>Yes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1</x:v>
      </x:c>
      <x:c r="BS351" s="16" t="n">
        <x:v>0.08333333333333333</x:v>
      </x:c>
      <x:c r="BT351" s="14" t="str">
        <x:v>One episode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4" t="str">
        <x:v>HYPERLINK is not implemented. linkLocation=https://www.imdb.com/title/tt14063678/fullcredits/,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tt14063678|nm6398011|jay</x:v>
      </x:c>
      <x:c r="B352" s="14" t="str">
        <x:v>04</x:v>
      </x:c>
      <x:c r="C352" s="14" t="str">
        <x:v>2023_IMDb_Cast_Lists_Batch_04(2).xlsx</x:v>
      </x:c>
      <x:c r="D352" s="14" t="str">
        <x:v>The Gold</x:v>
      </x:c>
      <x:c r="E352" s="14" t="n">
        <x:v>95</x:v>
      </x:c>
      <x:c r="F352" s="14" t="str">
        <x:v>The Gold</x:v>
      </x:c>
      <x:c r="G352" s="14" t="str">
        <x:v>tt14063678</x:v>
      </x:c>
      <x:c r="H352" s="14" t="n">
        <x:v>2023</x:v>
      </x:c>
      <x:c r="I352" s="14" t="n">
        <x:v>2025</x:v>
      </x:c>
      <x:c r="J352" s="14" t="str">
        <x:v>Earlier-Production Carry-In Cohort</x:v>
      </x:c>
      <x:c r="K352" s="14" t="n">
        <x:v>2023</x:v>
      </x:c>
      <x:c r="L352" s="14" t="str">
        <x:v>Used in 2025 annual analysis</x:v>
      </x:c>
      <x:c r="M352" s="15" t="n">
        <x:v>88</x:v>
      </x:c>
      <x:c r="N352" s="14" t="str">
        <x:v>Niall Bishop</x:v>
      </x:c>
      <x:c r="O352" s="14" t="str">
        <x:v>nm6398011</x:v>
      </x:c>
      <x:c r="P352" s="14" t="str">
        <x:v>Jay</x:v>
      </x:c>
      <x:c r="Q352" s="15" t="n">
        <x:v>1</x:v>
      </x:c>
      <x:c r="R352" s="14" t="str">
        <x:v>2025</x:v>
      </x:c>
      <x:c r="S352" s="14" t="n">
        <x:v>2025</x:v>
      </x:c>
      <x:c r="T352" s="14" t="n">
        <x:v>2025</x:v>
      </x:c>
      <x:c r="U352" s="14" t="str">
        <x:v>Explicit source first year retained</x:v>
      </x:c>
      <x:c r="V352" s="14" t="str">
        <x:v>Earliest supplied year is 2025.</x:v>
      </x:c>
      <x:c r="W352" s="14"/>
      <x:c r="X352" s="14" t="str">
        <x:v>Included</x:v>
      </x:c>
      <x:c r="Y352" s="14"/>
      <x:c r="Z352" s="14" t="str">
        <x:v>The Gold.docx</x:v>
      </x:c>
      <x:c r="AA352" s="14" t="str">
        <x:v>HYPERLINK is not implemented. linkLocation=https://www.imdb.com/title/tt14063678/fullcredits/,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BBC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2" s="14" t="str">
        <x:v>BBC public-service commission</x:v>
      </x:c>
      <x:c r="AO352" s="14" t="str">
        <x:v>Yes</x:v>
      </x:c>
      <x:c r="AP352" s="14" t="str">
        <x:v>Direct BBC public-service scope</x:v>
      </x:c>
      <x:c r="AQ352" s="14" t="str">
        <x:v>Yes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1</x:v>
      </x:c>
      <x:c r="BS352" s="16" t="n">
        <x:v>0.08333333333333333</x:v>
      </x:c>
      <x:c r="BT352" s="14" t="str">
        <x:v>One episode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4" t="str">
        <x:v>HYPERLINK is not implemented. linkLocation=https://www.imdb.com/title/tt14063678/fullcredits/,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tt14063678|nm1467587|toby williams</x:v>
      </x:c>
      <x:c r="B353" s="14" t="str">
        <x:v>04</x:v>
      </x:c>
      <x:c r="C353" s="14" t="str">
        <x:v>2023_IMDb_Cast_Lists_Batch_04(2).xlsx</x:v>
      </x:c>
      <x:c r="D353" s="14" t="str">
        <x:v>The Gold</x:v>
      </x:c>
      <x:c r="E353" s="14" t="n">
        <x:v>96</x:v>
      </x:c>
      <x:c r="F353" s="14" t="str">
        <x:v>The Gold</x:v>
      </x:c>
      <x:c r="G353" s="14" t="str">
        <x:v>tt14063678</x:v>
      </x:c>
      <x:c r="H353" s="14" t="n">
        <x:v>2023</x:v>
      </x:c>
      <x:c r="I353" s="14" t="n">
        <x:v>2025</x:v>
      </x:c>
      <x:c r="J353" s="14" t="str">
        <x:v>Earlier-Production Carry-In Cohort</x:v>
      </x:c>
      <x:c r="K353" s="14" t="n">
        <x:v>2023</x:v>
      </x:c>
      <x:c r="L353" s="14" t="str">
        <x:v>Used in 2025 annual analysis</x:v>
      </x:c>
      <x:c r="M353" s="15" t="n">
        <x:v>89</x:v>
      </x:c>
      <x:c r="N353" s="14" t="str">
        <x:v>Martin Bell</x:v>
      </x:c>
      <x:c r="O353" s="14" t="str">
        <x:v>nm1467587</x:v>
      </x:c>
      <x:c r="P353" s="14" t="str">
        <x:v>Toby Williams</x:v>
      </x:c>
      <x:c r="Q353" s="15" t="n">
        <x:v>1</x:v>
      </x:c>
      <x:c r="R353" s="14" t="str">
        <x:v>2025</x:v>
      </x:c>
      <x:c r="S353" s="14" t="n">
        <x:v>2025</x:v>
      </x:c>
      <x:c r="T353" s="14" t="n">
        <x:v>2025</x:v>
      </x:c>
      <x:c r="U353" s="14" t="str">
        <x:v>Explicit source first year retained</x:v>
      </x:c>
      <x:c r="V353" s="14" t="str">
        <x:v>Earliest supplied year is 2025.</x:v>
      </x:c>
      <x:c r="W353" s="14"/>
      <x:c r="X353" s="14" t="str">
        <x:v>Included</x:v>
      </x:c>
      <x:c r="Y353" s="14"/>
      <x:c r="Z353" s="14" t="str">
        <x:v>The Gold.docx</x:v>
      </x:c>
      <x:c r="AA353" s="14" t="str">
        <x:v>HYPERLINK is not implemented. linkLocation=https://www.imdb.com/title/tt14063678/fullcredits/,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BBC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3" s="14" t="str">
        <x:v>BBC public-service commission</x:v>
      </x:c>
      <x:c r="AO353" s="14" t="str">
        <x:v>Yes</x:v>
      </x:c>
      <x:c r="AP353" s="14" t="str">
        <x:v>Direct BBC public-service scope</x:v>
      </x:c>
      <x:c r="AQ353" s="14" t="str">
        <x:v>Yes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1</x:v>
      </x:c>
      <x:c r="BS353" s="16" t="n">
        <x:v>0.08333333333333333</x:v>
      </x:c>
      <x:c r="BT353" s="14" t="str">
        <x:v>One episode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4" t="str">
        <x:v>HYPERLINK is not implemented. linkLocation=https://www.imdb.com/title/tt14063678/fullcredits/,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tt14063678|nm0184893|henry</x:v>
      </x:c>
      <x:c r="B354" s="14" t="str">
        <x:v>04</x:v>
      </x:c>
      <x:c r="C354" s="14" t="str">
        <x:v>2023_IMDb_Cast_Lists_Batch_04(2).xlsx</x:v>
      </x:c>
      <x:c r="D354" s="14" t="str">
        <x:v>The Gold</x:v>
      </x:c>
      <x:c r="E354" s="14" t="n">
        <x:v>100</x:v>
      </x:c>
      <x:c r="F354" s="14" t="str">
        <x:v>The Gold</x:v>
      </x:c>
      <x:c r="G354" s="14" t="str">
        <x:v>tt14063678</x:v>
      </x:c>
      <x:c r="H354" s="14" t="n">
        <x:v>2023</x:v>
      </x:c>
      <x:c r="I354" s="14" t="n">
        <x:v>2025</x:v>
      </x:c>
      <x:c r="J354" s="14" t="str">
        <x:v>Earlier-Production Carry-In Cohort</x:v>
      </x:c>
      <x:c r="K354" s="14" t="n">
        <x:v>2023</x:v>
      </x:c>
      <x:c r="L354" s="14" t="str">
        <x:v>Used in 2025 annual analysis</x:v>
      </x:c>
      <x:c r="M354" s="15" t="n">
        <x:v>93</x:v>
      </x:c>
      <x:c r="N354" s="14" t="str">
        <x:v>Alan Cox</x:v>
      </x:c>
      <x:c r="O354" s="14" t="str">
        <x:v>nm0184893</x:v>
      </x:c>
      <x:c r="P354" s="14" t="str">
        <x:v>Henry</x:v>
      </x:c>
      <x:c r="Q354" s="15" t="n">
        <x:v>1</x:v>
      </x:c>
      <x:c r="R354" s="14" t="str">
        <x:v>2025</x:v>
      </x:c>
      <x:c r="S354" s="14" t="n">
        <x:v>2025</x:v>
      </x:c>
      <x:c r="T354" s="14" t="n">
        <x:v>2025</x:v>
      </x:c>
      <x:c r="U354" s="14" t="str">
        <x:v>Explicit source first year retained</x:v>
      </x:c>
      <x:c r="V354" s="14" t="str">
        <x:v>Earliest supplied year is 2025.</x:v>
      </x:c>
      <x:c r="W354" s="14"/>
      <x:c r="X354" s="14" t="str">
        <x:v>Included</x:v>
      </x:c>
      <x:c r="Y354" s="14"/>
      <x:c r="Z354" s="14" t="str">
        <x:v>The Gold.docx</x:v>
      </x:c>
      <x:c r="AA354" s="14" t="str">
        <x:v>HYPERLINK is not implemented. linkLocation=https://www.imdb.com/title/tt14063678/fullcredits/,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BBC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4" s="14" t="str">
        <x:v>BBC public-service commission</x:v>
      </x:c>
      <x:c r="AO354" s="14" t="str">
        <x:v>Yes</x:v>
      </x:c>
      <x:c r="AP354" s="14" t="str">
        <x:v>Direct BBC public-service scope</x:v>
      </x:c>
      <x:c r="AQ354" s="14" t="str">
        <x:v>Yes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1</x:v>
      </x:c>
      <x:c r="BS354" s="16" t="n">
        <x:v>0.08333333333333333</x:v>
      </x:c>
      <x:c r="BT354" s="14" t="str">
        <x:v>One episode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4" t="str">
        <x:v>HYPERLINK is not implemented. linkLocation=https://www.imdb.com/title/tt14063678/fullcredits/,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tt14063678|nm0077401|judge instrell</x:v>
      </x:c>
      <x:c r="B355" s="14" t="str">
        <x:v>04</x:v>
      </x:c>
      <x:c r="C355" s="14" t="str">
        <x:v>2023_IMDb_Cast_Lists_Batch_04(2).xlsx</x:v>
      </x:c>
      <x:c r="D355" s="14" t="str">
        <x:v>The Gold</x:v>
      </x:c>
      <x:c r="E355" s="14" t="n">
        <x:v>101</x:v>
      </x:c>
      <x:c r="F355" s="14" t="str">
        <x:v>The Gold</x:v>
      </x:c>
      <x:c r="G355" s="14" t="str">
        <x:v>tt14063678</x:v>
      </x:c>
      <x:c r="H355" s="14" t="n">
        <x:v>2023</x:v>
      </x:c>
      <x:c r="I355" s="14" t="n">
        <x:v>2025</x:v>
      </x:c>
      <x:c r="J355" s="14" t="str">
        <x:v>Earlier-Production Carry-In Cohort</x:v>
      </x:c>
      <x:c r="K355" s="14" t="n">
        <x:v>2023</x:v>
      </x:c>
      <x:c r="L355" s="14" t="str">
        <x:v>Used in 2025 annual analysis</x:v>
      </x:c>
      <x:c r="M355" s="15" t="n">
        <x:v>94</x:v>
      </x:c>
      <x:c r="N355" s="14" t="str">
        <x:v>Tim Berrington</x:v>
      </x:c>
      <x:c r="O355" s="14" t="str">
        <x:v>nm0077401</x:v>
      </x:c>
      <x:c r="P355" s="14" t="str">
        <x:v>Judge Instrell</x:v>
      </x:c>
      <x:c r="Q355" s="15" t="n">
        <x:v>1</x:v>
      </x:c>
      <x:c r="R355" s="14" t="str">
        <x:v>2025</x:v>
      </x:c>
      <x:c r="S355" s="14" t="n">
        <x:v>2025</x:v>
      </x:c>
      <x:c r="T355" s="14" t="n">
        <x:v>2025</x:v>
      </x:c>
      <x:c r="U355" s="14" t="str">
        <x:v>Explicit source first year retained</x:v>
      </x:c>
      <x:c r="V355" s="14" t="str">
        <x:v>Earliest supplied year is 2025.</x:v>
      </x:c>
      <x:c r="W355" s="14"/>
      <x:c r="X355" s="14" t="str">
        <x:v>Included</x:v>
      </x:c>
      <x:c r="Y355" s="14"/>
      <x:c r="Z355" s="14" t="str">
        <x:v>The Gold.docx</x:v>
      </x:c>
      <x:c r="AA355" s="14" t="str">
        <x:v>HYPERLINK is not implemented. linkLocation=https://www.imdb.com/title/tt14063678/fullcredits/,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BBC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5" s="14" t="str">
        <x:v>BBC public-service commission</x:v>
      </x:c>
      <x:c r="AO355" s="14" t="str">
        <x:v>Yes</x:v>
      </x:c>
      <x:c r="AP355" s="14" t="str">
        <x:v>Direct BBC public-service scope</x:v>
      </x:c>
      <x:c r="AQ355" s="14" t="str">
        <x:v>Yes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0.08333333333333333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4" t="str">
        <x:v>HYPERLINK is not implemented. linkLocation=https://www.imdb.com/title/tt14063678/fullcredits/,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tt14063678|nm3912429|sunday times journalist</x:v>
      </x:c>
      <x:c r="B356" s="14" t="str">
        <x:v>04</x:v>
      </x:c>
      <x:c r="C356" s="14" t="str">
        <x:v>2023_IMDb_Cast_Lists_Batch_04(2).xlsx</x:v>
      </x:c>
      <x:c r="D356" s="14" t="str">
        <x:v>The Gold</x:v>
      </x:c>
      <x:c r="E356" s="14" t="n">
        <x:v>102</x:v>
      </x:c>
      <x:c r="F356" s="14" t="str">
        <x:v>The Gold</x:v>
      </x:c>
      <x:c r="G356" s="14" t="str">
        <x:v>tt14063678</x:v>
      </x:c>
      <x:c r="H356" s="14" t="n">
        <x:v>2023</x:v>
      </x:c>
      <x:c r="I356" s="14" t="n">
        <x:v>2025</x:v>
      </x:c>
      <x:c r="J356" s="14" t="str">
        <x:v>Earlier-Production Carry-In Cohort</x:v>
      </x:c>
      <x:c r="K356" s="14" t="n">
        <x:v>2023</x:v>
      </x:c>
      <x:c r="L356" s="14" t="str">
        <x:v>Used in 2025 annual analysis</x:v>
      </x:c>
      <x:c r="M356" s="15" t="n">
        <x:v>95</x:v>
      </x:c>
      <x:c r="N356" s="14" t="str">
        <x:v>Simon Brading</x:v>
      </x:c>
      <x:c r="O356" s="14" t="str">
        <x:v>nm3912429</x:v>
      </x:c>
      <x:c r="P356" s="14" t="str">
        <x:v>Sunday Times Journalist</x:v>
      </x:c>
      <x:c r="Q356" s="15" t="n">
        <x:v>1</x:v>
      </x:c>
      <x:c r="R356" s="14" t="str">
        <x:v>2025</x:v>
      </x:c>
      <x:c r="S356" s="14" t="n">
        <x:v>2025</x:v>
      </x:c>
      <x:c r="T356" s="14" t="n">
        <x:v>2025</x:v>
      </x:c>
      <x:c r="U356" s="14" t="str">
        <x:v>Explicit source first year retained</x:v>
      </x:c>
      <x:c r="V356" s="14" t="str">
        <x:v>Earliest supplied year is 2025.</x:v>
      </x:c>
      <x:c r="W356" s="14"/>
      <x:c r="X356" s="14" t="str">
        <x:v>Included</x:v>
      </x:c>
      <x:c r="Y356" s="14"/>
      <x:c r="Z356" s="14" t="str">
        <x:v>The Gold.docx</x:v>
      </x:c>
      <x:c r="AA356" s="14" t="str">
        <x:v>HYPERLINK is not implemented. linkLocation=https://www.imdb.com/title/tt14063678/fullcredits/,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BBC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6" s="14" t="str">
        <x:v>BBC public-service commission</x:v>
      </x:c>
      <x:c r="AO356" s="14" t="str">
        <x:v>Yes</x:v>
      </x:c>
      <x:c r="AP356" s="14" t="str">
        <x:v>Direct BBC public-service scope</x:v>
      </x:c>
      <x:c r="AQ356" s="14" t="str">
        <x:v>Yes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0.08333333333333333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4" t="str">
        <x:v>HYPERLINK is not implemented. linkLocation=https://www.imdb.com/title/tt14063678/fullcredits/,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tt14063678|nm0137278|judge cook</x:v>
      </x:c>
      <x:c r="B357" s="14" t="str">
        <x:v>04</x:v>
      </x:c>
      <x:c r="C357" s="14" t="str">
        <x:v>2023_IMDb_Cast_Lists_Batch_04(2).xlsx</x:v>
      </x:c>
      <x:c r="D357" s="14" t="str">
        <x:v>The Gold</x:v>
      </x:c>
      <x:c r="E357" s="14" t="n">
        <x:v>106</x:v>
      </x:c>
      <x:c r="F357" s="14" t="str">
        <x:v>The Gold</x:v>
      </x:c>
      <x:c r="G357" s="14" t="str">
        <x:v>tt14063678</x:v>
      </x:c>
      <x:c r="H357" s="14" t="n">
        <x:v>2023</x:v>
      </x:c>
      <x:c r="I357" s="14" t="n">
        <x:v>2025</x:v>
      </x:c>
      <x:c r="J357" s="14" t="str">
        <x:v>Earlier-Production Carry-In Cohort</x:v>
      </x:c>
      <x:c r="K357" s="14" t="n">
        <x:v>2023</x:v>
      </x:c>
      <x:c r="L357" s="14" t="str">
        <x:v>Used in 2025 annual analysis</x:v>
      </x:c>
      <x:c r="M357" s="15" t="n">
        <x:v>99</x:v>
      </x:c>
      <x:c r="N357" s="14" t="str">
        <x:v>Lachele Carl</x:v>
      </x:c>
      <x:c r="O357" s="14" t="str">
        <x:v>nm0137278</x:v>
      </x:c>
      <x:c r="P357" s="14" t="str">
        <x:v>Judge Cook</x:v>
      </x:c>
      <x:c r="Q357" s="15" t="n">
        <x:v>1</x:v>
      </x:c>
      <x:c r="R357" s="14" t="str">
        <x:v>2025</x:v>
      </x:c>
      <x:c r="S357" s="14" t="n">
        <x:v>2025</x:v>
      </x:c>
      <x:c r="T357" s="14" t="n">
        <x:v>2025</x:v>
      </x:c>
      <x:c r="U357" s="14" t="str">
        <x:v>Explicit source first year retained</x:v>
      </x:c>
      <x:c r="V357" s="14" t="str">
        <x:v>Earliest supplied year is 2025.</x:v>
      </x:c>
      <x:c r="W357" s="14"/>
      <x:c r="X357" s="14" t="str">
        <x:v>Included</x:v>
      </x:c>
      <x:c r="Y357" s="14"/>
      <x:c r="Z357" s="14" t="str">
        <x:v>The Gold.docx</x:v>
      </x:c>
      <x:c r="AA357" s="14" t="str">
        <x:v>HYPERLINK is not implemented. linkLocation=https://www.imdb.com/title/tt14063678/fullcredits/,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BBC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7" s="14" t="str">
        <x:v>BBC public-service commission</x:v>
      </x:c>
      <x:c r="AO357" s="14" t="str">
        <x:v>Yes</x:v>
      </x:c>
      <x:c r="AP357" s="14" t="str">
        <x:v>Direct BBC public-service scope</x:v>
      </x:c>
      <x:c r="AQ357" s="14" t="str">
        <x:v>Yes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0.08333333333333333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4" t="str">
        <x:v>HYPERLINK is not implemented. linkLocation=https://www.imdb.com/title/tt14063678/fullcredits/,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tt14063678|nm0274574|javier</x:v>
      </x:c>
      <x:c r="B358" s="14" t="str">
        <x:v>04</x:v>
      </x:c>
      <x:c r="C358" s="14" t="str">
        <x:v>2023_IMDb_Cast_Lists_Batch_04(2).xlsx</x:v>
      </x:c>
      <x:c r="D358" s="14" t="str">
        <x:v>The Gold</x:v>
      </x:c>
      <x:c r="E358" s="14" t="n">
        <x:v>107</x:v>
      </x:c>
      <x:c r="F358" s="14" t="str">
        <x:v>The Gold</x:v>
      </x:c>
      <x:c r="G358" s="14" t="str">
        <x:v>tt14063678</x:v>
      </x:c>
      <x:c r="H358" s="14" t="n">
        <x:v>2023</x:v>
      </x:c>
      <x:c r="I358" s="14" t="n">
        <x:v>2025</x:v>
      </x:c>
      <x:c r="J358" s="14" t="str">
        <x:v>Earlier-Production Carry-In Cohort</x:v>
      </x:c>
      <x:c r="K358" s="14" t="n">
        <x:v>2023</x:v>
      </x:c>
      <x:c r="L358" s="14" t="str">
        <x:v>Used in 2025 annual analysis</x:v>
      </x:c>
      <x:c r="M358" s="15" t="n">
        <x:v>100</x:v>
      </x:c>
      <x:c r="N358" s="14" t="str">
        <x:v>José Luis Ferrer</x:v>
      </x:c>
      <x:c r="O358" s="14" t="str">
        <x:v>nm0274574</x:v>
      </x:c>
      <x:c r="P358" s="14" t="str">
        <x:v>Javier</x:v>
      </x:c>
      <x:c r="Q358" s="15" t="n">
        <x:v>1</x:v>
      </x:c>
      <x:c r="R358" s="14" t="str">
        <x:v>2025</x:v>
      </x:c>
      <x:c r="S358" s="14" t="n">
        <x:v>2025</x:v>
      </x:c>
      <x:c r="T358" s="14" t="n">
        <x:v>2025</x:v>
      </x:c>
      <x:c r="U358" s="14" t="str">
        <x:v>Explicit source first year retained</x:v>
      </x:c>
      <x:c r="V358" s="14" t="str">
        <x:v>Earliest supplied year is 2025.</x:v>
      </x:c>
      <x:c r="W358" s="14"/>
      <x:c r="X358" s="14" t="str">
        <x:v>Included</x:v>
      </x:c>
      <x:c r="Y358" s="14"/>
      <x:c r="Z358" s="14" t="str">
        <x:v>The Gold.docx</x:v>
      </x:c>
      <x:c r="AA358" s="14" t="str">
        <x:v>HYPERLINK is not implemented. linkLocation=https://www.imdb.com/title/tt14063678/fullcredits/,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BBC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8" s="14" t="str">
        <x:v>BBC public-service commission</x:v>
      </x:c>
      <x:c r="AO358" s="14" t="str">
        <x:v>Yes</x:v>
      </x:c>
      <x:c r="AP358" s="14" t="str">
        <x:v>Direct BBC public-service scope</x:v>
      </x:c>
      <x:c r="AQ358" s="14" t="str">
        <x:v>Yes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0.08333333333333333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4" t="str">
        <x:v>HYPERLINK is not implemented. linkLocation=https://www.imdb.com/title/tt14063678/fullcredits/,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tt14063678|nm3238734|jed nixon</x:v>
      </x:c>
      <x:c r="B359" s="14" t="str">
        <x:v>04</x:v>
      </x:c>
      <x:c r="C359" s="14" t="str">
        <x:v>2023_IMDb_Cast_Lists_Batch_04(2).xlsx</x:v>
      </x:c>
      <x:c r="D359" s="14" t="str">
        <x:v>The Gold</x:v>
      </x:c>
      <x:c r="E359" s="14" t="n">
        <x:v>109</x:v>
      </x:c>
      <x:c r="F359" s="14" t="str">
        <x:v>The Gold</x:v>
      </x:c>
      <x:c r="G359" s="14" t="str">
        <x:v>tt14063678</x:v>
      </x:c>
      <x:c r="H359" s="14" t="n">
        <x:v>2023</x:v>
      </x:c>
      <x:c r="I359" s="14" t="n">
        <x:v>2025</x:v>
      </x:c>
      <x:c r="J359" s="14" t="str">
        <x:v>Earlier-Production Carry-In Cohort</x:v>
      </x:c>
      <x:c r="K359" s="14" t="n">
        <x:v>2023</x:v>
      </x:c>
      <x:c r="L359" s="14" t="str">
        <x:v>Used in 2025 annual analysis</x:v>
      </x:c>
      <x:c r="M359" s="15" t="n">
        <x:v>102</x:v>
      </x:c>
      <x:c r="N359" s="14" t="str">
        <x:v>Thomas Coombes</x:v>
      </x:c>
      <x:c r="O359" s="14" t="str">
        <x:v>nm3238734</x:v>
      </x:c>
      <x:c r="P359" s="14" t="str">
        <x:v>Jed Nixon</x:v>
      </x:c>
      <x:c r="Q359" s="15" t="n">
        <x:v>1</x:v>
      </x:c>
      <x:c r="R359" s="14" t="str">
        <x:v>2025</x:v>
      </x:c>
      <x:c r="S359" s="14" t="n">
        <x:v>2025</x:v>
      </x:c>
      <x:c r="T359" s="14" t="n">
        <x:v>2025</x:v>
      </x:c>
      <x:c r="U359" s="14" t="str">
        <x:v>Explicit source first year retained</x:v>
      </x:c>
      <x:c r="V359" s="14" t="str">
        <x:v>Earliest supplied year is 2025.</x:v>
      </x:c>
      <x:c r="W359" s="14"/>
      <x:c r="X359" s="14" t="str">
        <x:v>Included</x:v>
      </x:c>
      <x:c r="Y359" s="14"/>
      <x:c r="Z359" s="14" t="str">
        <x:v>The Gold.docx</x:v>
      </x:c>
      <x:c r="AA359" s="14" t="str">
        <x:v>HYPERLINK is not implemented. linkLocation=https://www.imdb.com/title/tt14063678/fullcredits/,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BBC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9" s="14" t="str">
        <x:v>BBC public-service commission</x:v>
      </x:c>
      <x:c r="AO359" s="14" t="str">
        <x:v>Yes</x:v>
      </x:c>
      <x:c r="AP359" s="14" t="str">
        <x:v>Direct BBC public-service scope</x:v>
      </x:c>
      <x:c r="AQ359" s="14" t="str">
        <x:v>Yes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0.08333333333333333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4" t="str">
        <x:v>HYPERLINK is not implemented. linkLocation=https://www.imdb.com/title/tt14063678/fullcredits/,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tt14063678|nm10523429|tortola policeman</x:v>
      </x:c>
      <x:c r="B360" s="14" t="str">
        <x:v>04</x:v>
      </x:c>
      <x:c r="C360" s="14" t="str">
        <x:v>2023_IMDb_Cast_Lists_Batch_04(2).xlsx</x:v>
      </x:c>
      <x:c r="D360" s="14" t="str">
        <x:v>The Gold</x:v>
      </x:c>
      <x:c r="E360" s="14" t="n">
        <x:v>113</x:v>
      </x:c>
      <x:c r="F360" s="14" t="str">
        <x:v>The Gold</x:v>
      </x:c>
      <x:c r="G360" s="14" t="str">
        <x:v>tt14063678</x:v>
      </x:c>
      <x:c r="H360" s="14" t="n">
        <x:v>2023</x:v>
      </x:c>
      <x:c r="I360" s="14" t="n">
        <x:v>2025</x:v>
      </x:c>
      <x:c r="J360" s="14" t="str">
        <x:v>Earlier-Production Carry-In Cohort</x:v>
      </x:c>
      <x:c r="K360" s="14" t="n">
        <x:v>2023</x:v>
      </x:c>
      <x:c r="L360" s="14" t="str">
        <x:v>Used in 2025 annual analysis</x:v>
      </x:c>
      <x:c r="M360" s="15" t="n">
        <x:v>106</x:v>
      </x:c>
      <x:c r="N360" s="14" t="str">
        <x:v>Toni Engonga</x:v>
      </x:c>
      <x:c r="O360" s="14" t="str">
        <x:v>nm10523429</x:v>
      </x:c>
      <x:c r="P360" s="14" t="str">
        <x:v>Tortola Policeman</x:v>
      </x:c>
      <x:c r="Q360" s="15" t="n">
        <x:v>1</x:v>
      </x:c>
      <x:c r="R360" s="14" t="str">
        <x:v>2025</x:v>
      </x:c>
      <x:c r="S360" s="14" t="n">
        <x:v>2025</x:v>
      </x:c>
      <x:c r="T360" s="14" t="n">
        <x:v>2025</x:v>
      </x:c>
      <x:c r="U360" s="14" t="str">
        <x:v>Explicit source first year retained</x:v>
      </x:c>
      <x:c r="V360" s="14" t="str">
        <x:v>Earliest supplied year is 2025.</x:v>
      </x:c>
      <x:c r="W360" s="14"/>
      <x:c r="X360" s="14" t="str">
        <x:v>Included</x:v>
      </x:c>
      <x:c r="Y360" s="14"/>
      <x:c r="Z360" s="14" t="str">
        <x:v>The Gold.docx</x:v>
      </x:c>
      <x:c r="AA360" s="14" t="str">
        <x:v>HYPERLINK is not implemented. linkLocation=https://www.imdb.com/title/tt14063678/fullcredits/,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BBC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0" s="14" t="str">
        <x:v>BBC public-service commission</x:v>
      </x:c>
      <x:c r="AO360" s="14" t="str">
        <x:v>Yes</x:v>
      </x:c>
      <x:c r="AP360" s="14" t="str">
        <x:v>Direct BBC public-service scope</x:v>
      </x:c>
      <x:c r="AQ360" s="14" t="str">
        <x:v>Yes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0.08333333333333333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4" t="str">
        <x:v>HYPERLINK is not implemented. linkLocation=https://www.imdb.com/title/tt14063678/fullcredits/,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tt14063678|nm1257280|owen dailly</x:v>
      </x:c>
      <x:c r="B361" s="14" t="str">
        <x:v>04</x:v>
      </x:c>
      <x:c r="C361" s="14" t="str">
        <x:v>2023_IMDb_Cast_Lists_Batch_04(2).xlsx</x:v>
      </x:c>
      <x:c r="D361" s="14" t="str">
        <x:v>The Gold</x:v>
      </x:c>
      <x:c r="E361" s="14" t="n">
        <x:v>116</x:v>
      </x:c>
      <x:c r="F361" s="14" t="str">
        <x:v>The Gold</x:v>
      </x:c>
      <x:c r="G361" s="14" t="str">
        <x:v>tt14063678</x:v>
      </x:c>
      <x:c r="H361" s="14" t="n">
        <x:v>2023</x:v>
      </x:c>
      <x:c r="I361" s="14" t="n">
        <x:v>2025</x:v>
      </x:c>
      <x:c r="J361" s="14" t="str">
        <x:v>Earlier-Production Carry-In Cohort</x:v>
      </x:c>
      <x:c r="K361" s="14" t="n">
        <x:v>2023</x:v>
      </x:c>
      <x:c r="L361" s="14" t="str">
        <x:v>Used in 2025 annual analysis</x:v>
      </x:c>
      <x:c r="M361" s="15" t="n">
        <x:v>109</x:v>
      </x:c>
      <x:c r="N361" s="14" t="str">
        <x:v>Matthew Gravelle</x:v>
      </x:c>
      <x:c r="O361" s="14" t="str">
        <x:v>nm1257280</x:v>
      </x:c>
      <x:c r="P361" s="14" t="str">
        <x:v>Owen Dailly</x:v>
      </x:c>
      <x:c r="Q361" s="15" t="n">
        <x:v>1</x:v>
      </x:c>
      <x:c r="R361" s="14" t="str">
        <x:v>2025</x:v>
      </x:c>
      <x:c r="S361" s="14" t="n">
        <x:v>2025</x:v>
      </x:c>
      <x:c r="T361" s="14" t="n">
        <x:v>2025</x:v>
      </x:c>
      <x:c r="U361" s="14" t="str">
        <x:v>Explicit source first year retained</x:v>
      </x:c>
      <x:c r="V361" s="14" t="str">
        <x:v>Earliest supplied year is 2025.</x:v>
      </x:c>
      <x:c r="W361" s="14"/>
      <x:c r="X361" s="14" t="str">
        <x:v>Included</x:v>
      </x:c>
      <x:c r="Y361" s="14"/>
      <x:c r="Z361" s="14" t="str">
        <x:v>The Gold.docx</x:v>
      </x:c>
      <x:c r="AA361" s="14" t="str">
        <x:v>HYPERLINK is not implemented. linkLocation=https://www.imdb.com/title/tt14063678/fullcredits/,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BBC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1" s="14" t="str">
        <x:v>BBC public-service commission</x:v>
      </x:c>
      <x:c r="AO361" s="14" t="str">
        <x:v>Yes</x:v>
      </x:c>
      <x:c r="AP361" s="14" t="str">
        <x:v>Direct BBC public-service scope</x:v>
      </x:c>
      <x:c r="AQ361" s="14" t="str">
        <x:v>Yes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0.08333333333333333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4" t="str">
        <x:v>HYPERLINK is not implemented. linkLocation=https://www.imdb.com/title/tt14063678/fullcredits/,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tt14063678|nm0445787|sid</x:v>
      </x:c>
      <x:c r="B362" s="14" t="str">
        <x:v>04</x:v>
      </x:c>
      <x:c r="C362" s="14" t="str">
        <x:v>2023_IMDb_Cast_Lists_Batch_04(2).xlsx</x:v>
      </x:c>
      <x:c r="D362" s="14" t="str">
        <x:v>The Gold</x:v>
      </x:c>
      <x:c r="E362" s="14" t="n">
        <x:v>117</x:v>
      </x:c>
      <x:c r="F362" s="14" t="str">
        <x:v>The Gold</x:v>
      </x:c>
      <x:c r="G362" s="14" t="str">
        <x:v>tt14063678</x:v>
      </x:c>
      <x:c r="H362" s="14" t="n">
        <x:v>2023</x:v>
      </x:c>
      <x:c r="I362" s="14" t="n">
        <x:v>2025</x:v>
      </x:c>
      <x:c r="J362" s="14" t="str">
        <x:v>Earlier-Production Carry-In Cohort</x:v>
      </x:c>
      <x:c r="K362" s="14" t="n">
        <x:v>2023</x:v>
      </x:c>
      <x:c r="L362" s="14" t="str">
        <x:v>Used in 2025 annual analysis</x:v>
      </x:c>
      <x:c r="M362" s="15" t="n">
        <x:v>110</x:v>
      </x:c>
      <x:c r="N362" s="14" t="str">
        <x:v>Tom Keller</x:v>
      </x:c>
      <x:c r="O362" s="14" t="str">
        <x:v>nm0445787</x:v>
      </x:c>
      <x:c r="P362" s="14" t="str">
        <x:v>Sid</x:v>
      </x:c>
      <x:c r="Q362" s="15" t="n">
        <x:v>1</x:v>
      </x:c>
      <x:c r="R362" s="14" t="str">
        <x:v>2025</x:v>
      </x:c>
      <x:c r="S362" s="14" t="n">
        <x:v>2025</x:v>
      </x:c>
      <x:c r="T362" s="14" t="n">
        <x:v>2025</x:v>
      </x:c>
      <x:c r="U362" s="14" t="str">
        <x:v>Explicit source first year retained</x:v>
      </x:c>
      <x:c r="V362" s="14" t="str">
        <x:v>Earliest supplied year is 2025.</x:v>
      </x:c>
      <x:c r="W362" s="14"/>
      <x:c r="X362" s="14" t="str">
        <x:v>Included</x:v>
      </x:c>
      <x:c r="Y362" s="14"/>
      <x:c r="Z362" s="14" t="str">
        <x:v>The Gold.docx</x:v>
      </x:c>
      <x:c r="AA362" s="14" t="str">
        <x:v>HYPERLINK is not implemented. linkLocation=https://www.imdb.com/title/tt14063678/fullcredits/,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BBC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2" s="14" t="str">
        <x:v>BBC public-service commission</x:v>
      </x:c>
      <x:c r="AO362" s="14" t="str">
        <x:v>Yes</x:v>
      </x:c>
      <x:c r="AP362" s="14" t="str">
        <x:v>Direct BBC public-service scope</x:v>
      </x:c>
      <x:c r="AQ362" s="14" t="str">
        <x:v>Yes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0.08333333333333333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4" t="str">
        <x:v>HYPERLINK is not implemented. linkLocation=https://www.imdb.com/title/tt14063678/fullcredits/,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tt14063678|nm1535207|magistrate</x:v>
      </x:c>
      <x:c r="B363" s="14" t="str">
        <x:v>04</x:v>
      </x:c>
      <x:c r="C363" s="14" t="str">
        <x:v>2023_IMDb_Cast_Lists_Batch_04(2).xlsx</x:v>
      </x:c>
      <x:c r="D363" s="14" t="str">
        <x:v>The Gold</x:v>
      </x:c>
      <x:c r="E363" s="14" t="n">
        <x:v>118</x:v>
      </x:c>
      <x:c r="F363" s="14" t="str">
        <x:v>The Gold</x:v>
      </x:c>
      <x:c r="G363" s="14" t="str">
        <x:v>tt14063678</x:v>
      </x:c>
      <x:c r="H363" s="14" t="n">
        <x:v>2023</x:v>
      </x:c>
      <x:c r="I363" s="14" t="n">
        <x:v>2025</x:v>
      </x:c>
      <x:c r="J363" s="14" t="str">
        <x:v>Earlier-Production Carry-In Cohort</x:v>
      </x:c>
      <x:c r="K363" s="14" t="n">
        <x:v>2023</x:v>
      </x:c>
      <x:c r="L363" s="14" t="str">
        <x:v>Used in 2025 annual analysis</x:v>
      </x:c>
      <x:c r="M363" s="15" t="n">
        <x:v>111</x:v>
      </x:c>
      <x:c r="N363" s="14" t="str">
        <x:v>Russell Layton</x:v>
      </x:c>
      <x:c r="O363" s="14" t="str">
        <x:v>nm1535207</x:v>
      </x:c>
      <x:c r="P363" s="14" t="str">
        <x:v>Magistrate</x:v>
      </x:c>
      <x:c r="Q363" s="15" t="n">
        <x:v>1</x:v>
      </x:c>
      <x:c r="R363" s="14" t="str">
        <x:v>2025</x:v>
      </x:c>
      <x:c r="S363" s="14" t="n">
        <x:v>2025</x:v>
      </x:c>
      <x:c r="T363" s="14" t="n">
        <x:v>2025</x:v>
      </x:c>
      <x:c r="U363" s="14" t="str">
        <x:v>Explicit source first year retained</x:v>
      </x:c>
      <x:c r="V363" s="14" t="str">
        <x:v>Earliest supplied year is 2025.</x:v>
      </x:c>
      <x:c r="W363" s="14"/>
      <x:c r="X363" s="14" t="str">
        <x:v>Included</x:v>
      </x:c>
      <x:c r="Y363" s="14"/>
      <x:c r="Z363" s="14" t="str">
        <x:v>The Gold.docx</x:v>
      </x:c>
      <x:c r="AA363" s="14" t="str">
        <x:v>HYPERLINK is not implemented. linkLocation=https://www.imdb.com/title/tt14063678/fullcredits/,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BBC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3" s="14" t="str">
        <x:v>BBC public-service commission</x:v>
      </x:c>
      <x:c r="AO363" s="14" t="str">
        <x:v>Yes</x:v>
      </x:c>
      <x:c r="AP363" s="14" t="str">
        <x:v>Direct BBC public-service scope</x:v>
      </x:c>
      <x:c r="AQ363" s="14" t="str">
        <x:v>Yes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0.08333333333333333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4" t="str">
        <x:v>HYPERLINK is not implemented. linkLocation=https://www.imdb.com/title/tt14063678/fullcredits/,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tt14063678|nm12353903|elaine hunter</x:v>
      </x:c>
      <x:c r="B364" s="14" t="str">
        <x:v>04</x:v>
      </x:c>
      <x:c r="C364" s="14" t="str">
        <x:v>2023_IMDb_Cast_Lists_Batch_04(2).xlsx</x:v>
      </x:c>
      <x:c r="D364" s="14" t="str">
        <x:v>The Gold</x:v>
      </x:c>
      <x:c r="E364" s="14" t="n">
        <x:v>123</x:v>
      </x:c>
      <x:c r="F364" s="14" t="str">
        <x:v>The Gold</x:v>
      </x:c>
      <x:c r="G364" s="14" t="str">
        <x:v>tt14063678</x:v>
      </x:c>
      <x:c r="H364" s="14" t="n">
        <x:v>2023</x:v>
      </x:c>
      <x:c r="I364" s="14" t="n">
        <x:v>2025</x:v>
      </x:c>
      <x:c r="J364" s="14" t="str">
        <x:v>Earlier-Production Carry-In Cohort</x:v>
      </x:c>
      <x:c r="K364" s="14" t="n">
        <x:v>2023</x:v>
      </x:c>
      <x:c r="L364" s="14" t="str">
        <x:v>Used in 2025 annual analysis</x:v>
      </x:c>
      <x:c r="M364" s="15" t="n">
        <x:v>116</x:v>
      </x:c>
      <x:c r="N364" s="14" t="str">
        <x:v>Fiona Marr</x:v>
      </x:c>
      <x:c r="O364" s="14" t="str">
        <x:v>nm12353903</x:v>
      </x:c>
      <x:c r="P364" s="14" t="str">
        <x:v>Elaine Hunter</x:v>
      </x:c>
      <x:c r="Q364" s="15" t="n">
        <x:v>1</x:v>
      </x:c>
      <x:c r="R364" s="14" t="str">
        <x:v>2025</x:v>
      </x:c>
      <x:c r="S364" s="14" t="n">
        <x:v>2025</x:v>
      </x:c>
      <x:c r="T364" s="14" t="n">
        <x:v>2025</x:v>
      </x:c>
      <x:c r="U364" s="14" t="str">
        <x:v>Explicit source first year retained</x:v>
      </x:c>
      <x:c r="V364" s="14" t="str">
        <x:v>Earliest supplied year is 2025.</x:v>
      </x:c>
      <x:c r="W364" s="14"/>
      <x:c r="X364" s="14" t="str">
        <x:v>Included</x:v>
      </x:c>
      <x:c r="Y364" s="14"/>
      <x:c r="Z364" s="14" t="str">
        <x:v>The Gold.docx</x:v>
      </x:c>
      <x:c r="AA364" s="14" t="str">
        <x:v>HYPERLINK is not implemented. linkLocation=https://www.imdb.com/title/tt14063678/fullcredits/,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BBC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4" s="14" t="str">
        <x:v>BBC public-service commission</x:v>
      </x:c>
      <x:c r="AO364" s="14" t="str">
        <x:v>Yes</x:v>
      </x:c>
      <x:c r="AP364" s="14" t="str">
        <x:v>Direct BBC public-service scope</x:v>
      </x:c>
      <x:c r="AQ364" s="14" t="str">
        <x:v>Yes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0.08333333333333333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4" t="str">
        <x:v>HYPERLINK is not implemented. linkLocation=https://www.imdb.com/title/tt14063678/fullcredits/,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tt14063678|nm16949557|ted</x:v>
      </x:c>
      <x:c r="B365" s="14" t="str">
        <x:v>04</x:v>
      </x:c>
      <x:c r="C365" s="14" t="str">
        <x:v>2023_IMDb_Cast_Lists_Batch_04(2).xlsx</x:v>
      </x:c>
      <x:c r="D365" s="14" t="str">
        <x:v>The Gold</x:v>
      </x:c>
      <x:c r="E365" s="14" t="n">
        <x:v>124</x:v>
      </x:c>
      <x:c r="F365" s="14" t="str">
        <x:v>The Gold</x:v>
      </x:c>
      <x:c r="G365" s="14" t="str">
        <x:v>tt14063678</x:v>
      </x:c>
      <x:c r="H365" s="14" t="n">
        <x:v>2023</x:v>
      </x:c>
      <x:c r="I365" s="14" t="n">
        <x:v>2025</x:v>
      </x:c>
      <x:c r="J365" s="14" t="str">
        <x:v>Earlier-Production Carry-In Cohort</x:v>
      </x:c>
      <x:c r="K365" s="14" t="n">
        <x:v>2023</x:v>
      </x:c>
      <x:c r="L365" s="14" t="str">
        <x:v>Used in 2025 annual analysis</x:v>
      </x:c>
      <x:c r="M365" s="15" t="n">
        <x:v>117</x:v>
      </x:c>
      <x:c r="N365" s="14" t="str">
        <x:v>Caspar Jones</x:v>
      </x:c>
      <x:c r="O365" s="14" t="str">
        <x:v>nm16949557</x:v>
      </x:c>
      <x:c r="P365" s="14" t="str">
        <x:v>Ted</x:v>
      </x:c>
      <x:c r="Q365" s="15" t="n">
        <x:v>1</x:v>
      </x:c>
      <x:c r="R365" s="14" t="str">
        <x:v>2025</x:v>
      </x:c>
      <x:c r="S365" s="14" t="n">
        <x:v>2025</x:v>
      </x:c>
      <x:c r="T365" s="14" t="n">
        <x:v>2025</x:v>
      </x:c>
      <x:c r="U365" s="14" t="str">
        <x:v>Explicit source first year retained</x:v>
      </x:c>
      <x:c r="V365" s="14" t="str">
        <x:v>Earliest supplied year is 2025.</x:v>
      </x:c>
      <x:c r="W365" s="14"/>
      <x:c r="X365" s="14" t="str">
        <x:v>Included</x:v>
      </x:c>
      <x:c r="Y365" s="14"/>
      <x:c r="Z365" s="14" t="str">
        <x:v>The Gold.docx</x:v>
      </x:c>
      <x:c r="AA365" s="14" t="str">
        <x:v>HYPERLINK is not implemented. linkLocation=https://www.imdb.com/title/tt14063678/fullcredits/,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BBC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5" s="14" t="str">
        <x:v>BBC public-service commission</x:v>
      </x:c>
      <x:c r="AO365" s="14" t="str">
        <x:v>Yes</x:v>
      </x:c>
      <x:c r="AP365" s="14" t="str">
        <x:v>Direct BBC public-service scope</x:v>
      </x:c>
      <x:c r="AQ365" s="14" t="str">
        <x:v>Yes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0.08333333333333333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4" t="str">
        <x:v>HYPERLINK is not implemented. linkLocation=https://www.imdb.com/title/tt14063678/fullcredits/,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tt14063678|nm2171908|véronique</x:v>
      </x:c>
      <x:c r="B366" s="14" t="str">
        <x:v>04</x:v>
      </x:c>
      <x:c r="C366" s="14" t="str">
        <x:v>2023_IMDb_Cast_Lists_Batch_04(2).xlsx</x:v>
      </x:c>
      <x:c r="D366" s="14" t="str">
        <x:v>The Gold</x:v>
      </x:c>
      <x:c r="E366" s="14" t="n">
        <x:v>126</x:v>
      </x:c>
      <x:c r="F366" s="14" t="str">
        <x:v>The Gold</x:v>
      </x:c>
      <x:c r="G366" s="14" t="str">
        <x:v>tt14063678</x:v>
      </x:c>
      <x:c r="H366" s="14" t="n">
        <x:v>2023</x:v>
      </x:c>
      <x:c r="I366" s="14" t="n">
        <x:v>2025</x:v>
      </x:c>
      <x:c r="J366" s="14" t="str">
        <x:v>Earlier-Production Carry-In Cohort</x:v>
      </x:c>
      <x:c r="K366" s="14" t="n">
        <x:v>2023</x:v>
      </x:c>
      <x:c r="L366" s="14" t="str">
        <x:v>Used in 2025 annual analysis</x:v>
      </x:c>
      <x:c r="M366" s="15" t="n">
        <x:v>119</x:v>
      </x:c>
      <x:c r="N366" s="14" t="str">
        <x:v>Ramona Von Pusch</x:v>
      </x:c>
      <x:c r="O366" s="14" t="str">
        <x:v>nm2171908</x:v>
      </x:c>
      <x:c r="P366" s="14" t="str">
        <x:v>Véronique</x:v>
      </x:c>
      <x:c r="Q366" s="15" t="n">
        <x:v>1</x:v>
      </x:c>
      <x:c r="R366" s="14" t="str">
        <x:v>2025</x:v>
      </x:c>
      <x:c r="S366" s="14" t="n">
        <x:v>2025</x:v>
      </x:c>
      <x:c r="T366" s="14" t="n">
        <x:v>2025</x:v>
      </x:c>
      <x:c r="U366" s="14" t="str">
        <x:v>Explicit source first year retained</x:v>
      </x:c>
      <x:c r="V366" s="14" t="str">
        <x:v>Earliest supplied year is 2025.</x:v>
      </x:c>
      <x:c r="W366" s="14"/>
      <x:c r="X366" s="14" t="str">
        <x:v>Included</x:v>
      </x:c>
      <x:c r="Y366" s="14"/>
      <x:c r="Z366" s="14" t="str">
        <x:v>The Gold.docx</x:v>
      </x:c>
      <x:c r="AA366" s="14" t="str">
        <x:v>HYPERLINK is not implemented. linkLocation=https://www.imdb.com/title/tt14063678/fullcredits/,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BBC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6" s="14" t="str">
        <x:v>BBC public-service commission</x:v>
      </x:c>
      <x:c r="AO366" s="14" t="str">
        <x:v>Yes</x:v>
      </x:c>
      <x:c r="AP366" s="14" t="str">
        <x:v>Direct BBC public-service scope</x:v>
      </x:c>
      <x:c r="AQ366" s="14" t="str">
        <x:v>Yes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0.08333333333333333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4" t="str">
        <x:v>HYPERLINK is not implemented. linkLocation=https://www.imdb.com/title/tt14063678/fullcredits/,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tt14063678|nm3474917|forewoman isla</x:v>
      </x:c>
      <x:c r="B367" s="14" t="str">
        <x:v>04</x:v>
      </x:c>
      <x:c r="C367" s="14" t="str">
        <x:v>2023_IMDb_Cast_Lists_Batch_04(2).xlsx</x:v>
      </x:c>
      <x:c r="D367" s="14" t="str">
        <x:v>The Gold</x:v>
      </x:c>
      <x:c r="E367" s="14" t="n">
        <x:v>127</x:v>
      </x:c>
      <x:c r="F367" s="14" t="str">
        <x:v>The Gold</x:v>
      </x:c>
      <x:c r="G367" s="14" t="str">
        <x:v>tt14063678</x:v>
      </x:c>
      <x:c r="H367" s="14" t="n">
        <x:v>2023</x:v>
      </x:c>
      <x:c r="I367" s="14" t="n">
        <x:v>2025</x:v>
      </x:c>
      <x:c r="J367" s="14" t="str">
        <x:v>Earlier-Production Carry-In Cohort</x:v>
      </x:c>
      <x:c r="K367" s="14" t="n">
        <x:v>2023</x:v>
      </x:c>
      <x:c r="L367" s="14" t="str">
        <x:v>Used in 2025 annual analysis</x:v>
      </x:c>
      <x:c r="M367" s="15" t="n">
        <x:v>120</x:v>
      </x:c>
      <x:c r="N367" s="14" t="str">
        <x:v>Soraya Radford</x:v>
      </x:c>
      <x:c r="O367" s="14" t="str">
        <x:v>nm3474917</x:v>
      </x:c>
      <x:c r="P367" s="14" t="str">
        <x:v>Forewoman Isla</x:v>
      </x:c>
      <x:c r="Q367" s="15" t="n">
        <x:v>1</x:v>
      </x:c>
      <x:c r="R367" s="14" t="str">
        <x:v>2025</x:v>
      </x:c>
      <x:c r="S367" s="14" t="n">
        <x:v>2025</x:v>
      </x:c>
      <x:c r="T367" s="14" t="n">
        <x:v>2025</x:v>
      </x:c>
      <x:c r="U367" s="14" t="str">
        <x:v>Explicit source first year retained</x:v>
      </x:c>
      <x:c r="V367" s="14" t="str">
        <x:v>Earliest supplied year is 2025.</x:v>
      </x:c>
      <x:c r="W367" s="14"/>
      <x:c r="X367" s="14" t="str">
        <x:v>Included</x:v>
      </x:c>
      <x:c r="Y367" s="14"/>
      <x:c r="Z367" s="14" t="str">
        <x:v>The Gold.docx</x:v>
      </x:c>
      <x:c r="AA367" s="14" t="str">
        <x:v>HYPERLINK is not implemented. linkLocation=https://www.imdb.com/title/tt14063678/fullcredits/,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BBC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7" s="14" t="str">
        <x:v>BBC public-service commission</x:v>
      </x:c>
      <x:c r="AO367" s="14" t="str">
        <x:v>Yes</x:v>
      </x:c>
      <x:c r="AP367" s="14" t="str">
        <x:v>Direct BBC public-service scope</x:v>
      </x:c>
      <x:c r="AQ367" s="14" t="str">
        <x:v>Yes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0.08333333333333333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4" t="str">
        <x:v>HYPERLINK is not implemented. linkLocation=https://www.imdb.com/title/tt14063678/fullcredits/,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tt14063678|nm0659373|han-so</x:v>
      </x:c>
      <x:c r="B368" s="14" t="str">
        <x:v>04</x:v>
      </x:c>
      <x:c r="C368" s="14" t="str">
        <x:v>2023_IMDb_Cast_Lists_Batch_04(2).xlsx</x:v>
      </x:c>
      <x:c r="D368" s="14" t="str">
        <x:v>The Gold</x:v>
      </x:c>
      <x:c r="E368" s="14" t="n">
        <x:v>128</x:v>
      </x:c>
      <x:c r="F368" s="14" t="str">
        <x:v>The Gold</x:v>
      </x:c>
      <x:c r="G368" s="14" t="str">
        <x:v>tt14063678</x:v>
      </x:c>
      <x:c r="H368" s="14" t="n">
        <x:v>2023</x:v>
      </x:c>
      <x:c r="I368" s="14" t="n">
        <x:v>2025</x:v>
      </x:c>
      <x:c r="J368" s="14" t="str">
        <x:v>Earlier-Production Carry-In Cohort</x:v>
      </x:c>
      <x:c r="K368" s="14" t="n">
        <x:v>2023</x:v>
      </x:c>
      <x:c r="L368" s="14" t="str">
        <x:v>Used in 2025 annual analysis</x:v>
      </x:c>
      <x:c r="M368" s="15" t="n">
        <x:v>121</x:v>
      </x:c>
      <x:c r="N368" s="14" t="str">
        <x:v>Adrian Pang</x:v>
      </x:c>
      <x:c r="O368" s="14" t="str">
        <x:v>nm0659373</x:v>
      </x:c>
      <x:c r="P368" s="14" t="str">
        <x:v>Han-So</x:v>
      </x:c>
      <x:c r="Q368" s="15" t="n">
        <x:v>1</x:v>
      </x:c>
      <x:c r="R368" s="14" t="str">
        <x:v>2025</x:v>
      </x:c>
      <x:c r="S368" s="14" t="n">
        <x:v>2025</x:v>
      </x:c>
      <x:c r="T368" s="14" t="n">
        <x:v>2025</x:v>
      </x:c>
      <x:c r="U368" s="14" t="str">
        <x:v>Explicit source first year retained</x:v>
      </x:c>
      <x:c r="V368" s="14" t="str">
        <x:v>Earliest supplied year is 2025.</x:v>
      </x:c>
      <x:c r="W368" s="14"/>
      <x:c r="X368" s="14" t="str">
        <x:v>Included</x:v>
      </x:c>
      <x:c r="Y368" s="14"/>
      <x:c r="Z368" s="14" t="str">
        <x:v>The Gold.docx</x:v>
      </x:c>
      <x:c r="AA368" s="14" t="str">
        <x:v>HYPERLINK is not implemented. linkLocation=https://www.imdb.com/title/tt14063678/fullcredits/,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BBC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8" s="14" t="str">
        <x:v>BBC public-service commission</x:v>
      </x:c>
      <x:c r="AO368" s="14" t="str">
        <x:v>Yes</x:v>
      </x:c>
      <x:c r="AP368" s="14" t="str">
        <x:v>Direct BBC public-service scope</x:v>
      </x:c>
      <x:c r="AQ368" s="14" t="str">
        <x:v>Yes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12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1</x:v>
      </x:c>
      <x:c r="BS368" s="16" t="n">
        <x:v>0.08333333333333333</x:v>
      </x:c>
      <x:c r="BT368" s="14" t="str">
        <x:v>One episode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4" t="str">
        <x:v>HYPERLINK is not implemented. linkLocation=https://www.imdb.com/title/tt14063678/fullcredits/,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tt14063678|nm8449814|rosa</x:v>
      </x:c>
      <x:c r="B369" s="14" t="str">
        <x:v>04</x:v>
      </x:c>
      <x:c r="C369" s="14" t="str">
        <x:v>2023_IMDb_Cast_Lists_Batch_04(2).xlsx</x:v>
      </x:c>
      <x:c r="D369" s="14" t="str">
        <x:v>The Gold</x:v>
      </x:c>
      <x:c r="E369" s="14" t="n">
        <x:v>130</x:v>
      </x:c>
      <x:c r="F369" s="14" t="str">
        <x:v>The Gold</x:v>
      </x:c>
      <x:c r="G369" s="14" t="str">
        <x:v>tt14063678</x:v>
      </x:c>
      <x:c r="H369" s="14" t="n">
        <x:v>2023</x:v>
      </x:c>
      <x:c r="I369" s="14" t="n">
        <x:v>2025</x:v>
      </x:c>
      <x:c r="J369" s="14" t="str">
        <x:v>Earlier-Production Carry-In Cohort</x:v>
      </x:c>
      <x:c r="K369" s="14" t="n">
        <x:v>2023</x:v>
      </x:c>
      <x:c r="L369" s="14" t="str">
        <x:v>Used in 2025 annual analysis</x:v>
      </x:c>
      <x:c r="M369" s="15" t="n">
        <x:v>123</x:v>
      </x:c>
      <x:c r="N369" s="14" t="str">
        <x:v>Savannah Steyn</x:v>
      </x:c>
      <x:c r="O369" s="14" t="str">
        <x:v>nm8449814</x:v>
      </x:c>
      <x:c r="P369" s="14" t="str">
        <x:v>Rosa</x:v>
      </x:c>
      <x:c r="Q369" s="15" t="n">
        <x:v>1</x:v>
      </x:c>
      <x:c r="R369" s="14" t="str">
        <x:v>2025</x:v>
      </x:c>
      <x:c r="S369" s="14" t="n">
        <x:v>2025</x:v>
      </x:c>
      <x:c r="T369" s="14" t="n">
        <x:v>2025</x:v>
      </x:c>
      <x:c r="U369" s="14" t="str">
        <x:v>Explicit source first year retained</x:v>
      </x:c>
      <x:c r="V369" s="14" t="str">
        <x:v>Earliest supplied year is 2025.</x:v>
      </x:c>
      <x:c r="W369" s="14"/>
      <x:c r="X369" s="14" t="str">
        <x:v>Included</x:v>
      </x:c>
      <x:c r="Y369" s="14"/>
      <x:c r="Z369" s="14" t="str">
        <x:v>The Gold.docx</x:v>
      </x:c>
      <x:c r="AA369" s="14" t="str">
        <x:v>HYPERLINK is not implemented. linkLocation=https://www.imdb.com/title/tt14063678/fullcredits/,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BBC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9" s="14" t="str">
        <x:v>BBC public-service commission</x:v>
      </x:c>
      <x:c r="AO369" s="14" t="str">
        <x:v>Yes</x:v>
      </x:c>
      <x:c r="AP369" s="14" t="str">
        <x:v>Direct BBC public-service scope</x:v>
      </x:c>
      <x:c r="AQ369" s="14" t="str">
        <x:v>Yes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12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0.08333333333333333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4" t="str">
        <x:v>HYPERLINK is not implemented. linkLocation=https://www.imdb.com/title/tt14063678/fullcredits/,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tt14063678|nm1518695|superintendent johnston</x:v>
      </x:c>
      <x:c r="B370" s="14" t="str">
        <x:v>04</x:v>
      </x:c>
      <x:c r="C370" s="14" t="str">
        <x:v>2023_IMDb_Cast_Lists_Batch_04(2).xlsx</x:v>
      </x:c>
      <x:c r="D370" s="14" t="str">
        <x:v>The Gold</x:v>
      </x:c>
      <x:c r="E370" s="14" t="n">
        <x:v>131</x:v>
      </x:c>
      <x:c r="F370" s="14" t="str">
        <x:v>The Gold</x:v>
      </x:c>
      <x:c r="G370" s="14" t="str">
        <x:v>tt14063678</x:v>
      </x:c>
      <x:c r="H370" s="14" t="n">
        <x:v>2023</x:v>
      </x:c>
      <x:c r="I370" s="14" t="n">
        <x:v>2025</x:v>
      </x:c>
      <x:c r="J370" s="14" t="str">
        <x:v>Earlier-Production Carry-In Cohort</x:v>
      </x:c>
      <x:c r="K370" s="14" t="n">
        <x:v>2023</x:v>
      </x:c>
      <x:c r="L370" s="14" t="str">
        <x:v>Used in 2025 annual analysis</x:v>
      </x:c>
      <x:c r="M370" s="15" t="n">
        <x:v>124</x:v>
      </x:c>
      <x:c r="N370" s="14" t="str">
        <x:v>Tracy Wiles</x:v>
      </x:c>
      <x:c r="O370" s="14" t="str">
        <x:v>nm1518695</x:v>
      </x:c>
      <x:c r="P370" s="14" t="str">
        <x:v>Superintendent Johnston</x:v>
      </x:c>
      <x:c r="Q370" s="15" t="n">
        <x:v>1</x:v>
      </x:c>
      <x:c r="R370" s="14" t="str">
        <x:v>2025</x:v>
      </x:c>
      <x:c r="S370" s="14" t="n">
        <x:v>2025</x:v>
      </x:c>
      <x:c r="T370" s="14" t="n">
        <x:v>2025</x:v>
      </x:c>
      <x:c r="U370" s="14" t="str">
        <x:v>Explicit source first year retained</x:v>
      </x:c>
      <x:c r="V370" s="14" t="str">
        <x:v>Earliest supplied year is 2025.</x:v>
      </x:c>
      <x:c r="W370" s="14"/>
      <x:c r="X370" s="14" t="str">
        <x:v>Included</x:v>
      </x:c>
      <x:c r="Y370" s="14"/>
      <x:c r="Z370" s="14" t="str">
        <x:v>The Gold.docx</x:v>
      </x:c>
      <x:c r="AA370" s="14" t="str">
        <x:v>HYPERLINK is not implemented. linkLocation=https://www.imdb.com/title/tt14063678/fullcredits/,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BBC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0" s="14" t="str">
        <x:v>BBC public-service commission</x:v>
      </x:c>
      <x:c r="AO370" s="14" t="str">
        <x:v>Yes</x:v>
      </x:c>
      <x:c r="AP370" s="14" t="str">
        <x:v>Direct BBC public-service scope</x:v>
      </x:c>
      <x:c r="AQ370" s="14" t="str">
        <x:v>Yes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12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0.08333333333333333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4" t="str">
        <x:v>HYPERLINK is not implemented. linkLocation=https://www.imdb.com/title/tt14063678/fullcredits/,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tt14063678|nm0532067|tel</x:v>
      </x:c>
      <x:c r="B371" s="14" t="str">
        <x:v>04</x:v>
      </x:c>
      <x:c r="C371" s="14" t="str">
        <x:v>2023_IMDb_Cast_Lists_Batch_04(2).xlsx</x:v>
      </x:c>
      <x:c r="D371" s="14" t="str">
        <x:v>The Gold</x:v>
      </x:c>
      <x:c r="E371" s="14" t="n">
        <x:v>132</x:v>
      </x:c>
      <x:c r="F371" s="14" t="str">
        <x:v>The Gold</x:v>
      </x:c>
      <x:c r="G371" s="14" t="str">
        <x:v>tt14063678</x:v>
      </x:c>
      <x:c r="H371" s="14" t="n">
        <x:v>2023</x:v>
      </x:c>
      <x:c r="I371" s="14" t="n">
        <x:v>2025</x:v>
      </x:c>
      <x:c r="J371" s="14" t="str">
        <x:v>Earlier-Production Carry-In Cohort</x:v>
      </x:c>
      <x:c r="K371" s="14" t="n">
        <x:v>2023</x:v>
      </x:c>
      <x:c r="L371" s="14" t="str">
        <x:v>Used in 2025 annual analysis</x:v>
      </x:c>
      <x:c r="M371" s="15" t="n">
        <x:v>125</x:v>
      </x:c>
      <x:c r="N371" s="14" t="str">
        <x:v>Colin Mace</x:v>
      </x:c>
      <x:c r="O371" s="14" t="str">
        <x:v>nm0532067</x:v>
      </x:c>
      <x:c r="P371" s="14" t="str">
        <x:v>Tel</x:v>
      </x:c>
      <x:c r="Q371" s="15" t="n">
        <x:v>1</x:v>
      </x:c>
      <x:c r="R371" s="14" t="str">
        <x:v>2025</x:v>
      </x:c>
      <x:c r="S371" s="14" t="n">
        <x:v>2025</x:v>
      </x:c>
      <x:c r="T371" s="14" t="n">
        <x:v>2025</x:v>
      </x:c>
      <x:c r="U371" s="14" t="str">
        <x:v>Explicit source first year retained</x:v>
      </x:c>
      <x:c r="V371" s="14" t="str">
        <x:v>Earliest supplied year is 2025.</x:v>
      </x:c>
      <x:c r="W371" s="14"/>
      <x:c r="X371" s="14" t="str">
        <x:v>Included</x:v>
      </x:c>
      <x:c r="Y371" s="14"/>
      <x:c r="Z371" s="14" t="str">
        <x:v>The Gold.docx</x:v>
      </x:c>
      <x:c r="AA371" s="14" t="str">
        <x:v>HYPERLINK is not implemented. linkLocation=https://www.imdb.com/title/tt14063678/fullcredits/,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BBC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1" s="14" t="str">
        <x:v>BBC public-service commission</x:v>
      </x:c>
      <x:c r="AO371" s="14" t="str">
        <x:v>Yes</x:v>
      </x:c>
      <x:c r="AP371" s="14" t="str">
        <x:v>Direct BBC public-service scope</x:v>
      </x:c>
      <x:c r="AQ371" s="14" t="str">
        <x:v>Yes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12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0.08333333333333333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4" t="str">
        <x:v>HYPERLINK is not implemented. linkLocation=https://www.imdb.com/title/tt14063678/fullcredits/,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tt14063678|nm4506767|wendy</x:v>
      </x:c>
      <x:c r="B372" s="14" t="str">
        <x:v>04</x:v>
      </x:c>
      <x:c r="C372" s="14" t="str">
        <x:v>2023_IMDb_Cast_Lists_Batch_04(2).xlsx</x:v>
      </x:c>
      <x:c r="D372" s="14" t="str">
        <x:v>The Gold</x:v>
      </x:c>
      <x:c r="E372" s="14" t="n">
        <x:v>137</x:v>
      </x:c>
      <x:c r="F372" s="14" t="str">
        <x:v>The Gold</x:v>
      </x:c>
      <x:c r="G372" s="14" t="str">
        <x:v>tt14063678</x:v>
      </x:c>
      <x:c r="H372" s="14" t="n">
        <x:v>2023</x:v>
      </x:c>
      <x:c r="I372" s="14" t="n">
        <x:v>2025</x:v>
      </x:c>
      <x:c r="J372" s="14" t="str">
        <x:v>Earlier-Production Carry-In Cohort</x:v>
      </x:c>
      <x:c r="K372" s="14" t="n">
        <x:v>2023</x:v>
      </x:c>
      <x:c r="L372" s="14" t="str">
        <x:v>Used in 2025 annual analysis</x:v>
      </x:c>
      <x:c r="M372" s="15" t="n">
        <x:v>130</x:v>
      </x:c>
      <x:c r="N372" s="14" t="str">
        <x:v>Phoebe Pryce</x:v>
      </x:c>
      <x:c r="O372" s="14" t="str">
        <x:v>nm4506767</x:v>
      </x:c>
      <x:c r="P372" s="14" t="str">
        <x:v>Wendy</x:v>
      </x:c>
      <x:c r="Q372" s="15" t="n">
        <x:v>1</x:v>
      </x:c>
      <x:c r="R372" s="14" t="str">
        <x:v>2025</x:v>
      </x:c>
      <x:c r="S372" s="14" t="n">
        <x:v>2025</x:v>
      </x:c>
      <x:c r="T372" s="14" t="n">
        <x:v>2025</x:v>
      </x:c>
      <x:c r="U372" s="14" t="str">
        <x:v>Explicit source first year retained</x:v>
      </x:c>
      <x:c r="V372" s="14" t="str">
        <x:v>Earliest supplied year is 2025.</x:v>
      </x:c>
      <x:c r="W372" s="14"/>
      <x:c r="X372" s="14" t="str">
        <x:v>Included</x:v>
      </x:c>
      <x:c r="Y372" s="14"/>
      <x:c r="Z372" s="14" t="str">
        <x:v>The Gold.docx</x:v>
      </x:c>
      <x:c r="AA372" s="14" t="str">
        <x:v>HYPERLINK is not implemented. linkLocation=https://www.imdb.com/title/tt14063678/fullcredits/,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BBC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2" s="14" t="str">
        <x:v>BBC public-service commission</x:v>
      </x:c>
      <x:c r="AO372" s="14" t="str">
        <x:v>Yes</x:v>
      </x:c>
      <x:c r="AP372" s="14" t="str">
        <x:v>Direct BBC public-service scope</x:v>
      </x:c>
      <x:c r="AQ372" s="14" t="str">
        <x:v>Yes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12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0.08333333333333333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4" t="str">
        <x:v>HYPERLINK is not implemented. linkLocation=https://www.imdb.com/title/tt14063678/fullcredits/,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tt14063678|nm2715484|bank manager</x:v>
      </x:c>
      <x:c r="B373" s="14" t="str">
        <x:v>04</x:v>
      </x:c>
      <x:c r="C373" s="14" t="str">
        <x:v>2023_IMDb_Cast_Lists_Batch_04(2).xlsx</x:v>
      </x:c>
      <x:c r="D373" s="14" t="str">
        <x:v>The Gold</x:v>
      </x:c>
      <x:c r="E373" s="14" t="n">
        <x:v>147</x:v>
      </x:c>
      <x:c r="F373" s="14" t="str">
        <x:v>The Gold</x:v>
      </x:c>
      <x:c r="G373" s="14" t="str">
        <x:v>tt14063678</x:v>
      </x:c>
      <x:c r="H373" s="14" t="n">
        <x:v>2023</x:v>
      </x:c>
      <x:c r="I373" s="14" t="n">
        <x:v>2025</x:v>
      </x:c>
      <x:c r="J373" s="14" t="str">
        <x:v>Earlier-Production Carry-In Cohort</x:v>
      </x:c>
      <x:c r="K373" s="14" t="n">
        <x:v>2023</x:v>
      </x:c>
      <x:c r="L373" s="14" t="str">
        <x:v>Used in 2025 annual analysis</x:v>
      </x:c>
      <x:c r="M373" s="15" t="n">
        <x:v>140</x:v>
      </x:c>
      <x:c r="N373" s="14" t="str">
        <x:v>Diego Santos</x:v>
      </x:c>
      <x:c r="O373" s="14" t="str">
        <x:v>nm2715484</x:v>
      </x:c>
      <x:c r="P373" s="14" t="str">
        <x:v>Bank Manager</x:v>
      </x:c>
      <x:c r="Q373" s="15" t="n">
        <x:v>1</x:v>
      </x:c>
      <x:c r="R373" s="14" t="str">
        <x:v>2025</x:v>
      </x:c>
      <x:c r="S373" s="14" t="n">
        <x:v>2025</x:v>
      </x:c>
      <x:c r="T373" s="14" t="n">
        <x:v>2025</x:v>
      </x:c>
      <x:c r="U373" s="14" t="str">
        <x:v>Explicit source first year retained</x:v>
      </x:c>
      <x:c r="V373" s="14" t="str">
        <x:v>Earliest supplied year is 2025.</x:v>
      </x:c>
      <x:c r="W373" s="14"/>
      <x:c r="X373" s="14" t="str">
        <x:v>Included</x:v>
      </x:c>
      <x:c r="Y373" s="14"/>
      <x:c r="Z373" s="14" t="str">
        <x:v>The Gold.docx</x:v>
      </x:c>
      <x:c r="AA373" s="14" t="str">
        <x:v>HYPERLINK is not implemented. linkLocation=https://www.imdb.com/title/tt14063678/fullcredits/,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BBC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3" s="14" t="str">
        <x:v>BBC public-service commission</x:v>
      </x:c>
      <x:c r="AO373" s="14" t="str">
        <x:v>Yes</x:v>
      </x:c>
      <x:c r="AP373" s="14" t="str">
        <x:v>Direct BBC public-service scope</x:v>
      </x:c>
      <x:c r="AQ373" s="14" t="str">
        <x:v>Yes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12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0.08333333333333333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4" t="str">
        <x:v>HYPERLINK is not implemented. linkLocation=https://www.imdb.com/title/tt14063678/fullcredits/,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tt14063678|nm1186094|clive</x:v>
      </x:c>
      <x:c r="B374" s="14" t="str">
        <x:v>04</x:v>
      </x:c>
      <x:c r="C374" s="14" t="str">
        <x:v>2023_IMDb_Cast_Lists_Batch_04(2).xlsx</x:v>
      </x:c>
      <x:c r="D374" s="14" t="str">
        <x:v>The Gold</x:v>
      </x:c>
      <x:c r="E374" s="14" t="n">
        <x:v>157</x:v>
      </x:c>
      <x:c r="F374" s="14" t="str">
        <x:v>The Gold</x:v>
      </x:c>
      <x:c r="G374" s="14" t="str">
        <x:v>tt14063678</x:v>
      </x:c>
      <x:c r="H374" s="14" t="n">
        <x:v>2023</x:v>
      </x:c>
      <x:c r="I374" s="14" t="n">
        <x:v>2025</x:v>
      </x:c>
      <x:c r="J374" s="14" t="str">
        <x:v>Earlier-Production Carry-In Cohort</x:v>
      </x:c>
      <x:c r="K374" s="14" t="n">
        <x:v>2023</x:v>
      </x:c>
      <x:c r="L374" s="14" t="str">
        <x:v>Used in 2025 annual analysis</x:v>
      </x:c>
      <x:c r="M374" s="15" t="n">
        <x:v>150</x:v>
      </x:c>
      <x:c r="N374" s="14" t="str">
        <x:v>Jonathan Rhodes</x:v>
      </x:c>
      <x:c r="O374" s="14" t="str">
        <x:v>nm1186094</x:v>
      </x:c>
      <x:c r="P374" s="14" t="str">
        <x:v>Clive</x:v>
      </x:c>
      <x:c r="Q374" s="15" t="n">
        <x:v>1</x:v>
      </x:c>
      <x:c r="R374" s="14" t="str">
        <x:v>2025</x:v>
      </x:c>
      <x:c r="S374" s="14" t="n">
        <x:v>2025</x:v>
      </x:c>
      <x:c r="T374" s="14" t="n">
        <x:v>2025</x:v>
      </x:c>
      <x:c r="U374" s="14" t="str">
        <x:v>Explicit source first year retained</x:v>
      </x:c>
      <x:c r="V374" s="14" t="str">
        <x:v>Earliest supplied year is 2025.</x:v>
      </x:c>
      <x:c r="W374" s="14"/>
      <x:c r="X374" s="14" t="str">
        <x:v>Included</x:v>
      </x:c>
      <x:c r="Y374" s="14"/>
      <x:c r="Z374" s="14" t="str">
        <x:v>The Gold.docx</x:v>
      </x:c>
      <x:c r="AA374" s="14" t="str">
        <x:v>HYPERLINK is not implemented. linkLocation=https://www.imdb.com/title/tt14063678/fullcredits/,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BBC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4" s="14" t="str">
        <x:v>BBC public-service commission</x:v>
      </x:c>
      <x:c r="AO374" s="14" t="str">
        <x:v>Yes</x:v>
      </x:c>
      <x:c r="AP374" s="14" t="str">
        <x:v>Direct BBC public-service scope</x:v>
      </x:c>
      <x:c r="AQ374" s="14" t="str">
        <x:v>Yes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12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0.08333333333333333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4" t="str">
        <x:v>HYPERLINK is not implemented. linkLocation=https://www.imdb.com/title/tt14063678/fullcredits/,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tt14063678|nm9794343|armed police officer #1</x:v>
      </x:c>
      <x:c r="B375" s="14" t="str">
        <x:v>04</x:v>
      </x:c>
      <x:c r="C375" s="14" t="str">
        <x:v>2023_IMDb_Cast_Lists_Batch_04(2).xlsx</x:v>
      </x:c>
      <x:c r="D375" s="14" t="str">
        <x:v>The Gold</x:v>
      </x:c>
      <x:c r="E375" s="14" t="n">
        <x:v>158</x:v>
      </x:c>
      <x:c r="F375" s="14" t="str">
        <x:v>The Gold</x:v>
      </x:c>
      <x:c r="G375" s="14" t="str">
        <x:v>tt14063678</x:v>
      </x:c>
      <x:c r="H375" s="14" t="n">
        <x:v>2023</x:v>
      </x:c>
      <x:c r="I375" s="14" t="n">
        <x:v>2025</x:v>
      </x:c>
      <x:c r="J375" s="14" t="str">
        <x:v>Earlier-Production Carry-In Cohort</x:v>
      </x:c>
      <x:c r="K375" s="14" t="n">
        <x:v>2023</x:v>
      </x:c>
      <x:c r="L375" s="14" t="str">
        <x:v>Used in 2025 annual analysis</x:v>
      </x:c>
      <x:c r="M375" s="15" t="n">
        <x:v>151</x:v>
      </x:c>
      <x:c r="N375" s="14" t="str">
        <x:v>Alex Mason</x:v>
      </x:c>
      <x:c r="O375" s="14" t="str">
        <x:v>nm9794343</x:v>
      </x:c>
      <x:c r="P375" s="14" t="str">
        <x:v>Armed Police Officer #1</x:v>
      </x:c>
      <x:c r="Q375" s="15" t="n">
        <x:v>1</x:v>
      </x:c>
      <x:c r="R375" s="14" t="str">
        <x:v>2025</x:v>
      </x:c>
      <x:c r="S375" s="14" t="n">
        <x:v>2025</x:v>
      </x:c>
      <x:c r="T375" s="14" t="n">
        <x:v>2025</x:v>
      </x:c>
      <x:c r="U375" s="14" t="str">
        <x:v>Explicit source first year retained</x:v>
      </x:c>
      <x:c r="V375" s="14" t="str">
        <x:v>Earliest supplied year is 2025.</x:v>
      </x:c>
      <x:c r="W375" s="14"/>
      <x:c r="X375" s="14" t="str">
        <x:v>Included</x:v>
      </x:c>
      <x:c r="Y375" s="14"/>
      <x:c r="Z375" s="14" t="str">
        <x:v>The Gold.docx</x:v>
      </x:c>
      <x:c r="AA375" s="14" t="str">
        <x:v>HYPERLINK is not implemented. linkLocation=https://www.imdb.com/title/tt14063678/fullcredits/,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BBC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5" s="14" t="str">
        <x:v>BBC public-service commission</x:v>
      </x:c>
      <x:c r="AO375" s="14" t="str">
        <x:v>Yes</x:v>
      </x:c>
      <x:c r="AP375" s="14" t="str">
        <x:v>Direct BBC public-service scope</x:v>
      </x:c>
      <x:c r="AQ375" s="14" t="str">
        <x:v>Yes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12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0.08333333333333333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4" t="str">
        <x:v>HYPERLINK is not implemented. linkLocation=https://www.imdb.com/title/tt14063678/fullcredits/,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tt14063678|nm7659324|ritz customer</x:v>
      </x:c>
      <x:c r="B376" s="14" t="str">
        <x:v>04</x:v>
      </x:c>
      <x:c r="C376" s="14" t="str">
        <x:v>2023_IMDb_Cast_Lists_Batch_04(2).xlsx</x:v>
      </x:c>
      <x:c r="D376" s="14" t="str">
        <x:v>The Gold</x:v>
      </x:c>
      <x:c r="E376" s="14" t="n">
        <x:v>159</x:v>
      </x:c>
      <x:c r="F376" s="14" t="str">
        <x:v>The Gold</x:v>
      </x:c>
      <x:c r="G376" s="14" t="str">
        <x:v>tt14063678</x:v>
      </x:c>
      <x:c r="H376" s="14" t="n">
        <x:v>2023</x:v>
      </x:c>
      <x:c r="I376" s="14" t="n">
        <x:v>2025</x:v>
      </x:c>
      <x:c r="J376" s="14" t="str">
        <x:v>Earlier-Production Carry-In Cohort</x:v>
      </x:c>
      <x:c r="K376" s="14" t="n">
        <x:v>2023</x:v>
      </x:c>
      <x:c r="L376" s="14" t="str">
        <x:v>Used in 2025 annual analysis</x:v>
      </x:c>
      <x:c r="M376" s="15" t="n">
        <x:v>152</x:v>
      </x:c>
      <x:c r="N376" s="14" t="str">
        <x:v>Matt Beauman-Jones</x:v>
      </x:c>
      <x:c r="O376" s="14" t="str">
        <x:v>nm7659324</x:v>
      </x:c>
      <x:c r="P376" s="14" t="str">
        <x:v>Ritz Customer</x:v>
      </x:c>
      <x:c r="Q376" s="15" t="n">
        <x:v>1</x:v>
      </x:c>
      <x:c r="R376" s="14" t="str">
        <x:v>2025</x:v>
      </x:c>
      <x:c r="S376" s="14" t="n">
        <x:v>2025</x:v>
      </x:c>
      <x:c r="T376" s="14" t="n">
        <x:v>2025</x:v>
      </x:c>
      <x:c r="U376" s="14" t="str">
        <x:v>Explicit source first year retained</x:v>
      </x:c>
      <x:c r="V376" s="14" t="str">
        <x:v>Earliest supplied year is 2025.</x:v>
      </x:c>
      <x:c r="W376" s="14"/>
      <x:c r="X376" s="14" t="str">
        <x:v>Included</x:v>
      </x:c>
      <x:c r="Y376" s="14"/>
      <x:c r="Z376" s="14" t="str">
        <x:v>The Gold.docx</x:v>
      </x:c>
      <x:c r="AA376" s="14" t="str">
        <x:v>HYPERLINK is not implemented. linkLocation=https://www.imdb.com/title/tt14063678/fullcredits/,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BBC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6" s="14" t="str">
        <x:v>BBC public-service commission</x:v>
      </x:c>
      <x:c r="AO376" s="14" t="str">
        <x:v>Yes</x:v>
      </x:c>
      <x:c r="AP376" s="14" t="str">
        <x:v>Direct BBC public-service scope</x:v>
      </x:c>
      <x:c r="AQ376" s="14" t="str">
        <x:v>Yes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12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0.08333333333333333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4" t="str">
        <x:v>HYPERLINK is not implemented. linkLocation=https://www.imdb.com/title/tt14063678/fullcredits/,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tt14063678|nm0578485|tourist</x:v>
      </x:c>
      <x:c r="B377" s="14" t="str">
        <x:v>04</x:v>
      </x:c>
      <x:c r="C377" s="14" t="str">
        <x:v>2023_IMDb_Cast_Lists_Batch_04(2).xlsx</x:v>
      </x:c>
      <x:c r="D377" s="14" t="str">
        <x:v>The Gold</x:v>
      </x:c>
      <x:c r="E377" s="14" t="n">
        <x:v>160</x:v>
      </x:c>
      <x:c r="F377" s="14" t="str">
        <x:v>The Gold</x:v>
      </x:c>
      <x:c r="G377" s="14" t="str">
        <x:v>tt14063678</x:v>
      </x:c>
      <x:c r="H377" s="14" t="n">
        <x:v>2023</x:v>
      </x:c>
      <x:c r="I377" s="14" t="n">
        <x:v>2025</x:v>
      </x:c>
      <x:c r="J377" s="14" t="str">
        <x:v>Earlier-Production Carry-In Cohort</x:v>
      </x:c>
      <x:c r="K377" s="14" t="n">
        <x:v>2023</x:v>
      </x:c>
      <x:c r="L377" s="14" t="str">
        <x:v>Used in 2025 annual analysis</x:v>
      </x:c>
      <x:c r="M377" s="15" t="n">
        <x:v>153</x:v>
      </x:c>
      <x:c r="N377" s="14" t="str">
        <x:v>Johnny Melville</x:v>
      </x:c>
      <x:c r="O377" s="14" t="str">
        <x:v>nm0578485</x:v>
      </x:c>
      <x:c r="P377" s="14" t="str">
        <x:v>Tourist</x:v>
      </x:c>
      <x:c r="Q377" s="15" t="n">
        <x:v>1</x:v>
      </x:c>
      <x:c r="R377" s="14" t="str">
        <x:v>2025</x:v>
      </x:c>
      <x:c r="S377" s="14" t="n">
        <x:v>2025</x:v>
      </x:c>
      <x:c r="T377" s="14" t="n">
        <x:v>2025</x:v>
      </x:c>
      <x:c r="U377" s="14" t="str">
        <x:v>Explicit source first year retained</x:v>
      </x:c>
      <x:c r="V377" s="14" t="str">
        <x:v>Earliest supplied year is 2025.</x:v>
      </x:c>
      <x:c r="W377" s="14"/>
      <x:c r="X377" s="14" t="str">
        <x:v>Included</x:v>
      </x:c>
      <x:c r="Y377" s="14"/>
      <x:c r="Z377" s="14" t="str">
        <x:v>The Gold.docx</x:v>
      </x:c>
      <x:c r="AA377" s="14" t="str">
        <x:v>HYPERLINK is not implemented. linkLocation=https://www.imdb.com/title/tt14063678/fullcredits/,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BBC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7" s="14" t="str">
        <x:v>BBC public-service commission</x:v>
      </x:c>
      <x:c r="AO377" s="14" t="str">
        <x:v>Yes</x:v>
      </x:c>
      <x:c r="AP377" s="14" t="str">
        <x:v>Direct BBC public-service scope</x:v>
      </x:c>
      <x:c r="AQ377" s="14" t="str">
        <x:v>Yes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12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0.08333333333333333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4" t="str">
        <x:v>HYPERLINK is not implemented. linkLocation=https://www.imdb.com/title/tt14063678/fullcredits/,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tt26346233|nm2656091|colin smallwood</x:v>
      </x:c>
      <x:c r="B378" s="14" t="str">
        <x:v>04</x:v>
      </x:c>
      <x:c r="C378" s="14" t="str">
        <x:v>2023_IMDb_Cast_Lists_Batch_04(2).xlsx</x:v>
      </x:c>
      <x:c r="D378" s="14" t="str">
        <x:v>The Good Ship Murder</x:v>
      </x:c>
      <x:c r="E378" s="14" t="n">
        <x:v>13</x:v>
      </x:c>
      <x:c r="F378" s="14" t="str">
        <x:v>The Good Ship Murder</x:v>
      </x:c>
      <x:c r="G378" s="14" t="str">
        <x:v>tt26346233</x:v>
      </x:c>
      <x:c r="H378" s="14" t="n">
        <x:v>2023</x:v>
      </x:c>
      <x:c r="I378" s="14" t="n">
        <x:v>2025</x:v>
      </x:c>
      <x:c r="J378" s="14" t="str">
        <x:v>Earlier-Production Carry-In Cohort</x:v>
      </x:c>
      <x:c r="K378" s="14" t="n">
        <x:v>2023</x:v>
      </x:c>
      <x:c r="L378" s="14" t="str">
        <x:v>Used in 2025 annual analysis</x:v>
      </x:c>
      <x:c r="M378" s="15" t="n">
        <x:v>6</x:v>
      </x:c>
      <x:c r="N378" s="14" t="str">
        <x:v>Ross Adams</x:v>
      </x:c>
      <x:c r="O378" s="14" t="str">
        <x:v>nm2656091</x:v>
      </x:c>
      <x:c r="P378" s="14" t="str">
        <x:v>Colin Smallwood</x:v>
      </x:c>
      <x:c r="Q378" s="15" t="n">
        <x:v>15</x:v>
      </x:c>
      <x:c r="R378" s="14" t="str">
        <x:v>2025–2026</x:v>
      </x:c>
      <x:c r="S378" s="14" t="n">
        <x:v>2025</x:v>
      </x:c>
      <x:c r="T378" s="14" t="n">
        <x:v>2025</x:v>
      </x:c>
      <x:c r="U378" s="14" t="str">
        <x:v>Explicit source first year retained</x:v>
      </x:c>
      <x:c r="V378" s="14" t="str">
        <x:v>Earliest supplied year is 2025.</x:v>
      </x:c>
      <x:c r="W378" s="14"/>
      <x:c r="X378" s="14" t="str">
        <x:v>Included</x:v>
      </x:c>
      <x:c r="Y378" s="14"/>
      <x:c r="Z378" s="14" t="str">
        <x:v>The Good Ship Murder.docx</x:v>
      </x:c>
      <x:c r="AA378" s="14" t="str">
        <x:v>HYPERLINK is not implemented. linkLocation=https://www.imdb.com/title/tt26346233/fullcredits/,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Channel 5 / 5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24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15</x:v>
      </x:c>
      <x:c r="BS378" s="16" t="n">
        <x:v>0.625</x:v>
      </x:c>
      <x:c r="BT378" s="14" t="str">
        <x:v>Majority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4" t="str">
        <x:v>HYPERLINK is not implemented. linkLocation=https://www.imdb.com/title/tt26346233/fullcredits/,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tt26346233|nm10090359|cassie grainger</x:v>
      </x:c>
      <x:c r="B379" s="14" t="str">
        <x:v>04</x:v>
      </x:c>
      <x:c r="C379" s="14" t="str">
        <x:v>2023_IMDb_Cast_Lists_Batch_04(2).xlsx</x:v>
      </x:c>
      <x:c r="D379" s="14" t="str">
        <x:v>The Good Ship Murder</x:v>
      </x:c>
      <x:c r="E379" s="14" t="n">
        <x:v>18</x:v>
      </x:c>
      <x:c r="F379" s="14" t="str">
        <x:v>The Good Ship Murder</x:v>
      </x:c>
      <x:c r="G379" s="14" t="str">
        <x:v>tt26346233</x:v>
      </x:c>
      <x:c r="H379" s="14" t="n">
        <x:v>2023</x:v>
      </x:c>
      <x:c r="I379" s="14" t="n">
        <x:v>2025</x:v>
      </x:c>
      <x:c r="J379" s="14" t="str">
        <x:v>Earlier-Production Carry-In Cohort</x:v>
      </x:c>
      <x:c r="K379" s="14" t="n">
        <x:v>2023</x:v>
      </x:c>
      <x:c r="L379" s="14" t="str">
        <x:v>Used in 2025 annual analysis</x:v>
      </x:c>
      <x:c r="M379" s="15" t="n">
        <x:v>11</x:v>
      </x:c>
      <x:c r="N379" s="14" t="str">
        <x:v>Bex Smith</x:v>
      </x:c>
      <x:c r="O379" s="14" t="str">
        <x:v>nm10090359</x:v>
      </x:c>
      <x:c r="P379" s="14" t="str">
        <x:v>Cassie Grainger</x:v>
      </x:c>
      <x:c r="Q379" s="15" t="n">
        <x:v>7</x:v>
      </x:c>
      <x:c r="R379" s="14" t="str">
        <x:v>2025</x:v>
      </x:c>
      <x:c r="S379" s="14" t="n">
        <x:v>2025</x:v>
      </x:c>
      <x:c r="T379" s="14" t="n">
        <x:v>2025</x:v>
      </x:c>
      <x:c r="U379" s="14" t="str">
        <x:v>Explicit source first year retained</x:v>
      </x:c>
      <x:c r="V379" s="14" t="str">
        <x:v>Earliest supplied year is 2025.</x:v>
      </x:c>
      <x:c r="W379" s="14"/>
      <x:c r="X379" s="14" t="str">
        <x:v>Included</x:v>
      </x:c>
      <x:c r="Y379" s="14"/>
      <x:c r="Z379" s="14" t="str">
        <x:v>The Good Ship Murder.docx</x:v>
      </x:c>
      <x:c r="AA379" s="14" t="str">
        <x:v>HYPERLINK is not implemented. linkLocation=https://www.imdb.com/title/tt26346233/fullcredits/,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Channel 5 / 5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24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7</x:v>
      </x:c>
      <x:c r="BS379" s="16" t="n">
        <x:v>0.2916666666666667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4" t="str">
        <x:v>HYPERLINK is not implemented. linkLocation=https://www.imdb.com/title/tt26346233/fullcredits/,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tt26346233|nm17369856|extra</x:v>
      </x:c>
      <x:c r="B380" s="14" t="str">
        <x:v>04</x:v>
      </x:c>
      <x:c r="C380" s="14" t="str">
        <x:v>2023_IMDb_Cast_Lists_Batch_04(2).xlsx</x:v>
      </x:c>
      <x:c r="D380" s="14" t="str">
        <x:v>The Good Ship Murder</x:v>
      </x:c>
      <x:c r="E380" s="14" t="n">
        <x:v>24</x:v>
      </x:c>
      <x:c r="F380" s="14" t="str">
        <x:v>The Good Ship Murder</x:v>
      </x:c>
      <x:c r="G380" s="14" t="str">
        <x:v>tt26346233</x:v>
      </x:c>
      <x:c r="H380" s="14" t="n">
        <x:v>2023</x:v>
      </x:c>
      <x:c r="I380" s="14" t="n">
        <x:v>2025</x:v>
      </x:c>
      <x:c r="J380" s="14" t="str">
        <x:v>Earlier-Production Carry-In Cohort</x:v>
      </x:c>
      <x:c r="K380" s="14" t="n">
        <x:v>2023</x:v>
      </x:c>
      <x:c r="L380" s="14" t="str">
        <x:v>Used in 2025 annual analysis</x:v>
      </x:c>
      <x:c r="M380" s="15" t="n">
        <x:v>17</x:v>
      </x:c>
      <x:c r="N380" s="14" t="str">
        <x:v>Suga Abbey</x:v>
      </x:c>
      <x:c r="O380" s="14" t="str">
        <x:v>nm17369856</x:v>
      </x:c>
      <x:c r="P380" s="14" t="str">
        <x:v>Extra</x:v>
      </x:c>
      <x:c r="Q380" s="15" t="n">
        <x:v>2</x:v>
      </x:c>
      <x:c r="R380" s="14" t="str">
        <x:v>2025</x:v>
      </x:c>
      <x:c r="S380" s="14" t="n">
        <x:v>2025</x:v>
      </x:c>
      <x:c r="T380" s="14" t="n">
        <x:v>2025</x:v>
      </x:c>
      <x:c r="U380" s="14" t="str">
        <x:v>Explicit source first year retained</x:v>
      </x:c>
      <x:c r="V380" s="14" t="str">
        <x:v>Earliest supplied year is 2025.</x:v>
      </x:c>
      <x:c r="W380" s="14"/>
      <x:c r="X380" s="14" t="str">
        <x:v>Included</x:v>
      </x:c>
      <x:c r="Y380" s="14"/>
      <x:c r="Z380" s="14" t="str">
        <x:v>The Good Ship Murder.docx</x:v>
      </x:c>
      <x:c r="AA380" s="14" t="str">
        <x:v>HYPERLINK is not implemented. linkLocation=https://www.imdb.com/title/tt26346233/fullcredits/,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Channel 5 / 5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24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2</x:v>
      </x:c>
      <x:c r="BS380" s="16" t="n">
        <x:v>0.08333333333333333</x:v>
      </x:c>
      <x:c r="BT380" s="14" t="str">
        <x:v>Minority of episodes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4" t="str">
        <x:v>HYPERLINK is not implemented. linkLocation=https://www.imdb.com/title/tt26346233/fullcredits/,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tt26346233|nm2657033|alessandro bartoli</x:v>
      </x:c>
      <x:c r="B381" s="14" t="str">
        <x:v>04</x:v>
      </x:c>
      <x:c r="C381" s="14" t="str">
        <x:v>2023_IMDb_Cast_Lists_Batch_04(2).xlsx</x:v>
      </x:c>
      <x:c r="D381" s="14" t="str">
        <x:v>The Good Ship Murder</x:v>
      </x:c>
      <x:c r="E381" s="14" t="n">
        <x:v>41</x:v>
      </x:c>
      <x:c r="F381" s="14" t="str">
        <x:v>The Good Ship Murder</x:v>
      </x:c>
      <x:c r="G381" s="14" t="str">
        <x:v>tt26346233</x:v>
      </x:c>
      <x:c r="H381" s="14" t="n">
        <x:v>2023</x:v>
      </x:c>
      <x:c r="I381" s="14" t="n">
        <x:v>2025</x:v>
      </x:c>
      <x:c r="J381" s="14" t="str">
        <x:v>Earlier-Production Carry-In Cohort</x:v>
      </x:c>
      <x:c r="K381" s="14" t="n">
        <x:v>2023</x:v>
      </x:c>
      <x:c r="L381" s="14" t="str">
        <x:v>Used in 2025 annual analysis</x:v>
      </x:c>
      <x:c r="M381" s="15" t="n">
        <x:v>34</x:v>
      </x:c>
      <x:c r="N381" s="14" t="str">
        <x:v>Greg Canestrari</x:v>
      </x:c>
      <x:c r="O381" s="14" t="str">
        <x:v>nm2657033</x:v>
      </x:c>
      <x:c r="P381" s="14" t="str">
        <x:v>Alessandro Bartoli</x:v>
      </x:c>
      <x:c r="Q381" s="15" t="n">
        <x:v>1</x:v>
      </x:c>
      <x:c r="R381" s="14" t="str">
        <x:v>2025</x:v>
      </x:c>
      <x:c r="S381" s="14" t="n">
        <x:v>2025</x:v>
      </x:c>
      <x:c r="T381" s="14" t="n">
        <x:v>2025</x:v>
      </x:c>
      <x:c r="U381" s="14" t="str">
        <x:v>Explicit source first year retained</x:v>
      </x:c>
      <x:c r="V381" s="14" t="str">
        <x:v>Earliest supplied year is 2025.</x:v>
      </x:c>
      <x:c r="W381" s="14"/>
      <x:c r="X381" s="14" t="str">
        <x:v>Included</x:v>
      </x:c>
      <x:c r="Y381" s="14" t="str">
        <x:v>(as a different name)</x:v>
      </x:c>
      <x:c r="Z381" s="14" t="str">
        <x:v>The Good Ship Murder.docx</x:v>
      </x:c>
      <x:c r="AA381" s="14" t="str">
        <x:v>HYPERLINK is not implemented. linkLocation=https://www.imdb.com/title/tt26346233/fullcredits/,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Channel 5 / 5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24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0.041666666666666664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4" t="str">
        <x:v>HYPERLINK is not implemented. linkLocation=https://www.imdb.com/title/tt26346233/fullcredits/,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tt26346233|nm4505609|maria southall</x:v>
      </x:c>
      <x:c r="B382" s="14" t="str">
        <x:v>04</x:v>
      </x:c>
      <x:c r="C382" s="14" t="str">
        <x:v>2023_IMDb_Cast_Lists_Batch_04(2).xlsx</x:v>
      </x:c>
      <x:c r="D382" s="14" t="str">
        <x:v>The Good Ship Murder</x:v>
      </x:c>
      <x:c r="E382" s="14" t="n">
        <x:v>42</x:v>
      </x:c>
      <x:c r="F382" s="14" t="str">
        <x:v>The Good Ship Murder</x:v>
      </x:c>
      <x:c r="G382" s="14" t="str">
        <x:v>tt26346233</x:v>
      </x:c>
      <x:c r="H382" s="14" t="n">
        <x:v>2023</x:v>
      </x:c>
      <x:c r="I382" s="14" t="n">
        <x:v>2025</x:v>
      </x:c>
      <x:c r="J382" s="14" t="str">
        <x:v>Earlier-Production Carry-In Cohort</x:v>
      </x:c>
      <x:c r="K382" s="14" t="n">
        <x:v>2023</x:v>
      </x:c>
      <x:c r="L382" s="14" t="str">
        <x:v>Used in 2025 annual analysis</x:v>
      </x:c>
      <x:c r="M382" s="15" t="n">
        <x:v>35</x:v>
      </x:c>
      <x:c r="N382" s="14" t="str">
        <x:v>Lainy Boyle</x:v>
      </x:c>
      <x:c r="O382" s="14" t="str">
        <x:v>nm4505609</x:v>
      </x:c>
      <x:c r="P382" s="14" t="str">
        <x:v>Maria Southall</x:v>
      </x:c>
      <x:c r="Q382" s="15" t="n">
        <x:v>1</x:v>
      </x:c>
      <x:c r="R382" s="14" t="str">
        <x:v>2025</x:v>
      </x:c>
      <x:c r="S382" s="14" t="n">
        <x:v>2025</x:v>
      </x:c>
      <x:c r="T382" s="14" t="n">
        <x:v>2025</x:v>
      </x:c>
      <x:c r="U382" s="14" t="str">
        <x:v>Explicit source first year retained</x:v>
      </x:c>
      <x:c r="V382" s="14" t="str">
        <x:v>Earliest supplied year is 2025.</x:v>
      </x:c>
      <x:c r="W382" s="14"/>
      <x:c r="X382" s="14" t="str">
        <x:v>Included</x:v>
      </x:c>
      <x:c r="Y382" s="14"/>
      <x:c r="Z382" s="14" t="str">
        <x:v>The Good Ship Murder.docx</x:v>
      </x:c>
      <x:c r="AA382" s="14" t="str">
        <x:v>HYPERLINK is not implemented. linkLocation=https://www.imdb.com/title/tt26346233/fullcredits/,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Channel 5 / 5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24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0.041666666666666664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4" t="str">
        <x:v>HYPERLINK is not implemented. linkLocation=https://www.imdb.com/title/tt26346233/fullcredits/,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tt26346233|nm7651674|peaches</x:v>
      </x:c>
      <x:c r="B383" s="14" t="str">
        <x:v>04</x:v>
      </x:c>
      <x:c r="C383" s="14" t="str">
        <x:v>2023_IMDb_Cast_Lists_Batch_04(2).xlsx</x:v>
      </x:c>
      <x:c r="D383" s="14" t="str">
        <x:v>The Good Ship Murder</x:v>
      </x:c>
      <x:c r="E383" s="14" t="n">
        <x:v>43</x:v>
      </x:c>
      <x:c r="F383" s="14" t="str">
        <x:v>The Good Ship Murder</x:v>
      </x:c>
      <x:c r="G383" s="14" t="str">
        <x:v>tt26346233</x:v>
      </x:c>
      <x:c r="H383" s="14" t="n">
        <x:v>2023</x:v>
      </x:c>
      <x:c r="I383" s="14" t="n">
        <x:v>2025</x:v>
      </x:c>
      <x:c r="J383" s="14" t="str">
        <x:v>Earlier-Production Carry-In Cohort</x:v>
      </x:c>
      <x:c r="K383" s="14" t="n">
        <x:v>2023</x:v>
      </x:c>
      <x:c r="L383" s="14" t="str">
        <x:v>Used in 2025 annual analysis</x:v>
      </x:c>
      <x:c r="M383" s="15" t="n">
        <x:v>36</x:v>
      </x:c>
      <x:c r="N383" s="14" t="str">
        <x:v>Maisey Bawden</x:v>
      </x:c>
      <x:c r="O383" s="14" t="str">
        <x:v>nm7651674</x:v>
      </x:c>
      <x:c r="P383" s="14" t="str">
        <x:v>Peaches</x:v>
      </x:c>
      <x:c r="Q383" s="15" t="n">
        <x:v>1</x:v>
      </x:c>
      <x:c r="R383" s="14" t="str">
        <x:v>2025</x:v>
      </x:c>
      <x:c r="S383" s="14" t="n">
        <x:v>2025</x:v>
      </x:c>
      <x:c r="T383" s="14" t="n">
        <x:v>2025</x:v>
      </x:c>
      <x:c r="U383" s="14" t="str">
        <x:v>Explicit source first year retained</x:v>
      </x:c>
      <x:c r="V383" s="14" t="str">
        <x:v>Earliest supplied year is 2025.</x:v>
      </x:c>
      <x:c r="W383" s="14"/>
      <x:c r="X383" s="14" t="str">
        <x:v>Included</x:v>
      </x:c>
      <x:c r="Y383" s="14"/>
      <x:c r="Z383" s="14" t="str">
        <x:v>The Good Ship Murder.docx</x:v>
      </x:c>
      <x:c r="AA383" s="14" t="str">
        <x:v>HYPERLINK is not implemented. linkLocation=https://www.imdb.com/title/tt26346233/fullcredits/,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Channel 5 / 5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24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0.041666666666666664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4" t="str">
        <x:v>HYPERLINK is not implemented. linkLocation=https://www.imdb.com/title/tt26346233/fullcredits/,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tt26346233|nm4140694|luke stone</x:v>
      </x:c>
      <x:c r="B384" s="14" t="str">
        <x:v>04</x:v>
      </x:c>
      <x:c r="C384" s="14" t="str">
        <x:v>2023_IMDb_Cast_Lists_Batch_04(2).xlsx</x:v>
      </x:c>
      <x:c r="D384" s="14" t="str">
        <x:v>The Good Ship Murder</x:v>
      </x:c>
      <x:c r="E384" s="14" t="n">
        <x:v>44</x:v>
      </x:c>
      <x:c r="F384" s="14" t="str">
        <x:v>The Good Ship Murder</x:v>
      </x:c>
      <x:c r="G384" s="14" t="str">
        <x:v>tt26346233</x:v>
      </x:c>
      <x:c r="H384" s="14" t="n">
        <x:v>2023</x:v>
      </x:c>
      <x:c r="I384" s="14" t="n">
        <x:v>2025</x:v>
      </x:c>
      <x:c r="J384" s="14" t="str">
        <x:v>Earlier-Production Carry-In Cohort</x:v>
      </x:c>
      <x:c r="K384" s="14" t="n">
        <x:v>2023</x:v>
      </x:c>
      <x:c r="L384" s="14" t="str">
        <x:v>Used in 2025 annual analysis</x:v>
      </x:c>
      <x:c r="M384" s="15" t="n">
        <x:v>37</x:v>
      </x:c>
      <x:c r="N384" s="14" t="str">
        <x:v>Eddy Brimson</x:v>
      </x:c>
      <x:c r="O384" s="14" t="str">
        <x:v>nm4140694</x:v>
      </x:c>
      <x:c r="P384" s="14" t="str">
        <x:v>Luke Stone</x:v>
      </x:c>
      <x:c r="Q384" s="15" t="n">
        <x:v>1</x:v>
      </x:c>
      <x:c r="R384" s="14" t="str">
        <x:v>2025</x:v>
      </x:c>
      <x:c r="S384" s="14" t="n">
        <x:v>2025</x:v>
      </x:c>
      <x:c r="T384" s="14" t="n">
        <x:v>2025</x:v>
      </x:c>
      <x:c r="U384" s="14" t="str">
        <x:v>Explicit source first year retained</x:v>
      </x:c>
      <x:c r="V384" s="14" t="str">
        <x:v>Earliest supplied year is 2025.</x:v>
      </x:c>
      <x:c r="W384" s="14"/>
      <x:c r="X384" s="14" t="str">
        <x:v>Included</x:v>
      </x:c>
      <x:c r="Y384" s="14"/>
      <x:c r="Z384" s="14" t="str">
        <x:v>The Good Ship Murder.docx</x:v>
      </x:c>
      <x:c r="AA384" s="14" t="str">
        <x:v>HYPERLINK is not implemented. linkLocation=https://www.imdb.com/title/tt26346233/fullcredits/,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Channel 5 / 5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24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0.041666666666666664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4" t="str">
        <x:v>HYPERLINK is not implemented. linkLocation=https://www.imdb.com/title/tt26346233/fullcredits/,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tt26346233|nm10005463|lateef</x:v>
      </x:c>
      <x:c r="B385" s="14" t="str">
        <x:v>04</x:v>
      </x:c>
      <x:c r="C385" s="14" t="str">
        <x:v>2023_IMDb_Cast_Lists_Batch_04(2).xlsx</x:v>
      </x:c>
      <x:c r="D385" s="14" t="str">
        <x:v>The Good Ship Murder</x:v>
      </x:c>
      <x:c r="E385" s="14" t="n">
        <x:v>57</x:v>
      </x:c>
      <x:c r="F385" s="14" t="str">
        <x:v>The Good Ship Murder</x:v>
      </x:c>
      <x:c r="G385" s="14" t="str">
        <x:v>tt26346233</x:v>
      </x:c>
      <x:c r="H385" s="14" t="n">
        <x:v>2023</x:v>
      </x:c>
      <x:c r="I385" s="14" t="n">
        <x:v>2025</x:v>
      </x:c>
      <x:c r="J385" s="14" t="str">
        <x:v>Earlier-Production Carry-In Cohort</x:v>
      </x:c>
      <x:c r="K385" s="14" t="n">
        <x:v>2023</x:v>
      </x:c>
      <x:c r="L385" s="14" t="str">
        <x:v>Used in 2025 annual analysis</x:v>
      </x:c>
      <x:c r="M385" s="15" t="n">
        <x:v>50</x:v>
      </x:c>
      <x:c r="N385" s="14" t="str">
        <x:v>Sharif Afifi</x:v>
      </x:c>
      <x:c r="O385" s="14" t="str">
        <x:v>nm10005463</x:v>
      </x:c>
      <x:c r="P385" s="14" t="str">
        <x:v>Lateef</x:v>
      </x:c>
      <x:c r="Q385" s="15" t="n">
        <x:v>1</x:v>
      </x:c>
      <x:c r="R385" s="14" t="str">
        <x:v>2025</x:v>
      </x:c>
      <x:c r="S385" s="14" t="n">
        <x:v>2025</x:v>
      </x:c>
      <x:c r="T385" s="14" t="n">
        <x:v>2025</x:v>
      </x:c>
      <x:c r="U385" s="14" t="str">
        <x:v>Explicit source first year retained</x:v>
      </x:c>
      <x:c r="V385" s="14" t="str">
        <x:v>Earliest supplied year is 2025.</x:v>
      </x:c>
      <x:c r="W385" s="14"/>
      <x:c r="X385" s="14" t="str">
        <x:v>Included</x:v>
      </x:c>
      <x:c r="Y385" s="14"/>
      <x:c r="Z385" s="14" t="str">
        <x:v>The Good Ship Murder.docx</x:v>
      </x:c>
      <x:c r="AA385" s="14" t="str">
        <x:v>HYPERLINK is not implemented. linkLocation=https://www.imdb.com/title/tt26346233/fullcredits/,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Channel 5 / 5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24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0.041666666666666664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4" t="str">
        <x:v>HYPERLINK is not implemented. linkLocation=https://www.imdb.com/title/tt26346233/fullcredits/,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tt26346233|nm1513235|captain miguel sanchez</x:v>
      </x:c>
      <x:c r="B386" s="14" t="str">
        <x:v>04</x:v>
      </x:c>
      <x:c r="C386" s="14" t="str">
        <x:v>2023_IMDb_Cast_Lists_Batch_04(2).xlsx</x:v>
      </x:c>
      <x:c r="D386" s="14" t="str">
        <x:v>The Good Ship Murder</x:v>
      </x:c>
      <x:c r="E386" s="14" t="n">
        <x:v>58</x:v>
      </x:c>
      <x:c r="F386" s="14" t="str">
        <x:v>The Good Ship Murder</x:v>
      </x:c>
      <x:c r="G386" s="14" t="str">
        <x:v>tt26346233</x:v>
      </x:c>
      <x:c r="H386" s="14" t="n">
        <x:v>2023</x:v>
      </x:c>
      <x:c r="I386" s="14" t="n">
        <x:v>2025</x:v>
      </x:c>
      <x:c r="J386" s="14" t="str">
        <x:v>Earlier-Production Carry-In Cohort</x:v>
      </x:c>
      <x:c r="K386" s="14" t="n">
        <x:v>2023</x:v>
      </x:c>
      <x:c r="L386" s="14" t="str">
        <x:v>Used in 2025 annual analysis</x:v>
      </x:c>
      <x:c r="M386" s="15" t="n">
        <x:v>51</x:v>
      </x:c>
      <x:c r="N386" s="14" t="str">
        <x:v>Mikhail Basmadjian</x:v>
      </x:c>
      <x:c r="O386" s="14" t="str">
        <x:v>nm1513235</x:v>
      </x:c>
      <x:c r="P386" s="14" t="str">
        <x:v>Captain Miguel Sanchez</x:v>
      </x:c>
      <x:c r="Q386" s="15" t="n">
        <x:v>1</x:v>
      </x:c>
      <x:c r="R386" s="14" t="str">
        <x:v>2025</x:v>
      </x:c>
      <x:c r="S386" s="14" t="n">
        <x:v>2025</x:v>
      </x:c>
      <x:c r="T386" s="14" t="n">
        <x:v>2025</x:v>
      </x:c>
      <x:c r="U386" s="14" t="str">
        <x:v>Explicit source first year retained</x:v>
      </x:c>
      <x:c r="V386" s="14" t="str">
        <x:v>Earliest supplied year is 2025.</x:v>
      </x:c>
      <x:c r="W386" s="14"/>
      <x:c r="X386" s="14" t="str">
        <x:v>Included</x:v>
      </x:c>
      <x:c r="Y386" s="14"/>
      <x:c r="Z386" s="14" t="str">
        <x:v>The Good Ship Murder.docx</x:v>
      </x:c>
      <x:c r="AA386" s="14" t="str">
        <x:v>HYPERLINK is not implemented. linkLocation=https://www.imdb.com/title/tt26346233/fullcredits/,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Channel 5 / 5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24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0.041666666666666664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4" t="str">
        <x:v>HYPERLINK is not implemented. linkLocation=https://www.imdb.com/title/tt26346233/fullcredits/,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tt26346233|nm9612466|donna branning</x:v>
      </x:c>
      <x:c r="B387" s="14" t="str">
        <x:v>04</x:v>
      </x:c>
      <x:c r="C387" s="14" t="str">
        <x:v>2023_IMDb_Cast_Lists_Batch_04(2).xlsx</x:v>
      </x:c>
      <x:c r="D387" s="14" t="str">
        <x:v>The Good Ship Murder</x:v>
      </x:c>
      <x:c r="E387" s="14" t="n">
        <x:v>59</x:v>
      </x:c>
      <x:c r="F387" s="14" t="str">
        <x:v>The Good Ship Murder</x:v>
      </x:c>
      <x:c r="G387" s="14" t="str">
        <x:v>tt26346233</x:v>
      </x:c>
      <x:c r="H387" s="14" t="n">
        <x:v>2023</x:v>
      </x:c>
      <x:c r="I387" s="14" t="n">
        <x:v>2025</x:v>
      </x:c>
      <x:c r="J387" s="14" t="str">
        <x:v>Earlier-Production Carry-In Cohort</x:v>
      </x:c>
      <x:c r="K387" s="14" t="n">
        <x:v>2023</x:v>
      </x:c>
      <x:c r="L387" s="14" t="str">
        <x:v>Used in 2025 annual analysis</x:v>
      </x:c>
      <x:c r="M387" s="15" t="n">
        <x:v>52</x:v>
      </x:c>
      <x:c r="N387" s="14" t="str">
        <x:v>Joelle Dyson</x:v>
      </x:c>
      <x:c r="O387" s="14" t="str">
        <x:v>nm9612466</x:v>
      </x:c>
      <x:c r="P387" s="14" t="str">
        <x:v>Donna Branning</x:v>
      </x:c>
      <x:c r="Q387" s="15" t="n">
        <x:v>1</x:v>
      </x:c>
      <x:c r="R387" s="14" t="str">
        <x:v>2025</x:v>
      </x:c>
      <x:c r="S387" s="14" t="n">
        <x:v>2025</x:v>
      </x:c>
      <x:c r="T387" s="14" t="n">
        <x:v>2025</x:v>
      </x:c>
      <x:c r="U387" s="14" t="str">
        <x:v>Explicit source first year retained</x:v>
      </x:c>
      <x:c r="V387" s="14" t="str">
        <x:v>Earliest supplied year is 2025.</x:v>
      </x:c>
      <x:c r="W387" s="14"/>
      <x:c r="X387" s="14" t="str">
        <x:v>Included</x:v>
      </x:c>
      <x:c r="Y387" s="14"/>
      <x:c r="Z387" s="14" t="str">
        <x:v>The Good Ship Murder.docx</x:v>
      </x:c>
      <x:c r="AA387" s="14" t="str">
        <x:v>HYPERLINK is not implemented. linkLocation=https://www.imdb.com/title/tt26346233/fullcredits/,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Channel 5 / 5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24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0.041666666666666664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4" t="str">
        <x:v>HYPERLINK is not implemented. linkLocation=https://www.imdb.com/title/tt26346233/fullcredits/,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tt26346233|nm0140996|bella bertoli</x:v>
      </x:c>
      <x:c r="B388" s="14" t="str">
        <x:v>04</x:v>
      </x:c>
      <x:c r="C388" s="14" t="str">
        <x:v>2023_IMDb_Cast_Lists_Batch_04(2).xlsx</x:v>
      </x:c>
      <x:c r="D388" s="14" t="str">
        <x:v>The Good Ship Murder</x:v>
      </x:c>
      <x:c r="E388" s="14" t="n">
        <x:v>60</x:v>
      </x:c>
      <x:c r="F388" s="14" t="str">
        <x:v>The Good Ship Murder</x:v>
      </x:c>
      <x:c r="G388" s="14" t="str">
        <x:v>tt26346233</x:v>
      </x:c>
      <x:c r="H388" s="14" t="n">
        <x:v>2023</x:v>
      </x:c>
      <x:c r="I388" s="14" t="n">
        <x:v>2025</x:v>
      </x:c>
      <x:c r="J388" s="14" t="str">
        <x:v>Earlier-Production Carry-In Cohort</x:v>
      </x:c>
      <x:c r="K388" s="14" t="n">
        <x:v>2023</x:v>
      </x:c>
      <x:c r="L388" s="14" t="str">
        <x:v>Used in 2025 annual analysis</x:v>
      </x:c>
      <x:c r="M388" s="15" t="n">
        <x:v>53</x:v>
      </x:c>
      <x:c r="N388" s="14" t="str">
        <x:v>Tamsin Carroll</x:v>
      </x:c>
      <x:c r="O388" s="14" t="str">
        <x:v>nm0140996</x:v>
      </x:c>
      <x:c r="P388" s="14" t="str">
        <x:v>Bella Bertoli</x:v>
      </x:c>
      <x:c r="Q388" s="15" t="n">
        <x:v>1</x:v>
      </x:c>
      <x:c r="R388" s="14" t="str">
        <x:v>2025</x:v>
      </x:c>
      <x:c r="S388" s="14" t="n">
        <x:v>2025</x:v>
      </x:c>
      <x:c r="T388" s="14" t="n">
        <x:v>2025</x:v>
      </x:c>
      <x:c r="U388" s="14" t="str">
        <x:v>Explicit source first year retained</x:v>
      </x:c>
      <x:c r="V388" s="14" t="str">
        <x:v>Earliest supplied year is 2025.</x:v>
      </x:c>
      <x:c r="W388" s="14"/>
      <x:c r="X388" s="14" t="str">
        <x:v>Included</x:v>
      </x:c>
      <x:c r="Y388" s="14"/>
      <x:c r="Z388" s="14" t="str">
        <x:v>The Good Ship Murder.docx</x:v>
      </x:c>
      <x:c r="AA388" s="14" t="str">
        <x:v>HYPERLINK is not implemented. linkLocation=https://www.imdb.com/title/tt26346233/fullcredits/,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Channel 5 / 5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24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0.041666666666666664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4" t="str">
        <x:v>HYPERLINK is not implemented. linkLocation=https://www.imdb.com/title/tt26346233/fullcredits/,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tt26346233|nm11431097|gina valente</x:v>
      </x:c>
      <x:c r="B389" s="14" t="str">
        <x:v>04</x:v>
      </x:c>
      <x:c r="C389" s="14" t="str">
        <x:v>2023_IMDb_Cast_Lists_Batch_04(2).xlsx</x:v>
      </x:c>
      <x:c r="D389" s="14" t="str">
        <x:v>The Good Ship Murder</x:v>
      </x:c>
      <x:c r="E389" s="14" t="n">
        <x:v>61</x:v>
      </x:c>
      <x:c r="F389" s="14" t="str">
        <x:v>The Good Ship Murder</x:v>
      </x:c>
      <x:c r="G389" s="14" t="str">
        <x:v>tt26346233</x:v>
      </x:c>
      <x:c r="H389" s="14" t="n">
        <x:v>2023</x:v>
      </x:c>
      <x:c r="I389" s="14" t="n">
        <x:v>2025</x:v>
      </x:c>
      <x:c r="J389" s="14" t="str">
        <x:v>Earlier-Production Carry-In Cohort</x:v>
      </x:c>
      <x:c r="K389" s="14" t="n">
        <x:v>2023</x:v>
      </x:c>
      <x:c r="L389" s="14" t="str">
        <x:v>Used in 2025 annual analysis</x:v>
      </x:c>
      <x:c r="M389" s="15" t="n">
        <x:v>54</x:v>
      </x:c>
      <x:c r="N389" s="14" t="str">
        <x:v>Carlota Crespo</x:v>
      </x:c>
      <x:c r="O389" s="14" t="str">
        <x:v>nm11431097</x:v>
      </x:c>
      <x:c r="P389" s="14" t="str">
        <x:v>Gina Valente</x:v>
      </x:c>
      <x:c r="Q389" s="15" t="n">
        <x:v>1</x:v>
      </x:c>
      <x:c r="R389" s="14" t="str">
        <x:v>2025</x:v>
      </x:c>
      <x:c r="S389" s="14" t="n">
        <x:v>2025</x:v>
      </x:c>
      <x:c r="T389" s="14" t="n">
        <x:v>2025</x:v>
      </x:c>
      <x:c r="U389" s="14" t="str">
        <x:v>Explicit source first year retained</x:v>
      </x:c>
      <x:c r="V389" s="14" t="str">
        <x:v>Earliest supplied year is 2025.</x:v>
      </x:c>
      <x:c r="W389" s="14"/>
      <x:c r="X389" s="14" t="str">
        <x:v>Included</x:v>
      </x:c>
      <x:c r="Y389" s="14"/>
      <x:c r="Z389" s="14" t="str">
        <x:v>The Good Ship Murder.docx</x:v>
      </x:c>
      <x:c r="AA389" s="14" t="str">
        <x:v>HYPERLINK is not implemented. linkLocation=https://www.imdb.com/title/tt26346233/fullcredits/,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Channel 5 / 5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24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0.041666666666666664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4" t="str">
        <x:v>HYPERLINK is not implemented. linkLocation=https://www.imdb.com/title/tt26346233/fullcredits/,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tt26346233|nm17073005|barry lawson</x:v>
      </x:c>
      <x:c r="B390" s="14" t="str">
        <x:v>04</x:v>
      </x:c>
      <x:c r="C390" s="14" t="str">
        <x:v>2023_IMDb_Cast_Lists_Batch_04(2).xlsx</x:v>
      </x:c>
      <x:c r="D390" s="14" t="str">
        <x:v>The Good Ship Murder</x:v>
      </x:c>
      <x:c r="E390" s="14" t="n">
        <x:v>62</x:v>
      </x:c>
      <x:c r="F390" s="14" t="str">
        <x:v>The Good Ship Murder</x:v>
      </x:c>
      <x:c r="G390" s="14" t="str">
        <x:v>tt26346233</x:v>
      </x:c>
      <x:c r="H390" s="14" t="n">
        <x:v>2023</x:v>
      </x:c>
      <x:c r="I390" s="14" t="n">
        <x:v>2025</x:v>
      </x:c>
      <x:c r="J390" s="14" t="str">
        <x:v>Earlier-Production Carry-In Cohort</x:v>
      </x:c>
      <x:c r="K390" s="14" t="n">
        <x:v>2023</x:v>
      </x:c>
      <x:c r="L390" s="14" t="str">
        <x:v>Used in 2025 annual analysis</x:v>
      </x:c>
      <x:c r="M390" s="15" t="n">
        <x:v>55</x:v>
      </x:c>
      <x:c r="N390" s="14" t="str">
        <x:v>Ross Grey</x:v>
      </x:c>
      <x:c r="O390" s="14" t="str">
        <x:v>nm17073005</x:v>
      </x:c>
      <x:c r="P390" s="14" t="str">
        <x:v>Barry Lawson</x:v>
      </x:c>
      <x:c r="Q390" s="15" t="n">
        <x:v>1</x:v>
      </x:c>
      <x:c r="R390" s="14" t="str">
        <x:v>2025</x:v>
      </x:c>
      <x:c r="S390" s="14" t="n">
        <x:v>2025</x:v>
      </x:c>
      <x:c r="T390" s="14" t="n">
        <x:v>2025</x:v>
      </x:c>
      <x:c r="U390" s="14" t="str">
        <x:v>Explicit source first year retained</x:v>
      </x:c>
      <x:c r="V390" s="14" t="str">
        <x:v>Earliest supplied year is 2025.</x:v>
      </x:c>
      <x:c r="W390" s="14"/>
      <x:c r="X390" s="14" t="str">
        <x:v>Included</x:v>
      </x:c>
      <x:c r="Y390" s="14"/>
      <x:c r="Z390" s="14" t="str">
        <x:v>The Good Ship Murder.docx</x:v>
      </x:c>
      <x:c r="AA390" s="14" t="str">
        <x:v>HYPERLINK is not implemented. linkLocation=https://www.imdb.com/title/tt26346233/fullcredits/,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Channel 5 / 5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24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0.041666666666666664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4" t="str">
        <x:v>HYPERLINK is not implemented. linkLocation=https://www.imdb.com/title/tt26346233/fullcredits/,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tt26346233|nm9200092|melissa makris</x:v>
      </x:c>
      <x:c r="B391" s="14" t="str">
        <x:v>04</x:v>
      </x:c>
      <x:c r="C391" s="14" t="str">
        <x:v>2023_IMDb_Cast_Lists_Batch_04(2).xlsx</x:v>
      </x:c>
      <x:c r="D391" s="14" t="str">
        <x:v>The Good Ship Murder</x:v>
      </x:c>
      <x:c r="E391" s="14" t="n">
        <x:v>63</x:v>
      </x:c>
      <x:c r="F391" s="14" t="str">
        <x:v>The Good Ship Murder</x:v>
      </x:c>
      <x:c r="G391" s="14" t="str">
        <x:v>tt26346233</x:v>
      </x:c>
      <x:c r="H391" s="14" t="n">
        <x:v>2023</x:v>
      </x:c>
      <x:c r="I391" s="14" t="n">
        <x:v>2025</x:v>
      </x:c>
      <x:c r="J391" s="14" t="str">
        <x:v>Earlier-Production Carry-In Cohort</x:v>
      </x:c>
      <x:c r="K391" s="14" t="n">
        <x:v>2023</x:v>
      </x:c>
      <x:c r="L391" s="14" t="str">
        <x:v>Used in 2025 annual analysis</x:v>
      </x:c>
      <x:c r="M391" s="15" t="n">
        <x:v>56</x:v>
      </x:c>
      <x:c r="N391" s="14" t="str">
        <x:v>Yulie Archontaki</x:v>
      </x:c>
      <x:c r="O391" s="14" t="str">
        <x:v>nm9200092</x:v>
      </x:c>
      <x:c r="P391" s="14" t="str">
        <x:v>Melissa Makris</x:v>
      </x:c>
      <x:c r="Q391" s="15" t="n">
        <x:v>1</x:v>
      </x:c>
      <x:c r="R391" s="14" t="str">
        <x:v>2025</x:v>
      </x:c>
      <x:c r="S391" s="14" t="n">
        <x:v>2025</x:v>
      </x:c>
      <x:c r="T391" s="14" t="n">
        <x:v>2025</x:v>
      </x:c>
      <x:c r="U391" s="14" t="str">
        <x:v>Explicit source first year retained</x:v>
      </x:c>
      <x:c r="V391" s="14" t="str">
        <x:v>Earliest supplied year is 2025.</x:v>
      </x:c>
      <x:c r="W391" s="14"/>
      <x:c r="X391" s="14" t="str">
        <x:v>Included</x:v>
      </x:c>
      <x:c r="Y391" s="14"/>
      <x:c r="Z391" s="14" t="str">
        <x:v>The Good Ship Murder.docx</x:v>
      </x:c>
      <x:c r="AA391" s="14" t="str">
        <x:v>HYPERLINK is not implemented. linkLocation=https://www.imdb.com/title/tt26346233/fullcredits/,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Channel 5 / 5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24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0.041666666666666664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4" t="str">
        <x:v>HYPERLINK is not implemented. linkLocation=https://www.imdb.com/title/tt26346233/fullcredits/,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tt26346233|nm4041866|lorenzo bonucci</x:v>
      </x:c>
      <x:c r="B392" s="14" t="str">
        <x:v>04</x:v>
      </x:c>
      <x:c r="C392" s="14" t="str">
        <x:v>2023_IMDb_Cast_Lists_Batch_04(2).xlsx</x:v>
      </x:c>
      <x:c r="D392" s="14" t="str">
        <x:v>The Good Ship Murder</x:v>
      </x:c>
      <x:c r="E392" s="14" t="n">
        <x:v>64</x:v>
      </x:c>
      <x:c r="F392" s="14" t="str">
        <x:v>The Good Ship Murder</x:v>
      </x:c>
      <x:c r="G392" s="14" t="str">
        <x:v>tt26346233</x:v>
      </x:c>
      <x:c r="H392" s="14" t="n">
        <x:v>2023</x:v>
      </x:c>
      <x:c r="I392" s="14" t="n">
        <x:v>2025</x:v>
      </x:c>
      <x:c r="J392" s="14" t="str">
        <x:v>Earlier-Production Carry-In Cohort</x:v>
      </x:c>
      <x:c r="K392" s="14" t="n">
        <x:v>2023</x:v>
      </x:c>
      <x:c r="L392" s="14" t="str">
        <x:v>Used in 2025 annual analysis</x:v>
      </x:c>
      <x:c r="M392" s="15" t="n">
        <x:v>57</x:v>
      </x:c>
      <x:c r="N392" s="14" t="str">
        <x:v>Stephen Buhagiar</x:v>
      </x:c>
      <x:c r="O392" s="14" t="str">
        <x:v>nm4041866</x:v>
      </x:c>
      <x:c r="P392" s="14" t="str">
        <x:v>Lorenzo Bonucci</x:v>
      </x:c>
      <x:c r="Q392" s="15" t="n">
        <x:v>1</x:v>
      </x:c>
      <x:c r="R392" s="14" t="str">
        <x:v>2025</x:v>
      </x:c>
      <x:c r="S392" s="14" t="n">
        <x:v>2025</x:v>
      </x:c>
      <x:c r="T392" s="14" t="n">
        <x:v>2025</x:v>
      </x:c>
      <x:c r="U392" s="14" t="str">
        <x:v>Explicit source first year retained</x:v>
      </x:c>
      <x:c r="V392" s="14" t="str">
        <x:v>Earliest supplied year is 2025.</x:v>
      </x:c>
      <x:c r="W392" s="14"/>
      <x:c r="X392" s="14" t="str">
        <x:v>Included</x:v>
      </x:c>
      <x:c r="Y392" s="14"/>
      <x:c r="Z392" s="14" t="str">
        <x:v>The Good Ship Murder.docx</x:v>
      </x:c>
      <x:c r="AA392" s="14" t="str">
        <x:v>HYPERLINK is not implemented. linkLocation=https://www.imdb.com/title/tt26346233/fullcredits/,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Channel 5 / 5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24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0.041666666666666664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4" t="str">
        <x:v>HYPERLINK is not implemented. linkLocation=https://www.imdb.com/title/tt26346233/fullcredits/,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tt26346233|nm0420979|bree albright</x:v>
      </x:c>
      <x:c r="B393" s="14" t="str">
        <x:v>04</x:v>
      </x:c>
      <x:c r="C393" s="14" t="str">
        <x:v>2023_IMDb_Cast_Lists_Batch_04(2).xlsx</x:v>
      </x:c>
      <x:c r="D393" s="14" t="str">
        <x:v>The Good Ship Murder</x:v>
      </x:c>
      <x:c r="E393" s="14" t="n">
        <x:v>76</x:v>
      </x:c>
      <x:c r="F393" s="14" t="str">
        <x:v>The Good Ship Murder</x:v>
      </x:c>
      <x:c r="G393" s="14" t="str">
        <x:v>tt26346233</x:v>
      </x:c>
      <x:c r="H393" s="14" t="n">
        <x:v>2023</x:v>
      </x:c>
      <x:c r="I393" s="14" t="n">
        <x:v>2025</x:v>
      </x:c>
      <x:c r="J393" s="14" t="str">
        <x:v>Earlier-Production Carry-In Cohort</x:v>
      </x:c>
      <x:c r="K393" s="14" t="n">
        <x:v>2023</x:v>
      </x:c>
      <x:c r="L393" s="14" t="str">
        <x:v>Used in 2025 annual analysis</x:v>
      </x:c>
      <x:c r="M393" s="15" t="n">
        <x:v>69</x:v>
      </x:c>
      <x:c r="N393" s="14" t="str">
        <x:v>Sue Jenkins</x:v>
      </x:c>
      <x:c r="O393" s="14" t="str">
        <x:v>nm0420979</x:v>
      </x:c>
      <x:c r="P393" s="14" t="str">
        <x:v>Bree Albright</x:v>
      </x:c>
      <x:c r="Q393" s="15" t="n">
        <x:v>1</x:v>
      </x:c>
      <x:c r="R393" s="14" t="str">
        <x:v>2025</x:v>
      </x:c>
      <x:c r="S393" s="14" t="n">
        <x:v>2025</x:v>
      </x:c>
      <x:c r="T393" s="14" t="n">
        <x:v>2025</x:v>
      </x:c>
      <x:c r="U393" s="14" t="str">
        <x:v>Explicit source first year retained</x:v>
      </x:c>
      <x:c r="V393" s="14" t="str">
        <x:v>Earliest supplied year is 2025.</x:v>
      </x:c>
      <x:c r="W393" s="14"/>
      <x:c r="X393" s="14" t="str">
        <x:v>Included</x:v>
      </x:c>
      <x:c r="Y393" s="14"/>
      <x:c r="Z393" s="14" t="str">
        <x:v>The Good Ship Murder.docx</x:v>
      </x:c>
      <x:c r="AA393" s="14" t="str">
        <x:v>HYPERLINK is not implemented. linkLocation=https://www.imdb.com/title/tt26346233/fullcredits/,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Channel 5 / 5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24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0.041666666666666664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4" t="str">
        <x:v>HYPERLINK is not implemented. linkLocation=https://www.imdb.com/title/tt26346233/fullcredits/,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tt26346233|nm0292744|max king</x:v>
      </x:c>
      <x:c r="B394" s="14" t="str">
        <x:v>04</x:v>
      </x:c>
      <x:c r="C394" s="14" t="str">
        <x:v>2023_IMDb_Cast_Lists_Batch_04(2).xlsx</x:v>
      </x:c>
      <x:c r="D394" s="14" t="str">
        <x:v>The Good Ship Murder</x:v>
      </x:c>
      <x:c r="E394" s="14" t="n">
        <x:v>77</x:v>
      </x:c>
      <x:c r="F394" s="14" t="str">
        <x:v>The Good Ship Murder</x:v>
      </x:c>
      <x:c r="G394" s="14" t="str">
        <x:v>tt26346233</x:v>
      </x:c>
      <x:c r="H394" s="14" t="n">
        <x:v>2023</x:v>
      </x:c>
      <x:c r="I394" s="14" t="n">
        <x:v>2025</x:v>
      </x:c>
      <x:c r="J394" s="14" t="str">
        <x:v>Earlier-Production Carry-In Cohort</x:v>
      </x:c>
      <x:c r="K394" s="14" t="n">
        <x:v>2023</x:v>
      </x:c>
      <x:c r="L394" s="14" t="str">
        <x:v>Used in 2025 annual analysis</x:v>
      </x:c>
      <x:c r="M394" s="15" t="n">
        <x:v>70</x:v>
      </x:c>
      <x:c r="N394" s="14" t="str">
        <x:v>Dan Fredenburgh</x:v>
      </x:c>
      <x:c r="O394" s="14" t="str">
        <x:v>nm0292744</x:v>
      </x:c>
      <x:c r="P394" s="14" t="str">
        <x:v>Max King</x:v>
      </x:c>
      <x:c r="Q394" s="15" t="n">
        <x:v>1</x:v>
      </x:c>
      <x:c r="R394" s="14" t="str">
        <x:v>2025</x:v>
      </x:c>
      <x:c r="S394" s="14" t="n">
        <x:v>2025</x:v>
      </x:c>
      <x:c r="T394" s="14" t="n">
        <x:v>2025</x:v>
      </x:c>
      <x:c r="U394" s="14" t="str">
        <x:v>Explicit source first year retained</x:v>
      </x:c>
      <x:c r="V394" s="14" t="str">
        <x:v>Earliest supplied year is 2025.</x:v>
      </x:c>
      <x:c r="W394" s="14"/>
      <x:c r="X394" s="14" t="str">
        <x:v>Included</x:v>
      </x:c>
      <x:c r="Y394" s="14"/>
      <x:c r="Z394" s="14" t="str">
        <x:v>The Good Ship Murder.docx</x:v>
      </x:c>
      <x:c r="AA394" s="14" t="str">
        <x:v>HYPERLINK is not implemented. linkLocation=https://www.imdb.com/title/tt26346233/fullcredits/,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Channel 5 / 5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24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0.041666666666666664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4" t="str">
        <x:v>HYPERLINK is not implemented. linkLocation=https://www.imdb.com/title/tt26346233/fullcredits/,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tt26346233|nm1567174|melanie metcalfe</x:v>
      </x:c>
      <x:c r="B395" s="14" t="str">
        <x:v>04</x:v>
      </x:c>
      <x:c r="C395" s="14" t="str">
        <x:v>2023_IMDb_Cast_Lists_Batch_04(2).xlsx</x:v>
      </x:c>
      <x:c r="D395" s="14" t="str">
        <x:v>The Good Ship Murder</x:v>
      </x:c>
      <x:c r="E395" s="14" t="n">
        <x:v>78</x:v>
      </x:c>
      <x:c r="F395" s="14" t="str">
        <x:v>The Good Ship Murder</x:v>
      </x:c>
      <x:c r="G395" s="14" t="str">
        <x:v>tt26346233</x:v>
      </x:c>
      <x:c r="H395" s="14" t="n">
        <x:v>2023</x:v>
      </x:c>
      <x:c r="I395" s="14" t="n">
        <x:v>2025</x:v>
      </x:c>
      <x:c r="J395" s="14" t="str">
        <x:v>Earlier-Production Carry-In Cohort</x:v>
      </x:c>
      <x:c r="K395" s="14" t="n">
        <x:v>2023</x:v>
      </x:c>
      <x:c r="L395" s="14" t="str">
        <x:v>Used in 2025 annual analysis</x:v>
      </x:c>
      <x:c r="M395" s="15" t="n">
        <x:v>71</x:v>
      </x:c>
      <x:c r="N395" s="14" t="str">
        <x:v>Chelsea Halfpenny</x:v>
      </x:c>
      <x:c r="O395" s="14" t="str">
        <x:v>nm1567174</x:v>
      </x:c>
      <x:c r="P395" s="14" t="str">
        <x:v>Melanie Metcalfe</x:v>
      </x:c>
      <x:c r="Q395" s="15" t="n">
        <x:v>1</x:v>
      </x:c>
      <x:c r="R395" s="14" t="str">
        <x:v>2025</x:v>
      </x:c>
      <x:c r="S395" s="14" t="n">
        <x:v>2025</x:v>
      </x:c>
      <x:c r="T395" s="14" t="n">
        <x:v>2025</x:v>
      </x:c>
      <x:c r="U395" s="14" t="str">
        <x:v>Explicit source first year retained</x:v>
      </x:c>
      <x:c r="V395" s="14" t="str">
        <x:v>Earliest supplied year is 2025.</x:v>
      </x:c>
      <x:c r="W395" s="14"/>
      <x:c r="X395" s="14" t="str">
        <x:v>Included</x:v>
      </x:c>
      <x:c r="Y395" s="14"/>
      <x:c r="Z395" s="14" t="str">
        <x:v>The Good Ship Murder.docx</x:v>
      </x:c>
      <x:c r="AA395" s="14" t="str">
        <x:v>HYPERLINK is not implemented. linkLocation=https://www.imdb.com/title/tt26346233/fullcredits/,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Channel 5 / 5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24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0.041666666666666664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4" t="str">
        <x:v>HYPERLINK is not implemented. linkLocation=https://www.imdb.com/title/tt26346233/fullcredits/,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tt26346233|nm7023332|sofia romano</x:v>
      </x:c>
      <x:c r="B396" s="14" t="str">
        <x:v>04</x:v>
      </x:c>
      <x:c r="C396" s="14" t="str">
        <x:v>2023_IMDb_Cast_Lists_Batch_04(2).xlsx</x:v>
      </x:c>
      <x:c r="D396" s="14" t="str">
        <x:v>The Good Ship Murder</x:v>
      </x:c>
      <x:c r="E396" s="14" t="n">
        <x:v>79</x:v>
      </x:c>
      <x:c r="F396" s="14" t="str">
        <x:v>The Good Ship Murder</x:v>
      </x:c>
      <x:c r="G396" s="14" t="str">
        <x:v>tt26346233</x:v>
      </x:c>
      <x:c r="H396" s="14" t="n">
        <x:v>2023</x:v>
      </x:c>
      <x:c r="I396" s="14" t="n">
        <x:v>2025</x:v>
      </x:c>
      <x:c r="J396" s="14" t="str">
        <x:v>Earlier-Production Carry-In Cohort</x:v>
      </x:c>
      <x:c r="K396" s="14" t="n">
        <x:v>2023</x:v>
      </x:c>
      <x:c r="L396" s="14" t="str">
        <x:v>Used in 2025 annual analysis</x:v>
      </x:c>
      <x:c r="M396" s="15" t="n">
        <x:v>72</x:v>
      </x:c>
      <x:c r="N396" s="14" t="str">
        <x:v>Elena Delia</x:v>
      </x:c>
      <x:c r="O396" s="14" t="str">
        <x:v>nm7023332</x:v>
      </x:c>
      <x:c r="P396" s="14" t="str">
        <x:v>Sofia Romano</x:v>
      </x:c>
      <x:c r="Q396" s="15" t="n">
        <x:v>1</x:v>
      </x:c>
      <x:c r="R396" s="14" t="str">
        <x:v>2025</x:v>
      </x:c>
      <x:c r="S396" s="14" t="n">
        <x:v>2025</x:v>
      </x:c>
      <x:c r="T396" s="14" t="n">
        <x:v>2025</x:v>
      </x:c>
      <x:c r="U396" s="14" t="str">
        <x:v>Explicit source first year retained</x:v>
      </x:c>
      <x:c r="V396" s="14" t="str">
        <x:v>Earliest supplied year is 2025.</x:v>
      </x:c>
      <x:c r="W396" s="14"/>
      <x:c r="X396" s="14" t="str">
        <x:v>Included</x:v>
      </x:c>
      <x:c r="Y396" s="14"/>
      <x:c r="Z396" s="14" t="str">
        <x:v>The Good Ship Murder.docx</x:v>
      </x:c>
      <x:c r="AA396" s="14" t="str">
        <x:v>HYPERLINK is not implemented. linkLocation=https://www.imdb.com/title/tt26346233/fullcredits/,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Channel 5 / 5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24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0.041666666666666664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4" t="str">
        <x:v>HYPERLINK is not implemented. linkLocation=https://www.imdb.com/title/tt26346233/fullcredits/,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tt26346233|nm1225633|janice evans</x:v>
      </x:c>
      <x:c r="B397" s="14" t="str">
        <x:v>04</x:v>
      </x:c>
      <x:c r="C397" s="14" t="str">
        <x:v>2023_IMDb_Cast_Lists_Batch_04(2).xlsx</x:v>
      </x:c>
      <x:c r="D397" s="14" t="str">
        <x:v>The Good Ship Murder</x:v>
      </x:c>
      <x:c r="E397" s="14" t="n">
        <x:v>80</x:v>
      </x:c>
      <x:c r="F397" s="14" t="str">
        <x:v>The Good Ship Murder</x:v>
      </x:c>
      <x:c r="G397" s="14" t="str">
        <x:v>tt26346233</x:v>
      </x:c>
      <x:c r="H397" s="14" t="n">
        <x:v>2023</x:v>
      </x:c>
      <x:c r="I397" s="14" t="n">
        <x:v>2025</x:v>
      </x:c>
      <x:c r="J397" s="14" t="str">
        <x:v>Earlier-Production Carry-In Cohort</x:v>
      </x:c>
      <x:c r="K397" s="14" t="n">
        <x:v>2023</x:v>
      </x:c>
      <x:c r="L397" s="14" t="str">
        <x:v>Used in 2025 annual analysis</x:v>
      </x:c>
      <x:c r="M397" s="15" t="n">
        <x:v>73</x:v>
      </x:c>
      <x:c r="N397" s="14" t="str">
        <x:v>Janice Connolly</x:v>
      </x:c>
      <x:c r="O397" s="14" t="str">
        <x:v>nm1225633</x:v>
      </x:c>
      <x:c r="P397" s="14" t="str">
        <x:v>Janice Evans</x:v>
      </x:c>
      <x:c r="Q397" s="15" t="n">
        <x:v>1</x:v>
      </x:c>
      <x:c r="R397" s="14" t="str">
        <x:v>2025</x:v>
      </x:c>
      <x:c r="S397" s="14" t="n">
        <x:v>2025</x:v>
      </x:c>
      <x:c r="T397" s="14" t="n">
        <x:v>2025</x:v>
      </x:c>
      <x:c r="U397" s="14" t="str">
        <x:v>Explicit source first year retained</x:v>
      </x:c>
      <x:c r="V397" s="14" t="str">
        <x:v>Earliest supplied year is 2025.</x:v>
      </x:c>
      <x:c r="W397" s="14"/>
      <x:c r="X397" s="14" t="str">
        <x:v>Included</x:v>
      </x:c>
      <x:c r="Y397" s="14"/>
      <x:c r="Z397" s="14" t="str">
        <x:v>The Good Ship Murder.docx</x:v>
      </x:c>
      <x:c r="AA397" s="14" t="str">
        <x:v>HYPERLINK is not implemented. linkLocation=https://www.imdb.com/title/tt26346233/fullcredits/,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Channel 5 / 5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24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0.041666666666666664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4" t="str">
        <x:v>HYPERLINK is not implemented. linkLocation=https://www.imdb.com/title/tt26346233/fullcredits/,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tt26346233|nm1356129|luna bonucci</x:v>
      </x:c>
      <x:c r="B398" s="14" t="str">
        <x:v>04</x:v>
      </x:c>
      <x:c r="C398" s="14" t="str">
        <x:v>2023_IMDb_Cast_Lists_Batch_04(2).xlsx</x:v>
      </x:c>
      <x:c r="D398" s="14" t="str">
        <x:v>The Good Ship Murder</x:v>
      </x:c>
      <x:c r="E398" s="14" t="n">
        <x:v>81</x:v>
      </x:c>
      <x:c r="F398" s="14" t="str">
        <x:v>The Good Ship Murder</x:v>
      </x:c>
      <x:c r="G398" s="14" t="str">
        <x:v>tt26346233</x:v>
      </x:c>
      <x:c r="H398" s="14" t="n">
        <x:v>2023</x:v>
      </x:c>
      <x:c r="I398" s="14" t="n">
        <x:v>2025</x:v>
      </x:c>
      <x:c r="J398" s="14" t="str">
        <x:v>Earlier-Production Carry-In Cohort</x:v>
      </x:c>
      <x:c r="K398" s="14" t="n">
        <x:v>2023</x:v>
      </x:c>
      <x:c r="L398" s="14" t="str">
        <x:v>Used in 2025 annual analysis</x:v>
      </x:c>
      <x:c r="M398" s="15" t="n">
        <x:v>74</x:v>
      </x:c>
      <x:c r="N398" s="14" t="str">
        <x:v>Bettina Paris</x:v>
      </x:c>
      <x:c r="O398" s="14" t="str">
        <x:v>nm1356129</x:v>
      </x:c>
      <x:c r="P398" s="14" t="str">
        <x:v>Luna Bonucci</x:v>
      </x:c>
      <x:c r="Q398" s="15" t="n">
        <x:v>1</x:v>
      </x:c>
      <x:c r="R398" s="14" t="str">
        <x:v>2025</x:v>
      </x:c>
      <x:c r="S398" s="14" t="n">
        <x:v>2025</x:v>
      </x:c>
      <x:c r="T398" s="14" t="n">
        <x:v>2025</x:v>
      </x:c>
      <x:c r="U398" s="14" t="str">
        <x:v>Explicit source first year retained</x:v>
      </x:c>
      <x:c r="V398" s="14" t="str">
        <x:v>Earliest supplied year is 2025.</x:v>
      </x:c>
      <x:c r="W398" s="14"/>
      <x:c r="X398" s="14" t="str">
        <x:v>Included</x:v>
      </x:c>
      <x:c r="Y398" s="14"/>
      <x:c r="Z398" s="14" t="str">
        <x:v>The Good Ship Murder.docx</x:v>
      </x:c>
      <x:c r="AA398" s="14" t="str">
        <x:v>HYPERLINK is not implemented. linkLocation=https://www.imdb.com/title/tt26346233/fullcredits/,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Channel 5 / 5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24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0.041666666666666664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4" t="str">
        <x:v>HYPERLINK is not implemented. linkLocation=https://www.imdb.com/title/tt26346233/fullcredits/,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tt26346233|nm14316388|bernie campbell</x:v>
      </x:c>
      <x:c r="B399" s="14" t="str">
        <x:v>04</x:v>
      </x:c>
      <x:c r="C399" s="14" t="str">
        <x:v>2023_IMDb_Cast_Lists_Batch_04(2).xlsx</x:v>
      </x:c>
      <x:c r="D399" s="14" t="str">
        <x:v>The Good Ship Murder</x:v>
      </x:c>
      <x:c r="E399" s="14" t="n">
        <x:v>82</x:v>
      </x:c>
      <x:c r="F399" s="14" t="str">
        <x:v>The Good Ship Murder</x:v>
      </x:c>
      <x:c r="G399" s="14" t="str">
        <x:v>tt26346233</x:v>
      </x:c>
      <x:c r="H399" s="14" t="n">
        <x:v>2023</x:v>
      </x:c>
      <x:c r="I399" s="14" t="n">
        <x:v>2025</x:v>
      </x:c>
      <x:c r="J399" s="14" t="str">
        <x:v>Earlier-Production Carry-In Cohort</x:v>
      </x:c>
      <x:c r="K399" s="14" t="n">
        <x:v>2023</x:v>
      </x:c>
      <x:c r="L399" s="14" t="str">
        <x:v>Used in 2025 annual analysis</x:v>
      </x:c>
      <x:c r="M399" s="15" t="n">
        <x:v>75</x:v>
      </x:c>
      <x:c r="N399" s="14" t="str">
        <x:v>Rebecca Harland</x:v>
      </x:c>
      <x:c r="O399" s="14" t="str">
        <x:v>nm14316388</x:v>
      </x:c>
      <x:c r="P399" s="14" t="str">
        <x:v>Bernie Campbell</x:v>
      </x:c>
      <x:c r="Q399" s="15" t="n">
        <x:v>1</x:v>
      </x:c>
      <x:c r="R399" s="14" t="str">
        <x:v>2025</x:v>
      </x:c>
      <x:c r="S399" s="14" t="n">
        <x:v>2025</x:v>
      </x:c>
      <x:c r="T399" s="14" t="n">
        <x:v>2025</x:v>
      </x:c>
      <x:c r="U399" s="14" t="str">
        <x:v>Explicit source first year retained</x:v>
      </x:c>
      <x:c r="V399" s="14" t="str">
        <x:v>Earliest supplied year is 2025.</x:v>
      </x:c>
      <x:c r="W399" s="14"/>
      <x:c r="X399" s="14" t="str">
        <x:v>Included</x:v>
      </x:c>
      <x:c r="Y399" s="14"/>
      <x:c r="Z399" s="14" t="str">
        <x:v>The Good Ship Murder.docx</x:v>
      </x:c>
      <x:c r="AA399" s="14" t="str">
        <x:v>HYPERLINK is not implemented. linkLocation=https://www.imdb.com/title/tt26346233/fullcredits/,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Channel 5 / 5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24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0.041666666666666664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4" t="str">
        <x:v>HYPERLINK is not implemented. linkLocation=https://www.imdb.com/title/tt26346233/fullcredits/,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tt26346233|nm5873574|lisa charnock</x:v>
      </x:c>
      <x:c r="B400" s="14" t="str">
        <x:v>04</x:v>
      </x:c>
      <x:c r="C400" s="14" t="str">
        <x:v>2023_IMDb_Cast_Lists_Batch_04(2).xlsx</x:v>
      </x:c>
      <x:c r="D400" s="14" t="str">
        <x:v>The Good Ship Murder</x:v>
      </x:c>
      <x:c r="E400" s="14" t="n">
        <x:v>83</x:v>
      </x:c>
      <x:c r="F400" s="14" t="str">
        <x:v>The Good Ship Murder</x:v>
      </x:c>
      <x:c r="G400" s="14" t="str">
        <x:v>tt26346233</x:v>
      </x:c>
      <x:c r="H400" s="14" t="n">
        <x:v>2023</x:v>
      </x:c>
      <x:c r="I400" s="14" t="n">
        <x:v>2025</x:v>
      </x:c>
      <x:c r="J400" s="14" t="str">
        <x:v>Earlier-Production Carry-In Cohort</x:v>
      </x:c>
      <x:c r="K400" s="14" t="n">
        <x:v>2023</x:v>
      </x:c>
      <x:c r="L400" s="14" t="str">
        <x:v>Used in 2025 annual analysis</x:v>
      </x:c>
      <x:c r="M400" s="15" t="n">
        <x:v>76</x:v>
      </x:c>
      <x:c r="N400" s="14" t="str">
        <x:v>Siobhan Athwal</x:v>
      </x:c>
      <x:c r="O400" s="14" t="str">
        <x:v>nm5873574</x:v>
      </x:c>
      <x:c r="P400" s="14" t="str">
        <x:v>Lisa Charnock</x:v>
      </x:c>
      <x:c r="Q400" s="15" t="n">
        <x:v>1</x:v>
      </x:c>
      <x:c r="R400" s="14" t="str">
        <x:v>2025</x:v>
      </x:c>
      <x:c r="S400" s="14" t="n">
        <x:v>2025</x:v>
      </x:c>
      <x:c r="T400" s="14" t="n">
        <x:v>2025</x:v>
      </x:c>
      <x:c r="U400" s="14" t="str">
        <x:v>Explicit source first year retained</x:v>
      </x:c>
      <x:c r="V400" s="14" t="str">
        <x:v>Earliest supplied year is 2025.</x:v>
      </x:c>
      <x:c r="W400" s="14"/>
      <x:c r="X400" s="14" t="str">
        <x:v>Included</x:v>
      </x:c>
      <x:c r="Y400" s="14"/>
      <x:c r="Z400" s="14" t="str">
        <x:v>The Good Ship Murder.docx</x:v>
      </x:c>
      <x:c r="AA400" s="14" t="str">
        <x:v>HYPERLINK is not implemented. linkLocation=https://www.imdb.com/title/tt26346233/fullcredits/,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Channel 5 / 5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24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0.041666666666666664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4" t="str">
        <x:v>HYPERLINK is not implemented. linkLocation=https://www.imdb.com/title/tt26346233/fullcredits/,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tt26346233|nm6360097|layla mahmood</x:v>
      </x:c>
      <x:c r="B401" s="14" t="str">
        <x:v>04</x:v>
      </x:c>
      <x:c r="C401" s="14" t="str">
        <x:v>2023_IMDb_Cast_Lists_Batch_04(2).xlsx</x:v>
      </x:c>
      <x:c r="D401" s="14" t="str">
        <x:v>The Good Ship Murder</x:v>
      </x:c>
      <x:c r="E401" s="14" t="n">
        <x:v>99</x:v>
      </x:c>
      <x:c r="F401" s="14" t="str">
        <x:v>The Good Ship Murder</x:v>
      </x:c>
      <x:c r="G401" s="14" t="str">
        <x:v>tt26346233</x:v>
      </x:c>
      <x:c r="H401" s="14" t="n">
        <x:v>2023</x:v>
      </x:c>
      <x:c r="I401" s="14" t="n">
        <x:v>2025</x:v>
      </x:c>
      <x:c r="J401" s="14" t="str">
        <x:v>Earlier-Production Carry-In Cohort</x:v>
      </x:c>
      <x:c r="K401" s="14" t="n">
        <x:v>2023</x:v>
      </x:c>
      <x:c r="L401" s="14" t="str">
        <x:v>Used in 2025 annual analysis</x:v>
      </x:c>
      <x:c r="M401" s="15" t="n">
        <x:v>92</x:v>
      </x:c>
      <x:c r="N401" s="14" t="str">
        <x:v>Hayat Kamille</x:v>
      </x:c>
      <x:c r="O401" s="14" t="str">
        <x:v>nm6360097</x:v>
      </x:c>
      <x:c r="P401" s="14" t="str">
        <x:v>Layla Mahmood</x:v>
      </x:c>
      <x:c r="Q401" s="15" t="n">
        <x:v>1</x:v>
      </x:c>
      <x:c r="R401" s="14" t="str">
        <x:v>2025</x:v>
      </x:c>
      <x:c r="S401" s="14" t="n">
        <x:v>2025</x:v>
      </x:c>
      <x:c r="T401" s="14" t="n">
        <x:v>2025</x:v>
      </x:c>
      <x:c r="U401" s="14" t="str">
        <x:v>Explicit source first year retained</x:v>
      </x:c>
      <x:c r="V401" s="14" t="str">
        <x:v>Earliest supplied year is 2025.</x:v>
      </x:c>
      <x:c r="W401" s="14"/>
      <x:c r="X401" s="14" t="str">
        <x:v>Included</x:v>
      </x:c>
      <x:c r="Y401" s="14"/>
      <x:c r="Z401" s="14" t="str">
        <x:v>The Good Ship Murder.docx</x:v>
      </x:c>
      <x:c r="AA401" s="14" t="str">
        <x:v>HYPERLINK is not implemented. linkLocation=https://www.imdb.com/title/tt26346233/fullcredits/,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Channel 5 / 5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24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0.041666666666666664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4" t="str">
        <x:v>HYPERLINK is not implemented. linkLocation=https://www.imdb.com/title/tt26346233/fullcredits/,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tt26346233|nm0519552|eva king</x:v>
      </x:c>
      <x:c r="B402" s="14" t="str">
        <x:v>04</x:v>
      </x:c>
      <x:c r="C402" s="14" t="str">
        <x:v>2023_IMDb_Cast_Lists_Batch_04(2).xlsx</x:v>
      </x:c>
      <x:c r="D402" s="14" t="str">
        <x:v>The Good Ship Murder</x:v>
      </x:c>
      <x:c r="E402" s="14" t="n">
        <x:v>100</x:v>
      </x:c>
      <x:c r="F402" s="14" t="str">
        <x:v>The Good Ship Murder</x:v>
      </x:c>
      <x:c r="G402" s="14" t="str">
        <x:v>tt26346233</x:v>
      </x:c>
      <x:c r="H402" s="14" t="n">
        <x:v>2023</x:v>
      </x:c>
      <x:c r="I402" s="14" t="n">
        <x:v>2025</x:v>
      </x:c>
      <x:c r="J402" s="14" t="str">
        <x:v>Earlier-Production Carry-In Cohort</x:v>
      </x:c>
      <x:c r="K402" s="14" t="n">
        <x:v>2023</x:v>
      </x:c>
      <x:c r="L402" s="14" t="str">
        <x:v>Used in 2025 annual analysis</x:v>
      </x:c>
      <x:c r="M402" s="15" t="n">
        <x:v>93</x:v>
      </x:c>
      <x:c r="N402" s="14" t="str">
        <x:v>Angela Lonsdale</x:v>
      </x:c>
      <x:c r="O402" s="14" t="str">
        <x:v>nm0519552</x:v>
      </x:c>
      <x:c r="P402" s="14" t="str">
        <x:v>Eva King</x:v>
      </x:c>
      <x:c r="Q402" s="15" t="n">
        <x:v>1</x:v>
      </x:c>
      <x:c r="R402" s="14" t="str">
        <x:v>2025</x:v>
      </x:c>
      <x:c r="S402" s="14" t="n">
        <x:v>2025</x:v>
      </x:c>
      <x:c r="T402" s="14" t="n">
        <x:v>2025</x:v>
      </x:c>
      <x:c r="U402" s="14" t="str">
        <x:v>Explicit source first year retained</x:v>
      </x:c>
      <x:c r="V402" s="14" t="str">
        <x:v>Earliest supplied year is 2025.</x:v>
      </x:c>
      <x:c r="W402" s="14"/>
      <x:c r="X402" s="14" t="str">
        <x:v>Included</x:v>
      </x:c>
      <x:c r="Y402" s="14"/>
      <x:c r="Z402" s="14" t="str">
        <x:v>The Good Ship Murder.docx</x:v>
      </x:c>
      <x:c r="AA402" s="14" t="str">
        <x:v>HYPERLINK is not implemented. linkLocation=https://www.imdb.com/title/tt26346233/fullcredits/,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Channel 5 / 5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24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0.041666666666666664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4" t="str">
        <x:v>HYPERLINK is not implemented. linkLocation=https://www.imdb.com/title/tt26346233/fullcredits/,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tt26346233|nm0681146|nikos pepi</x:v>
      </x:c>
      <x:c r="B403" s="14" t="str">
        <x:v>04</x:v>
      </x:c>
      <x:c r="C403" s="14" t="str">
        <x:v>2023_IMDb_Cast_Lists_Batch_04(2).xlsx</x:v>
      </x:c>
      <x:c r="D403" s="14" t="str">
        <x:v>The Good Ship Murder</x:v>
      </x:c>
      <x:c r="E403" s="14" t="n">
        <x:v>101</x:v>
      </x:c>
      <x:c r="F403" s="14" t="str">
        <x:v>The Good Ship Murder</x:v>
      </x:c>
      <x:c r="G403" s="14" t="str">
        <x:v>tt26346233</x:v>
      </x:c>
      <x:c r="H403" s="14" t="n">
        <x:v>2023</x:v>
      </x:c>
      <x:c r="I403" s="14" t="n">
        <x:v>2025</x:v>
      </x:c>
      <x:c r="J403" s="14" t="str">
        <x:v>Earlier-Production Carry-In Cohort</x:v>
      </x:c>
      <x:c r="K403" s="14" t="n">
        <x:v>2023</x:v>
      </x:c>
      <x:c r="L403" s="14" t="str">
        <x:v>Used in 2025 annual analysis</x:v>
      </x:c>
      <x:c r="M403" s="15" t="n">
        <x:v>94</x:v>
      </x:c>
      <x:c r="N403" s="14" t="str">
        <x:v>Andreas Karras</x:v>
      </x:c>
      <x:c r="O403" s="14" t="str">
        <x:v>nm0681146</x:v>
      </x:c>
      <x:c r="P403" s="14" t="str">
        <x:v>Nikos Pepi</x:v>
      </x:c>
      <x:c r="Q403" s="15" t="n">
        <x:v>1</x:v>
      </x:c>
      <x:c r="R403" s="14" t="str">
        <x:v>2025</x:v>
      </x:c>
      <x:c r="S403" s="14" t="n">
        <x:v>2025</x:v>
      </x:c>
      <x:c r="T403" s="14" t="n">
        <x:v>2025</x:v>
      </x:c>
      <x:c r="U403" s="14" t="str">
        <x:v>Explicit source first year retained</x:v>
      </x:c>
      <x:c r="V403" s="14" t="str">
        <x:v>Earliest supplied year is 2025.</x:v>
      </x:c>
      <x:c r="W403" s="14"/>
      <x:c r="X403" s="14" t="str">
        <x:v>Included</x:v>
      </x:c>
      <x:c r="Y403" s="14"/>
      <x:c r="Z403" s="14" t="str">
        <x:v>The Good Ship Murder.docx</x:v>
      </x:c>
      <x:c r="AA403" s="14" t="str">
        <x:v>HYPERLINK is not implemented. linkLocation=https://www.imdb.com/title/tt26346233/fullcredits/,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Channel 5 / 5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24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0.041666666666666664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4" t="str">
        <x:v>HYPERLINK is not implemented. linkLocation=https://www.imdb.com/title/tt26346233/fullcredits/,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tt26346233|nm1615970|suzie carter</x:v>
      </x:c>
      <x:c r="B404" s="14" t="str">
        <x:v>04</x:v>
      </x:c>
      <x:c r="C404" s="14" t="str">
        <x:v>2023_IMDb_Cast_Lists_Batch_04(2).xlsx</x:v>
      </x:c>
      <x:c r="D404" s="14" t="str">
        <x:v>The Good Ship Murder</x:v>
      </x:c>
      <x:c r="E404" s="14" t="n">
        <x:v>102</x:v>
      </x:c>
      <x:c r="F404" s="14" t="str">
        <x:v>The Good Ship Murder</x:v>
      </x:c>
      <x:c r="G404" s="14" t="str">
        <x:v>tt26346233</x:v>
      </x:c>
      <x:c r="H404" s="14" t="n">
        <x:v>2023</x:v>
      </x:c>
      <x:c r="I404" s="14" t="n">
        <x:v>2025</x:v>
      </x:c>
      <x:c r="J404" s="14" t="str">
        <x:v>Earlier-Production Carry-In Cohort</x:v>
      </x:c>
      <x:c r="K404" s="14" t="n">
        <x:v>2023</x:v>
      </x:c>
      <x:c r="L404" s="14" t="str">
        <x:v>Used in 2025 annual analysis</x:v>
      </x:c>
      <x:c r="M404" s="15" t="n">
        <x:v>95</x:v>
      </x:c>
      <x:c r="N404" s="14" t="str">
        <x:v>Lorna Laidlaw</x:v>
      </x:c>
      <x:c r="O404" s="14" t="str">
        <x:v>nm1615970</x:v>
      </x:c>
      <x:c r="P404" s="14" t="str">
        <x:v>Suzie Carter</x:v>
      </x:c>
      <x:c r="Q404" s="15" t="n">
        <x:v>1</x:v>
      </x:c>
      <x:c r="R404" s="14" t="str">
        <x:v>2025</x:v>
      </x:c>
      <x:c r="S404" s="14" t="n">
        <x:v>2025</x:v>
      </x:c>
      <x:c r="T404" s="14" t="n">
        <x:v>2025</x:v>
      </x:c>
      <x:c r="U404" s="14" t="str">
        <x:v>Explicit source first year retained</x:v>
      </x:c>
      <x:c r="V404" s="14" t="str">
        <x:v>Earliest supplied year is 2025.</x:v>
      </x:c>
      <x:c r="W404" s="14"/>
      <x:c r="X404" s="14" t="str">
        <x:v>Included</x:v>
      </x:c>
      <x:c r="Y404" s="14"/>
      <x:c r="Z404" s="14" t="str">
        <x:v>The Good Ship Murder.docx</x:v>
      </x:c>
      <x:c r="AA404" s="14" t="str">
        <x:v>HYPERLINK is not implemented. linkLocation=https://www.imdb.com/title/tt26346233/fullcredits/,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Channel 5 / 5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24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0.041666666666666664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4" t="str">
        <x:v>HYPERLINK is not implemented. linkLocation=https://www.imdb.com/title/tt26346233/fullcredits/,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tt26346233|nm1735111|lindsay eldergill</x:v>
      </x:c>
      <x:c r="B405" s="14" t="str">
        <x:v>04</x:v>
      </x:c>
      <x:c r="C405" s="14" t="str">
        <x:v>2023_IMDb_Cast_Lists_Batch_04(2).xlsx</x:v>
      </x:c>
      <x:c r="D405" s="14" t="str">
        <x:v>The Good Ship Murder</x:v>
      </x:c>
      <x:c r="E405" s="14" t="n">
        <x:v>103</x:v>
      </x:c>
      <x:c r="F405" s="14" t="str">
        <x:v>The Good Ship Murder</x:v>
      </x:c>
      <x:c r="G405" s="14" t="str">
        <x:v>tt26346233</x:v>
      </x:c>
      <x:c r="H405" s="14" t="n">
        <x:v>2023</x:v>
      </x:c>
      <x:c r="I405" s="14" t="n">
        <x:v>2025</x:v>
      </x:c>
      <x:c r="J405" s="14" t="str">
        <x:v>Earlier-Production Carry-In Cohort</x:v>
      </x:c>
      <x:c r="K405" s="14" t="n">
        <x:v>2023</x:v>
      </x:c>
      <x:c r="L405" s="14" t="str">
        <x:v>Used in 2025 annual analysis</x:v>
      </x:c>
      <x:c r="M405" s="15" t="n">
        <x:v>96</x:v>
      </x:c>
      <x:c r="N405" s="14" t="str">
        <x:v>Danielle Henry</x:v>
      </x:c>
      <x:c r="O405" s="14" t="str">
        <x:v>nm1735111</x:v>
      </x:c>
      <x:c r="P405" s="14" t="str">
        <x:v>Lindsay Eldergill</x:v>
      </x:c>
      <x:c r="Q405" s="15" t="n">
        <x:v>1</x:v>
      </x:c>
      <x:c r="R405" s="14" t="str">
        <x:v>2025</x:v>
      </x:c>
      <x:c r="S405" s="14" t="n">
        <x:v>2025</x:v>
      </x:c>
      <x:c r="T405" s="14" t="n">
        <x:v>2025</x:v>
      </x:c>
      <x:c r="U405" s="14" t="str">
        <x:v>Explicit source first year retained</x:v>
      </x:c>
      <x:c r="V405" s="14" t="str">
        <x:v>Earliest supplied year is 2025.</x:v>
      </x:c>
      <x:c r="W405" s="14"/>
      <x:c r="X405" s="14" t="str">
        <x:v>Included</x:v>
      </x:c>
      <x:c r="Y405" s="14"/>
      <x:c r="Z405" s="14" t="str">
        <x:v>The Good Ship Murder.docx</x:v>
      </x:c>
      <x:c r="AA405" s="14" t="str">
        <x:v>HYPERLINK is not implemented. linkLocation=https://www.imdb.com/title/tt26346233/fullcredits/,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Channel 5 / 5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24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0.041666666666666664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4" t="str">
        <x:v>HYPERLINK is not implemented. linkLocation=https://www.imdb.com/title/tt26346233/fullcredits/,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tt26346233|nm12235519|sister thomasina</x:v>
      </x:c>
      <x:c r="B406" s="14" t="str">
        <x:v>04</x:v>
      </x:c>
      <x:c r="C406" s="14" t="str">
        <x:v>2023_IMDb_Cast_Lists_Batch_04(2).xlsx</x:v>
      </x:c>
      <x:c r="D406" s="14" t="str">
        <x:v>The Good Ship Murder</x:v>
      </x:c>
      <x:c r="E406" s="14" t="n">
        <x:v>104</x:v>
      </x:c>
      <x:c r="F406" s="14" t="str">
        <x:v>The Good Ship Murder</x:v>
      </x:c>
      <x:c r="G406" s="14" t="str">
        <x:v>tt26346233</x:v>
      </x:c>
      <x:c r="H406" s="14" t="n">
        <x:v>2023</x:v>
      </x:c>
      <x:c r="I406" s="14" t="n">
        <x:v>2025</x:v>
      </x:c>
      <x:c r="J406" s="14" t="str">
        <x:v>Earlier-Production Carry-In Cohort</x:v>
      </x:c>
      <x:c r="K406" s="14" t="n">
        <x:v>2023</x:v>
      </x:c>
      <x:c r="L406" s="14" t="str">
        <x:v>Used in 2025 annual analysis</x:v>
      </x:c>
      <x:c r="M406" s="15" t="n">
        <x:v>97</x:v>
      </x:c>
      <x:c r="N406" s="14" t="str">
        <x:v>Greta Holland</x:v>
      </x:c>
      <x:c r="O406" s="14" t="str">
        <x:v>nm12235519</x:v>
      </x:c>
      <x:c r="P406" s="14" t="str">
        <x:v>Sister Thomasina</x:v>
      </x:c>
      <x:c r="Q406" s="15" t="n">
        <x:v>1</x:v>
      </x:c>
      <x:c r="R406" s="14" t="str">
        <x:v>2025</x:v>
      </x:c>
      <x:c r="S406" s="14" t="n">
        <x:v>2025</x:v>
      </x:c>
      <x:c r="T406" s="14" t="n">
        <x:v>2025</x:v>
      </x:c>
      <x:c r="U406" s="14" t="str">
        <x:v>Explicit source first year retained</x:v>
      </x:c>
      <x:c r="V406" s="14" t="str">
        <x:v>Earliest supplied year is 2025.</x:v>
      </x:c>
      <x:c r="W406" s="14"/>
      <x:c r="X406" s="14" t="str">
        <x:v>Included</x:v>
      </x:c>
      <x:c r="Y406" s="14"/>
      <x:c r="Z406" s="14" t="str">
        <x:v>The Good Ship Murder.docx</x:v>
      </x:c>
      <x:c r="AA406" s="14" t="str">
        <x:v>HYPERLINK is not implemented. linkLocation=https://www.imdb.com/title/tt26346233/fullcredits/,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Channel 5 / 5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24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0.041666666666666664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4" t="str">
        <x:v>HYPERLINK is not implemented. linkLocation=https://www.imdb.com/title/tt26346233/fullcredits/,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tt26346233|nm12651445|nick greenleigh</x:v>
      </x:c>
      <x:c r="B407" s="14" t="str">
        <x:v>04</x:v>
      </x:c>
      <x:c r="C407" s="14" t="str">
        <x:v>2023_IMDb_Cast_Lists_Batch_04(2).xlsx</x:v>
      </x:c>
      <x:c r="D407" s="14" t="str">
        <x:v>The Good Ship Murder</x:v>
      </x:c>
      <x:c r="E407" s="14" t="n">
        <x:v>105</x:v>
      </x:c>
      <x:c r="F407" s="14" t="str">
        <x:v>The Good Ship Murder</x:v>
      </x:c>
      <x:c r="G407" s="14" t="str">
        <x:v>tt26346233</x:v>
      </x:c>
      <x:c r="H407" s="14" t="n">
        <x:v>2023</x:v>
      </x:c>
      <x:c r="I407" s="14" t="n">
        <x:v>2025</x:v>
      </x:c>
      <x:c r="J407" s="14" t="str">
        <x:v>Earlier-Production Carry-In Cohort</x:v>
      </x:c>
      <x:c r="K407" s="14" t="n">
        <x:v>2023</x:v>
      </x:c>
      <x:c r="L407" s="14" t="str">
        <x:v>Used in 2025 annual analysis</x:v>
      </x:c>
      <x:c r="M407" s="15" t="n">
        <x:v>98</x:v>
      </x:c>
      <x:c r="N407" s="14" t="str">
        <x:v>Harry Giubileo</x:v>
      </x:c>
      <x:c r="O407" s="14" t="str">
        <x:v>nm12651445</x:v>
      </x:c>
      <x:c r="P407" s="14" t="str">
        <x:v>Nick Greenleigh</x:v>
      </x:c>
      <x:c r="Q407" s="15" t="n">
        <x:v>1</x:v>
      </x:c>
      <x:c r="R407" s="14" t="str">
        <x:v>2025</x:v>
      </x:c>
      <x:c r="S407" s="14" t="n">
        <x:v>2025</x:v>
      </x:c>
      <x:c r="T407" s="14" t="n">
        <x:v>2025</x:v>
      </x:c>
      <x:c r="U407" s="14" t="str">
        <x:v>Explicit source first year retained</x:v>
      </x:c>
      <x:c r="V407" s="14" t="str">
        <x:v>Earliest supplied year is 2025.</x:v>
      </x:c>
      <x:c r="W407" s="14"/>
      <x:c r="X407" s="14" t="str">
        <x:v>Included</x:v>
      </x:c>
      <x:c r="Y407" s="14"/>
      <x:c r="Z407" s="14" t="str">
        <x:v>The Good Ship Murder.docx</x:v>
      </x:c>
      <x:c r="AA407" s="14" t="str">
        <x:v>HYPERLINK is not implemented. linkLocation=https://www.imdb.com/title/tt26346233/fullcredits/,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Channel 5 / 5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24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0.041666666666666664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4" t="str">
        <x:v>HYPERLINK is not implemented. linkLocation=https://www.imdb.com/title/tt26346233/fullcredits/,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tt26346233|nm4561518|falzon</x:v>
      </x:c>
      <x:c r="B408" s="14" t="str">
        <x:v>04</x:v>
      </x:c>
      <x:c r="C408" s="14" t="str">
        <x:v>2023_IMDb_Cast_Lists_Batch_04(2).xlsx</x:v>
      </x:c>
      <x:c r="D408" s="14" t="str">
        <x:v>The Good Ship Murder</x:v>
      </x:c>
      <x:c r="E408" s="14" t="n">
        <x:v>106</x:v>
      </x:c>
      <x:c r="F408" s="14" t="str">
        <x:v>The Good Ship Murder</x:v>
      </x:c>
      <x:c r="G408" s="14" t="str">
        <x:v>tt26346233</x:v>
      </x:c>
      <x:c r="H408" s="14" t="n">
        <x:v>2023</x:v>
      </x:c>
      <x:c r="I408" s="14" t="n">
        <x:v>2025</x:v>
      </x:c>
      <x:c r="J408" s="14" t="str">
        <x:v>Earlier-Production Carry-In Cohort</x:v>
      </x:c>
      <x:c r="K408" s="14" t="n">
        <x:v>2023</x:v>
      </x:c>
      <x:c r="L408" s="14" t="str">
        <x:v>Used in 2025 annual analysis</x:v>
      </x:c>
      <x:c r="M408" s="15" t="n">
        <x:v>99</x:v>
      </x:c>
      <x:c r="N408" s="14" t="str">
        <x:v>Marcelle Theuma</x:v>
      </x:c>
      <x:c r="O408" s="14" t="str">
        <x:v>nm4561518</x:v>
      </x:c>
      <x:c r="P408" s="14" t="str">
        <x:v>Falzon</x:v>
      </x:c>
      <x:c r="Q408" s="15" t="n">
        <x:v>1</x:v>
      </x:c>
      <x:c r="R408" s="14" t="str">
        <x:v>2025</x:v>
      </x:c>
      <x:c r="S408" s="14" t="n">
        <x:v>2025</x:v>
      </x:c>
      <x:c r="T408" s="14" t="n">
        <x:v>2025</x:v>
      </x:c>
      <x:c r="U408" s="14" t="str">
        <x:v>Explicit source first year retained</x:v>
      </x:c>
      <x:c r="V408" s="14" t="str">
        <x:v>Earliest supplied year is 2025.</x:v>
      </x:c>
      <x:c r="W408" s="14"/>
      <x:c r="X408" s="14" t="str">
        <x:v>Included</x:v>
      </x:c>
      <x:c r="Y408" s="14" t="str">
        <x:v>(as Marcelle Teuma)</x:v>
      </x:c>
      <x:c r="Z408" s="14" t="str">
        <x:v>The Good Ship Murder.docx</x:v>
      </x:c>
      <x:c r="AA408" s="14" t="str">
        <x:v>HYPERLINK is not implemented. linkLocation=https://www.imdb.com/title/tt26346233/fullcredits/,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Channel 5 / 5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24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0.041666666666666664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4" t="str">
        <x:v>HYPERLINK is not implemented. linkLocation=https://www.imdb.com/title/tt26346233/fullcredits/,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tt26346233|nm0391969|eve fontaine</x:v>
      </x:c>
      <x:c r="B409" s="14" t="str">
        <x:v>04</x:v>
      </x:c>
      <x:c r="C409" s="14" t="str">
        <x:v>2023_IMDb_Cast_Lists_Batch_04(2).xlsx</x:v>
      </x:c>
      <x:c r="D409" s="14" t="str">
        <x:v>The Good Ship Murder</x:v>
      </x:c>
      <x:c r="E409" s="14" t="n">
        <x:v>120</x:v>
      </x:c>
      <x:c r="F409" s="14" t="str">
        <x:v>The Good Ship Murder</x:v>
      </x:c>
      <x:c r="G409" s="14" t="str">
        <x:v>tt26346233</x:v>
      </x:c>
      <x:c r="H409" s="14" t="n">
        <x:v>2023</x:v>
      </x:c>
      <x:c r="I409" s="14" t="n">
        <x:v>2025</x:v>
      </x:c>
      <x:c r="J409" s="14" t="str">
        <x:v>Earlier-Production Carry-In Cohort</x:v>
      </x:c>
      <x:c r="K409" s="14" t="n">
        <x:v>2023</x:v>
      </x:c>
      <x:c r="L409" s="14" t="str">
        <x:v>Used in 2025 annual analysis</x:v>
      </x:c>
      <x:c r="M409" s="15" t="n">
        <x:v>113</x:v>
      </x:c>
      <x:c r="N409" s="14" t="str">
        <x:v>Michelle Holmes</x:v>
      </x:c>
      <x:c r="O409" s="14" t="str">
        <x:v>nm0391969</x:v>
      </x:c>
      <x:c r="P409" s="14" t="str">
        <x:v>Eve Fontaine</x:v>
      </x:c>
      <x:c r="Q409" s="15" t="n">
        <x:v>1</x:v>
      </x:c>
      <x:c r="R409" s="14" t="str">
        <x:v>2025</x:v>
      </x:c>
      <x:c r="S409" s="14" t="n">
        <x:v>2025</x:v>
      </x:c>
      <x:c r="T409" s="14" t="n">
        <x:v>2025</x:v>
      </x:c>
      <x:c r="U409" s="14" t="str">
        <x:v>Explicit source first year retained</x:v>
      </x:c>
      <x:c r="V409" s="14" t="str">
        <x:v>Earliest supplied year is 2025.</x:v>
      </x:c>
      <x:c r="W409" s="14"/>
      <x:c r="X409" s="14" t="str">
        <x:v>Included</x:v>
      </x:c>
      <x:c r="Y409" s="14"/>
      <x:c r="Z409" s="14" t="str">
        <x:v>The Good Ship Murder.docx</x:v>
      </x:c>
      <x:c r="AA409" s="14" t="str">
        <x:v>HYPERLINK is not implemented. linkLocation=https://www.imdb.com/title/tt26346233/fullcredits/,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Channel 5 / 5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24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0.041666666666666664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4" t="str">
        <x:v>HYPERLINK is not implemented. linkLocation=https://www.imdb.com/title/tt26346233/fullcredits/,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tt26346233|nm0568907|derek dawes</x:v>
      </x:c>
      <x:c r="B410" s="14" t="str">
        <x:v>04</x:v>
      </x:c>
      <x:c r="C410" s="14" t="str">
        <x:v>2023_IMDb_Cast_Lists_Batch_04(2).xlsx</x:v>
      </x:c>
      <x:c r="D410" s="14" t="str">
        <x:v>The Good Ship Murder</x:v>
      </x:c>
      <x:c r="E410" s="14" t="n">
        <x:v>121</x:v>
      </x:c>
      <x:c r="F410" s="14" t="str">
        <x:v>The Good Ship Murder</x:v>
      </x:c>
      <x:c r="G410" s="14" t="str">
        <x:v>tt26346233</x:v>
      </x:c>
      <x:c r="H410" s="14" t="n">
        <x:v>2023</x:v>
      </x:c>
      <x:c r="I410" s="14" t="n">
        <x:v>2025</x:v>
      </x:c>
      <x:c r="J410" s="14" t="str">
        <x:v>Earlier-Production Carry-In Cohort</x:v>
      </x:c>
      <x:c r="K410" s="14" t="n">
        <x:v>2023</x:v>
      </x:c>
      <x:c r="L410" s="14" t="str">
        <x:v>Used in 2025 annual analysis</x:v>
      </x:c>
      <x:c r="M410" s="15" t="n">
        <x:v>114</x:v>
      </x:c>
      <x:c r="N410" s="14" t="str">
        <x:v>Mark McGann</x:v>
      </x:c>
      <x:c r="O410" s="14" t="str">
        <x:v>nm0568907</x:v>
      </x:c>
      <x:c r="P410" s="14" t="str">
        <x:v>Derek Dawes</x:v>
      </x:c>
      <x:c r="Q410" s="15" t="n">
        <x:v>1</x:v>
      </x:c>
      <x:c r="R410" s="14" t="str">
        <x:v>2025</x:v>
      </x:c>
      <x:c r="S410" s="14" t="n">
        <x:v>2025</x:v>
      </x:c>
      <x:c r="T410" s="14" t="n">
        <x:v>2025</x:v>
      </x:c>
      <x:c r="U410" s="14" t="str">
        <x:v>Explicit source first year retained</x:v>
      </x:c>
      <x:c r="V410" s="14" t="str">
        <x:v>Earliest supplied year is 2025.</x:v>
      </x:c>
      <x:c r="W410" s="14"/>
      <x:c r="X410" s="14" t="str">
        <x:v>Included</x:v>
      </x:c>
      <x:c r="Y410" s="14"/>
      <x:c r="Z410" s="14" t="str">
        <x:v>The Good Ship Murder.docx</x:v>
      </x:c>
      <x:c r="AA410" s="14" t="str">
        <x:v>HYPERLINK is not implemented. linkLocation=https://www.imdb.com/title/tt26346233/fullcredits/,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Channel 5 / 5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24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0.041666666666666664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4" t="str">
        <x:v>HYPERLINK is not implemented. linkLocation=https://www.imdb.com/title/tt26346233/fullcredits/,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tt26346233|nm10862578|mia grayling</x:v>
      </x:c>
      <x:c r="B411" s="14" t="str">
        <x:v>04</x:v>
      </x:c>
      <x:c r="C411" s="14" t="str">
        <x:v>2023_IMDb_Cast_Lists_Batch_04(2).xlsx</x:v>
      </x:c>
      <x:c r="D411" s="14" t="str">
        <x:v>The Good Ship Murder</x:v>
      </x:c>
      <x:c r="E411" s="14" t="n">
        <x:v>122</x:v>
      </x:c>
      <x:c r="F411" s="14" t="str">
        <x:v>The Good Ship Murder</x:v>
      </x:c>
      <x:c r="G411" s="14" t="str">
        <x:v>tt26346233</x:v>
      </x:c>
      <x:c r="H411" s="14" t="n">
        <x:v>2023</x:v>
      </x:c>
      <x:c r="I411" s="14" t="n">
        <x:v>2025</x:v>
      </x:c>
      <x:c r="J411" s="14" t="str">
        <x:v>Earlier-Production Carry-In Cohort</x:v>
      </x:c>
      <x:c r="K411" s="14" t="n">
        <x:v>2023</x:v>
      </x:c>
      <x:c r="L411" s="14" t="str">
        <x:v>Used in 2025 annual analysis</x:v>
      </x:c>
      <x:c r="M411" s="15" t="n">
        <x:v>115</x:v>
      </x:c>
      <x:c r="N411" s="14" t="str">
        <x:v>Millie Kent</x:v>
      </x:c>
      <x:c r="O411" s="14" t="str">
        <x:v>nm10862578</x:v>
      </x:c>
      <x:c r="P411" s="14" t="str">
        <x:v>Mia Grayling</x:v>
      </x:c>
      <x:c r="Q411" s="15" t="n">
        <x:v>1</x:v>
      </x:c>
      <x:c r="R411" s="14" t="str">
        <x:v>2025</x:v>
      </x:c>
      <x:c r="S411" s="14" t="n">
        <x:v>2025</x:v>
      </x:c>
      <x:c r="T411" s="14" t="n">
        <x:v>2025</x:v>
      </x:c>
      <x:c r="U411" s="14" t="str">
        <x:v>Explicit source first year retained</x:v>
      </x:c>
      <x:c r="V411" s="14" t="str">
        <x:v>Earliest supplied year is 2025.</x:v>
      </x:c>
      <x:c r="W411" s="14"/>
      <x:c r="X411" s="14" t="str">
        <x:v>Included</x:v>
      </x:c>
      <x:c r="Y411" s="14"/>
      <x:c r="Z411" s="14" t="str">
        <x:v>The Good Ship Murder.docx</x:v>
      </x:c>
      <x:c r="AA411" s="14" t="str">
        <x:v>HYPERLINK is not implemented. linkLocation=https://www.imdb.com/title/tt26346233/fullcredits/,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Channel 5 / 5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24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0.041666666666666664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4" t="str">
        <x:v>HYPERLINK is not implemented. linkLocation=https://www.imdb.com/title/tt26346233/fullcredits/,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tt26346233|nm2198515|dev metcalfe</x:v>
      </x:c>
      <x:c r="B412" s="14" t="str">
        <x:v>04</x:v>
      </x:c>
      <x:c r="C412" s="14" t="str">
        <x:v>2023_IMDb_Cast_Lists_Batch_04(2).xlsx</x:v>
      </x:c>
      <x:c r="D412" s="14" t="str">
        <x:v>The Good Ship Murder</x:v>
      </x:c>
      <x:c r="E412" s="14" t="n">
        <x:v>123</x:v>
      </x:c>
      <x:c r="F412" s="14" t="str">
        <x:v>The Good Ship Murder</x:v>
      </x:c>
      <x:c r="G412" s="14" t="str">
        <x:v>tt26346233</x:v>
      </x:c>
      <x:c r="H412" s="14" t="n">
        <x:v>2023</x:v>
      </x:c>
      <x:c r="I412" s="14" t="n">
        <x:v>2025</x:v>
      </x:c>
      <x:c r="J412" s="14" t="str">
        <x:v>Earlier-Production Carry-In Cohort</x:v>
      </x:c>
      <x:c r="K412" s="14" t="n">
        <x:v>2023</x:v>
      </x:c>
      <x:c r="L412" s="14" t="str">
        <x:v>Used in 2025 annual analysis</x:v>
      </x:c>
      <x:c r="M412" s="15" t="n">
        <x:v>116</x:v>
      </x:c>
      <x:c r="N412" s="14" t="str">
        <x:v>Muzz Khan</x:v>
      </x:c>
      <x:c r="O412" s="14" t="str">
        <x:v>nm2198515</x:v>
      </x:c>
      <x:c r="P412" s="14" t="str">
        <x:v>Dev Metcalfe</x:v>
      </x:c>
      <x:c r="Q412" s="15" t="n">
        <x:v>1</x:v>
      </x:c>
      <x:c r="R412" s="14" t="str">
        <x:v>2025</x:v>
      </x:c>
      <x:c r="S412" s="14" t="n">
        <x:v>2025</x:v>
      </x:c>
      <x:c r="T412" s="14" t="n">
        <x:v>2025</x:v>
      </x:c>
      <x:c r="U412" s="14" t="str">
        <x:v>Explicit source first year retained</x:v>
      </x:c>
      <x:c r="V412" s="14" t="str">
        <x:v>Earliest supplied year is 2025.</x:v>
      </x:c>
      <x:c r="W412" s="14"/>
      <x:c r="X412" s="14" t="str">
        <x:v>Included</x:v>
      </x:c>
      <x:c r="Y412" s="14"/>
      <x:c r="Z412" s="14" t="str">
        <x:v>The Good Ship Murder.docx</x:v>
      </x:c>
      <x:c r="AA412" s="14" t="str">
        <x:v>HYPERLINK is not implemented. linkLocation=https://www.imdb.com/title/tt26346233/fullcredits/,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Channel 5 / 5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24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0.041666666666666664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4" t="str">
        <x:v>HYPERLINK is not implemented. linkLocation=https://www.imdb.com/title/tt26346233/fullcredits/,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tt26346233|nm10421059|tony tong</x:v>
      </x:c>
      <x:c r="B413" s="14" t="str">
        <x:v>04</x:v>
      </x:c>
      <x:c r="C413" s="14" t="str">
        <x:v>2023_IMDb_Cast_Lists_Batch_04(2).xlsx</x:v>
      </x:c>
      <x:c r="D413" s="14" t="str">
        <x:v>The Good Ship Murder</x:v>
      </x:c>
      <x:c r="E413" s="14" t="n">
        <x:v>124</x:v>
      </x:c>
      <x:c r="F413" s="14" t="str">
        <x:v>The Good Ship Murder</x:v>
      </x:c>
      <x:c r="G413" s="14" t="str">
        <x:v>tt26346233</x:v>
      </x:c>
      <x:c r="H413" s="14" t="n">
        <x:v>2023</x:v>
      </x:c>
      <x:c r="I413" s="14" t="n">
        <x:v>2025</x:v>
      </x:c>
      <x:c r="J413" s="14" t="str">
        <x:v>Earlier-Production Carry-In Cohort</x:v>
      </x:c>
      <x:c r="K413" s="14" t="n">
        <x:v>2023</x:v>
      </x:c>
      <x:c r="L413" s="14" t="str">
        <x:v>Used in 2025 annual analysis</x:v>
      </x:c>
      <x:c r="M413" s="15" t="n">
        <x:v>117</x:v>
      </x:c>
      <x:c r="N413" s="14" t="str">
        <x:v>Yin Wang</x:v>
      </x:c>
      <x:c r="O413" s="14" t="str">
        <x:v>nm10421059</x:v>
      </x:c>
      <x:c r="P413" s="14" t="str">
        <x:v>Tony Tong</x:v>
      </x:c>
      <x:c r="Q413" s="15" t="n">
        <x:v>1</x:v>
      </x:c>
      <x:c r="R413" s="14" t="str">
        <x:v>2025</x:v>
      </x:c>
      <x:c r="S413" s="14" t="n">
        <x:v>2025</x:v>
      </x:c>
      <x:c r="T413" s="14" t="n">
        <x:v>2025</x:v>
      </x:c>
      <x:c r="U413" s="14" t="str">
        <x:v>Explicit source first year retained</x:v>
      </x:c>
      <x:c r="V413" s="14" t="str">
        <x:v>Earliest supplied year is 2025.</x:v>
      </x:c>
      <x:c r="W413" s="14"/>
      <x:c r="X413" s="14" t="str">
        <x:v>Included</x:v>
      </x:c>
      <x:c r="Y413" s="14"/>
      <x:c r="Z413" s="14" t="str">
        <x:v>The Good Ship Murder.docx</x:v>
      </x:c>
      <x:c r="AA413" s="14" t="str">
        <x:v>HYPERLINK is not implemented. linkLocation=https://www.imdb.com/title/tt26346233/fullcredits/,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Channel 5 / 5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24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0.041666666666666664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4" t="str">
        <x:v>HYPERLINK is not implemented. linkLocation=https://www.imdb.com/title/tt26346233/fullcredits/,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tt26346233|nm14088072|josh king</x:v>
      </x:c>
      <x:c r="B414" s="14" t="str">
        <x:v>04</x:v>
      </x:c>
      <x:c r="C414" s="14" t="str">
        <x:v>2023_IMDb_Cast_Lists_Batch_04(2).xlsx</x:v>
      </x:c>
      <x:c r="D414" s="14" t="str">
        <x:v>The Good Ship Murder</x:v>
      </x:c>
      <x:c r="E414" s="14" t="n">
        <x:v>125</x:v>
      </x:c>
      <x:c r="F414" s="14" t="str">
        <x:v>The Good Ship Murder</x:v>
      </x:c>
      <x:c r="G414" s="14" t="str">
        <x:v>tt26346233</x:v>
      </x:c>
      <x:c r="H414" s="14" t="n">
        <x:v>2023</x:v>
      </x:c>
      <x:c r="I414" s="14" t="n">
        <x:v>2025</x:v>
      </x:c>
      <x:c r="J414" s="14" t="str">
        <x:v>Earlier-Production Carry-In Cohort</x:v>
      </x:c>
      <x:c r="K414" s="14" t="n">
        <x:v>2023</x:v>
      </x:c>
      <x:c r="L414" s="14" t="str">
        <x:v>Used in 2025 annual analysis</x:v>
      </x:c>
      <x:c r="M414" s="15" t="n">
        <x:v>118</x:v>
      </x:c>
      <x:c r="N414" s="14" t="str">
        <x:v>Jamie Myers</x:v>
      </x:c>
      <x:c r="O414" s="14" t="str">
        <x:v>nm14088072</x:v>
      </x:c>
      <x:c r="P414" s="14" t="str">
        <x:v>Josh King</x:v>
      </x:c>
      <x:c r="Q414" s="15" t="n">
        <x:v>1</x:v>
      </x:c>
      <x:c r="R414" s="14" t="str">
        <x:v>2025</x:v>
      </x:c>
      <x:c r="S414" s="14" t="n">
        <x:v>2025</x:v>
      </x:c>
      <x:c r="T414" s="14" t="n">
        <x:v>2025</x:v>
      </x:c>
      <x:c r="U414" s="14" t="str">
        <x:v>Explicit source first year retained</x:v>
      </x:c>
      <x:c r="V414" s="14" t="str">
        <x:v>Earliest supplied year is 2025.</x:v>
      </x:c>
      <x:c r="W414" s="14"/>
      <x:c r="X414" s="14" t="str">
        <x:v>Included</x:v>
      </x:c>
      <x:c r="Y414" s="14"/>
      <x:c r="Z414" s="14" t="str">
        <x:v>The Good Ship Murder.docx</x:v>
      </x:c>
      <x:c r="AA414" s="14" t="str">
        <x:v>HYPERLINK is not implemented. linkLocation=https://www.imdb.com/title/tt26346233/fullcredits/,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Channel 5 / 5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24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0.041666666666666664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4" t="str">
        <x:v>HYPERLINK is not implemented. linkLocation=https://www.imdb.com/title/tt26346233/fullcredits/,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tt26346233|nm11344873|eddie bridges</x:v>
      </x:c>
      <x:c r="B415" s="14" t="str">
        <x:v>04</x:v>
      </x:c>
      <x:c r="C415" s="14" t="str">
        <x:v>2023_IMDb_Cast_Lists_Batch_04(2).xlsx</x:v>
      </x:c>
      <x:c r="D415" s="14" t="str">
        <x:v>The Good Ship Murder</x:v>
      </x:c>
      <x:c r="E415" s="14" t="n">
        <x:v>126</x:v>
      </x:c>
      <x:c r="F415" s="14" t="str">
        <x:v>The Good Ship Murder</x:v>
      </x:c>
      <x:c r="G415" s="14" t="str">
        <x:v>tt26346233</x:v>
      </x:c>
      <x:c r="H415" s="14" t="n">
        <x:v>2023</x:v>
      </x:c>
      <x:c r="I415" s="14" t="n">
        <x:v>2025</x:v>
      </x:c>
      <x:c r="J415" s="14" t="str">
        <x:v>Earlier-Production Carry-In Cohort</x:v>
      </x:c>
      <x:c r="K415" s="14" t="n">
        <x:v>2023</x:v>
      </x:c>
      <x:c r="L415" s="14" t="str">
        <x:v>Used in 2025 annual analysis</x:v>
      </x:c>
      <x:c r="M415" s="15" t="n">
        <x:v>119</x:v>
      </x:c>
      <x:c r="N415" s="14" t="str">
        <x:v>Sam Newton</x:v>
      </x:c>
      <x:c r="O415" s="14" t="str">
        <x:v>nm11344873</x:v>
      </x:c>
      <x:c r="P415" s="14" t="str">
        <x:v>Eddie Bridges</x:v>
      </x:c>
      <x:c r="Q415" s="15" t="n">
        <x:v>1</x:v>
      </x:c>
      <x:c r="R415" s="14" t="str">
        <x:v>2025</x:v>
      </x:c>
      <x:c r="S415" s="14" t="n">
        <x:v>2025</x:v>
      </x:c>
      <x:c r="T415" s="14" t="n">
        <x:v>2025</x:v>
      </x:c>
      <x:c r="U415" s="14" t="str">
        <x:v>Explicit source first year retained</x:v>
      </x:c>
      <x:c r="V415" s="14" t="str">
        <x:v>Earliest supplied year is 2025.</x:v>
      </x:c>
      <x:c r="W415" s="14"/>
      <x:c r="X415" s="14" t="str">
        <x:v>Included</x:v>
      </x:c>
      <x:c r="Y415" s="14"/>
      <x:c r="Z415" s="14" t="str">
        <x:v>The Good Ship Murder.docx</x:v>
      </x:c>
      <x:c r="AA415" s="14" t="str">
        <x:v>HYPERLINK is not implemented. linkLocation=https://www.imdb.com/title/tt26346233/fullcredits/,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Channel 5 / 5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24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0.041666666666666664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4" t="str">
        <x:v>HYPERLINK is not implemented. linkLocation=https://www.imdb.com/title/tt26346233/fullcredits/,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tt26346233|nm17231939|christos biros</x:v>
      </x:c>
      <x:c r="B416" s="14" t="str">
        <x:v>04</x:v>
      </x:c>
      <x:c r="C416" s="14" t="str">
        <x:v>2023_IMDb_Cast_Lists_Batch_04(2).xlsx</x:v>
      </x:c>
      <x:c r="D416" s="14" t="str">
        <x:v>The Good Ship Murder</x:v>
      </x:c>
      <x:c r="E416" s="14" t="n">
        <x:v>127</x:v>
      </x:c>
      <x:c r="F416" s="14" t="str">
        <x:v>The Good Ship Murder</x:v>
      </x:c>
      <x:c r="G416" s="14" t="str">
        <x:v>tt26346233</x:v>
      </x:c>
      <x:c r="H416" s="14" t="n">
        <x:v>2023</x:v>
      </x:c>
      <x:c r="I416" s="14" t="n">
        <x:v>2025</x:v>
      </x:c>
      <x:c r="J416" s="14" t="str">
        <x:v>Earlier-Production Carry-In Cohort</x:v>
      </x:c>
      <x:c r="K416" s="14" t="n">
        <x:v>2023</x:v>
      </x:c>
      <x:c r="L416" s="14" t="str">
        <x:v>Used in 2025 annual analysis</x:v>
      </x:c>
      <x:c r="M416" s="15" t="n">
        <x:v>120</x:v>
      </x:c>
      <x:c r="N416" s="14" t="str">
        <x:v>Constantinos Pastronidis</x:v>
      </x:c>
      <x:c r="O416" s="14" t="str">
        <x:v>nm17231939</x:v>
      </x:c>
      <x:c r="P416" s="14" t="str">
        <x:v>Christos Biros</x:v>
      </x:c>
      <x:c r="Q416" s="15" t="n">
        <x:v>1</x:v>
      </x:c>
      <x:c r="R416" s="14" t="str">
        <x:v>2025</x:v>
      </x:c>
      <x:c r="S416" s="14" t="n">
        <x:v>2025</x:v>
      </x:c>
      <x:c r="T416" s="14" t="n">
        <x:v>2025</x:v>
      </x:c>
      <x:c r="U416" s="14" t="str">
        <x:v>Explicit source first year retained</x:v>
      </x:c>
      <x:c r="V416" s="14" t="str">
        <x:v>Earliest supplied year is 2025.</x:v>
      </x:c>
      <x:c r="W416" s="14"/>
      <x:c r="X416" s="14" t="str">
        <x:v>Included</x:v>
      </x:c>
      <x:c r="Y416" s="14"/>
      <x:c r="Z416" s="14" t="str">
        <x:v>The Good Ship Murder.docx</x:v>
      </x:c>
      <x:c r="AA416" s="14" t="str">
        <x:v>HYPERLINK is not implemented. linkLocation=https://www.imdb.com/title/tt26346233/fullcredits/,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Channel 5 / 5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24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0.041666666666666664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4" t="str">
        <x:v>HYPERLINK is not implemented. linkLocation=https://www.imdb.com/title/tt26346233/fullcredits/,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tt26346233|nm0696410|hugo lawrence-batley</x:v>
      </x:c>
      <x:c r="B417" s="14" t="str">
        <x:v>04</x:v>
      </x:c>
      <x:c r="C417" s="14" t="str">
        <x:v>2023_IMDb_Cast_Lists_Batch_04(2).xlsx</x:v>
      </x:c>
      <x:c r="D417" s="14" t="str">
        <x:v>The Good Ship Murder</x:v>
      </x:c>
      <x:c r="E417" s="14" t="n">
        <x:v>136</x:v>
      </x:c>
      <x:c r="F417" s="14" t="str">
        <x:v>The Good Ship Murder</x:v>
      </x:c>
      <x:c r="G417" s="14" t="str">
        <x:v>tt26346233</x:v>
      </x:c>
      <x:c r="H417" s="14" t="n">
        <x:v>2023</x:v>
      </x:c>
      <x:c r="I417" s="14" t="n">
        <x:v>2025</x:v>
      </x:c>
      <x:c r="J417" s="14" t="str">
        <x:v>Earlier-Production Carry-In Cohort</x:v>
      </x:c>
      <x:c r="K417" s="14" t="n">
        <x:v>2023</x:v>
      </x:c>
      <x:c r="L417" s="14" t="str">
        <x:v>Used in 2025 annual analysis</x:v>
      </x:c>
      <x:c r="M417" s="15" t="n">
        <x:v>129</x:v>
      </x:c>
      <x:c r="N417" s="14" t="str">
        <x:v>Duncan Preston</x:v>
      </x:c>
      <x:c r="O417" s="14" t="str">
        <x:v>nm0696410</x:v>
      </x:c>
      <x:c r="P417" s="14" t="str">
        <x:v>Hugo Lawrence-Batley</x:v>
      </x:c>
      <x:c r="Q417" s="15" t="n">
        <x:v>1</x:v>
      </x:c>
      <x:c r="R417" s="14" t="str">
        <x:v>2025</x:v>
      </x:c>
      <x:c r="S417" s="14" t="n">
        <x:v>2025</x:v>
      </x:c>
      <x:c r="T417" s="14" t="n">
        <x:v>2025</x:v>
      </x:c>
      <x:c r="U417" s="14" t="str">
        <x:v>Explicit source first year retained</x:v>
      </x:c>
      <x:c r="V417" s="14" t="str">
        <x:v>Earliest supplied year is 2025.</x:v>
      </x:c>
      <x:c r="W417" s="14"/>
      <x:c r="X417" s="14" t="str">
        <x:v>Included</x:v>
      </x:c>
      <x:c r="Y417" s="14"/>
      <x:c r="Z417" s="14" t="str">
        <x:v>The Good Ship Murder.docx</x:v>
      </x:c>
      <x:c r="AA417" s="14" t="str">
        <x:v>HYPERLINK is not implemented. linkLocation=https://www.imdb.com/title/tt26346233/fullcredits/,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Channel 5 / 5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24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1</x:v>
      </x:c>
      <x:c r="BS417" s="16" t="n">
        <x:v>0.041666666666666664</x:v>
      </x:c>
      <x:c r="BT417" s="14" t="str">
        <x:v>One episode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4" t="str">
        <x:v>HYPERLINK is not implemented. linkLocation=https://www.imdb.com/title/tt26346233/fullcredits/,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tt26346233|nm0524804|jason agnew</x:v>
      </x:c>
      <x:c r="B418" s="14" t="str">
        <x:v>04</x:v>
      </x:c>
      <x:c r="C418" s="14" t="str">
        <x:v>2023_IMDb_Cast_Lists_Batch_04(2).xlsx</x:v>
      </x:c>
      <x:c r="D418" s="14" t="str">
        <x:v>The Good Ship Murder</x:v>
      </x:c>
      <x:c r="E418" s="14" t="n">
        <x:v>137</x:v>
      </x:c>
      <x:c r="F418" s="14" t="str">
        <x:v>The Good Ship Murder</x:v>
      </x:c>
      <x:c r="G418" s="14" t="str">
        <x:v>tt26346233</x:v>
      </x:c>
      <x:c r="H418" s="14" t="n">
        <x:v>2023</x:v>
      </x:c>
      <x:c r="I418" s="14" t="n">
        <x:v>2025</x:v>
      </x:c>
      <x:c r="J418" s="14" t="str">
        <x:v>Earlier-Production Carry-In Cohort</x:v>
      </x:c>
      <x:c r="K418" s="14" t="n">
        <x:v>2023</x:v>
      </x:c>
      <x:c r="L418" s="14" t="str">
        <x:v>Used in 2025 annual analysis</x:v>
      </x:c>
      <x:c r="M418" s="15" t="n">
        <x:v>130</x:v>
      </x:c>
      <x:c r="N418" s="14" t="str">
        <x:v>Gary Lucy</x:v>
      </x:c>
      <x:c r="O418" s="14" t="str">
        <x:v>nm0524804</x:v>
      </x:c>
      <x:c r="P418" s="14" t="str">
        <x:v>Jason Agnew</x:v>
      </x:c>
      <x:c r="Q418" s="15" t="n">
        <x:v>1</x:v>
      </x:c>
      <x:c r="R418" s="14" t="str">
        <x:v>2025</x:v>
      </x:c>
      <x:c r="S418" s="14" t="n">
        <x:v>2025</x:v>
      </x:c>
      <x:c r="T418" s="14" t="n">
        <x:v>2025</x:v>
      </x:c>
      <x:c r="U418" s="14" t="str">
        <x:v>Explicit source first year retained</x:v>
      </x:c>
      <x:c r="V418" s="14" t="str">
        <x:v>Earliest supplied year is 2025.</x:v>
      </x:c>
      <x:c r="W418" s="14"/>
      <x:c r="X418" s="14" t="str">
        <x:v>Included</x:v>
      </x:c>
      <x:c r="Y418" s="14"/>
      <x:c r="Z418" s="14" t="str">
        <x:v>The Good Ship Murder.docx</x:v>
      </x:c>
      <x:c r="AA418" s="14" t="str">
        <x:v>HYPERLINK is not implemented. linkLocation=https://www.imdb.com/title/tt26346233/fullcredits/,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Channel 5 / 5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24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1</x:v>
      </x:c>
      <x:c r="BS418" s="16" t="n">
        <x:v>0.041666666666666664</x:v>
      </x:c>
      <x:c r="BT418" s="14" t="str">
        <x:v>One episode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4" t="str">
        <x:v>HYPERLINK is not implemented. linkLocation=https://www.imdb.com/title/tt26346233/fullcredits/,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tt26346233|nm1769857|nathan dymond</x:v>
      </x:c>
      <x:c r="B419" s="14" t="str">
        <x:v>04</x:v>
      </x:c>
      <x:c r="C419" s="14" t="str">
        <x:v>2023_IMDb_Cast_Lists_Batch_04(2).xlsx</x:v>
      </x:c>
      <x:c r="D419" s="14" t="str">
        <x:v>The Good Ship Murder</x:v>
      </x:c>
      <x:c r="E419" s="14" t="n">
        <x:v>138</x:v>
      </x:c>
      <x:c r="F419" s="14" t="str">
        <x:v>The Good Ship Murder</x:v>
      </x:c>
      <x:c r="G419" s="14" t="str">
        <x:v>tt26346233</x:v>
      </x:c>
      <x:c r="H419" s="14" t="n">
        <x:v>2023</x:v>
      </x:c>
      <x:c r="I419" s="14" t="n">
        <x:v>2025</x:v>
      </x:c>
      <x:c r="J419" s="14" t="str">
        <x:v>Earlier-Production Carry-In Cohort</x:v>
      </x:c>
      <x:c r="K419" s="14" t="n">
        <x:v>2023</x:v>
      </x:c>
      <x:c r="L419" s="14" t="str">
        <x:v>Used in 2025 annual analysis</x:v>
      </x:c>
      <x:c r="M419" s="15" t="n">
        <x:v>131</x:v>
      </x:c>
      <x:c r="N419" s="14" t="str">
        <x:v>Matthew Wolfenden</x:v>
      </x:c>
      <x:c r="O419" s="14" t="str">
        <x:v>nm1769857</x:v>
      </x:c>
      <x:c r="P419" s="14" t="str">
        <x:v>Nathan Dymond</x:v>
      </x:c>
      <x:c r="Q419" s="15" t="n">
        <x:v>1</x:v>
      </x:c>
      <x:c r="R419" s="14" t="str">
        <x:v>2025</x:v>
      </x:c>
      <x:c r="S419" s="14" t="n">
        <x:v>2025</x:v>
      </x:c>
      <x:c r="T419" s="14" t="n">
        <x:v>2025</x:v>
      </x:c>
      <x:c r="U419" s="14" t="str">
        <x:v>Explicit source first year retained</x:v>
      </x:c>
      <x:c r="V419" s="14" t="str">
        <x:v>Earliest supplied year is 2025.</x:v>
      </x:c>
      <x:c r="W419" s="14"/>
      <x:c r="X419" s="14" t="str">
        <x:v>Included</x:v>
      </x:c>
      <x:c r="Y419" s="14"/>
      <x:c r="Z419" s="14" t="str">
        <x:v>The Good Ship Murder.docx</x:v>
      </x:c>
      <x:c r="AA419" s="14" t="str">
        <x:v>HYPERLINK is not implemented. linkLocation=https://www.imdb.com/title/tt26346233/fullcredits/,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Channel 5 / 5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24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0.041666666666666664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4" t="str">
        <x:v>HYPERLINK is not implemented. linkLocation=https://www.imdb.com/title/tt26346233/fullcredits/,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tt26346233|nm0695970|johnny taylor</x:v>
      </x:c>
      <x:c r="B420" s="14" t="str">
        <x:v>04</x:v>
      </x:c>
      <x:c r="C420" s="14" t="str">
        <x:v>2023_IMDb_Cast_Lists_Batch_04(2).xlsx</x:v>
      </x:c>
      <x:c r="D420" s="14" t="str">
        <x:v>The Good Ship Murder</x:v>
      </x:c>
      <x:c r="E420" s="14" t="n">
        <x:v>139</x:v>
      </x:c>
      <x:c r="F420" s="14" t="str">
        <x:v>The Good Ship Murder</x:v>
      </x:c>
      <x:c r="G420" s="14" t="str">
        <x:v>tt26346233</x:v>
      </x:c>
      <x:c r="H420" s="14" t="n">
        <x:v>2023</x:v>
      </x:c>
      <x:c r="I420" s="14" t="n">
        <x:v>2025</x:v>
      </x:c>
      <x:c r="J420" s="14" t="str">
        <x:v>Earlier-Production Carry-In Cohort</x:v>
      </x:c>
      <x:c r="K420" s="14" t="n">
        <x:v>2023</x:v>
      </x:c>
      <x:c r="L420" s="14" t="str">
        <x:v>Used in 2025 annual analysis</x:v>
      </x:c>
      <x:c r="M420" s="15" t="n">
        <x:v>132</x:v>
      </x:c>
      <x:c r="N420" s="14" t="str">
        <x:v>Shaun Prendergast</x:v>
      </x:c>
      <x:c r="O420" s="14" t="str">
        <x:v>nm0695970</x:v>
      </x:c>
      <x:c r="P420" s="14" t="str">
        <x:v>Johnny Taylor</x:v>
      </x:c>
      <x:c r="Q420" s="15" t="n">
        <x:v>1</x:v>
      </x:c>
      <x:c r="R420" s="14" t="str">
        <x:v>2025</x:v>
      </x:c>
      <x:c r="S420" s="14" t="n">
        <x:v>2025</x:v>
      </x:c>
      <x:c r="T420" s="14" t="n">
        <x:v>2025</x:v>
      </x:c>
      <x:c r="U420" s="14" t="str">
        <x:v>Explicit source first year retained</x:v>
      </x:c>
      <x:c r="V420" s="14" t="str">
        <x:v>Earliest supplied year is 2025.</x:v>
      </x:c>
      <x:c r="W420" s="14"/>
      <x:c r="X420" s="14" t="str">
        <x:v>Included</x:v>
      </x:c>
      <x:c r="Y420" s="14"/>
      <x:c r="Z420" s="14" t="str">
        <x:v>The Good Ship Murder.docx</x:v>
      </x:c>
      <x:c r="AA420" s="14" t="str">
        <x:v>HYPERLINK is not implemented. linkLocation=https://www.imdb.com/title/tt26346233/fullcredits/,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Channel 5 / 5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24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0.041666666666666664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4" t="str">
        <x:v>HYPERLINK is not implemented. linkLocation=https://www.imdb.com/title/tt26346233/fullcredits/,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tt26346233|nm0649101|inspector moretti</x:v>
      </x:c>
      <x:c r="B421" s="14" t="str">
        <x:v>04</x:v>
      </x:c>
      <x:c r="C421" s="14" t="str">
        <x:v>2023_IMDb_Cast_Lists_Batch_04(2).xlsx</x:v>
      </x:c>
      <x:c r="D421" s="14" t="str">
        <x:v>The Good Ship Murder</x:v>
      </x:c>
      <x:c r="E421" s="14" t="n">
        <x:v>140</x:v>
      </x:c>
      <x:c r="F421" s="14" t="str">
        <x:v>The Good Ship Murder</x:v>
      </x:c>
      <x:c r="G421" s="14" t="str">
        <x:v>tt26346233</x:v>
      </x:c>
      <x:c r="H421" s="14" t="n">
        <x:v>2023</x:v>
      </x:c>
      <x:c r="I421" s="14" t="n">
        <x:v>2025</x:v>
      </x:c>
      <x:c r="J421" s="14" t="str">
        <x:v>Earlier-Production Carry-In Cohort</x:v>
      </x:c>
      <x:c r="K421" s="14" t="n">
        <x:v>2023</x:v>
      </x:c>
      <x:c r="L421" s="14" t="str">
        <x:v>Used in 2025 annual analysis</x:v>
      </x:c>
      <x:c r="M421" s="15" t="n">
        <x:v>133</x:v>
      </x:c>
      <x:c r="N421" s="14" t="str">
        <x:v>Mario Opinato</x:v>
      </x:c>
      <x:c r="O421" s="14" t="str">
        <x:v>nm0649101</x:v>
      </x:c>
      <x:c r="P421" s="14" t="str">
        <x:v>Inspector Moretti</x:v>
      </x:c>
      <x:c r="Q421" s="15" t="n">
        <x:v>1</x:v>
      </x:c>
      <x:c r="R421" s="14" t="str">
        <x:v>2025</x:v>
      </x:c>
      <x:c r="S421" s="14" t="n">
        <x:v>2025</x:v>
      </x:c>
      <x:c r="T421" s="14" t="n">
        <x:v>2025</x:v>
      </x:c>
      <x:c r="U421" s="14" t="str">
        <x:v>Explicit source first year retained</x:v>
      </x:c>
      <x:c r="V421" s="14" t="str">
        <x:v>Earliest supplied year is 2025.</x:v>
      </x:c>
      <x:c r="W421" s="14"/>
      <x:c r="X421" s="14" t="str">
        <x:v>Included</x:v>
      </x:c>
      <x:c r="Y421" s="14"/>
      <x:c r="Z421" s="14" t="str">
        <x:v>The Good Ship Murder.docx</x:v>
      </x:c>
      <x:c r="AA421" s="14" t="str">
        <x:v>HYPERLINK is not implemented. linkLocation=https://www.imdb.com/title/tt26346233/fullcredits/,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Channel 5 / 5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24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0.041666666666666664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4" t="str">
        <x:v>HYPERLINK is not implemented. linkLocation=https://www.imdb.com/title/tt26346233/fullcredits/,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tt26346233|nm0778494|afonso valente</x:v>
      </x:c>
      <x:c r="B422" s="14" t="str">
        <x:v>04</x:v>
      </x:c>
      <x:c r="C422" s="14" t="str">
        <x:v>2023_IMDb_Cast_Lists_Batch_04(2).xlsx</x:v>
      </x:c>
      <x:c r="D422" s="14" t="str">
        <x:v>The Good Ship Murder</x:v>
      </x:c>
      <x:c r="E422" s="14" t="n">
        <x:v>141</x:v>
      </x:c>
      <x:c r="F422" s="14" t="str">
        <x:v>The Good Ship Murder</x:v>
      </x:c>
      <x:c r="G422" s="14" t="str">
        <x:v>tt26346233</x:v>
      </x:c>
      <x:c r="H422" s="14" t="n">
        <x:v>2023</x:v>
      </x:c>
      <x:c r="I422" s="14" t="n">
        <x:v>2025</x:v>
      </x:c>
      <x:c r="J422" s="14" t="str">
        <x:v>Earlier-Production Carry-In Cohort</x:v>
      </x:c>
      <x:c r="K422" s="14" t="n">
        <x:v>2023</x:v>
      </x:c>
      <x:c r="L422" s="14" t="str">
        <x:v>Used in 2025 annual analysis</x:v>
      </x:c>
      <x:c r="M422" s="15" t="n">
        <x:v>134</x:v>
      </x:c>
      <x:c r="N422" s="14" t="str">
        <x:v>Michael Sciortino</x:v>
      </x:c>
      <x:c r="O422" s="14" t="str">
        <x:v>nm0778494</x:v>
      </x:c>
      <x:c r="P422" s="14" t="str">
        <x:v>Afonso Valente</x:v>
      </x:c>
      <x:c r="Q422" s="15" t="n">
        <x:v>1</x:v>
      </x:c>
      <x:c r="R422" s="14" t="str">
        <x:v>2025</x:v>
      </x:c>
      <x:c r="S422" s="14" t="n">
        <x:v>2025</x:v>
      </x:c>
      <x:c r="T422" s="14" t="n">
        <x:v>2025</x:v>
      </x:c>
      <x:c r="U422" s="14" t="str">
        <x:v>Explicit source first year retained</x:v>
      </x:c>
      <x:c r="V422" s="14" t="str">
        <x:v>Earliest supplied year is 2025.</x:v>
      </x:c>
      <x:c r="W422" s="14"/>
      <x:c r="X422" s="14" t="str">
        <x:v>Included</x:v>
      </x:c>
      <x:c r="Y422" s="14"/>
      <x:c r="Z422" s="14" t="str">
        <x:v>The Good Ship Murder.docx</x:v>
      </x:c>
      <x:c r="AA422" s="14" t="str">
        <x:v>HYPERLINK is not implemented. linkLocation=https://www.imdb.com/title/tt26346233/fullcredits/,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Channel 5 / 5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24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0.041666666666666664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4" t="str">
        <x:v>HYPERLINK is not implemented. linkLocation=https://www.imdb.com/title/tt26346233/fullcredits/,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tt26346233|nm1596630|liam barnes</x:v>
      </x:c>
      <x:c r="B423" s="14" t="str">
        <x:v>04</x:v>
      </x:c>
      <x:c r="C423" s="14" t="str">
        <x:v>2023_IMDb_Cast_Lists_Batch_04(2).xlsx</x:v>
      </x:c>
      <x:c r="D423" s="14" t="str">
        <x:v>The Good Ship Murder</x:v>
      </x:c>
      <x:c r="E423" s="14" t="n">
        <x:v>147</x:v>
      </x:c>
      <x:c r="F423" s="14" t="str">
        <x:v>The Good Ship Murder</x:v>
      </x:c>
      <x:c r="G423" s="14" t="str">
        <x:v>tt26346233</x:v>
      </x:c>
      <x:c r="H423" s="14" t="n">
        <x:v>2023</x:v>
      </x:c>
      <x:c r="I423" s="14" t="n">
        <x:v>2025</x:v>
      </x:c>
      <x:c r="J423" s="14" t="str">
        <x:v>Earlier-Production Carry-In Cohort</x:v>
      </x:c>
      <x:c r="K423" s="14" t="n">
        <x:v>2023</x:v>
      </x:c>
      <x:c r="L423" s="14" t="str">
        <x:v>Used in 2025 annual analysis</x:v>
      </x:c>
      <x:c r="M423" s="15" t="n">
        <x:v>140</x:v>
      </x:c>
      <x:c r="N423" s="14" t="str">
        <x:v>Nathan Sussex</x:v>
      </x:c>
      <x:c r="O423" s="14" t="str">
        <x:v>nm1596630</x:v>
      </x:c>
      <x:c r="P423" s="14" t="str">
        <x:v>Liam Barnes</x:v>
      </x:c>
      <x:c r="Q423" s="15" t="n">
        <x:v>1</x:v>
      </x:c>
      <x:c r="R423" s="14" t="str">
        <x:v>2025</x:v>
      </x:c>
      <x:c r="S423" s="14" t="n">
        <x:v>2025</x:v>
      </x:c>
      <x:c r="T423" s="14" t="n">
        <x:v>2025</x:v>
      </x:c>
      <x:c r="U423" s="14" t="str">
        <x:v>Explicit source first year retained</x:v>
      </x:c>
      <x:c r="V423" s="14" t="str">
        <x:v>Earliest supplied year is 2025.</x:v>
      </x:c>
      <x:c r="W423" s="14"/>
      <x:c r="X423" s="14" t="str">
        <x:v>Included</x:v>
      </x:c>
      <x:c r="Y423" s="14"/>
      <x:c r="Z423" s="14" t="str">
        <x:v>The Good Ship Murder.docx</x:v>
      </x:c>
      <x:c r="AA423" s="14" t="str">
        <x:v>HYPERLINK is not implemented. linkLocation=https://www.imdb.com/title/tt26346233/fullcredits/,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Channel 5 / 5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24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0.041666666666666664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4" t="str">
        <x:v>HYPERLINK is not implemented. linkLocation=https://www.imdb.com/title/tt26346233/fullcredits/,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tt26346233|nm1259813|father rodriguez</x:v>
      </x:c>
      <x:c r="B424" s="14" t="str">
        <x:v>04</x:v>
      </x:c>
      <x:c r="C424" s="14" t="str">
        <x:v>2023_IMDb_Cast_Lists_Batch_04(2).xlsx</x:v>
      </x:c>
      <x:c r="D424" s="14" t="str">
        <x:v>The Good Ship Murder</x:v>
      </x:c>
      <x:c r="E424" s="14" t="n">
        <x:v>148</x:v>
      </x:c>
      <x:c r="F424" s="14" t="str">
        <x:v>The Good Ship Murder</x:v>
      </x:c>
      <x:c r="G424" s="14" t="str">
        <x:v>tt26346233</x:v>
      </x:c>
      <x:c r="H424" s="14" t="n">
        <x:v>2023</x:v>
      </x:c>
      <x:c r="I424" s="14" t="n">
        <x:v>2025</x:v>
      </x:c>
      <x:c r="J424" s="14" t="str">
        <x:v>Earlier-Production Carry-In Cohort</x:v>
      </x:c>
      <x:c r="K424" s="14" t="n">
        <x:v>2023</x:v>
      </x:c>
      <x:c r="L424" s="14" t="str">
        <x:v>Used in 2025 annual analysis</x:v>
      </x:c>
      <x:c r="M424" s="15" t="n">
        <x:v>141</x:v>
      </x:c>
      <x:c r="N424" s="14" t="str">
        <x:v>Luis Soto</x:v>
      </x:c>
      <x:c r="O424" s="14" t="str">
        <x:v>nm1259813</x:v>
      </x:c>
      <x:c r="P424" s="14" t="str">
        <x:v>Father Rodriguez</x:v>
      </x:c>
      <x:c r="Q424" s="15" t="n">
        <x:v>1</x:v>
      </x:c>
      <x:c r="R424" s="14" t="str">
        <x:v>2025</x:v>
      </x:c>
      <x:c r="S424" s="14" t="n">
        <x:v>2025</x:v>
      </x:c>
      <x:c r="T424" s="14" t="n">
        <x:v>2025</x:v>
      </x:c>
      <x:c r="U424" s="14" t="str">
        <x:v>Explicit source first year retained</x:v>
      </x:c>
      <x:c r="V424" s="14" t="str">
        <x:v>Earliest supplied year is 2025.</x:v>
      </x:c>
      <x:c r="W424" s="14"/>
      <x:c r="X424" s="14" t="str">
        <x:v>Included</x:v>
      </x:c>
      <x:c r="Y424" s="14"/>
      <x:c r="Z424" s="14" t="str">
        <x:v>The Good Ship Murder.docx</x:v>
      </x:c>
      <x:c r="AA424" s="14" t="str">
        <x:v>HYPERLINK is not implemented. linkLocation=https://www.imdb.com/title/tt26346233/fullcredits/,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Channel 5 / 5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24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0.041666666666666664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4" t="str">
        <x:v>HYPERLINK is not implemented. linkLocation=https://www.imdb.com/title/tt26346233/fullcredits/,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tt26346233|nm1501319|mickey eldergill</x:v>
      </x:c>
      <x:c r="B425" s="14" t="str">
        <x:v>04</x:v>
      </x:c>
      <x:c r="C425" s="14" t="str">
        <x:v>2023_IMDb_Cast_Lists_Batch_04(2).xlsx</x:v>
      </x:c>
      <x:c r="D425" s="14" t="str">
        <x:v>The Good Ship Murder</x:v>
      </x:c>
      <x:c r="E425" s="14" t="n">
        <x:v>151</x:v>
      </x:c>
      <x:c r="F425" s="14" t="str">
        <x:v>The Good Ship Murder</x:v>
      </x:c>
      <x:c r="G425" s="14" t="str">
        <x:v>tt26346233</x:v>
      </x:c>
      <x:c r="H425" s="14" t="n">
        <x:v>2023</x:v>
      </x:c>
      <x:c r="I425" s="14" t="n">
        <x:v>2025</x:v>
      </x:c>
      <x:c r="J425" s="14" t="str">
        <x:v>Earlier-Production Carry-In Cohort</x:v>
      </x:c>
      <x:c r="K425" s="14" t="n">
        <x:v>2023</x:v>
      </x:c>
      <x:c r="L425" s="14" t="str">
        <x:v>Used in 2025 annual analysis</x:v>
      </x:c>
      <x:c r="M425" s="15" t="n">
        <x:v>144</x:v>
      </x:c>
      <x:c r="N425" s="14" t="str">
        <x:v>Greg Wood</x:v>
      </x:c>
      <x:c r="O425" s="14" t="str">
        <x:v>nm1501319</x:v>
      </x:c>
      <x:c r="P425" s="14" t="str">
        <x:v>Mickey Eldergill</x:v>
      </x:c>
      <x:c r="Q425" s="15" t="n">
        <x:v>1</x:v>
      </x:c>
      <x:c r="R425" s="14" t="str">
        <x:v>2025</x:v>
      </x:c>
      <x:c r="S425" s="14" t="n">
        <x:v>2025</x:v>
      </x:c>
      <x:c r="T425" s="14" t="n">
        <x:v>2025</x:v>
      </x:c>
      <x:c r="U425" s="14" t="str">
        <x:v>Explicit source first year retained</x:v>
      </x:c>
      <x:c r="V425" s="14" t="str">
        <x:v>Earliest supplied year is 2025.</x:v>
      </x:c>
      <x:c r="W425" s="14"/>
      <x:c r="X425" s="14" t="str">
        <x:v>Included</x:v>
      </x:c>
      <x:c r="Y425" s="14"/>
      <x:c r="Z425" s="14" t="str">
        <x:v>The Good Ship Murder.docx</x:v>
      </x:c>
      <x:c r="AA425" s="14" t="str">
        <x:v>HYPERLINK is not implemented. linkLocation=https://www.imdb.com/title/tt26346233/fullcredits/,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Channel 5 / 5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24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0.041666666666666664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4" t="str">
        <x:v>HYPERLINK is not implemented. linkLocation=https://www.imdb.com/title/tt26346233/fullcredits/,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tt26346233|nm16905128|security guard pablo</x:v>
      </x:c>
      <x:c r="B426" s="14" t="str">
        <x:v>04</x:v>
      </x:c>
      <x:c r="C426" s="14" t="str">
        <x:v>2023_IMDb_Cast_Lists_Batch_04(2).xlsx</x:v>
      </x:c>
      <x:c r="D426" s="14" t="str">
        <x:v>The Good Ship Murder</x:v>
      </x:c>
      <x:c r="E426" s="14" t="n">
        <x:v>153</x:v>
      </x:c>
      <x:c r="F426" s="14" t="str">
        <x:v>The Good Ship Murder</x:v>
      </x:c>
      <x:c r="G426" s="14" t="str">
        <x:v>tt26346233</x:v>
      </x:c>
      <x:c r="H426" s="14" t="n">
        <x:v>2023</x:v>
      </x:c>
      <x:c r="I426" s="14" t="n">
        <x:v>2025</x:v>
      </x:c>
      <x:c r="J426" s="14" t="str">
        <x:v>Earlier-Production Carry-In Cohort</x:v>
      </x:c>
      <x:c r="K426" s="14" t="n">
        <x:v>2023</x:v>
      </x:c>
      <x:c r="L426" s="14" t="str">
        <x:v>Used in 2025 annual analysis</x:v>
      </x:c>
      <x:c r="M426" s="15" t="n">
        <x:v>146</x:v>
      </x:c>
      <x:c r="N426" s="14" t="str">
        <x:v>Ryan Connell</x:v>
      </x:c>
      <x:c r="O426" s="14" t="str">
        <x:v>nm16905128</x:v>
      </x:c>
      <x:c r="P426" s="14" t="str">
        <x:v>Security Guard Pablo</x:v>
      </x:c>
      <x:c r="Q426" s="15" t="n">
        <x:v>1</x:v>
      </x:c>
      <x:c r="R426" s="14" t="str">
        <x:v>2025</x:v>
      </x:c>
      <x:c r="S426" s="14" t="n">
        <x:v>2025</x:v>
      </x:c>
      <x:c r="T426" s="14" t="n">
        <x:v>2025</x:v>
      </x:c>
      <x:c r="U426" s="14" t="str">
        <x:v>Explicit source first year retained</x:v>
      </x:c>
      <x:c r="V426" s="14" t="str">
        <x:v>Earliest supplied year is 2025.</x:v>
      </x:c>
      <x:c r="W426" s="14"/>
      <x:c r="X426" s="14" t="str">
        <x:v>Included</x:v>
      </x:c>
      <x:c r="Y426" s="14"/>
      <x:c r="Z426" s="14" t="str">
        <x:v>The Good Ship Murder.docx</x:v>
      </x:c>
      <x:c r="AA426" s="14" t="str">
        <x:v>HYPERLINK is not implemented. linkLocation=https://www.imdb.com/title/tt26346233/fullcredits/,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Channel 5 / 5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24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0.041666666666666664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4" t="str">
        <x:v>HYPERLINK is not implemented. linkLocation=https://www.imdb.com/title/tt26346233/fullcredits/,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tt26627660|nm1854269|mic</x:v>
      </x:c>
      <x:c r="B427" s="14" t="str">
        <x:v>05</x:v>
      </x:c>
      <x:c r="C427" s="14" t="str">
        <x:v>2023_IMDb_Cast_Lists_Batch_05(2).xlsx</x:v>
      </x:c>
      <x:c r="D427" s="14" t="str">
        <x:v>The Power of Parker</x:v>
      </x:c>
      <x:c r="E427" s="14" t="n">
        <x:v>24</x:v>
      </x:c>
      <x:c r="F427" s="14" t="str">
        <x:v>The Power of Parker</x:v>
      </x:c>
      <x:c r="G427" s="14" t="str">
        <x:v>tt26627660</x:v>
      </x:c>
      <x:c r="H427" s="14" t="n">
        <x:v>2023</x:v>
      </x:c>
      <x:c r="I427" s="14" t="n">
        <x:v>2025</x:v>
      </x:c>
      <x:c r="J427" s="14" t="str">
        <x:v>Earlier-Production Carry-In Cohort</x:v>
      </x:c>
      <x:c r="K427" s="14" t="n">
        <x:v>2023</x:v>
      </x:c>
      <x:c r="L427" s="14" t="str">
        <x:v>Used in 2025 annual analysis</x:v>
      </x:c>
      <x:c r="M427" s="15" t="n">
        <x:v>17</x:v>
      </x:c>
      <x:c r="N427" s="14" t="str">
        <x:v>Diane Morgan</x:v>
      </x:c>
      <x:c r="O427" s="14" t="str">
        <x:v>nm1854269</x:v>
      </x:c>
      <x:c r="P427" s="14" t="str">
        <x:v>Mic</x:v>
      </x:c>
      <x:c r="Q427" s="15" t="n">
        <x:v>3</x:v>
      </x:c>
      <x:c r="R427" s="14" t="str">
        <x:v>2025</x:v>
      </x:c>
      <x:c r="S427" s="14" t="n">
        <x:v>2025</x:v>
      </x:c>
      <x:c r="T427" s="14" t="n">
        <x:v>2025</x:v>
      </x:c>
      <x:c r="U427" s="14" t="str">
        <x:v>Explicit source first year retained</x:v>
      </x:c>
      <x:c r="V427" s="14" t="str">
        <x:v>Earliest supplied year is 2025.</x:v>
      </x:c>
      <x:c r="W427" s="14"/>
      <x:c r="X427" s="14" t="str">
        <x:v>Included</x:v>
      </x:c>
      <x:c r="Y427" s="14"/>
      <x:c r="Z427" s="14" t="str">
        <x:v>The Power of Parker.docx</x:v>
      </x:c>
      <x:c r="AA427" s="14" t="str">
        <x:v>HYPERLINK is not implemented. linkLocation=https://www.imdb.com/title/tt26627660/fullcredits/,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12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3</x:v>
      </x:c>
      <x:c r="BS427" s="16" t="n">
        <x:v>0.25</x:v>
      </x:c>
      <x:c r="BT427" s="14" t="str">
        <x:v>Minority of episodes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4" t="str">
        <x:v>HYPERLINK is not implemented. linkLocation=https://www.imdb.com/title/tt26627660/fullcredits/,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tt26627660|nm0159527|ash</x:v>
      </x:c>
      <x:c r="B428" s="14" t="str">
        <x:v>05</x:v>
      </x:c>
      <x:c r="C428" s="14" t="str">
        <x:v>2023_IMDb_Cast_Lists_Batch_05(2).xlsx</x:v>
      </x:c>
      <x:c r="D428" s="14" t="str">
        <x:v>The Power of Parker</x:v>
      </x:c>
      <x:c r="E428" s="14" t="n">
        <x:v>25</x:v>
      </x:c>
      <x:c r="F428" s="14" t="str">
        <x:v>The Power of Parker</x:v>
      </x:c>
      <x:c r="G428" s="14" t="str">
        <x:v>tt26627660</x:v>
      </x:c>
      <x:c r="H428" s="14" t="n">
        <x:v>2023</x:v>
      </x:c>
      <x:c r="I428" s="14" t="n">
        <x:v>2025</x:v>
      </x:c>
      <x:c r="J428" s="14" t="str">
        <x:v>Earlier-Production Carry-In Cohort</x:v>
      </x:c>
      <x:c r="K428" s="14" t="n">
        <x:v>2023</x:v>
      </x:c>
      <x:c r="L428" s="14" t="str">
        <x:v>Used in 2025 annual analysis</x:v>
      </x:c>
      <x:c r="M428" s="15" t="n">
        <x:v>18</x:v>
      </x:c>
      <x:c r="N428" s="14" t="str">
        <x:v>Navin Chowdhry</x:v>
      </x:c>
      <x:c r="O428" s="14" t="str">
        <x:v>nm0159527</x:v>
      </x:c>
      <x:c r="P428" s="14" t="str">
        <x:v>Ash</x:v>
      </x:c>
      <x:c r="Q428" s="15" t="n">
        <x:v>3</x:v>
      </x:c>
      <x:c r="R428" s="14" t="str">
        <x:v>2025</x:v>
      </x:c>
      <x:c r="S428" s="14" t="n">
        <x:v>2025</x:v>
      </x:c>
      <x:c r="T428" s="14" t="n">
        <x:v>2025</x:v>
      </x:c>
      <x:c r="U428" s="14" t="str">
        <x:v>Explicit source first year retained</x:v>
      </x:c>
      <x:c r="V428" s="14" t="str">
        <x:v>Earliest supplied year is 2025.</x:v>
      </x:c>
      <x:c r="W428" s="14"/>
      <x:c r="X428" s="14" t="str">
        <x:v>Included</x:v>
      </x:c>
      <x:c r="Y428" s="14"/>
      <x:c r="Z428" s="14" t="str">
        <x:v>The Power of Parker.docx</x:v>
      </x:c>
      <x:c r="AA428" s="14" t="str">
        <x:v>HYPERLINK is not implemented. linkLocation=https://www.imdb.com/title/tt26627660/fullcredits/,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12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3</x:v>
      </x:c>
      <x:c r="BS428" s="16" t="n">
        <x:v>0.25</x:v>
      </x:c>
      <x:c r="BT428" s="14" t="str">
        <x:v>Minority of episodes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4" t="str">
        <x:v>HYPERLINK is not implemented. linkLocation=https://www.imdb.com/title/tt26627660/fullcredits/,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tt26627660|nm8046695|kim</x:v>
      </x:c>
      <x:c r="B429" s="14" t="str">
        <x:v>05</x:v>
      </x:c>
      <x:c r="C429" s="14" t="str">
        <x:v>2023_IMDb_Cast_Lists_Batch_05(2).xlsx</x:v>
      </x:c>
      <x:c r="D429" s="14" t="str">
        <x:v>The Power of Parker</x:v>
      </x:c>
      <x:c r="E429" s="14" t="n">
        <x:v>29</x:v>
      </x:c>
      <x:c r="F429" s="14" t="str">
        <x:v>The Power of Parker</x:v>
      </x:c>
      <x:c r="G429" s="14" t="str">
        <x:v>tt26627660</x:v>
      </x:c>
      <x:c r="H429" s="14" t="n">
        <x:v>2023</x:v>
      </x:c>
      <x:c r="I429" s="14" t="n">
        <x:v>2025</x:v>
      </x:c>
      <x:c r="J429" s="14" t="str">
        <x:v>Earlier-Production Carry-In Cohort</x:v>
      </x:c>
      <x:c r="K429" s="14" t="n">
        <x:v>2023</x:v>
      </x:c>
      <x:c r="L429" s="14" t="str">
        <x:v>Used in 2025 annual analysis</x:v>
      </x:c>
      <x:c r="M429" s="15" t="n">
        <x:v>22</x:v>
      </x:c>
      <x:c r="N429" s="14" t="str">
        <x:v>Mia Foo</x:v>
      </x:c>
      <x:c r="O429" s="14" t="str">
        <x:v>nm8046695</x:v>
      </x:c>
      <x:c r="P429" s="14" t="str">
        <x:v>Kim</x:v>
      </x:c>
      <x:c r="Q429" s="15" t="n">
        <x:v>2</x:v>
      </x:c>
      <x:c r="R429" s="14" t="str">
        <x:v>2025</x:v>
      </x:c>
      <x:c r="S429" s="14" t="n">
        <x:v>2025</x:v>
      </x:c>
      <x:c r="T429" s="14" t="n">
        <x:v>2025</x:v>
      </x:c>
      <x:c r="U429" s="14" t="str">
        <x:v>Explicit source first year retained</x:v>
      </x:c>
      <x:c r="V429" s="14" t="str">
        <x:v>Earliest supplied year is 2025.</x:v>
      </x:c>
      <x:c r="W429" s="14"/>
      <x:c r="X429" s="14" t="str">
        <x:v>Included</x:v>
      </x:c>
      <x:c r="Y429" s="14"/>
      <x:c r="Z429" s="14" t="str">
        <x:v>The Power of Parker.docx</x:v>
      </x:c>
      <x:c r="AA429" s="14" t="str">
        <x:v>HYPERLINK is not implemented. linkLocation=https://www.imdb.com/title/tt26627660/fullcredits/,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12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2</x:v>
      </x:c>
      <x:c r="BS429" s="16" t="n">
        <x:v>0.16666666666666666</x:v>
      </x:c>
      <x:c r="BT429" s="14" t="str">
        <x:v>Minority of episodes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4" t="str">
        <x:v>HYPERLINK is not implemented. linkLocation=https://www.imdb.com/title/tt26627660/fullcredits/,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tt26627660|nm15248429|matthew</x:v>
      </x:c>
      <x:c r="B430" s="14" t="str">
        <x:v>05</x:v>
      </x:c>
      <x:c r="C430" s="14" t="str">
        <x:v>2023_IMDb_Cast_Lists_Batch_05(2).xlsx</x:v>
      </x:c>
      <x:c r="D430" s="14" t="str">
        <x:v>The Power of Parker</x:v>
      </x:c>
      <x:c r="E430" s="14" t="n">
        <x:v>32</x:v>
      </x:c>
      <x:c r="F430" s="14" t="str">
        <x:v>The Power of Parker</x:v>
      </x:c>
      <x:c r="G430" s="14" t="str">
        <x:v>tt26627660</x:v>
      </x:c>
      <x:c r="H430" s="14" t="n">
        <x:v>2023</x:v>
      </x:c>
      <x:c r="I430" s="14" t="n">
        <x:v>2025</x:v>
      </x:c>
      <x:c r="J430" s="14" t="str">
        <x:v>Earlier-Production Carry-In Cohort</x:v>
      </x:c>
      <x:c r="K430" s="14" t="n">
        <x:v>2023</x:v>
      </x:c>
      <x:c r="L430" s="14" t="str">
        <x:v>Used in 2025 annual analysis</x:v>
      </x:c>
      <x:c r="M430" s="15" t="n">
        <x:v>25</x:v>
      </x:c>
      <x:c r="N430" s="14" t="str">
        <x:v>Kate Butch</x:v>
      </x:c>
      <x:c r="O430" s="14" t="str">
        <x:v>nm15248429</x:v>
      </x:c>
      <x:c r="P430" s="14" t="str">
        <x:v>Matthew</x:v>
      </x:c>
      <x:c r="Q430" s="15" t="n">
        <x:v>2</x:v>
      </x:c>
      <x:c r="R430" s="14" t="str">
        <x:v>2025</x:v>
      </x:c>
      <x:c r="S430" s="14" t="n">
        <x:v>2025</x:v>
      </x:c>
      <x:c r="T430" s="14" t="n">
        <x:v>2025</x:v>
      </x:c>
      <x:c r="U430" s="14" t="str">
        <x:v>Explicit source first year retained</x:v>
      </x:c>
      <x:c r="V430" s="14" t="str">
        <x:v>Earliest supplied year is 2025.</x:v>
      </x:c>
      <x:c r="W430" s="14"/>
      <x:c r="X430" s="14" t="str">
        <x:v>Included</x:v>
      </x:c>
      <x:c r="Y430" s="14"/>
      <x:c r="Z430" s="14" t="str">
        <x:v>The Power of Parker.docx</x:v>
      </x:c>
      <x:c r="AA430" s="14" t="str">
        <x:v>HYPERLINK is not implemented. linkLocation=https://www.imdb.com/title/tt26627660/fullcredits/,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12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2</x:v>
      </x:c>
      <x:c r="BS430" s="16" t="n">
        <x:v>0.16666666666666666</x:v>
      </x:c>
      <x:c r="BT430" s="14" t="str">
        <x:v>Minority of episodes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4" t="str">
        <x:v>HYPERLINK is not implemented. linkLocation=https://www.imdb.com/title/tt26627660/fullcredits/,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tt26627660|nm2641014|alice</x:v>
      </x:c>
      <x:c r="B431" s="14" t="str">
        <x:v>05</x:v>
      </x:c>
      <x:c r="C431" s="14" t="str">
        <x:v>2023_IMDb_Cast_Lists_Batch_05(2).xlsx</x:v>
      </x:c>
      <x:c r="D431" s="14" t="str">
        <x:v>The Power of Parker</x:v>
      </x:c>
      <x:c r="E431" s="14" t="n">
        <x:v>33</x:v>
      </x:c>
      <x:c r="F431" s="14" t="str">
        <x:v>The Power of Parker</x:v>
      </x:c>
      <x:c r="G431" s="14" t="str">
        <x:v>tt26627660</x:v>
      </x:c>
      <x:c r="H431" s="14" t="n">
        <x:v>2023</x:v>
      </x:c>
      <x:c r="I431" s="14" t="n">
        <x:v>2025</x:v>
      </x:c>
      <x:c r="J431" s="14" t="str">
        <x:v>Earlier-Production Carry-In Cohort</x:v>
      </x:c>
      <x:c r="K431" s="14" t="n">
        <x:v>2023</x:v>
      </x:c>
      <x:c r="L431" s="14" t="str">
        <x:v>Used in 2025 annual analysis</x:v>
      </x:c>
      <x:c r="M431" s="15" t="n">
        <x:v>26</x:v>
      </x:c>
      <x:c r="N431" s="14" t="str">
        <x:v>Ruth Evans</x:v>
      </x:c>
      <x:c r="O431" s="14" t="str">
        <x:v>nm2641014</x:v>
      </x:c>
      <x:c r="P431" s="14" t="str">
        <x:v>Alice</x:v>
      </x:c>
      <x:c r="Q431" s="15" t="n">
        <x:v>2</x:v>
      </x:c>
      <x:c r="R431" s="14" t="str">
        <x:v>2025</x:v>
      </x:c>
      <x:c r="S431" s="14" t="n">
        <x:v>2025</x:v>
      </x:c>
      <x:c r="T431" s="14" t="n">
        <x:v>2025</x:v>
      </x:c>
      <x:c r="U431" s="14" t="str">
        <x:v>Explicit source first year retained</x:v>
      </x:c>
      <x:c r="V431" s="14" t="str">
        <x:v>Earliest supplied year is 2025.</x:v>
      </x:c>
      <x:c r="W431" s="14"/>
      <x:c r="X431" s="14" t="str">
        <x:v>Included</x:v>
      </x:c>
      <x:c r="Y431" s="14"/>
      <x:c r="Z431" s="14" t="str">
        <x:v>The Power of Parker.docx</x:v>
      </x:c>
      <x:c r="AA431" s="14" t="str">
        <x:v>HYPERLINK is not implemented. linkLocation=https://www.imdb.com/title/tt26627660/fullcredits/,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12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2</x:v>
      </x:c>
      <x:c r="BS431" s="16" t="n">
        <x:v>0.16666666666666666</x:v>
      </x:c>
      <x:c r="BT431" s="14" t="str">
        <x:v>Minority of episodes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4" t="str">
        <x:v>HYPERLINK is not implemented. linkLocation=https://www.imdb.com/title/tt26627660/fullcredits/,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tt26627660|nm0077397|veronica</x:v>
      </x:c>
      <x:c r="B432" s="14" t="str">
        <x:v>05</x:v>
      </x:c>
      <x:c r="C432" s="14" t="str">
        <x:v>2023_IMDb_Cast_Lists_Batch_05(2).xlsx</x:v>
      </x:c>
      <x:c r="D432" s="14" t="str">
        <x:v>The Power of Parker</x:v>
      </x:c>
      <x:c r="E432" s="14" t="n">
        <x:v>35</x:v>
      </x:c>
      <x:c r="F432" s="14" t="str">
        <x:v>The Power of Parker</x:v>
      </x:c>
      <x:c r="G432" s="14" t="str">
        <x:v>tt26627660</x:v>
      </x:c>
      <x:c r="H432" s="14" t="n">
        <x:v>2023</x:v>
      </x:c>
      <x:c r="I432" s="14" t="n">
        <x:v>2025</x:v>
      </x:c>
      <x:c r="J432" s="14" t="str">
        <x:v>Earlier-Production Carry-In Cohort</x:v>
      </x:c>
      <x:c r="K432" s="14" t="n">
        <x:v>2023</x:v>
      </x:c>
      <x:c r="L432" s="14" t="str">
        <x:v>Used in 2025 annual analysis</x:v>
      </x:c>
      <x:c r="M432" s="15" t="n">
        <x:v>28</x:v>
      </x:c>
      <x:c r="N432" s="14" t="str">
        <x:v>Elizabeth Berrington</x:v>
      </x:c>
      <x:c r="O432" s="14" t="str">
        <x:v>nm0077397</x:v>
      </x:c>
      <x:c r="P432" s="14" t="str">
        <x:v>Veronica</x:v>
      </x:c>
      <x:c r="Q432" s="15" t="n">
        <x:v>1</x:v>
      </x:c>
      <x:c r="R432" s="14" t="str">
        <x:v>2025</x:v>
      </x:c>
      <x:c r="S432" s="14" t="n">
        <x:v>2025</x:v>
      </x:c>
      <x:c r="T432" s="14" t="n">
        <x:v>2025</x:v>
      </x:c>
      <x:c r="U432" s="14" t="str">
        <x:v>Explicit source first year retained</x:v>
      </x:c>
      <x:c r="V432" s="14" t="str">
        <x:v>Earliest supplied year is 2025.</x:v>
      </x:c>
      <x:c r="W432" s="14"/>
      <x:c r="X432" s="14" t="str">
        <x:v>Included</x:v>
      </x:c>
      <x:c r="Y432" s="14"/>
      <x:c r="Z432" s="14" t="str">
        <x:v>The Power of Parker.docx</x:v>
      </x:c>
      <x:c r="AA432" s="14" t="str">
        <x:v>HYPERLINK is not implemented. linkLocation=https://www.imdb.com/title/tt26627660/fullcredits/,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12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0.08333333333333333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4" t="str">
        <x:v>HYPERLINK is not implemented. linkLocation=https://www.imdb.com/title/tt26627660/fullcredits/,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tt26627660|nm0203709|mystic mo</x:v>
      </x:c>
      <x:c r="B433" s="14" t="str">
        <x:v>05</x:v>
      </x:c>
      <x:c r="C433" s="14" t="str">
        <x:v>2023_IMDb_Cast_Lists_Batch_05(2).xlsx</x:v>
      </x:c>
      <x:c r="D433" s="14" t="str">
        <x:v>The Power of Parker</x:v>
      </x:c>
      <x:c r="E433" s="14" t="n">
        <x:v>36</x:v>
      </x:c>
      <x:c r="F433" s="14" t="str">
        <x:v>The Power of Parker</x:v>
      </x:c>
      <x:c r="G433" s="14" t="str">
        <x:v>tt26627660</x:v>
      </x:c>
      <x:c r="H433" s="14" t="n">
        <x:v>2023</x:v>
      </x:c>
      <x:c r="I433" s="14" t="n">
        <x:v>2025</x:v>
      </x:c>
      <x:c r="J433" s="14" t="str">
        <x:v>Earlier-Production Carry-In Cohort</x:v>
      </x:c>
      <x:c r="K433" s="14" t="n">
        <x:v>2023</x:v>
      </x:c>
      <x:c r="L433" s="14" t="str">
        <x:v>Used in 2025 annual analysis</x:v>
      </x:c>
      <x:c r="M433" s="15" t="n">
        <x:v>29</x:v>
      </x:c>
      <x:c r="N433" s="14" t="str">
        <x:v>Freddie Davies</x:v>
      </x:c>
      <x:c r="O433" s="14" t="str">
        <x:v>nm0203709</x:v>
      </x:c>
      <x:c r="P433" s="14" t="str">
        <x:v>Mystic Mo</x:v>
      </x:c>
      <x:c r="Q433" s="15" t="n">
        <x:v>1</x:v>
      </x:c>
      <x:c r="R433" s="14" t="str">
        <x:v>2025</x:v>
      </x:c>
      <x:c r="S433" s="14" t="n">
        <x:v>2025</x:v>
      </x:c>
      <x:c r="T433" s="14" t="n">
        <x:v>2025</x:v>
      </x:c>
      <x:c r="U433" s="14" t="str">
        <x:v>Explicit source first year retained</x:v>
      </x:c>
      <x:c r="V433" s="14" t="str">
        <x:v>Earliest supplied year is 2025.</x:v>
      </x:c>
      <x:c r="W433" s="14"/>
      <x:c r="X433" s="14" t="str">
        <x:v>Included</x:v>
      </x:c>
      <x:c r="Y433" s="14"/>
      <x:c r="Z433" s="14" t="str">
        <x:v>The Power of Parker.docx</x:v>
      </x:c>
      <x:c r="AA433" s="14" t="str">
        <x:v>HYPERLINK is not implemented. linkLocation=https://www.imdb.com/title/tt26627660/fullcredits/,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1</x:v>
      </x:c>
      <x:c r="BS433" s="16" t="n">
        <x:v>0.08333333333333333</x:v>
      </x:c>
      <x:c r="BT433" s="14" t="str">
        <x:v>One episode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4" t="str">
        <x:v>HYPERLINK is not implemented. linkLocation=https://www.imdb.com/title/tt26627660/fullcredits/,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tt26627660|nm3893637|dance instructor</x:v>
      </x:c>
      <x:c r="B434" s="14" t="str">
        <x:v>05</x:v>
      </x:c>
      <x:c r="C434" s="14" t="str">
        <x:v>2023_IMDb_Cast_Lists_Batch_05(2).xlsx</x:v>
      </x:c>
      <x:c r="D434" s="14" t="str">
        <x:v>The Power of Parker</x:v>
      </x:c>
      <x:c r="E434" s="14" t="n">
        <x:v>37</x:v>
      </x:c>
      <x:c r="F434" s="14" t="str">
        <x:v>The Power of Parker</x:v>
      </x:c>
      <x:c r="G434" s="14" t="str">
        <x:v>tt26627660</x:v>
      </x:c>
      <x:c r="H434" s="14" t="n">
        <x:v>2023</x:v>
      </x:c>
      <x:c r="I434" s="14" t="n">
        <x:v>2025</x:v>
      </x:c>
      <x:c r="J434" s="14" t="str">
        <x:v>Earlier-Production Carry-In Cohort</x:v>
      </x:c>
      <x:c r="K434" s="14" t="n">
        <x:v>2023</x:v>
      </x:c>
      <x:c r="L434" s="14" t="str">
        <x:v>Used in 2025 annual analysis</x:v>
      </x:c>
      <x:c r="M434" s="15" t="n">
        <x:v>30</x:v>
      </x:c>
      <x:c r="N434" s="14" t="str">
        <x:v>Harry Taurasi</x:v>
      </x:c>
      <x:c r="O434" s="14" t="str">
        <x:v>nm3893637</x:v>
      </x:c>
      <x:c r="P434" s="14" t="str">
        <x:v>Dance Instructor</x:v>
      </x:c>
      <x:c r="Q434" s="15" t="n">
        <x:v>1</x:v>
      </x:c>
      <x:c r="R434" s="14" t="str">
        <x:v>2025</x:v>
      </x:c>
      <x:c r="S434" s="14" t="n">
        <x:v>2025</x:v>
      </x:c>
      <x:c r="T434" s="14" t="n">
        <x:v>2025</x:v>
      </x:c>
      <x:c r="U434" s="14" t="str">
        <x:v>Explicit source first year retained</x:v>
      </x:c>
      <x:c r="V434" s="14" t="str">
        <x:v>Earliest supplied year is 2025.</x:v>
      </x:c>
      <x:c r="W434" s="14"/>
      <x:c r="X434" s="14" t="str">
        <x:v>Included</x:v>
      </x:c>
      <x:c r="Y434" s="14"/>
      <x:c r="Z434" s="14" t="str">
        <x:v>The Power of Parker.docx</x:v>
      </x:c>
      <x:c r="AA434" s="14" t="str">
        <x:v>HYPERLINK is not implemented. linkLocation=https://www.imdb.com/title/tt26627660/fullcredits/,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1</x:v>
      </x:c>
      <x:c r="BS434" s="16" t="n">
        <x:v>0.08333333333333333</x:v>
      </x:c>
      <x:c r="BT434" s="14" t="str">
        <x:v>One episode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4" t="str">
        <x:v>HYPERLINK is not implemented. linkLocation=https://www.imdb.com/title/tt26627660/fullcredits/,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tt26627660|nm9332058|kelly sue</x:v>
      </x:c>
      <x:c r="B435" s="14" t="str">
        <x:v>05</x:v>
      </x:c>
      <x:c r="C435" s="14" t="str">
        <x:v>2023_IMDb_Cast_Lists_Batch_05(2).xlsx</x:v>
      </x:c>
      <x:c r="D435" s="14" t="str">
        <x:v>The Power of Parker</x:v>
      </x:c>
      <x:c r="E435" s="14" t="n">
        <x:v>39</x:v>
      </x:c>
      <x:c r="F435" s="14" t="str">
        <x:v>The Power of Parker</x:v>
      </x:c>
      <x:c r="G435" s="14" t="str">
        <x:v>tt26627660</x:v>
      </x:c>
      <x:c r="H435" s="14" t="n">
        <x:v>2023</x:v>
      </x:c>
      <x:c r="I435" s="14" t="n">
        <x:v>2025</x:v>
      </x:c>
      <x:c r="J435" s="14" t="str">
        <x:v>Earlier-Production Carry-In Cohort</x:v>
      </x:c>
      <x:c r="K435" s="14" t="n">
        <x:v>2023</x:v>
      </x:c>
      <x:c r="L435" s="14" t="str">
        <x:v>Used in 2025 annual analysis</x:v>
      </x:c>
      <x:c r="M435" s="15" t="n">
        <x:v>32</x:v>
      </x:c>
      <x:c r="N435" s="14" t="str">
        <x:v>Ada Player</x:v>
      </x:c>
      <x:c r="O435" s="14" t="str">
        <x:v>nm9332058</x:v>
      </x:c>
      <x:c r="P435" s="14" t="str">
        <x:v>Kelly Sue</x:v>
      </x:c>
      <x:c r="Q435" s="15" t="n">
        <x:v>1</x:v>
      </x:c>
      <x:c r="R435" s="14" t="str">
        <x:v>2025</x:v>
      </x:c>
      <x:c r="S435" s="14" t="n">
        <x:v>2025</x:v>
      </x:c>
      <x:c r="T435" s="14" t="n">
        <x:v>2025</x:v>
      </x:c>
      <x:c r="U435" s="14" t="str">
        <x:v>Explicit source first year retained</x:v>
      </x:c>
      <x:c r="V435" s="14" t="str">
        <x:v>Earliest supplied year is 2025.</x:v>
      </x:c>
      <x:c r="W435" s="14"/>
      <x:c r="X435" s="14" t="str">
        <x:v>Included</x:v>
      </x:c>
      <x:c r="Y435" s="14"/>
      <x:c r="Z435" s="14" t="str">
        <x:v>The Power of Parker.docx</x:v>
      </x:c>
      <x:c r="AA435" s="14" t="str">
        <x:v>HYPERLINK is not implemented. linkLocation=https://www.imdb.com/title/tt26627660/fullcredits/,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1</x:v>
      </x:c>
      <x:c r="BS435" s="16" t="n">
        <x:v>0.08333333333333333</x:v>
      </x:c>
      <x:c r="BT435" s="14" t="str">
        <x:v>One episode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4" t="str">
        <x:v>HYPERLINK is not implemented. linkLocation=https://www.imdb.com/title/tt26627660/fullcredits/,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tt26627660|nm6641256|andy</x:v>
      </x:c>
      <x:c r="B436" s="14" t="str">
        <x:v>05</x:v>
      </x:c>
      <x:c r="C436" s="14" t="str">
        <x:v>2023_IMDb_Cast_Lists_Batch_05(2).xlsx</x:v>
      </x:c>
      <x:c r="D436" s="14" t="str">
        <x:v>The Power of Parker</x:v>
      </x:c>
      <x:c r="E436" s="14" t="n">
        <x:v>41</x:v>
      </x:c>
      <x:c r="F436" s="14" t="str">
        <x:v>The Power of Parker</x:v>
      </x:c>
      <x:c r="G436" s="14" t="str">
        <x:v>tt26627660</x:v>
      </x:c>
      <x:c r="H436" s="14" t="n">
        <x:v>2023</x:v>
      </x:c>
      <x:c r="I436" s="14" t="n">
        <x:v>2025</x:v>
      </x:c>
      <x:c r="J436" s="14" t="str">
        <x:v>Earlier-Production Carry-In Cohort</x:v>
      </x:c>
      <x:c r="K436" s="14" t="n">
        <x:v>2023</x:v>
      </x:c>
      <x:c r="L436" s="14" t="str">
        <x:v>Used in 2025 annual analysis</x:v>
      </x:c>
      <x:c r="M436" s="15" t="n">
        <x:v>34</x:v>
      </x:c>
      <x:c r="N436" s="14" t="str">
        <x:v>Karl Cam</x:v>
      </x:c>
      <x:c r="O436" s="14" t="str">
        <x:v>nm6641256</x:v>
      </x:c>
      <x:c r="P436" s="14" t="str">
        <x:v>Andy</x:v>
      </x:c>
      <x:c r="Q436" s="15" t="n">
        <x:v>1</x:v>
      </x:c>
      <x:c r="R436" s="14" t="str">
        <x:v>2025</x:v>
      </x:c>
      <x:c r="S436" s="14" t="n">
        <x:v>2025</x:v>
      </x:c>
      <x:c r="T436" s="14" t="n">
        <x:v>2025</x:v>
      </x:c>
      <x:c r="U436" s="14" t="str">
        <x:v>Explicit source first year retained</x:v>
      </x:c>
      <x:c r="V436" s="14" t="str">
        <x:v>Earliest supplied year is 2025.</x:v>
      </x:c>
      <x:c r="W436" s="14"/>
      <x:c r="X436" s="14" t="str">
        <x:v>Included</x:v>
      </x:c>
      <x:c r="Y436" s="14"/>
      <x:c r="Z436" s="14" t="str">
        <x:v>The Power of Parker.docx</x:v>
      </x:c>
      <x:c r="AA436" s="14" t="str">
        <x:v>HYPERLINK is not implemented. linkLocation=https://www.imdb.com/title/tt26627660/fullcredits/,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1</x:v>
      </x:c>
      <x:c r="BS436" s="16" t="n">
        <x:v>0.08333333333333333</x:v>
      </x:c>
      <x:c r="BT436" s="14" t="str">
        <x:v>One episode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4" t="str">
        <x:v>HYPERLINK is not implemented. linkLocation=https://www.imdb.com/title/tt26627660/fullcredits/,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tt26627660|nm5118505|layla's mum</x:v>
      </x:c>
      <x:c r="B437" s="14" t="str">
        <x:v>05</x:v>
      </x:c>
      <x:c r="C437" s="14" t="str">
        <x:v>2023_IMDb_Cast_Lists_Batch_05(2).xlsx</x:v>
      </x:c>
      <x:c r="D437" s="14" t="str">
        <x:v>The Power of Parker</x:v>
      </x:c>
      <x:c r="E437" s="14" t="n">
        <x:v>42</x:v>
      </x:c>
      <x:c r="F437" s="14" t="str">
        <x:v>The Power of Parker</x:v>
      </x:c>
      <x:c r="G437" s="14" t="str">
        <x:v>tt26627660</x:v>
      </x:c>
      <x:c r="H437" s="14" t="n">
        <x:v>2023</x:v>
      </x:c>
      <x:c r="I437" s="14" t="n">
        <x:v>2025</x:v>
      </x:c>
      <x:c r="J437" s="14" t="str">
        <x:v>Earlier-Production Carry-In Cohort</x:v>
      </x:c>
      <x:c r="K437" s="14" t="n">
        <x:v>2023</x:v>
      </x:c>
      <x:c r="L437" s="14" t="str">
        <x:v>Used in 2025 annual analysis</x:v>
      </x:c>
      <x:c r="M437" s="15" t="n">
        <x:v>35</x:v>
      </x:c>
      <x:c r="N437" s="14" t="str">
        <x:v>Elika Scere Jacobs</x:v>
      </x:c>
      <x:c r="O437" s="14" t="str">
        <x:v>nm5118505</x:v>
      </x:c>
      <x:c r="P437" s="14" t="str">
        <x:v>Layla's Mum</x:v>
      </x:c>
      <x:c r="Q437" s="15" t="n">
        <x:v>1</x:v>
      </x:c>
      <x:c r="R437" s="14" t="str">
        <x:v>2025</x:v>
      </x:c>
      <x:c r="S437" s="14" t="n">
        <x:v>2025</x:v>
      </x:c>
      <x:c r="T437" s="14" t="n">
        <x:v>2025</x:v>
      </x:c>
      <x:c r="U437" s="14" t="str">
        <x:v>Explicit source first year retained</x:v>
      </x:c>
      <x:c r="V437" s="14" t="str">
        <x:v>Earliest supplied year is 2025.</x:v>
      </x:c>
      <x:c r="W437" s="14"/>
      <x:c r="X437" s="14" t="str">
        <x:v>Included</x:v>
      </x:c>
      <x:c r="Y437" s="14"/>
      <x:c r="Z437" s="14" t="str">
        <x:v>The Power of Parker.docx</x:v>
      </x:c>
      <x:c r="AA437" s="14" t="str">
        <x:v>HYPERLINK is not implemented. linkLocation=https://www.imdb.com/title/tt26627660/fullcredits/,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1</x:v>
      </x:c>
      <x:c r="BS437" s="16" t="n">
        <x:v>0.08333333333333333</x:v>
      </x:c>
      <x:c r="BT437" s="14" t="str">
        <x:v>One episode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4" t="str">
        <x:v>HYPERLINK is not implemented. linkLocation=https://www.imdb.com/title/tt26627660/fullcredits/,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tt26627660|nm17419379|pat o'daniels</x:v>
      </x:c>
      <x:c r="B438" s="14" t="str">
        <x:v>05</x:v>
      </x:c>
      <x:c r="C438" s="14" t="str">
        <x:v>2023_IMDb_Cast_Lists_Batch_05(2).xlsx</x:v>
      </x:c>
      <x:c r="D438" s="14" t="str">
        <x:v>The Power of Parker</x:v>
      </x:c>
      <x:c r="E438" s="14" t="n">
        <x:v>45</x:v>
      </x:c>
      <x:c r="F438" s="14" t="str">
        <x:v>The Power of Parker</x:v>
      </x:c>
      <x:c r="G438" s="14" t="str">
        <x:v>tt26627660</x:v>
      </x:c>
      <x:c r="H438" s="14" t="n">
        <x:v>2023</x:v>
      </x:c>
      <x:c r="I438" s="14" t="n">
        <x:v>2025</x:v>
      </x:c>
      <x:c r="J438" s="14" t="str">
        <x:v>Earlier-Production Carry-In Cohort</x:v>
      </x:c>
      <x:c r="K438" s="14" t="n">
        <x:v>2023</x:v>
      </x:c>
      <x:c r="L438" s="14" t="str">
        <x:v>Used in 2025 annual analysis</x:v>
      </x:c>
      <x:c r="M438" s="15" t="n">
        <x:v>38</x:v>
      </x:c>
      <x:c r="N438" s="14" t="str">
        <x:v>Andrew Marx</x:v>
      </x:c>
      <x:c r="O438" s="14" t="str">
        <x:v>nm17419379</x:v>
      </x:c>
      <x:c r="P438" s="14" t="str">
        <x:v>Pat O'Daniels</x:v>
      </x:c>
      <x:c r="Q438" s="15" t="n">
        <x:v>1</x:v>
      </x:c>
      <x:c r="R438" s="14" t="str">
        <x:v>2025</x:v>
      </x:c>
      <x:c r="S438" s="14" t="n">
        <x:v>2025</x:v>
      </x:c>
      <x:c r="T438" s="14" t="n">
        <x:v>2025</x:v>
      </x:c>
      <x:c r="U438" s="14" t="str">
        <x:v>Explicit source first year retained</x:v>
      </x:c>
      <x:c r="V438" s="14" t="str">
        <x:v>Earliest supplied year is 2025.</x:v>
      </x:c>
      <x:c r="W438" s="14"/>
      <x:c r="X438" s="14" t="str">
        <x:v>Included</x:v>
      </x:c>
      <x:c r="Y438" s="14"/>
      <x:c r="Z438" s="14" t="str">
        <x:v>The Power of Parker.docx</x:v>
      </x:c>
      <x:c r="AA438" s="14" t="str">
        <x:v>HYPERLINK is not implemented. linkLocation=https://www.imdb.com/title/tt26627660/fullcredits/,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1</x:v>
      </x:c>
      <x:c r="BS438" s="16" t="n">
        <x:v>0.08333333333333333</x:v>
      </x:c>
      <x:c r="BT438" s="14" t="str">
        <x:v>One episode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4" t="str">
        <x:v>HYPERLINK is not implemented. linkLocation=https://www.imdb.com/title/tt26627660/fullcredits/,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tt26627660|nm0271516|des</x:v>
      </x:c>
      <x:c r="B439" s="14" t="str">
        <x:v>05</x:v>
      </x:c>
      <x:c r="C439" s="14" t="str">
        <x:v>2023_IMDb_Cast_Lists_Batch_05(2).xlsx</x:v>
      </x:c>
      <x:c r="D439" s="14" t="str">
        <x:v>The Power of Parker</x:v>
      </x:c>
      <x:c r="E439" s="14" t="n">
        <x:v>47</x:v>
      </x:c>
      <x:c r="F439" s="14" t="str">
        <x:v>The Power of Parker</x:v>
      </x:c>
      <x:c r="G439" s="14" t="str">
        <x:v>tt26627660</x:v>
      </x:c>
      <x:c r="H439" s="14" t="n">
        <x:v>2023</x:v>
      </x:c>
      <x:c r="I439" s="14" t="n">
        <x:v>2025</x:v>
      </x:c>
      <x:c r="J439" s="14" t="str">
        <x:v>Earlier-Production Carry-In Cohort</x:v>
      </x:c>
      <x:c r="K439" s="14" t="n">
        <x:v>2023</x:v>
      </x:c>
      <x:c r="L439" s="14" t="str">
        <x:v>Used in 2025 annual analysis</x:v>
      </x:c>
      <x:c r="M439" s="15" t="n">
        <x:v>40</x:v>
      </x:c>
      <x:c r="N439" s="14" t="str">
        <x:v>Graham Fellows</x:v>
      </x:c>
      <x:c r="O439" s="14" t="str">
        <x:v>nm0271516</x:v>
      </x:c>
      <x:c r="P439" s="14" t="str">
        <x:v>Des</x:v>
      </x:c>
      <x:c r="Q439" s="15" t="n">
        <x:v>1</x:v>
      </x:c>
      <x:c r="R439" s="14" t="str">
        <x:v>2025</x:v>
      </x:c>
      <x:c r="S439" s="14" t="n">
        <x:v>2025</x:v>
      </x:c>
      <x:c r="T439" s="14" t="n">
        <x:v>2025</x:v>
      </x:c>
      <x:c r="U439" s="14" t="str">
        <x:v>Explicit source first year retained</x:v>
      </x:c>
      <x:c r="V439" s="14" t="str">
        <x:v>Earliest supplied year is 2025.</x:v>
      </x:c>
      <x:c r="W439" s="14"/>
      <x:c r="X439" s="14" t="str">
        <x:v>Included</x:v>
      </x:c>
      <x:c r="Y439" s="14"/>
      <x:c r="Z439" s="14" t="str">
        <x:v>The Power of Parker.docx</x:v>
      </x:c>
      <x:c r="AA439" s="14" t="str">
        <x:v>HYPERLINK is not implemented. linkLocation=https://www.imdb.com/title/tt26627660/fullcredits/,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1</x:v>
      </x:c>
      <x:c r="BS439" s="16" t="n">
        <x:v>0.08333333333333333</x:v>
      </x:c>
      <x:c r="BT439" s="14" t="str">
        <x:v>One episode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4" t="str">
        <x:v>HYPERLINK is not implemented. linkLocation=https://www.imdb.com/title/tt26627660/fullcredits/,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tt26627660|nm0057598|bob</x:v>
      </x:c>
      <x:c r="B440" s="14" t="str">
        <x:v>05</x:v>
      </x:c>
      <x:c r="C440" s="14" t="str">
        <x:v>2023_IMDb_Cast_Lists_Batch_05(2).xlsx</x:v>
      </x:c>
      <x:c r="D440" s="14" t="str">
        <x:v>The Power of Parker</x:v>
      </x:c>
      <x:c r="E440" s="14" t="n">
        <x:v>51</x:v>
      </x:c>
      <x:c r="F440" s="14" t="str">
        <x:v>The Power of Parker</x:v>
      </x:c>
      <x:c r="G440" s="14" t="str">
        <x:v>tt26627660</x:v>
      </x:c>
      <x:c r="H440" s="14" t="n">
        <x:v>2023</x:v>
      </x:c>
      <x:c r="I440" s="14" t="n">
        <x:v>2025</x:v>
      </x:c>
      <x:c r="J440" s="14" t="str">
        <x:v>Earlier-Production Carry-In Cohort</x:v>
      </x:c>
      <x:c r="K440" s="14" t="n">
        <x:v>2023</x:v>
      </x:c>
      <x:c r="L440" s="14" t="str">
        <x:v>Used in 2025 annual analysis</x:v>
      </x:c>
      <x:c r="M440" s="15" t="n">
        <x:v>44</x:v>
      </x:c>
      <x:c r="N440" s="14" t="str">
        <x:v>Ian Barritt</x:v>
      </x:c>
      <x:c r="O440" s="14" t="str">
        <x:v>nm0057598</x:v>
      </x:c>
      <x:c r="P440" s="14" t="str">
        <x:v>Bob</x:v>
      </x:c>
      <x:c r="Q440" s="15" t="n">
        <x:v>1</x:v>
      </x:c>
      <x:c r="R440" s="14" t="str">
        <x:v>2025</x:v>
      </x:c>
      <x:c r="S440" s="14" t="n">
        <x:v>2025</x:v>
      </x:c>
      <x:c r="T440" s="14" t="n">
        <x:v>2025</x:v>
      </x:c>
      <x:c r="U440" s="14" t="str">
        <x:v>Explicit source first year retained</x:v>
      </x:c>
      <x:c r="V440" s="14" t="str">
        <x:v>Earliest supplied year is 2025.</x:v>
      </x:c>
      <x:c r="W440" s="14"/>
      <x:c r="X440" s="14" t="str">
        <x:v>Included</x:v>
      </x:c>
      <x:c r="Y440" s="14"/>
      <x:c r="Z440" s="14" t="str">
        <x:v>The Power of Parker.docx</x:v>
      </x:c>
      <x:c r="AA440" s="14" t="str">
        <x:v>HYPERLINK is not implemented. linkLocation=https://www.imdb.com/title/tt26627660/fullcredits/,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0" s="14" t="str">
        <x:v>BBC public-service 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1</x:v>
      </x:c>
      <x:c r="BS440" s="16" t="n">
        <x:v>0.08333333333333333</x:v>
      </x:c>
      <x:c r="BT440" s="14" t="str">
        <x:v>One episode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4" t="str">
        <x:v>HYPERLINK is not implemented. linkLocation=https://www.imdb.com/title/tt26627660/fullcredits/,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tt26627660|nm0151064|chen</x:v>
      </x:c>
      <x:c r="B441" s="14" t="str">
        <x:v>05</x:v>
      </x:c>
      <x:c r="C441" s="14" t="str">
        <x:v>2023_IMDb_Cast_Lists_Batch_05(2).xlsx</x:v>
      </x:c>
      <x:c r="D441" s="14" t="str">
        <x:v>The Power of Parker</x:v>
      </x:c>
      <x:c r="E441" s="14" t="n">
        <x:v>53</x:v>
      </x:c>
      <x:c r="F441" s="14" t="str">
        <x:v>The Power of Parker</x:v>
      </x:c>
      <x:c r="G441" s="14" t="str">
        <x:v>tt26627660</x:v>
      </x:c>
      <x:c r="H441" s="14" t="n">
        <x:v>2023</x:v>
      </x:c>
      <x:c r="I441" s="14" t="n">
        <x:v>2025</x:v>
      </x:c>
      <x:c r="J441" s="14" t="str">
        <x:v>Earlier-Production Carry-In Cohort</x:v>
      </x:c>
      <x:c r="K441" s="14" t="n">
        <x:v>2023</x:v>
      </x:c>
      <x:c r="L441" s="14" t="str">
        <x:v>Used in 2025 annual analysis</x:v>
      </x:c>
      <x:c r="M441" s="15" t="n">
        <x:v>46</x:v>
      </x:c>
      <x:c r="N441" s="14" t="str">
        <x:v>Paul Chan</x:v>
      </x:c>
      <x:c r="O441" s="14" t="str">
        <x:v>nm0151064</x:v>
      </x:c>
      <x:c r="P441" s="14" t="str">
        <x:v>Chen</x:v>
      </x:c>
      <x:c r="Q441" s="15" t="n">
        <x:v>1</x:v>
      </x:c>
      <x:c r="R441" s="14" t="str">
        <x:v>2025</x:v>
      </x:c>
      <x:c r="S441" s="14" t="n">
        <x:v>2025</x:v>
      </x:c>
      <x:c r="T441" s="14" t="n">
        <x:v>2025</x:v>
      </x:c>
      <x:c r="U441" s="14" t="str">
        <x:v>Explicit source first year retained</x:v>
      </x:c>
      <x:c r="V441" s="14" t="str">
        <x:v>Earliest supplied year is 2025.</x:v>
      </x:c>
      <x:c r="W441" s="14"/>
      <x:c r="X441" s="14" t="str">
        <x:v>Included</x:v>
      </x:c>
      <x:c r="Y441" s="14"/>
      <x:c r="Z441" s="14" t="str">
        <x:v>The Power of Parker.docx</x:v>
      </x:c>
      <x:c r="AA441" s="14" t="str">
        <x:v>HYPERLINK is not implemented. linkLocation=https://www.imdb.com/title/tt26627660/fullcredits/,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1" s="14" t="str">
        <x:v>BBC public-service 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1</x:v>
      </x:c>
      <x:c r="BS441" s="16" t="n">
        <x:v>0.08333333333333333</x:v>
      </x:c>
      <x:c r="BT441" s="14" t="str">
        <x:v>One episode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4" t="str">
        <x:v>HYPERLINK is not implemented. linkLocation=https://www.imdb.com/title/tt26627660/fullcredits/,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tt26627660|nm16499868|dale</x:v>
      </x:c>
      <x:c r="B442" s="14" t="str">
        <x:v>05</x:v>
      </x:c>
      <x:c r="C442" s="14" t="str">
        <x:v>2023_IMDb_Cast_Lists_Batch_05(2).xlsx</x:v>
      </x:c>
      <x:c r="D442" s="14" t="str">
        <x:v>The Power of Parker</x:v>
      </x:c>
      <x:c r="E442" s="14" t="n">
        <x:v>54</x:v>
      </x:c>
      <x:c r="F442" s="14" t="str">
        <x:v>The Power of Parker</x:v>
      </x:c>
      <x:c r="G442" s="14" t="str">
        <x:v>tt26627660</x:v>
      </x:c>
      <x:c r="H442" s="14" t="n">
        <x:v>2023</x:v>
      </x:c>
      <x:c r="I442" s="14" t="n">
        <x:v>2025</x:v>
      </x:c>
      <x:c r="J442" s="14" t="str">
        <x:v>Earlier-Production Carry-In Cohort</x:v>
      </x:c>
      <x:c r="K442" s="14" t="n">
        <x:v>2023</x:v>
      </x:c>
      <x:c r="L442" s="14" t="str">
        <x:v>Used in 2025 annual analysis</x:v>
      </x:c>
      <x:c r="M442" s="15" t="n">
        <x:v>47</x:v>
      </x:c>
      <x:c r="N442" s="14" t="str">
        <x:v>Tom Lawrinson</x:v>
      </x:c>
      <x:c r="O442" s="14" t="str">
        <x:v>nm16499868</x:v>
      </x:c>
      <x:c r="P442" s="14" t="str">
        <x:v>Dale</x:v>
      </x:c>
      <x:c r="Q442" s="15" t="n">
        <x:v>1</x:v>
      </x:c>
      <x:c r="R442" s="14" t="str">
        <x:v>2025</x:v>
      </x:c>
      <x:c r="S442" s="14" t="n">
        <x:v>2025</x:v>
      </x:c>
      <x:c r="T442" s="14" t="n">
        <x:v>2025</x:v>
      </x:c>
      <x:c r="U442" s="14" t="str">
        <x:v>Explicit source first year retained</x:v>
      </x:c>
      <x:c r="V442" s="14" t="str">
        <x:v>Earliest supplied year is 2025.</x:v>
      </x:c>
      <x:c r="W442" s="14"/>
      <x:c r="X442" s="14" t="str">
        <x:v>Included</x:v>
      </x:c>
      <x:c r="Y442" s="14"/>
      <x:c r="Z442" s="14" t="str">
        <x:v>The Power of Parker.docx</x:v>
      </x:c>
      <x:c r="AA442" s="14" t="str">
        <x:v>HYPERLINK is not implemented. linkLocation=https://www.imdb.com/title/tt26627660/fullcredits/,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2" s="14" t="str">
        <x:v>BBC public-service 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1</x:v>
      </x:c>
      <x:c r="BS442" s="16" t="n">
        <x:v>0.08333333333333333</x:v>
      </x:c>
      <x:c r="BT442" s="14" t="str">
        <x:v>One episode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4" t="str">
        <x:v>HYPERLINK is not implemented. linkLocation=https://www.imdb.com/title/tt26627660/fullcredits/,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tt26627660|nm0059260|uncle dennis</x:v>
      </x:c>
      <x:c r="B443" s="14" t="str">
        <x:v>05</x:v>
      </x:c>
      <x:c r="C443" s="14" t="str">
        <x:v>2023_IMDb_Cast_Lists_Batch_05(2).xlsx</x:v>
      </x:c>
      <x:c r="D443" s="14" t="str">
        <x:v>The Power of Parker</x:v>
      </x:c>
      <x:c r="E443" s="14" t="n">
        <x:v>55</x:v>
      </x:c>
      <x:c r="F443" s="14" t="str">
        <x:v>The Power of Parker</x:v>
      </x:c>
      <x:c r="G443" s="14" t="str">
        <x:v>tt26627660</x:v>
      </x:c>
      <x:c r="H443" s="14" t="n">
        <x:v>2023</x:v>
      </x:c>
      <x:c r="I443" s="14" t="n">
        <x:v>2025</x:v>
      </x:c>
      <x:c r="J443" s="14" t="str">
        <x:v>Earlier-Production Carry-In Cohort</x:v>
      </x:c>
      <x:c r="K443" s="14" t="n">
        <x:v>2023</x:v>
      </x:c>
      <x:c r="L443" s="14" t="str">
        <x:v>Used in 2025 annual analysis</x:v>
      </x:c>
      <x:c r="M443" s="15" t="n">
        <x:v>48</x:v>
      </x:c>
      <x:c r="N443" s="14" t="str">
        <x:v>Tony Barton</x:v>
      </x:c>
      <x:c r="O443" s="14" t="str">
        <x:v>nm0059260</x:v>
      </x:c>
      <x:c r="P443" s="14" t="str">
        <x:v>Uncle Dennis</x:v>
      </x:c>
      <x:c r="Q443" s="15" t="n">
        <x:v>1</x:v>
      </x:c>
      <x:c r="R443" s="14" t="str">
        <x:v>2025</x:v>
      </x:c>
      <x:c r="S443" s="14" t="n">
        <x:v>2025</x:v>
      </x:c>
      <x:c r="T443" s="14" t="n">
        <x:v>2025</x:v>
      </x:c>
      <x:c r="U443" s="14" t="str">
        <x:v>Explicit source first year retained</x:v>
      </x:c>
      <x:c r="V443" s="14" t="str">
        <x:v>Earliest supplied year is 2025.</x:v>
      </x:c>
      <x:c r="W443" s="14"/>
      <x:c r="X443" s="14" t="str">
        <x:v>Included</x:v>
      </x:c>
      <x:c r="Y443" s="14"/>
      <x:c r="Z443" s="14" t="str">
        <x:v>The Power of Parker.docx</x:v>
      </x:c>
      <x:c r="AA443" s="14" t="str">
        <x:v>HYPERLINK is not implemented. linkLocation=https://www.imdb.com/title/tt26627660/fullcredits/,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3" s="14" t="str">
        <x:v>BBC public-service 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1</x:v>
      </x:c>
      <x:c r="BS443" s="16" t="n">
        <x:v>0.08333333333333333</x:v>
      </x:c>
      <x:c r="BT443" s="14" t="str">
        <x:v>One episode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4" t="str">
        <x:v>HYPERLINK is not implemented. linkLocation=https://www.imdb.com/title/tt26627660/fullcredits/,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tt26627660|nm1853095|hua</x:v>
      </x:c>
      <x:c r="B444" s="14" t="str">
        <x:v>05</x:v>
      </x:c>
      <x:c r="C444" s="14" t="str">
        <x:v>2023_IMDb_Cast_Lists_Batch_05(2).xlsx</x:v>
      </x:c>
      <x:c r="D444" s="14" t="str">
        <x:v>The Power of Parker</x:v>
      </x:c>
      <x:c r="E444" s="14" t="n">
        <x:v>56</x:v>
      </x:c>
      <x:c r="F444" s="14" t="str">
        <x:v>The Power of Parker</x:v>
      </x:c>
      <x:c r="G444" s="14" t="str">
        <x:v>tt26627660</x:v>
      </x:c>
      <x:c r="H444" s="14" t="n">
        <x:v>2023</x:v>
      </x:c>
      <x:c r="I444" s="14" t="n">
        <x:v>2025</x:v>
      </x:c>
      <x:c r="J444" s="14" t="str">
        <x:v>Earlier-Production Carry-In Cohort</x:v>
      </x:c>
      <x:c r="K444" s="14" t="n">
        <x:v>2023</x:v>
      </x:c>
      <x:c r="L444" s="14" t="str">
        <x:v>Used in 2025 annual analysis</x:v>
      </x:c>
      <x:c r="M444" s="15" t="n">
        <x:v>49</x:v>
      </x:c>
      <x:c r="N444" s="14" t="str">
        <x:v>Grace Fan</x:v>
      </x:c>
      <x:c r="O444" s="14" t="str">
        <x:v>nm1853095</x:v>
      </x:c>
      <x:c r="P444" s="14" t="str">
        <x:v>Hua</x:v>
      </x:c>
      <x:c r="Q444" s="15" t="n">
        <x:v>1</x:v>
      </x:c>
      <x:c r="R444" s="14" t="str">
        <x:v>2025</x:v>
      </x:c>
      <x:c r="S444" s="14" t="n">
        <x:v>2025</x:v>
      </x:c>
      <x:c r="T444" s="14" t="n">
        <x:v>2025</x:v>
      </x:c>
      <x:c r="U444" s="14" t="str">
        <x:v>Explicit source first year retained</x:v>
      </x:c>
      <x:c r="V444" s="14" t="str">
        <x:v>Earliest supplied year is 2025.</x:v>
      </x:c>
      <x:c r="W444" s="14"/>
      <x:c r="X444" s="14" t="str">
        <x:v>Included</x:v>
      </x:c>
      <x:c r="Y444" s="14"/>
      <x:c r="Z444" s="14" t="str">
        <x:v>The Power of Parker.docx</x:v>
      </x:c>
      <x:c r="AA444" s="14" t="str">
        <x:v>HYPERLINK is not implemented. linkLocation=https://www.imdb.com/title/tt26627660/fullcredits/,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4" s="14" t="str">
        <x:v>BBC public-service 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1</x:v>
      </x:c>
      <x:c r="BS444" s="16" t="n">
        <x:v>0.08333333333333333</x:v>
      </x:c>
      <x:c r="BT444" s="14" t="str">
        <x:v>One episode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4" t="str">
        <x:v>HYPERLINK is not implemented. linkLocation=https://www.imdb.com/title/tt26627660/fullcredits/,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tt26627660|nm2026454|mc colin rooney</x:v>
      </x:c>
      <x:c r="B445" s="14" t="str">
        <x:v>05</x:v>
      </x:c>
      <x:c r="C445" s="14" t="str">
        <x:v>2023_IMDb_Cast_Lists_Batch_05(2).xlsx</x:v>
      </x:c>
      <x:c r="D445" s="14" t="str">
        <x:v>The Power of Parker</x:v>
      </x:c>
      <x:c r="E445" s="14" t="n">
        <x:v>57</x:v>
      </x:c>
      <x:c r="F445" s="14" t="str">
        <x:v>The Power of Parker</x:v>
      </x:c>
      <x:c r="G445" s="14" t="str">
        <x:v>tt26627660</x:v>
      </x:c>
      <x:c r="H445" s="14" t="n">
        <x:v>2023</x:v>
      </x:c>
      <x:c r="I445" s="14" t="n">
        <x:v>2025</x:v>
      </x:c>
      <x:c r="J445" s="14" t="str">
        <x:v>Earlier-Production Carry-In Cohort</x:v>
      </x:c>
      <x:c r="K445" s="14" t="n">
        <x:v>2023</x:v>
      </x:c>
      <x:c r="L445" s="14" t="str">
        <x:v>Used in 2025 annual analysis</x:v>
      </x:c>
      <x:c r="M445" s="15" t="n">
        <x:v>50</x:v>
      </x:c>
      <x:c r="N445" s="14" t="str">
        <x:v>Robin Colvill</x:v>
      </x:c>
      <x:c r="O445" s="14" t="str">
        <x:v>nm2026454</x:v>
      </x:c>
      <x:c r="P445" s="14" t="str">
        <x:v>MC Colin Rooney</x:v>
      </x:c>
      <x:c r="Q445" s="15" t="n">
        <x:v>1</x:v>
      </x:c>
      <x:c r="R445" s="14" t="str">
        <x:v>2025</x:v>
      </x:c>
      <x:c r="S445" s="14" t="n">
        <x:v>2025</x:v>
      </x:c>
      <x:c r="T445" s="14" t="n">
        <x:v>2025</x:v>
      </x:c>
      <x:c r="U445" s="14" t="str">
        <x:v>Explicit source first year retained</x:v>
      </x:c>
      <x:c r="V445" s="14" t="str">
        <x:v>Earliest supplied year is 2025.</x:v>
      </x:c>
      <x:c r="W445" s="14"/>
      <x:c r="X445" s="14" t="str">
        <x:v>Included</x:v>
      </x:c>
      <x:c r="Y445" s="14"/>
      <x:c r="Z445" s="14" t="str">
        <x:v>The Power of Parker.docx</x:v>
      </x:c>
      <x:c r="AA445" s="14" t="str">
        <x:v>HYPERLINK is not implemented. linkLocation=https://www.imdb.com/title/tt26627660/fullcredits/,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5" s="14" t="str">
        <x:v>BBC public-service 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1</x:v>
      </x:c>
      <x:c r="BS445" s="16" t="n">
        <x:v>0.08333333333333333</x:v>
      </x:c>
      <x:c r="BT445" s="14" t="str">
        <x:v>One episode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4" t="str">
        <x:v>HYPERLINK is not implemented. linkLocation=https://www.imdb.com/title/tt26627660/fullcredits/,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tt15792042|nm14669558|harry</x:v>
      </x:c>
      <x:c r="B446" s="14" t="str">
        <x:v>01</x:v>
      </x:c>
      <x:c r="C446" s="14" t="str">
        <x:v>2022_IMDb_Cast_Lists_Batch_01(1).xlsx</x:v>
      </x:c>
      <x:c r="D446" s="14" t="str">
        <x:v>Am I Being Unreasonable?</x:v>
      </x:c>
      <x:c r="E446" s="14" t="n">
        <x:v>20</x:v>
      </x:c>
      <x:c r="F446" s="14" t="str">
        <x:v>Am I Being Unreasonable?</x:v>
      </x:c>
      <x:c r="G446" s="14" t="str">
        <x:v>tt15792042</x:v>
      </x:c>
      <x:c r="H446" s="14" t="n">
        <x:v>2022</x:v>
      </x:c>
      <x:c r="I446" s="14" t="n">
        <x:v>2025</x:v>
      </x:c>
      <x:c r="J446" s="14" t="str">
        <x:v>Earlier-Production Carry-In Cohort</x:v>
      </x:c>
      <x:c r="K446" s="14" t="n">
        <x:v>2022</x:v>
      </x:c>
      <x:c r="L446" s="14" t="str">
        <x:v>Used in 2025 annual analysis</x:v>
      </x:c>
      <x:c r="M446" s="15" t="n">
        <x:v>13</x:v>
      </x:c>
      <x:c r="N446" s="14" t="str">
        <x:v>Ankido Hussen</x:v>
      </x:c>
      <x:c r="O446" s="14" t="str">
        <x:v>nm14669558</x:v>
      </x:c>
      <x:c r="P446" s="14" t="str">
        <x:v>Harry</x:v>
      </x:c>
      <x:c r="Q446" s="15" t="n">
        <x:v>6</x:v>
      </x:c>
      <x:c r="R446" s="14" t="str">
        <x:v>2025</x:v>
      </x:c>
      <x:c r="S446" s="14" t="n">
        <x:v>2025</x:v>
      </x:c>
      <x:c r="T446" s="14" t="n">
        <x:v>2025</x:v>
      </x:c>
      <x:c r="U446" s="14" t="str">
        <x:v>Explicit source first year retained</x:v>
      </x:c>
      <x:c r="V446" s="14" t="str">
        <x:v>Earliest supplied year is 2025.</x:v>
      </x:c>
      <x:c r="W446" s="14"/>
      <x:c r="X446" s="14" t="str">
        <x:v>Included</x:v>
      </x:c>
      <x:c r="Y446" s="14"/>
      <x:c r="Z446" s="14" t="str">
        <x:v>Am I Being Unreasonable.docx</x:v>
      </x:c>
      <x:c r="AA446" s="14" t="str">
        <x:v>HYPERLINK is not implemented. linkLocation=https://www.imdb.com/title/tt15792042/fullcredits/,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6" s="14" t="str">
        <x:v>BBC public-service 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6</x:v>
      </x:c>
      <x:c r="BS446" s="16" t="n">
        <x:v>0.5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4" t="str">
        <x:v>HYPERLINK is not implemented. linkLocation=https://www.imdb.com/title/tt15792042/fullcredits/,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tt15792042|nm7350296|jurgen / lee 'kurtan' mucklowe</x:v>
      </x:c>
      <x:c r="B447" s="14" t="str">
        <x:v>01</x:v>
      </x:c>
      <x:c r="C447" s="14" t="str">
        <x:v>2022_IMDb_Cast_Lists_Batch_01(1).xlsx</x:v>
      </x:c>
      <x:c r="D447" s="14" t="str">
        <x:v>Am I Being Unreasonable?</x:v>
      </x:c>
      <x:c r="E447" s="14" t="n">
        <x:v>21</x:v>
      </x:c>
      <x:c r="F447" s="14" t="str">
        <x:v>Am I Being Unreasonable?</x:v>
      </x:c>
      <x:c r="G447" s="14" t="str">
        <x:v>tt15792042</x:v>
      </x:c>
      <x:c r="H447" s="14" t="n">
        <x:v>2022</x:v>
      </x:c>
      <x:c r="I447" s="14" t="n">
        <x:v>2025</x:v>
      </x:c>
      <x:c r="J447" s="14" t="str">
        <x:v>Earlier-Production Carry-In Cohort</x:v>
      </x:c>
      <x:c r="K447" s="14" t="n">
        <x:v>2022</x:v>
      </x:c>
      <x:c r="L447" s="14" t="str">
        <x:v>Used in 2025 annual analysis</x:v>
      </x:c>
      <x:c r="M447" s="15" t="n">
        <x:v>14</x:v>
      </x:c>
      <x:c r="N447" s="14" t="str">
        <x:v>Charlie Cooper</x:v>
      </x:c>
      <x:c r="O447" s="14" t="str">
        <x:v>nm7350296</x:v>
      </x:c>
      <x:c r="P447" s="14" t="str">
        <x:v>Jurgen / Lee 'Kurtan' Mucklowe</x:v>
      </x:c>
      <x:c r="Q447" s="15" t="n">
        <x:v>5</x:v>
      </x:c>
      <x:c r="R447" s="14" t="str">
        <x:v>2025</x:v>
      </x:c>
      <x:c r="S447" s="14" t="n">
        <x:v>2025</x:v>
      </x:c>
      <x:c r="T447" s="14" t="n">
        <x:v>2025</x:v>
      </x:c>
      <x:c r="U447" s="14" t="str">
        <x:v>Explicit source first year retained</x:v>
      </x:c>
      <x:c r="V447" s="14" t="str">
        <x:v>Earliest supplied year is 2025.</x:v>
      </x:c>
      <x:c r="W447" s="14"/>
      <x:c r="X447" s="14" t="str">
        <x:v>Included</x:v>
      </x:c>
      <x:c r="Y447" s="14"/>
      <x:c r="Z447" s="14" t="str">
        <x:v>Am I Being Unreasonable.docx</x:v>
      </x:c>
      <x:c r="AA447" s="14" t="str">
        <x:v>HYPERLINK is not implemented. linkLocation=https://www.imdb.com/title/tt15792042/fullcredits/,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7" s="14" t="str">
        <x:v>BBC public-service 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5</x:v>
      </x:c>
      <x:c r="BS447" s="16" t="n">
        <x:v>0.4166666666666667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4" t="str">
        <x:v>HYPERLINK is not implemented. linkLocation=https://www.imdb.com/title/tt15792042/fullcredits/,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tt15792042|nm0085244|daphne</x:v>
      </x:c>
      <x:c r="B448" s="14" t="str">
        <x:v>01</x:v>
      </x:c>
      <x:c r="C448" s="14" t="str">
        <x:v>2022_IMDb_Cast_Lists_Batch_01(1).xlsx</x:v>
      </x:c>
      <x:c r="D448" s="14" t="str">
        <x:v>Am I Being Unreasonable?</x:v>
      </x:c>
      <x:c r="E448" s="14" t="n">
        <x:v>22</x:v>
      </x:c>
      <x:c r="F448" s="14" t="str">
        <x:v>Am I Being Unreasonable?</x:v>
      </x:c>
      <x:c r="G448" s="14" t="str">
        <x:v>tt15792042</x:v>
      </x:c>
      <x:c r="H448" s="14" t="n">
        <x:v>2022</x:v>
      </x:c>
      <x:c r="I448" s="14" t="n">
        <x:v>2025</x:v>
      </x:c>
      <x:c r="J448" s="14" t="str">
        <x:v>Earlier-Production Carry-In Cohort</x:v>
      </x:c>
      <x:c r="K448" s="14" t="n">
        <x:v>2022</x:v>
      </x:c>
      <x:c r="L448" s="14" t="str">
        <x:v>Used in 2025 annual analysis</x:v>
      </x:c>
      <x:c r="M448" s="15" t="n">
        <x:v>15</x:v>
      </x:c>
      <x:c r="N448" s="14" t="str">
        <x:v>Denise Black</x:v>
      </x:c>
      <x:c r="O448" s="14" t="str">
        <x:v>nm0085244</x:v>
      </x:c>
      <x:c r="P448" s="14" t="str">
        <x:v>Daphne</x:v>
      </x:c>
      <x:c r="Q448" s="15" t="n">
        <x:v>5</x:v>
      </x:c>
      <x:c r="R448" s="14" t="str">
        <x:v>2025</x:v>
      </x:c>
      <x:c r="S448" s="14" t="n">
        <x:v>2025</x:v>
      </x:c>
      <x:c r="T448" s="14" t="n">
        <x:v>2025</x:v>
      </x:c>
      <x:c r="U448" s="14" t="str">
        <x:v>Explicit source first year retained</x:v>
      </x:c>
      <x:c r="V448" s="14" t="str">
        <x:v>Earliest supplied year is 2025.</x:v>
      </x:c>
      <x:c r="W448" s="14"/>
      <x:c r="X448" s="14" t="str">
        <x:v>Included</x:v>
      </x:c>
      <x:c r="Y448" s="14"/>
      <x:c r="Z448" s="14" t="str">
        <x:v>Am I Being Unreasonable.docx</x:v>
      </x:c>
      <x:c r="AA448" s="14" t="str">
        <x:v>HYPERLINK is not implemented. linkLocation=https://www.imdb.com/title/tt15792042/fullcredits/, friendlyName=Open source</x:v>
      </x:c>
      <x:c r="AB448" s="14" t="str">
        <x:v>Existing established-register match</x:v>
      </x:c>
      <x:c r="AC448" s="14" t="str">
        <x:v>Physical disability</x:v>
      </x:c>
      <x:c r="AD448" s="14" t="str">
        <x:v>Existing register classification: Physical disability</x:v>
      </x:c>
      <x:c r="AE448" s="14" t="str">
        <x:v>Established_Disability_Category_Register V1.2.xlsx</x:v>
      </x:c>
      <x:c r="AF448" s="14"/>
      <x:c r="AG448" s="14" t="str">
        <x:v>Established user-supplied classification retained for deduplication; evidence was not re-researched in this batch.</x:v>
      </x:c>
      <x:c r="AH448" s="14" t="str">
        <x:v>BBC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8" s="14" t="str">
        <x:v>BBC public-service 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 t="str">
        <x:v>Exact IMDb performer ID match</x:v>
      </x:c>
      <x:c r="AT448" s="14" t="str">
        <x:v>nm0085244</x:v>
      </x:c>
      <x:c r="AU448" s="14" t="str">
        <x:v>Physical disability</x:v>
      </x:c>
      <x:c r="AV448" s="14" t="str">
        <x:v>Yes</x:v>
      </x:c>
      <x:c r="AW448" s="14" t="str">
        <x:v>Physical disability</x:v>
      </x:c>
      <x:c r="AX448" s="14" t="str">
        <x:v>No</x:v>
      </x:c>
      <x:c r="AY448" s="14" t="str">
        <x:v>Matched</x:v>
      </x:c>
      <x:c r="AZ448" s="14" t="str">
        <x:v>Final supplied register</x:v>
      </x:c>
      <x:c r="BA448" s="14"/>
      <x:c r="BB448" s="14" t="str">
        <x:v>Exact IMDb performer ID match</x:v>
      </x:c>
      <x:c r="BC448" s="14" t="str">
        <x:v>nm0085244</x:v>
      </x:c>
      <x:c r="BD448" s="14" t="str">
        <x:v>Denise Black</x:v>
      </x:c>
      <x:c r="BE448" s="14" t="str">
        <x:v>Physical disability</x:v>
      </x:c>
      <x:c r="BF448" s="14" t="str">
        <x:v>Yes</x:v>
      </x:c>
      <x:c r="BG448" s="14" t="str">
        <x:v>Physical disability</x:v>
      </x:c>
      <x:c r="BH448" s="14" t="str">
        <x:v>No</x:v>
      </x:c>
      <x:c r="BI448" s="14" t="str">
        <x:v>User-supplied established classification</x:v>
      </x:c>
      <x:c r="BJ448" s="14" t="str">
        <x:v>04_Physical_disability.csv</x:v>
      </x:c>
      <x:c r="BK448" s="14"/>
      <x:c r="BL448" s="14" t="str">
        <x:v>Matched</x:v>
      </x:c>
      <x:c r="BM448" s="14" t="str">
        <x:v>Final supplied register</x:v>
      </x:c>
      <x:c r="BN448" s="14"/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5</x:v>
      </x:c>
      <x:c r="BS448" s="16" t="n">
        <x:v>0.4166666666666667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4" t="str">
        <x:v>HYPERLINK is not implemented. linkLocation=https://www.imdb.com/title/tt15792042/fullcredits/,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tt15792042|nm9895064|mr. woodbead</x:v>
      </x:c>
      <x:c r="B449" s="14" t="str">
        <x:v>01</x:v>
      </x:c>
      <x:c r="C449" s="14" t="str">
        <x:v>2022_IMDb_Cast_Lists_Batch_01(1).xlsx</x:v>
      </x:c>
      <x:c r="D449" s="14" t="str">
        <x:v>Am I Being Unreasonable?</x:v>
      </x:c>
      <x:c r="E449" s="14" t="n">
        <x:v>32</x:v>
      </x:c>
      <x:c r="F449" s="14" t="str">
        <x:v>Am I Being Unreasonable?</x:v>
      </x:c>
      <x:c r="G449" s="14" t="str">
        <x:v>tt15792042</x:v>
      </x:c>
      <x:c r="H449" s="14" t="n">
        <x:v>2022</x:v>
      </x:c>
      <x:c r="I449" s="14" t="n">
        <x:v>2025</x:v>
      </x:c>
      <x:c r="J449" s="14" t="str">
        <x:v>Earlier-Production Carry-In Cohort</x:v>
      </x:c>
      <x:c r="K449" s="14" t="n">
        <x:v>2022</x:v>
      </x:c>
      <x:c r="L449" s="14" t="str">
        <x:v>Used in 2025 annual analysis</x:v>
      </x:c>
      <x:c r="M449" s="15" t="n">
        <x:v>25</x:v>
      </x:c>
      <x:c r="N449" s="14" t="str">
        <x:v>Kojey Radical</x:v>
      </x:c>
      <x:c r="O449" s="14" t="str">
        <x:v>nm9895064</x:v>
      </x:c>
      <x:c r="P449" s="14" t="str">
        <x:v>Mr. Woodbead</x:v>
      </x:c>
      <x:c r="Q449" s="15" t="n">
        <x:v>3</x:v>
      </x:c>
      <x:c r="R449" s="14" t="str">
        <x:v>2025</x:v>
      </x:c>
      <x:c r="S449" s="14" t="n">
        <x:v>2025</x:v>
      </x:c>
      <x:c r="T449" s="14" t="n">
        <x:v>2025</x:v>
      </x:c>
      <x:c r="U449" s="14" t="str">
        <x:v>Explicit source first year retained</x:v>
      </x:c>
      <x:c r="V449" s="14" t="str">
        <x:v>Earliest supplied year is 2025.</x:v>
      </x:c>
      <x:c r="W449" s="14"/>
      <x:c r="X449" s="14" t="str">
        <x:v>Included</x:v>
      </x:c>
      <x:c r="Y449" s="14"/>
      <x:c r="Z449" s="14" t="str">
        <x:v>Am I Being Unreasonable.docx</x:v>
      </x:c>
      <x:c r="AA449" s="14" t="str">
        <x:v>HYPERLINK is not implemented. linkLocation=https://www.imdb.com/title/tt15792042/fullcredits/,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9" s="14" t="str">
        <x:v>BBC public-service 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3</x:v>
      </x:c>
      <x:c r="BS449" s="16" t="n">
        <x:v>0.25</x:v>
      </x:c>
      <x:c r="BT449" s="14" t="str">
        <x:v>Minority of episodes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4" t="str">
        <x:v>HYPERLINK is not implemented. linkLocation=https://www.imdb.com/title/tt15792042/fullcredits/,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tt15792042|nm11198654|skellis performer</x:v>
      </x:c>
      <x:c r="B450" s="14" t="str">
        <x:v>01</x:v>
      </x:c>
      <x:c r="C450" s="14" t="str">
        <x:v>2022_IMDb_Cast_Lists_Batch_01(1).xlsx</x:v>
      </x:c>
      <x:c r="D450" s="14" t="str">
        <x:v>Am I Being Unreasonable?</x:v>
      </x:c>
      <x:c r="E450" s="14" t="n">
        <x:v>33</x:v>
      </x:c>
      <x:c r="F450" s="14" t="str">
        <x:v>Am I Being Unreasonable?</x:v>
      </x:c>
      <x:c r="G450" s="14" t="str">
        <x:v>tt15792042</x:v>
      </x:c>
      <x:c r="H450" s="14" t="n">
        <x:v>2022</x:v>
      </x:c>
      <x:c r="I450" s="14" t="n">
        <x:v>2025</x:v>
      </x:c>
      <x:c r="J450" s="14" t="str">
        <x:v>Earlier-Production Carry-In Cohort</x:v>
      </x:c>
      <x:c r="K450" s="14" t="n">
        <x:v>2022</x:v>
      </x:c>
      <x:c r="L450" s="14" t="str">
        <x:v>Used in 2025 annual analysis</x:v>
      </x:c>
      <x:c r="M450" s="15" t="n">
        <x:v>26</x:v>
      </x:c>
      <x:c r="N450" s="14" t="str">
        <x:v>Nick Tiernan</x:v>
      </x:c>
      <x:c r="O450" s="14" t="str">
        <x:v>nm11198654</x:v>
      </x:c>
      <x:c r="P450" s="14" t="str">
        <x:v>Skellis Performer</x:v>
      </x:c>
      <x:c r="Q450" s="15" t="n">
        <x:v>3</x:v>
      </x:c>
      <x:c r="R450" s="14" t="str">
        <x:v>2025</x:v>
      </x:c>
      <x:c r="S450" s="14" t="n">
        <x:v>2025</x:v>
      </x:c>
      <x:c r="T450" s="14" t="n">
        <x:v>2025</x:v>
      </x:c>
      <x:c r="U450" s="14" t="str">
        <x:v>Explicit source first year retained</x:v>
      </x:c>
      <x:c r="V450" s="14" t="str">
        <x:v>Earliest supplied year is 2025.</x:v>
      </x:c>
      <x:c r="W450" s="14"/>
      <x:c r="X450" s="14" t="str">
        <x:v>Included</x:v>
      </x:c>
      <x:c r="Y450" s="14"/>
      <x:c r="Z450" s="14" t="str">
        <x:v>Am I Being Unreasonable.docx</x:v>
      </x:c>
      <x:c r="AA450" s="14" t="str">
        <x:v>HYPERLINK is not implemented. linkLocation=https://www.imdb.com/title/tt15792042/fullcredits/,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0" s="14" t="str">
        <x:v>BBC public-service 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3</x:v>
      </x:c>
      <x:c r="BS450" s="16" t="n">
        <x:v>0.25</x:v>
      </x:c>
      <x:c r="BT450" s="14" t="str">
        <x:v>Minority of episodes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4" t="str">
        <x:v>HYPERLINK is not implemented. linkLocation=https://www.imdb.com/title/tt15792042/fullcredits/,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tt15792042|nm2003229|therapist</x:v>
      </x:c>
      <x:c r="B451" s="14" t="str">
        <x:v>01</x:v>
      </x:c>
      <x:c r="C451" s="14" t="str">
        <x:v>2022_IMDb_Cast_Lists_Batch_01(1).xlsx</x:v>
      </x:c>
      <x:c r="D451" s="14" t="str">
        <x:v>Am I Being Unreasonable?</x:v>
      </x:c>
      <x:c r="E451" s="14" t="n">
        <x:v>36</x:v>
      </x:c>
      <x:c r="F451" s="14" t="str">
        <x:v>Am I Being Unreasonable?</x:v>
      </x:c>
      <x:c r="G451" s="14" t="str">
        <x:v>tt15792042</x:v>
      </x:c>
      <x:c r="H451" s="14" t="n">
        <x:v>2022</x:v>
      </x:c>
      <x:c r="I451" s="14" t="n">
        <x:v>2025</x:v>
      </x:c>
      <x:c r="J451" s="14" t="str">
        <x:v>Earlier-Production Carry-In Cohort</x:v>
      </x:c>
      <x:c r="K451" s="14" t="n">
        <x:v>2022</x:v>
      </x:c>
      <x:c r="L451" s="14" t="str">
        <x:v>Used in 2025 annual analysis</x:v>
      </x:c>
      <x:c r="M451" s="15" t="n">
        <x:v>29</x:v>
      </x:c>
      <x:c r="N451" s="14" t="str">
        <x:v>Chelsea Peretti</x:v>
      </x:c>
      <x:c r="O451" s="14" t="str">
        <x:v>nm2003229</x:v>
      </x:c>
      <x:c r="P451" s="14" t="str">
        <x:v>Therapist</x:v>
      </x:c>
      <x:c r="Q451" s="15" t="n">
        <x:v>2</x:v>
      </x:c>
      <x:c r="R451" s="14" t="str">
        <x:v>2025</x:v>
      </x:c>
      <x:c r="S451" s="14" t="n">
        <x:v>2025</x:v>
      </x:c>
      <x:c r="T451" s="14" t="n">
        <x:v>2025</x:v>
      </x:c>
      <x:c r="U451" s="14" t="str">
        <x:v>Explicit source first year retained</x:v>
      </x:c>
      <x:c r="V451" s="14" t="str">
        <x:v>Earliest supplied year is 2025.</x:v>
      </x:c>
      <x:c r="W451" s="14"/>
      <x:c r="X451" s="14" t="str">
        <x:v>Included</x:v>
      </x:c>
      <x:c r="Y451" s="14"/>
      <x:c r="Z451" s="14" t="str">
        <x:v>Am I Being Unreasonable.docx</x:v>
      </x:c>
      <x:c r="AA451" s="14" t="str">
        <x:v>HYPERLINK is not implemented. linkLocation=https://www.imdb.com/title/tt15792042/fullcredits/,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1" s="14" t="str">
        <x:v>BBC public-service 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2</x:v>
      </x:c>
      <x:c r="BS451" s="16" t="n">
        <x:v>0.16666666666666666</x:v>
      </x:c>
      <x:c r="BT451" s="14" t="str">
        <x:v>Minority of episodes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4" t="str">
        <x:v>HYPERLINK is not implemented. linkLocation=https://www.imdb.com/title/tt15792042/fullcredits/,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tt15792042|nm4269084|taxi driver</x:v>
      </x:c>
      <x:c r="B452" s="14" t="str">
        <x:v>01</x:v>
      </x:c>
      <x:c r="C452" s="14" t="str">
        <x:v>2022_IMDb_Cast_Lists_Batch_01(1).xlsx</x:v>
      </x:c>
      <x:c r="D452" s="14" t="str">
        <x:v>Am I Being Unreasonable?</x:v>
      </x:c>
      <x:c r="E452" s="14" t="n">
        <x:v>38</x:v>
      </x:c>
      <x:c r="F452" s="14" t="str">
        <x:v>Am I Being Unreasonable?</x:v>
      </x:c>
      <x:c r="G452" s="14" t="str">
        <x:v>tt15792042</x:v>
      </x:c>
      <x:c r="H452" s="14" t="n">
        <x:v>2022</x:v>
      </x:c>
      <x:c r="I452" s="14" t="n">
        <x:v>2025</x:v>
      </x:c>
      <x:c r="J452" s="14" t="str">
        <x:v>Earlier-Production Carry-In Cohort</x:v>
      </x:c>
      <x:c r="K452" s="14" t="n">
        <x:v>2022</x:v>
      </x:c>
      <x:c r="L452" s="14" t="str">
        <x:v>Used in 2025 annual analysis</x:v>
      </x:c>
      <x:c r="M452" s="15" t="n">
        <x:v>31</x:v>
      </x:c>
      <x:c r="N452" s="14" t="str">
        <x:v>Tom Davis</x:v>
      </x:c>
      <x:c r="O452" s="14" t="str">
        <x:v>nm4269084</x:v>
      </x:c>
      <x:c r="P452" s="14" t="str">
        <x:v>Taxi Driver</x:v>
      </x:c>
      <x:c r="Q452" s="15" t="n">
        <x:v>1</x:v>
      </x:c>
      <x:c r="R452" s="14" t="str">
        <x:v>2025</x:v>
      </x:c>
      <x:c r="S452" s="14" t="n">
        <x:v>2025</x:v>
      </x:c>
      <x:c r="T452" s="14" t="n">
        <x:v>2025</x:v>
      </x:c>
      <x:c r="U452" s="14" t="str">
        <x:v>Explicit source first year retained</x:v>
      </x:c>
      <x:c r="V452" s="14" t="str">
        <x:v>Earliest supplied year is 2025.</x:v>
      </x:c>
      <x:c r="W452" s="14"/>
      <x:c r="X452" s="14" t="str">
        <x:v>Included</x:v>
      </x:c>
      <x:c r="Y452" s="14"/>
      <x:c r="Z452" s="14" t="str">
        <x:v>Am I Being Unreasonable.docx</x:v>
      </x:c>
      <x:c r="AA452" s="14" t="str">
        <x:v>HYPERLINK is not implemented. linkLocation=https://www.imdb.com/title/tt15792042/fullcredits/,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2" s="14" t="str">
        <x:v>BBC public-service 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4" t="str">
        <x:v>HYPERLINK is not implemented. linkLocation=https://www.imdb.com/title/tt15792042/fullcredits/,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tt15792042|nm15330262|nurse</x:v>
      </x:c>
      <x:c r="B453" s="14" t="str">
        <x:v>01</x:v>
      </x:c>
      <x:c r="C453" s="14" t="str">
        <x:v>2022_IMDb_Cast_Lists_Batch_01(1).xlsx</x:v>
      </x:c>
      <x:c r="D453" s="14" t="str">
        <x:v>Am I Being Unreasonable?</x:v>
      </x:c>
      <x:c r="E453" s="14" t="n">
        <x:v>40</x:v>
      </x:c>
      <x:c r="F453" s="14" t="str">
        <x:v>Am I Being Unreasonable?</x:v>
      </x:c>
      <x:c r="G453" s="14" t="str">
        <x:v>tt15792042</x:v>
      </x:c>
      <x:c r="H453" s="14" t="n">
        <x:v>2022</x:v>
      </x:c>
      <x:c r="I453" s="14" t="n">
        <x:v>2025</x:v>
      </x:c>
      <x:c r="J453" s="14" t="str">
        <x:v>Earlier-Production Carry-In Cohort</x:v>
      </x:c>
      <x:c r="K453" s="14" t="n">
        <x:v>2022</x:v>
      </x:c>
      <x:c r="L453" s="14" t="str">
        <x:v>Used in 2025 annual analysis</x:v>
      </x:c>
      <x:c r="M453" s="15" t="n">
        <x:v>33</x:v>
      </x:c>
      <x:c r="N453" s="14" t="str">
        <x:v>Fowzia Madar</x:v>
      </x:c>
      <x:c r="O453" s="14" t="str">
        <x:v>nm15330262</x:v>
      </x:c>
      <x:c r="P453" s="14" t="str">
        <x:v>Nurse</x:v>
      </x:c>
      <x:c r="Q453" s="15" t="n">
        <x:v>1</x:v>
      </x:c>
      <x:c r="R453" s="14" t="str">
        <x:v>2025</x:v>
      </x:c>
      <x:c r="S453" s="14" t="n">
        <x:v>2025</x:v>
      </x:c>
      <x:c r="T453" s="14" t="n">
        <x:v>2025</x:v>
      </x:c>
      <x:c r="U453" s="14" t="str">
        <x:v>Explicit source first year retained</x:v>
      </x:c>
      <x:c r="V453" s="14" t="str">
        <x:v>Earliest supplied year is 2025.</x:v>
      </x:c>
      <x:c r="W453" s="14"/>
      <x:c r="X453" s="14" t="str">
        <x:v>Included</x:v>
      </x:c>
      <x:c r="Y453" s="14"/>
      <x:c r="Z453" s="14" t="str">
        <x:v>Am I Being Unreasonable.docx</x:v>
      </x:c>
      <x:c r="AA453" s="14" t="str">
        <x:v>HYPERLINK is not implemented. linkLocation=https://www.imdb.com/title/tt15792042/fullcredits/,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3" s="14" t="str">
        <x:v>BBC public-service 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4" t="str">
        <x:v>HYPERLINK is not implemented. linkLocation=https://www.imdb.com/title/tt15792042/fullcredits/,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tt15792042|nm8314674|hotel worker</x:v>
      </x:c>
      <x:c r="B454" s="14" t="str">
        <x:v>01</x:v>
      </x:c>
      <x:c r="C454" s="14" t="str">
        <x:v>2022_IMDb_Cast_Lists_Batch_01(1).xlsx</x:v>
      </x:c>
      <x:c r="D454" s="14" t="str">
        <x:v>Am I Being Unreasonable?</x:v>
      </x:c>
      <x:c r="E454" s="14" t="n">
        <x:v>41</x:v>
      </x:c>
      <x:c r="F454" s="14" t="str">
        <x:v>Am I Being Unreasonable?</x:v>
      </x:c>
      <x:c r="G454" s="14" t="str">
        <x:v>tt15792042</x:v>
      </x:c>
      <x:c r="H454" s="14" t="n">
        <x:v>2022</x:v>
      </x:c>
      <x:c r="I454" s="14" t="n">
        <x:v>2025</x:v>
      </x:c>
      <x:c r="J454" s="14" t="str">
        <x:v>Earlier-Production Carry-In Cohort</x:v>
      </x:c>
      <x:c r="K454" s="14" t="n">
        <x:v>2022</x:v>
      </x:c>
      <x:c r="L454" s="14" t="str">
        <x:v>Used in 2025 annual analysis</x:v>
      </x:c>
      <x:c r="M454" s="15" t="n">
        <x:v>34</x:v>
      </x:c>
      <x:c r="N454" s="14" t="str">
        <x:v>Jamali Maddix</x:v>
      </x:c>
      <x:c r="O454" s="14" t="str">
        <x:v>nm8314674</x:v>
      </x:c>
      <x:c r="P454" s="14" t="str">
        <x:v>Hotel Worker</x:v>
      </x:c>
      <x:c r="Q454" s="15" t="n">
        <x:v>1</x:v>
      </x:c>
      <x:c r="R454" s="14" t="str">
        <x:v>2025</x:v>
      </x:c>
      <x:c r="S454" s="14" t="n">
        <x:v>2025</x:v>
      </x:c>
      <x:c r="T454" s="14" t="n">
        <x:v>2025</x:v>
      </x:c>
      <x:c r="U454" s="14" t="str">
        <x:v>Explicit source first year retained</x:v>
      </x:c>
      <x:c r="V454" s="14" t="str">
        <x:v>Earliest supplied year is 2025.</x:v>
      </x:c>
      <x:c r="W454" s="14"/>
      <x:c r="X454" s="14" t="str">
        <x:v>Included</x:v>
      </x:c>
      <x:c r="Y454" s="14"/>
      <x:c r="Z454" s="14" t="str">
        <x:v>Am I Being Unreasonable.docx</x:v>
      </x:c>
      <x:c r="AA454" s="14" t="str">
        <x:v>HYPERLINK is not implemented. linkLocation=https://www.imdb.com/title/tt15792042/fullcredits/,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4" s="14" t="str">
        <x:v>BBC public-service 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4" t="str">
        <x:v>HYPERLINK is not implemented. linkLocation=https://www.imdb.com/title/tt15792042/fullcredits/,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tt15792042|nm0253126|sky engineer</x:v>
      </x:c>
      <x:c r="B455" s="14" t="str">
        <x:v>01</x:v>
      </x:c>
      <x:c r="C455" s="14" t="str">
        <x:v>2022_IMDb_Cast_Lists_Batch_01(1).xlsx</x:v>
      </x:c>
      <x:c r="D455" s="14" t="str">
        <x:v>Am I Being Unreasonable?</x:v>
      </x:c>
      <x:c r="E455" s="14" t="n">
        <x:v>46</x:v>
      </x:c>
      <x:c r="F455" s="14" t="str">
        <x:v>Am I Being Unreasonable?</x:v>
      </x:c>
      <x:c r="G455" s="14" t="str">
        <x:v>tt15792042</x:v>
      </x:c>
      <x:c r="H455" s="14" t="n">
        <x:v>2022</x:v>
      </x:c>
      <x:c r="I455" s="14" t="n">
        <x:v>2025</x:v>
      </x:c>
      <x:c r="J455" s="14" t="str">
        <x:v>Earlier-Production Carry-In Cohort</x:v>
      </x:c>
      <x:c r="K455" s="14" t="n">
        <x:v>2022</x:v>
      </x:c>
      <x:c r="L455" s="14" t="str">
        <x:v>Used in 2025 annual analysis</x:v>
      </x:c>
      <x:c r="M455" s="15" t="n">
        <x:v>39</x:v>
      </x:c>
      <x:c r="N455" s="14" t="str">
        <x:v>Kevin Eldon</x:v>
      </x:c>
      <x:c r="O455" s="14" t="str">
        <x:v>nm0253126</x:v>
      </x:c>
      <x:c r="P455" s="14" t="str">
        <x:v>Sky Engineer</x:v>
      </x:c>
      <x:c r="Q455" s="15" t="n">
        <x:v>1</x:v>
      </x:c>
      <x:c r="R455" s="14" t="str">
        <x:v>2025</x:v>
      </x:c>
      <x:c r="S455" s="14" t="n">
        <x:v>2025</x:v>
      </x:c>
      <x:c r="T455" s="14" t="n">
        <x:v>2025</x:v>
      </x:c>
      <x:c r="U455" s="14" t="str">
        <x:v>Explicit source first year retained</x:v>
      </x:c>
      <x:c r="V455" s="14" t="str">
        <x:v>Earliest supplied year is 2025.</x:v>
      </x:c>
      <x:c r="W455" s="14"/>
      <x:c r="X455" s="14" t="str">
        <x:v>Included</x:v>
      </x:c>
      <x:c r="Y455" s="14"/>
      <x:c r="Z455" s="14" t="str">
        <x:v>Am I Being Unreasonable.docx</x:v>
      </x:c>
      <x:c r="AA455" s="14" t="str">
        <x:v>HYPERLINK is not implemented. linkLocation=https://www.imdb.com/title/tt15792042/fullcredits/,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5" s="14" t="str">
        <x:v>BBC public-service 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4" t="str">
        <x:v>HYPERLINK is not implemented. linkLocation=https://www.imdb.com/title/tt15792042/fullcredits/,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tt15792042|nm3764470|witch trial parent</x:v>
      </x:c>
      <x:c r="B456" s="14" t="str">
        <x:v>01</x:v>
      </x:c>
      <x:c r="C456" s="14" t="str">
        <x:v>2022_IMDb_Cast_Lists_Batch_01(1).xlsx</x:v>
      </x:c>
      <x:c r="D456" s="14" t="str">
        <x:v>Am I Being Unreasonable?</x:v>
      </x:c>
      <x:c r="E456" s="14" t="n">
        <x:v>47</x:v>
      </x:c>
      <x:c r="F456" s="14" t="str">
        <x:v>Am I Being Unreasonable?</x:v>
      </x:c>
      <x:c r="G456" s="14" t="str">
        <x:v>tt15792042</x:v>
      </x:c>
      <x:c r="H456" s="14" t="n">
        <x:v>2022</x:v>
      </x:c>
      <x:c r="I456" s="14" t="n">
        <x:v>2025</x:v>
      </x:c>
      <x:c r="J456" s="14" t="str">
        <x:v>Earlier-Production Carry-In Cohort</x:v>
      </x:c>
      <x:c r="K456" s="14" t="n">
        <x:v>2022</x:v>
      </x:c>
      <x:c r="L456" s="14" t="str">
        <x:v>Used in 2025 annual analysis</x:v>
      </x:c>
      <x:c r="M456" s="15" t="n">
        <x:v>40</x:v>
      </x:c>
      <x:c r="N456" s="14" t="str">
        <x:v>Richard Price</x:v>
      </x:c>
      <x:c r="O456" s="14" t="str">
        <x:v>nm3764470</x:v>
      </x:c>
      <x:c r="P456" s="14" t="str">
        <x:v>Witch Trial Parent</x:v>
      </x:c>
      <x:c r="Q456" s="15" t="n">
        <x:v>1</x:v>
      </x:c>
      <x:c r="R456" s="14" t="str">
        <x:v>2025</x:v>
      </x:c>
      <x:c r="S456" s="14" t="n">
        <x:v>2025</x:v>
      </x:c>
      <x:c r="T456" s="14" t="n">
        <x:v>2025</x:v>
      </x:c>
      <x:c r="U456" s="14" t="str">
        <x:v>Explicit source first year retained</x:v>
      </x:c>
      <x:c r="V456" s="14" t="str">
        <x:v>Earliest supplied year is 2025.</x:v>
      </x:c>
      <x:c r="W456" s="14"/>
      <x:c r="X456" s="14" t="str">
        <x:v>Included</x:v>
      </x:c>
      <x:c r="Y456" s="14"/>
      <x:c r="Z456" s="14" t="str">
        <x:v>Am I Being Unreasonable.docx</x:v>
      </x:c>
      <x:c r="AA456" s="14" t="str">
        <x:v>HYPERLINK is not implemented. linkLocation=https://www.imdb.com/title/tt15792042/fullcredits/,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BBC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6" s="14" t="str">
        <x:v>BBC public-service 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4" t="str">
        <x:v>HYPERLINK is not implemented. linkLocation=https://www.imdb.com/title/tt15792042/fullcredits/,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tt15792042|nm16756518|villager</x:v>
      </x:c>
      <x:c r="B457" s="14" t="str">
        <x:v>01</x:v>
      </x:c>
      <x:c r="C457" s="14" t="str">
        <x:v>2022_IMDb_Cast_Lists_Batch_01(1).xlsx</x:v>
      </x:c>
      <x:c r="D457" s="14" t="str">
        <x:v>Am I Being Unreasonable?</x:v>
      </x:c>
      <x:c r="E457" s="14" t="n">
        <x:v>48</x:v>
      </x:c>
      <x:c r="F457" s="14" t="str">
        <x:v>Am I Being Unreasonable?</x:v>
      </x:c>
      <x:c r="G457" s="14" t="str">
        <x:v>tt15792042</x:v>
      </x:c>
      <x:c r="H457" s="14" t="n">
        <x:v>2022</x:v>
      </x:c>
      <x:c r="I457" s="14" t="n">
        <x:v>2025</x:v>
      </x:c>
      <x:c r="J457" s="14" t="str">
        <x:v>Earlier-Production Carry-In Cohort</x:v>
      </x:c>
      <x:c r="K457" s="14" t="n">
        <x:v>2022</x:v>
      </x:c>
      <x:c r="L457" s="14" t="str">
        <x:v>Used in 2025 annual analysis</x:v>
      </x:c>
      <x:c r="M457" s="15" t="n">
        <x:v>41</x:v>
      </x:c>
      <x:c r="N457" s="14" t="str">
        <x:v>Steve Dixon</x:v>
      </x:c>
      <x:c r="O457" s="14" t="str">
        <x:v>nm16756518</x:v>
      </x:c>
      <x:c r="P457" s="14" t="str">
        <x:v>Villager</x:v>
      </x:c>
      <x:c r="Q457" s="15" t="n">
        <x:v>1</x:v>
      </x:c>
      <x:c r="R457" s="14" t="str">
        <x:v>2025</x:v>
      </x:c>
      <x:c r="S457" s="14" t="n">
        <x:v>2025</x:v>
      </x:c>
      <x:c r="T457" s="14" t="n">
        <x:v>2025</x:v>
      </x:c>
      <x:c r="U457" s="14" t="str">
        <x:v>Explicit source first year retained</x:v>
      </x:c>
      <x:c r="V457" s="14" t="str">
        <x:v>Earliest supplied year is 2025.</x:v>
      </x:c>
      <x:c r="W457" s="14"/>
      <x:c r="X457" s="14" t="str">
        <x:v>Included</x:v>
      </x:c>
      <x:c r="Y457" s="14"/>
      <x:c r="Z457" s="14" t="str">
        <x:v>Am I Being Unreasonable.docx</x:v>
      </x:c>
      <x:c r="AA457" s="14" t="str">
        <x:v>HYPERLINK is not implemented. linkLocation=https://www.imdb.com/title/tt15792042/fullcredits/,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7" s="14" t="str">
        <x:v>BBC public-service 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4" t="str">
        <x:v>HYPERLINK is not implemented. linkLocation=https://www.imdb.com/title/tt15792042/fullcredits/,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tt15792042|nm17011539|caretaker</x:v>
      </x:c>
      <x:c r="B458" s="14" t="str">
        <x:v>01</x:v>
      </x:c>
      <x:c r="C458" s="14" t="str">
        <x:v>2022_IMDb_Cast_Lists_Batch_01(1).xlsx</x:v>
      </x:c>
      <x:c r="D458" s="14" t="str">
        <x:v>Am I Being Unreasonable?</x:v>
      </x:c>
      <x:c r="E458" s="14" t="n">
        <x:v>49</x:v>
      </x:c>
      <x:c r="F458" s="14" t="str">
        <x:v>Am I Being Unreasonable?</x:v>
      </x:c>
      <x:c r="G458" s="14" t="str">
        <x:v>tt15792042</x:v>
      </x:c>
      <x:c r="H458" s="14" t="n">
        <x:v>2022</x:v>
      </x:c>
      <x:c r="I458" s="14" t="n">
        <x:v>2025</x:v>
      </x:c>
      <x:c r="J458" s="14" t="str">
        <x:v>Earlier-Production Carry-In Cohort</x:v>
      </x:c>
      <x:c r="K458" s="14" t="n">
        <x:v>2022</x:v>
      </x:c>
      <x:c r="L458" s="14" t="str">
        <x:v>Used in 2025 annual analysis</x:v>
      </x:c>
      <x:c r="M458" s="15" t="n">
        <x:v>42</x:v>
      </x:c>
      <x:c r="N458" s="14" t="str">
        <x:v>Ant Huggins</x:v>
      </x:c>
      <x:c r="O458" s="14" t="str">
        <x:v>nm17011539</x:v>
      </x:c>
      <x:c r="P458" s="14" t="str">
        <x:v>Caretaker</x:v>
      </x:c>
      <x:c r="Q458" s="15" t="n">
        <x:v>1</x:v>
      </x:c>
      <x:c r="R458" s="14" t="str">
        <x:v>2025</x:v>
      </x:c>
      <x:c r="S458" s="14" t="n">
        <x:v>2025</x:v>
      </x:c>
      <x:c r="T458" s="14" t="n">
        <x:v>2025</x:v>
      </x:c>
      <x:c r="U458" s="14" t="str">
        <x:v>Explicit source first year retained</x:v>
      </x:c>
      <x:c r="V458" s="14" t="str">
        <x:v>Earliest supplied year is 2025.</x:v>
      </x:c>
      <x:c r="W458" s="14"/>
      <x:c r="X458" s="14" t="str">
        <x:v>Included</x:v>
      </x:c>
      <x:c r="Y458" s="14"/>
      <x:c r="Z458" s="14" t="str">
        <x:v>Am I Being Unreasonable.docx</x:v>
      </x:c>
      <x:c r="AA458" s="14" t="str">
        <x:v>HYPERLINK is not implemented. linkLocation=https://www.imdb.com/title/tt15792042/fullcredits/,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BBC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8" s="14" t="str">
        <x:v>BBC public-service commission</x:v>
      </x:c>
      <x:c r="AO458" s="14" t="str">
        <x:v>Yes</x:v>
      </x:c>
      <x:c r="AP458" s="14" t="str">
        <x:v>Direct BBC public-service scope</x:v>
      </x:c>
      <x:c r="AQ458" s="14" t="str">
        <x:v>Yes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4" t="str">
        <x:v>HYPERLINK is not implemented. linkLocation=https://www.imdb.com/title/tt15792042/fullcredits/,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tt13683866|nm3535066|eleanor</x:v>
      </x:c>
      <x:c r="B459" s="14" t="str">
        <x:v>01</x:v>
      </x:c>
      <x:c r="C459" s="14" t="str">
        <x:v>2022_IMDb_Cast_Lists_Batch_01(1).xlsx</x:v>
      </x:c>
      <x:c r="D459" s="14" t="str">
        <x:v>Big Boys</x:v>
      </x:c>
      <x:c r="E459" s="14" t="n">
        <x:v>25</x:v>
      </x:c>
      <x:c r="F459" s="14" t="str">
        <x:v>Big Boys</x:v>
      </x:c>
      <x:c r="G459" s="14" t="str">
        <x:v>tt13683866</x:v>
      </x:c>
      <x:c r="H459" s="14" t="n">
        <x:v>2022</x:v>
      </x:c>
      <x:c r="I459" s="14" t="n">
        <x:v>2025</x:v>
      </x:c>
      <x:c r="J459" s="14" t="str">
        <x:v>Earlier-Production Carry-In Cohort</x:v>
      </x:c>
      <x:c r="K459" s="14" t="n">
        <x:v>2022</x:v>
      </x:c>
      <x:c r="L459" s="14" t="str">
        <x:v>Used in 2025 annual analysis</x:v>
      </x:c>
      <x:c r="M459" s="15" t="n">
        <x:v>18</x:v>
      </x:c>
      <x:c r="N459" s="14" t="str">
        <x:v>Nana Mensah</x:v>
      </x:c>
      <x:c r="O459" s="14" t="str">
        <x:v>nm3535066</x:v>
      </x:c>
      <x:c r="P459" s="14" t="str">
        <x:v>Eleanor</x:v>
      </x:c>
      <x:c r="Q459" s="15" t="n">
        <x:v>4</x:v>
      </x:c>
      <x:c r="R459" s="14" t="str">
        <x:v>2025</x:v>
      </x:c>
      <x:c r="S459" s="14" t="n">
        <x:v>2025</x:v>
      </x:c>
      <x:c r="T459" s="14" t="n">
        <x:v>2025</x:v>
      </x:c>
      <x:c r="U459" s="14" t="str">
        <x:v>Explicit source first year retained</x:v>
      </x:c>
      <x:c r="V459" s="14" t="str">
        <x:v>Earliest supplied year is 2025.</x:v>
      </x:c>
      <x:c r="W459" s="14"/>
      <x:c r="X459" s="14" t="str">
        <x:v>Included</x:v>
      </x:c>
      <x:c r="Y459" s="14"/>
      <x:c r="Z459" s="14" t="str">
        <x:v>Big Boys.docx</x:v>
      </x:c>
      <x:c r="AA459" s="14" t="str">
        <x:v>HYPERLINK is not implemented. linkLocation=https://www.imdb.com/title/tt13683866/fullcredits/,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Channel 4 / E4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HYPERLINK("https://en.wikipedia.org/wiki/Big_Boy","Open source")</x:f>
        <x:v>HYPERLINK is not implemented. linkLocation=https://en.wikipedia.org/wiki/Big_Boy,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18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4</x:v>
      </x:c>
      <x:c r="BS459" s="16" t="n">
        <x:v>0.2222222222222222</x:v>
      </x:c>
      <x:c r="BT459" s="14" t="str">
        <x:v>Minority of episodes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4" t="str">
        <x:v>HYPERLINK is not implemented. linkLocation=https://www.imdb.com/title/tt13683866/fullcredits/,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tt13683866|nm9148037|andrew</x:v>
      </x:c>
      <x:c r="B460" s="14" t="str">
        <x:v>01</x:v>
      </x:c>
      <x:c r="C460" s="14" t="str">
        <x:v>2022_IMDb_Cast_Lists_Batch_01(1).xlsx</x:v>
      </x:c>
      <x:c r="D460" s="14" t="str">
        <x:v>Big Boys</x:v>
      </x:c>
      <x:c r="E460" s="14" t="n">
        <x:v>59</x:v>
      </x:c>
      <x:c r="F460" s="14" t="str">
        <x:v>Big Boys</x:v>
      </x:c>
      <x:c r="G460" s="14" t="str">
        <x:v>tt13683866</x:v>
      </x:c>
      <x:c r="H460" s="14" t="n">
        <x:v>2022</x:v>
      </x:c>
      <x:c r="I460" s="14" t="n">
        <x:v>2025</x:v>
      </x:c>
      <x:c r="J460" s="14" t="str">
        <x:v>Earlier-Production Carry-In Cohort</x:v>
      </x:c>
      <x:c r="K460" s="14" t="n">
        <x:v>2022</x:v>
      </x:c>
      <x:c r="L460" s="14" t="str">
        <x:v>Used in 2025 annual analysis</x:v>
      </x:c>
      <x:c r="M460" s="15" t="n">
        <x:v>52</x:v>
      </x:c>
      <x:c r="N460" s="14" t="str">
        <x:v>Ralph Davis</x:v>
      </x:c>
      <x:c r="O460" s="14" t="str">
        <x:v>nm9148037</x:v>
      </x:c>
      <x:c r="P460" s="14" t="str">
        <x:v>Andrew</x:v>
      </x:c>
      <x:c r="Q460" s="15" t="n">
        <x:v>1</x:v>
      </x:c>
      <x:c r="R460" s="14" t="str">
        <x:v>2025</x:v>
      </x:c>
      <x:c r="S460" s="14" t="n">
        <x:v>2025</x:v>
      </x:c>
      <x:c r="T460" s="14" t="n">
        <x:v>2025</x:v>
      </x:c>
      <x:c r="U460" s="14" t="str">
        <x:v>Explicit source first year retained</x:v>
      </x:c>
      <x:c r="V460" s="14" t="str">
        <x:v>Earliest supplied year is 2025.</x:v>
      </x:c>
      <x:c r="W460" s="14"/>
      <x:c r="X460" s="14" t="str">
        <x:v>Included</x:v>
      </x:c>
      <x:c r="Y460" s="14"/>
      <x:c r="Z460" s="14" t="str">
        <x:v>Big Boys.docx</x:v>
      </x:c>
      <x:c r="AA460" s="14" t="str">
        <x:v>HYPERLINK is not implemented. linkLocation=https://www.imdb.com/title/tt13683866/fullcredits/,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Channel 4 / E4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HYPERLINK("https://en.wikipedia.org/wiki/Big_Boy","Open source")</x:f>
        <x:v>HYPERLINK is not implemented. linkLocation=https://en.wikipedia.org/wiki/Big_Boy,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18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0.05555555555555555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4" t="str">
        <x:v>HYPERLINK is not implemented. linkLocation=https://www.imdb.com/title/tt13683866/fullcredits/,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tt13683866|nm0358641|alison hammond</x:v>
      </x:c>
      <x:c r="B461" s="14" t="str">
        <x:v>01</x:v>
      </x:c>
      <x:c r="C461" s="14" t="str">
        <x:v>2022_IMDb_Cast_Lists_Batch_01(1).xlsx</x:v>
      </x:c>
      <x:c r="D461" s="14" t="str">
        <x:v>Big Boys</x:v>
      </x:c>
      <x:c r="E461" s="14" t="n">
        <x:v>60</x:v>
      </x:c>
      <x:c r="F461" s="14" t="str">
        <x:v>Big Boys</x:v>
      </x:c>
      <x:c r="G461" s="14" t="str">
        <x:v>tt13683866</x:v>
      </x:c>
      <x:c r="H461" s="14" t="n">
        <x:v>2022</x:v>
      </x:c>
      <x:c r="I461" s="14" t="n">
        <x:v>2025</x:v>
      </x:c>
      <x:c r="J461" s="14" t="str">
        <x:v>Earlier-Production Carry-In Cohort</x:v>
      </x:c>
      <x:c r="K461" s="14" t="n">
        <x:v>2022</x:v>
      </x:c>
      <x:c r="L461" s="14" t="str">
        <x:v>Used in 2025 annual analysis</x:v>
      </x:c>
      <x:c r="M461" s="15" t="n">
        <x:v>53</x:v>
      </x:c>
      <x:c r="N461" s="14" t="str">
        <x:v>Alison Hammond</x:v>
      </x:c>
      <x:c r="O461" s="14" t="str">
        <x:v>nm0358641</x:v>
      </x:c>
      <x:c r="P461" s="14" t="str">
        <x:v>Alison Hammond</x:v>
      </x:c>
      <x:c r="Q461" s="15" t="n">
        <x:v>1</x:v>
      </x:c>
      <x:c r="R461" s="14" t="str">
        <x:v>2025</x:v>
      </x:c>
      <x:c r="S461" s="14" t="n">
        <x:v>2025</x:v>
      </x:c>
      <x:c r="T461" s="14" t="n">
        <x:v>2025</x:v>
      </x:c>
      <x:c r="U461" s="14" t="str">
        <x:v>Explicit source first year retained</x:v>
      </x:c>
      <x:c r="V461" s="14" t="str">
        <x:v>Earliest supplied year is 2025.</x:v>
      </x:c>
      <x:c r="W461" s="14"/>
      <x:c r="X461" s="14" t="str">
        <x:v>Included</x:v>
      </x:c>
      <x:c r="Y461" s="14"/>
      <x:c r="Z461" s="14" t="str">
        <x:v>Big Boys.docx</x:v>
      </x:c>
      <x:c r="AA461" s="14" t="str">
        <x:v>HYPERLINK is not implemented. linkLocation=https://www.imdb.com/title/tt13683866/fullcredits/,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Channel 4 / E4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HYPERLINK("https://en.wikipedia.org/wiki/Big_Boy","Open source")</x:f>
        <x:v>HYPERLINK is not implemented. linkLocation=https://en.wikipedia.org/wiki/Big_Boy,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18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0.05555555555555555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4" t="str">
        <x:v>HYPERLINK is not implemented. linkLocation=https://www.imdb.com/title/tt13683866/fullcredits/,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tt13683866|nm0184588|eileen</x:v>
      </x:c>
      <x:c r="B462" s="14" t="str">
        <x:v>01</x:v>
      </x:c>
      <x:c r="C462" s="14" t="str">
        <x:v>2022_IMDb_Cast_Lists_Batch_01(1).xlsx</x:v>
      </x:c>
      <x:c r="D462" s="14" t="str">
        <x:v>Big Boys</x:v>
      </x:c>
      <x:c r="E462" s="14" t="n">
        <x:v>61</x:v>
      </x:c>
      <x:c r="F462" s="14" t="str">
        <x:v>Big Boys</x:v>
      </x:c>
      <x:c r="G462" s="14" t="str">
        <x:v>tt13683866</x:v>
      </x:c>
      <x:c r="H462" s="14" t="n">
        <x:v>2022</x:v>
      </x:c>
      <x:c r="I462" s="14" t="n">
        <x:v>2025</x:v>
      </x:c>
      <x:c r="J462" s="14" t="str">
        <x:v>Earlier-Production Carry-In Cohort</x:v>
      </x:c>
      <x:c r="K462" s="14" t="n">
        <x:v>2022</x:v>
      </x:c>
      <x:c r="L462" s="14" t="str">
        <x:v>Used in 2025 annual analysis</x:v>
      </x:c>
      <x:c r="M462" s="15" t="n">
        <x:v>54</x:v>
      </x:c>
      <x:c r="N462" s="14" t="str">
        <x:v>Juliet Cowan</x:v>
      </x:c>
      <x:c r="O462" s="14" t="str">
        <x:v>nm0184588</x:v>
      </x:c>
      <x:c r="P462" s="14" t="str">
        <x:v>Eileen</x:v>
      </x:c>
      <x:c r="Q462" s="15" t="n">
        <x:v>1</x:v>
      </x:c>
      <x:c r="R462" s="14" t="str">
        <x:v>2025</x:v>
      </x:c>
      <x:c r="S462" s="14" t="n">
        <x:v>2025</x:v>
      </x:c>
      <x:c r="T462" s="14" t="n">
        <x:v>2025</x:v>
      </x:c>
      <x:c r="U462" s="14" t="str">
        <x:v>Explicit source first year retained</x:v>
      </x:c>
      <x:c r="V462" s="14" t="str">
        <x:v>Earliest supplied year is 2025.</x:v>
      </x:c>
      <x:c r="W462" s="14"/>
      <x:c r="X462" s="14" t="str">
        <x:v>Included</x:v>
      </x:c>
      <x:c r="Y462" s="14"/>
      <x:c r="Z462" s="14" t="str">
        <x:v>Big Boys.docx</x:v>
      </x:c>
      <x:c r="AA462" s="14" t="str">
        <x:v>HYPERLINK is not implemented. linkLocation=https://www.imdb.com/title/tt13683866/fullcredits/,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Channel 4 / E4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HYPERLINK("https://en.wikipedia.org/wiki/Big_Boy","Open source")</x:f>
        <x:v>HYPERLINK is not implemented. linkLocation=https://en.wikipedia.org/wiki/Big_Boy,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18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0.05555555555555555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4" t="str">
        <x:v>HYPERLINK is not implemented. linkLocation=https://www.imdb.com/title/tt13683866/fullcredits/,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tt13683866|nm4720651|charity shop prue</x:v>
      </x:c>
      <x:c r="B463" s="14" t="str">
        <x:v>01</x:v>
      </x:c>
      <x:c r="C463" s="14" t="str">
        <x:v>2022_IMDb_Cast_Lists_Batch_01(1).xlsx</x:v>
      </x:c>
      <x:c r="D463" s="14" t="str">
        <x:v>Big Boys</x:v>
      </x:c>
      <x:c r="E463" s="14" t="n">
        <x:v>62</x:v>
      </x:c>
      <x:c r="F463" s="14" t="str">
        <x:v>Big Boys</x:v>
      </x:c>
      <x:c r="G463" s="14" t="str">
        <x:v>tt13683866</x:v>
      </x:c>
      <x:c r="H463" s="14" t="n">
        <x:v>2022</x:v>
      </x:c>
      <x:c r="I463" s="14" t="n">
        <x:v>2025</x:v>
      </x:c>
      <x:c r="J463" s="14" t="str">
        <x:v>Earlier-Production Carry-In Cohort</x:v>
      </x:c>
      <x:c r="K463" s="14" t="n">
        <x:v>2022</x:v>
      </x:c>
      <x:c r="L463" s="14" t="str">
        <x:v>Used in 2025 annual analysis</x:v>
      </x:c>
      <x:c r="M463" s="15" t="n">
        <x:v>55</x:v>
      </x:c>
      <x:c r="N463" s="14" t="str">
        <x:v>Emma Sidi</x:v>
      </x:c>
      <x:c r="O463" s="14" t="str">
        <x:v>nm4720651</x:v>
      </x:c>
      <x:c r="P463" s="14" t="str">
        <x:v>Charity Shop Prue</x:v>
      </x:c>
      <x:c r="Q463" s="15" t="n">
        <x:v>1</x:v>
      </x:c>
      <x:c r="R463" s="14" t="str">
        <x:v>2025</x:v>
      </x:c>
      <x:c r="S463" s="14" t="n">
        <x:v>2025</x:v>
      </x:c>
      <x:c r="T463" s="14" t="n">
        <x:v>2025</x:v>
      </x:c>
      <x:c r="U463" s="14" t="str">
        <x:v>Explicit source first year retained</x:v>
      </x:c>
      <x:c r="V463" s="14" t="str">
        <x:v>Earliest supplied year is 2025.</x:v>
      </x:c>
      <x:c r="W463" s="14"/>
      <x:c r="X463" s="14" t="str">
        <x:v>Included</x:v>
      </x:c>
      <x:c r="Y463" s="14"/>
      <x:c r="Z463" s="14" t="str">
        <x:v>Big Boys.docx</x:v>
      </x:c>
      <x:c r="AA463" s="14" t="str">
        <x:v>HYPERLINK is not implemented. linkLocation=https://www.imdb.com/title/tt13683866/fullcredits/,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Channel 4 / E4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HYPERLINK("https://en.wikipedia.org/wiki/Big_Boy","Open source")</x:f>
        <x:v>HYPERLINK is not implemented. linkLocation=https://en.wikipedia.org/wiki/Big_Boy,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18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0.05555555555555555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4" t="str">
        <x:v>HYPERLINK is not implemented. linkLocation=https://www.imdb.com/title/tt13683866/fullcredits/,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tt13683866|nm10568063|bamboo armitage</x:v>
      </x:c>
      <x:c r="B464" s="14" t="str">
        <x:v>01</x:v>
      </x:c>
      <x:c r="C464" s="14" t="str">
        <x:v>2022_IMDb_Cast_Lists_Batch_01(1).xlsx</x:v>
      </x:c>
      <x:c r="D464" s="14" t="str">
        <x:v>Big Boys</x:v>
      </x:c>
      <x:c r="E464" s="14" t="n">
        <x:v>63</x:v>
      </x:c>
      <x:c r="F464" s="14" t="str">
        <x:v>Big Boys</x:v>
      </x:c>
      <x:c r="G464" s="14" t="str">
        <x:v>tt13683866</x:v>
      </x:c>
      <x:c r="H464" s="14" t="n">
        <x:v>2022</x:v>
      </x:c>
      <x:c r="I464" s="14" t="n">
        <x:v>2025</x:v>
      </x:c>
      <x:c r="J464" s="14" t="str">
        <x:v>Earlier-Production Carry-In Cohort</x:v>
      </x:c>
      <x:c r="K464" s="14" t="n">
        <x:v>2022</x:v>
      </x:c>
      <x:c r="L464" s="14" t="str">
        <x:v>Used in 2025 annual analysis</x:v>
      </x:c>
      <x:c r="M464" s="15" t="n">
        <x:v>56</x:v>
      </x:c>
      <x:c r="N464" s="14" t="str">
        <x:v>Will Hislop</x:v>
      </x:c>
      <x:c r="O464" s="14" t="str">
        <x:v>nm10568063</x:v>
      </x:c>
      <x:c r="P464" s="14" t="str">
        <x:v>Bamboo Armitage</x:v>
      </x:c>
      <x:c r="Q464" s="15" t="n">
        <x:v>1</x:v>
      </x:c>
      <x:c r="R464" s="14" t="str">
        <x:v>2025</x:v>
      </x:c>
      <x:c r="S464" s="14" t="n">
        <x:v>2025</x:v>
      </x:c>
      <x:c r="T464" s="14" t="n">
        <x:v>2025</x:v>
      </x:c>
      <x:c r="U464" s="14" t="str">
        <x:v>Explicit source first year retained</x:v>
      </x:c>
      <x:c r="V464" s="14" t="str">
        <x:v>Earliest supplied year is 2025.</x:v>
      </x:c>
      <x:c r="W464" s="14"/>
      <x:c r="X464" s="14" t="str">
        <x:v>Included</x:v>
      </x:c>
      <x:c r="Y464" s="14"/>
      <x:c r="Z464" s="14" t="str">
        <x:v>Big Boys.docx</x:v>
      </x:c>
      <x:c r="AA464" s="14" t="str">
        <x:v>HYPERLINK is not implemented. linkLocation=https://www.imdb.com/title/tt13683866/fullcredits/,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Channel 4 / E4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HYPERLINK("https://en.wikipedia.org/wiki/Big_Boy","Open source")</x:f>
        <x:v>HYPERLINK is not implemented. linkLocation=https://en.wikipedia.org/wiki/Big_Boy,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18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0.05555555555555555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4" t="str">
        <x:v>HYPERLINK is not implemented. linkLocation=https://www.imdb.com/title/tt13683866/fullcredits/,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tt13683866|nm9391743|lucian the poet</x:v>
      </x:c>
      <x:c r="B465" s="14" t="str">
        <x:v>01</x:v>
      </x:c>
      <x:c r="C465" s="14" t="str">
        <x:v>2022_IMDb_Cast_Lists_Batch_01(1).xlsx</x:v>
      </x:c>
      <x:c r="D465" s="14" t="str">
        <x:v>Big Boys</x:v>
      </x:c>
      <x:c r="E465" s="14" t="n">
        <x:v>64</x:v>
      </x:c>
      <x:c r="F465" s="14" t="str">
        <x:v>Big Boys</x:v>
      </x:c>
      <x:c r="G465" s="14" t="str">
        <x:v>tt13683866</x:v>
      </x:c>
      <x:c r="H465" s="14" t="n">
        <x:v>2022</x:v>
      </x:c>
      <x:c r="I465" s="14" t="n">
        <x:v>2025</x:v>
      </x:c>
      <x:c r="J465" s="14" t="str">
        <x:v>Earlier-Production Carry-In Cohort</x:v>
      </x:c>
      <x:c r="K465" s="14" t="n">
        <x:v>2022</x:v>
      </x:c>
      <x:c r="L465" s="14" t="str">
        <x:v>Used in 2025 annual analysis</x:v>
      </x:c>
      <x:c r="M465" s="15" t="n">
        <x:v>57</x:v>
      </x:c>
      <x:c r="N465" s="14" t="str">
        <x:v>Jim Caesar</x:v>
      </x:c>
      <x:c r="O465" s="14" t="str">
        <x:v>nm9391743</x:v>
      </x:c>
      <x:c r="P465" s="14" t="str">
        <x:v>Lucian the Poet</x:v>
      </x:c>
      <x:c r="Q465" s="15" t="n">
        <x:v>1</x:v>
      </x:c>
      <x:c r="R465" s="14" t="str">
        <x:v>2025</x:v>
      </x:c>
      <x:c r="S465" s="14" t="n">
        <x:v>2025</x:v>
      </x:c>
      <x:c r="T465" s="14" t="n">
        <x:v>2025</x:v>
      </x:c>
      <x:c r="U465" s="14" t="str">
        <x:v>Explicit source first year retained</x:v>
      </x:c>
      <x:c r="V465" s="14" t="str">
        <x:v>Earliest supplied year is 2025.</x:v>
      </x:c>
      <x:c r="W465" s="14"/>
      <x:c r="X465" s="14" t="str">
        <x:v>Included</x:v>
      </x:c>
      <x:c r="Y465" s="14"/>
      <x:c r="Z465" s="14" t="str">
        <x:v>Big Boys.docx</x:v>
      </x:c>
      <x:c r="AA465" s="14" t="str">
        <x:v>HYPERLINK is not implemented. linkLocation=https://www.imdb.com/title/tt13683866/fullcredits/,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Channel 4 / E4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HYPERLINK("https://en.wikipedia.org/wiki/Big_Boy","Open source")</x:f>
        <x:v>HYPERLINK is not implemented. linkLocation=https://en.wikipedia.org/wiki/Big_Boy,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18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0.05555555555555555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4" t="str">
        <x:v>HYPERLINK is not implemented. linkLocation=https://www.imdb.com/title/tt13683866/fullcredits/,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tt13683866|nm8232759|university professor</x:v>
      </x:c>
      <x:c r="B466" s="14" t="str">
        <x:v>01</x:v>
      </x:c>
      <x:c r="C466" s="14" t="str">
        <x:v>2022_IMDb_Cast_Lists_Batch_01(1).xlsx</x:v>
      </x:c>
      <x:c r="D466" s="14" t="str">
        <x:v>Big Boys</x:v>
      </x:c>
      <x:c r="E466" s="14" t="n">
        <x:v>65</x:v>
      </x:c>
      <x:c r="F466" s="14" t="str">
        <x:v>Big Boys</x:v>
      </x:c>
      <x:c r="G466" s="14" t="str">
        <x:v>tt13683866</x:v>
      </x:c>
      <x:c r="H466" s="14" t="n">
        <x:v>2022</x:v>
      </x:c>
      <x:c r="I466" s="14" t="n">
        <x:v>2025</x:v>
      </x:c>
      <x:c r="J466" s="14" t="str">
        <x:v>Earlier-Production Carry-In Cohort</x:v>
      </x:c>
      <x:c r="K466" s="14" t="n">
        <x:v>2022</x:v>
      </x:c>
      <x:c r="L466" s="14" t="str">
        <x:v>Used in 2025 annual analysis</x:v>
      </x:c>
      <x:c r="M466" s="15" t="n">
        <x:v>58</x:v>
      </x:c>
      <x:c r="N466" s="14" t="str">
        <x:v>John Heartstone</x:v>
      </x:c>
      <x:c r="O466" s="14" t="str">
        <x:v>nm8232759</x:v>
      </x:c>
      <x:c r="P466" s="14" t="str">
        <x:v>University professor</x:v>
      </x:c>
      <x:c r="Q466" s="15" t="n">
        <x:v>1</x:v>
      </x:c>
      <x:c r="R466" s="14" t="str">
        <x:v>2025</x:v>
      </x:c>
      <x:c r="S466" s="14" t="n">
        <x:v>2025</x:v>
      </x:c>
      <x:c r="T466" s="14" t="n">
        <x:v>2025</x:v>
      </x:c>
      <x:c r="U466" s="14" t="str">
        <x:v>Explicit source first year retained</x:v>
      </x:c>
      <x:c r="V466" s="14" t="str">
        <x:v>Earliest supplied year is 2025.</x:v>
      </x:c>
      <x:c r="W466" s="14"/>
      <x:c r="X466" s="14" t="str">
        <x:v>Included</x:v>
      </x:c>
      <x:c r="Y466" s="14"/>
      <x:c r="Z466" s="14" t="str">
        <x:v>Big Boys.docx</x:v>
      </x:c>
      <x:c r="AA466" s="14" t="str">
        <x:v>HYPERLINK is not implemented. linkLocation=https://www.imdb.com/title/tt13683866/fullcredits/,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Channel 4 / E4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HYPERLINK("https://en.wikipedia.org/wiki/Big_Boy","Open source")</x:f>
        <x:v>HYPERLINK is not implemented. linkLocation=https://en.wikipedia.org/wiki/Big_Boy,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18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0.05555555555555555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4" t="str">
        <x:v>HYPERLINK is not implemented. linkLocation=https://www.imdb.com/title/tt13683866/fullcredits/,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tt13683866|nm1000807|neighbor</x:v>
      </x:c>
      <x:c r="B467" s="14" t="str">
        <x:v>01</x:v>
      </x:c>
      <x:c r="C467" s="14" t="str">
        <x:v>2022_IMDb_Cast_Lists_Batch_01(1).xlsx</x:v>
      </x:c>
      <x:c r="D467" s="14" t="str">
        <x:v>Big Boys</x:v>
      </x:c>
      <x:c r="E467" s="14" t="n">
        <x:v>66</x:v>
      </x:c>
      <x:c r="F467" s="14" t="str">
        <x:v>Big Boys</x:v>
      </x:c>
      <x:c r="G467" s="14" t="str">
        <x:v>tt13683866</x:v>
      </x:c>
      <x:c r="H467" s="14" t="n">
        <x:v>2022</x:v>
      </x:c>
      <x:c r="I467" s="14" t="n">
        <x:v>2025</x:v>
      </x:c>
      <x:c r="J467" s="14" t="str">
        <x:v>Earlier-Production Carry-In Cohort</x:v>
      </x:c>
      <x:c r="K467" s="14" t="n">
        <x:v>2022</x:v>
      </x:c>
      <x:c r="L467" s="14" t="str">
        <x:v>Used in 2025 annual analysis</x:v>
      </x:c>
      <x:c r="M467" s="15" t="n">
        <x:v>59</x:v>
      </x:c>
      <x:c r="N467" s="14" t="str">
        <x:v>Anna-Maria Everett</x:v>
      </x:c>
      <x:c r="O467" s="14" t="str">
        <x:v>nm1000807</x:v>
      </x:c>
      <x:c r="P467" s="14" t="str">
        <x:v>Neighbor</x:v>
      </x:c>
      <x:c r="Q467" s="15" t="n">
        <x:v>1</x:v>
      </x:c>
      <x:c r="R467" s="14" t="str">
        <x:v>2025</x:v>
      </x:c>
      <x:c r="S467" s="14" t="n">
        <x:v>2025</x:v>
      </x:c>
      <x:c r="T467" s="14" t="n">
        <x:v>2025</x:v>
      </x:c>
      <x:c r="U467" s="14" t="str">
        <x:v>Explicit source first year retained</x:v>
      </x:c>
      <x:c r="V467" s="14" t="str">
        <x:v>Earliest supplied year is 2025.</x:v>
      </x:c>
      <x:c r="W467" s="14"/>
      <x:c r="X467" s="14" t="str">
        <x:v>Included</x:v>
      </x:c>
      <x:c r="Y467" s="14"/>
      <x:c r="Z467" s="14" t="str">
        <x:v>Big Boys.docx</x:v>
      </x:c>
      <x:c r="AA467" s="14" t="str">
        <x:v>HYPERLINK is not implemented. linkLocation=https://www.imdb.com/title/tt13683866/fullcredits/,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Channel 4 / E4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HYPERLINK("https://en.wikipedia.org/wiki/Big_Boy","Open source")</x:f>
        <x:v>HYPERLINK is not implemented. linkLocation=https://en.wikipedia.org/wiki/Big_Boy,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18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0.05555555555555555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4" t="str">
        <x:v>HYPERLINK is not implemented. linkLocation=https://www.imdb.com/title/tt13683866/fullcredits/,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tt13683866|nm5098614|dimitri</x:v>
      </x:c>
      <x:c r="B468" s="14" t="str">
        <x:v>01</x:v>
      </x:c>
      <x:c r="C468" s="14" t="str">
        <x:v>2022_IMDb_Cast_Lists_Batch_01(1).xlsx</x:v>
      </x:c>
      <x:c r="D468" s="14" t="str">
        <x:v>Big Boys</x:v>
      </x:c>
      <x:c r="E468" s="14" t="n">
        <x:v>67</x:v>
      </x:c>
      <x:c r="F468" s="14" t="str">
        <x:v>Big Boys</x:v>
      </x:c>
      <x:c r="G468" s="14" t="str">
        <x:v>tt13683866</x:v>
      </x:c>
      <x:c r="H468" s="14" t="n">
        <x:v>2022</x:v>
      </x:c>
      <x:c r="I468" s="14" t="n">
        <x:v>2025</x:v>
      </x:c>
      <x:c r="J468" s="14" t="str">
        <x:v>Earlier-Production Carry-In Cohort</x:v>
      </x:c>
      <x:c r="K468" s="14" t="n">
        <x:v>2022</x:v>
      </x:c>
      <x:c r="L468" s="14" t="str">
        <x:v>Used in 2025 annual analysis</x:v>
      </x:c>
      <x:c r="M468" s="15" t="n">
        <x:v>60</x:v>
      </x:c>
      <x:c r="N468" s="14" t="str">
        <x:v>Alexander Theo</x:v>
      </x:c>
      <x:c r="O468" s="14" t="str">
        <x:v>nm5098614</x:v>
      </x:c>
      <x:c r="P468" s="14" t="str">
        <x:v>Dimitri</x:v>
      </x:c>
      <x:c r="Q468" s="15" t="n">
        <x:v>1</x:v>
      </x:c>
      <x:c r="R468" s="14" t="str">
        <x:v>2025</x:v>
      </x:c>
      <x:c r="S468" s="14" t="n">
        <x:v>2025</x:v>
      </x:c>
      <x:c r="T468" s="14" t="n">
        <x:v>2025</x:v>
      </x:c>
      <x:c r="U468" s="14" t="str">
        <x:v>Explicit source first year retained</x:v>
      </x:c>
      <x:c r="V468" s="14" t="str">
        <x:v>Earliest supplied year is 2025.</x:v>
      </x:c>
      <x:c r="W468" s="14"/>
      <x:c r="X468" s="14" t="str">
        <x:v>Included</x:v>
      </x:c>
      <x:c r="Y468" s="14"/>
      <x:c r="Z468" s="14" t="str">
        <x:v>Big Boys.docx</x:v>
      </x:c>
      <x:c r="AA468" s="14" t="str">
        <x:v>HYPERLINK is not implemented. linkLocation=https://www.imdb.com/title/tt13683866/fullcredits/,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Channel 4 / E4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HYPERLINK("https://en.wikipedia.org/wiki/Big_Boy","Open source")</x:f>
        <x:v>HYPERLINK is not implemented. linkLocation=https://en.wikipedia.org/wiki/Big_Boy,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18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0.05555555555555555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4" t="str">
        <x:v>HYPERLINK is not implemented. linkLocation=https://www.imdb.com/title/tt13683866/fullcredits/,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tt13683866|nm3357665|anouska delafonte</x:v>
      </x:c>
      <x:c r="B469" s="14" t="str">
        <x:v>01</x:v>
      </x:c>
      <x:c r="C469" s="14" t="str">
        <x:v>2022_IMDb_Cast_Lists_Batch_01(1).xlsx</x:v>
      </x:c>
      <x:c r="D469" s="14" t="str">
        <x:v>Big Boys</x:v>
      </x:c>
      <x:c r="E469" s="14" t="n">
        <x:v>68</x:v>
      </x:c>
      <x:c r="F469" s="14" t="str">
        <x:v>Big Boys</x:v>
      </x:c>
      <x:c r="G469" s="14" t="str">
        <x:v>tt13683866</x:v>
      </x:c>
      <x:c r="H469" s="14" t="n">
        <x:v>2022</x:v>
      </x:c>
      <x:c r="I469" s="14" t="n">
        <x:v>2025</x:v>
      </x:c>
      <x:c r="J469" s="14" t="str">
        <x:v>Earlier-Production Carry-In Cohort</x:v>
      </x:c>
      <x:c r="K469" s="14" t="n">
        <x:v>2022</x:v>
      </x:c>
      <x:c r="L469" s="14" t="str">
        <x:v>Used in 2025 annual analysis</x:v>
      </x:c>
      <x:c r="M469" s="15" t="n">
        <x:v>61</x:v>
      </x:c>
      <x:c r="N469" s="14" t="str">
        <x:v>Aimee Phillips</x:v>
      </x:c>
      <x:c r="O469" s="14" t="str">
        <x:v>nm3357665</x:v>
      </x:c>
      <x:c r="P469" s="14" t="str">
        <x:v>Anouska Delafonte</x:v>
      </x:c>
      <x:c r="Q469" s="15" t="n">
        <x:v>1</x:v>
      </x:c>
      <x:c r="R469" s="14" t="str">
        <x:v>2025</x:v>
      </x:c>
      <x:c r="S469" s="14" t="n">
        <x:v>2025</x:v>
      </x:c>
      <x:c r="T469" s="14" t="n">
        <x:v>2025</x:v>
      </x:c>
      <x:c r="U469" s="14" t="str">
        <x:v>Explicit source first year retained</x:v>
      </x:c>
      <x:c r="V469" s="14" t="str">
        <x:v>Earliest supplied year is 2025.</x:v>
      </x:c>
      <x:c r="W469" s="14"/>
      <x:c r="X469" s="14" t="str">
        <x:v>Included</x:v>
      </x:c>
      <x:c r="Y469" s="14"/>
      <x:c r="Z469" s="14" t="str">
        <x:v>Big Boys.docx</x:v>
      </x:c>
      <x:c r="AA469" s="14" t="str">
        <x:v>HYPERLINK is not implemented. linkLocation=https://www.imdb.com/title/tt13683866/fullcredits/,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Channel 4 / E4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HYPERLINK("https://en.wikipedia.org/wiki/Big_Boy","Open source")</x:f>
        <x:v>HYPERLINK is not implemented. linkLocation=https://en.wikipedia.org/wiki/Big_Boy,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18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0.05555555555555555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4" t="str">
        <x:v>HYPERLINK is not implemented. linkLocation=https://www.imdb.com/title/tt13683866/fullcredits/,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tt13683866|nm14651214|ice cream man</x:v>
      </x:c>
      <x:c r="B470" s="14" t="str">
        <x:v>01</x:v>
      </x:c>
      <x:c r="C470" s="14" t="str">
        <x:v>2022_IMDb_Cast_Lists_Batch_01(1).xlsx</x:v>
      </x:c>
      <x:c r="D470" s="14" t="str">
        <x:v>Big Boys</x:v>
      </x:c>
      <x:c r="E470" s="14" t="n">
        <x:v>69</x:v>
      </x:c>
      <x:c r="F470" s="14" t="str">
        <x:v>Big Boys</x:v>
      </x:c>
      <x:c r="G470" s="14" t="str">
        <x:v>tt13683866</x:v>
      </x:c>
      <x:c r="H470" s="14" t="n">
        <x:v>2022</x:v>
      </x:c>
      <x:c r="I470" s="14" t="n">
        <x:v>2025</x:v>
      </x:c>
      <x:c r="J470" s="14" t="str">
        <x:v>Earlier-Production Carry-In Cohort</x:v>
      </x:c>
      <x:c r="K470" s="14" t="n">
        <x:v>2022</x:v>
      </x:c>
      <x:c r="L470" s="14" t="str">
        <x:v>Used in 2025 annual analysis</x:v>
      </x:c>
      <x:c r="M470" s="15" t="n">
        <x:v>62</x:v>
      </x:c>
      <x:c r="N470" s="14" t="str">
        <x:v>Felix Zhang</x:v>
      </x:c>
      <x:c r="O470" s="14" t="str">
        <x:v>nm14651214</x:v>
      </x:c>
      <x:c r="P470" s="14" t="str">
        <x:v>Ice Cream Man</x:v>
      </x:c>
      <x:c r="Q470" s="15" t="n">
        <x:v>1</x:v>
      </x:c>
      <x:c r="R470" s="14" t="str">
        <x:v>2025</x:v>
      </x:c>
      <x:c r="S470" s="14" t="n">
        <x:v>2025</x:v>
      </x:c>
      <x:c r="T470" s="14" t="n">
        <x:v>2025</x:v>
      </x:c>
      <x:c r="U470" s="14" t="str">
        <x:v>Explicit source first year retained</x:v>
      </x:c>
      <x:c r="V470" s="14" t="str">
        <x:v>Earliest supplied year is 2025.</x:v>
      </x:c>
      <x:c r="W470" s="14"/>
      <x:c r="X470" s="14" t="str">
        <x:v>Included</x:v>
      </x:c>
      <x:c r="Y470" s="14"/>
      <x:c r="Z470" s="14" t="str">
        <x:v>Big Boys.docx</x:v>
      </x:c>
      <x:c r="AA470" s="14" t="str">
        <x:v>HYPERLINK is not implemented. linkLocation=https://www.imdb.com/title/tt13683866/fullcredits/,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Channel 4 / E4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HYPERLINK("https://en.wikipedia.org/wiki/Big_Boy","Open source")</x:f>
        <x:v>HYPERLINK is not implemented. linkLocation=https://en.wikipedia.org/wiki/Big_Boy,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18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1</x:v>
      </x:c>
      <x:c r="BS470" s="16" t="n">
        <x:v>0.05555555555555555</x:v>
      </x:c>
      <x:c r="BT470" s="14" t="str">
        <x:v>One episode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4" t="str">
        <x:v>HYPERLINK is not implemented. linkLocation=https://www.imdb.com/title/tt13683866/fullcredits/,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tt13683866|nm9309855|larp nerd</x:v>
      </x:c>
      <x:c r="B471" s="14" t="str">
        <x:v>01</x:v>
      </x:c>
      <x:c r="C471" s="14" t="str">
        <x:v>2022_IMDb_Cast_Lists_Batch_01(1).xlsx</x:v>
      </x:c>
      <x:c r="D471" s="14" t="str">
        <x:v>Big Boys</x:v>
      </x:c>
      <x:c r="E471" s="14" t="n">
        <x:v>70</x:v>
      </x:c>
      <x:c r="F471" s="14" t="str">
        <x:v>Big Boys</x:v>
      </x:c>
      <x:c r="G471" s="14" t="str">
        <x:v>tt13683866</x:v>
      </x:c>
      <x:c r="H471" s="14" t="n">
        <x:v>2022</x:v>
      </x:c>
      <x:c r="I471" s="14" t="n">
        <x:v>2025</x:v>
      </x:c>
      <x:c r="J471" s="14" t="str">
        <x:v>Earlier-Production Carry-In Cohort</x:v>
      </x:c>
      <x:c r="K471" s="14" t="n">
        <x:v>2022</x:v>
      </x:c>
      <x:c r="L471" s="14" t="str">
        <x:v>Used in 2025 annual analysis</x:v>
      </x:c>
      <x:c r="M471" s="15" t="n">
        <x:v>63</x:v>
      </x:c>
      <x:c r="N471" s="14" t="str">
        <x:v>Aled Gomer</x:v>
      </x:c>
      <x:c r="O471" s="14" t="str">
        <x:v>nm9309855</x:v>
      </x:c>
      <x:c r="P471" s="14" t="str">
        <x:v>LARP Nerd</x:v>
      </x:c>
      <x:c r="Q471" s="15" t="n">
        <x:v>1</x:v>
      </x:c>
      <x:c r="R471" s="14" t="str">
        <x:v>2025</x:v>
      </x:c>
      <x:c r="S471" s="14" t="n">
        <x:v>2025</x:v>
      </x:c>
      <x:c r="T471" s="14" t="n">
        <x:v>2025</x:v>
      </x:c>
      <x:c r="U471" s="14" t="str">
        <x:v>Explicit source first year retained</x:v>
      </x:c>
      <x:c r="V471" s="14" t="str">
        <x:v>Earliest supplied year is 2025.</x:v>
      </x:c>
      <x:c r="W471" s="14"/>
      <x:c r="X471" s="14" t="str">
        <x:v>Included</x:v>
      </x:c>
      <x:c r="Y471" s="14" t="str">
        <x:v>(as Aled Gormer)</x:v>
      </x:c>
      <x:c r="Z471" s="14" t="str">
        <x:v>Big Boys.docx</x:v>
      </x:c>
      <x:c r="AA471" s="14" t="str">
        <x:v>HYPERLINK is not implemented. linkLocation=https://www.imdb.com/title/tt13683866/fullcredits/,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Channel 4 / E4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HYPERLINK("https://en.wikipedia.org/wiki/Big_Boy","Open source")</x:f>
        <x:v>HYPERLINK is not implemented. linkLocation=https://en.wikipedia.org/wiki/Big_Boy,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18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1</x:v>
      </x:c>
      <x:c r="BS471" s="16" t="n">
        <x:v>0.05555555555555555</x:v>
      </x:c>
      <x:c r="BT471" s="14" t="str">
        <x:v>One episode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4" t="str">
        <x:v>HYPERLINK is not implemented. linkLocation=https://www.imdb.com/title/tt13683866/fullcredits/,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tt13683866|nm17080646|craig</x:v>
      </x:c>
      <x:c r="B472" s="14" t="str">
        <x:v>01</x:v>
      </x:c>
      <x:c r="C472" s="14" t="str">
        <x:v>2022_IMDb_Cast_Lists_Batch_01(1).xlsx</x:v>
      </x:c>
      <x:c r="D472" s="14" t="str">
        <x:v>Big Boys</x:v>
      </x:c>
      <x:c r="E472" s="14" t="n">
        <x:v>71</x:v>
      </x:c>
      <x:c r="F472" s="14" t="str">
        <x:v>Big Boys</x:v>
      </x:c>
      <x:c r="G472" s="14" t="str">
        <x:v>tt13683866</x:v>
      </x:c>
      <x:c r="H472" s="14" t="n">
        <x:v>2022</x:v>
      </x:c>
      <x:c r="I472" s="14" t="n">
        <x:v>2025</x:v>
      </x:c>
      <x:c r="J472" s="14" t="str">
        <x:v>Earlier-Production Carry-In Cohort</x:v>
      </x:c>
      <x:c r="K472" s="14" t="n">
        <x:v>2022</x:v>
      </x:c>
      <x:c r="L472" s="14" t="str">
        <x:v>Used in 2025 annual analysis</x:v>
      </x:c>
      <x:c r="M472" s="15" t="n">
        <x:v>64</x:v>
      </x:c>
      <x:c r="N472" s="14" t="str">
        <x:v>Harrison Ferron-Barnett</x:v>
      </x:c>
      <x:c r="O472" s="14" t="str">
        <x:v>nm17080646</x:v>
      </x:c>
      <x:c r="P472" s="14" t="str">
        <x:v>Craig</x:v>
      </x:c>
      <x:c r="Q472" s="15" t="n">
        <x:v>1</x:v>
      </x:c>
      <x:c r="R472" s="14" t="str">
        <x:v>2025</x:v>
      </x:c>
      <x:c r="S472" s="14" t="n">
        <x:v>2025</x:v>
      </x:c>
      <x:c r="T472" s="14" t="n">
        <x:v>2025</x:v>
      </x:c>
      <x:c r="U472" s="14" t="str">
        <x:v>Explicit source first year retained</x:v>
      </x:c>
      <x:c r="V472" s="14" t="str">
        <x:v>Earliest supplied year is 2025.</x:v>
      </x:c>
      <x:c r="W472" s="14"/>
      <x:c r="X472" s="14" t="str">
        <x:v>Included</x:v>
      </x:c>
      <x:c r="Y472" s="14"/>
      <x:c r="Z472" s="14" t="str">
        <x:v>Big Boys.docx</x:v>
      </x:c>
      <x:c r="AA472" s="14" t="str">
        <x:v>HYPERLINK is not implemented. linkLocation=https://www.imdb.com/title/tt13683866/fullcredits/,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Channel 4 / E4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HYPERLINK("https://en.wikipedia.org/wiki/Big_Boy","Open source")</x:f>
        <x:v>HYPERLINK is not implemented. linkLocation=https://en.wikipedia.org/wiki/Big_Boy,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18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0.05555555555555555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4" t="str">
        <x:v>HYPERLINK is not implemented. linkLocation=https://www.imdb.com/title/tt13683866/fullcredits/,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tt11725900|nm0585181|fergus sinclair snr</x:v>
      </x:c>
      <x:c r="B473" s="14" t="str">
        <x:v>03</x:v>
      </x:c>
      <x:c r="C473" s="14" t="str">
        <x:v>2022_IMDb_Cast_Lists_Batch_03(1).xlsx</x:v>
      </x:c>
      <x:c r="D473" s="14" t="str">
        <x:v>Karen Pirie</x:v>
      </x:c>
      <x:c r="E473" s="14" t="n">
        <x:v>19</x:v>
      </x:c>
      <x:c r="F473" s="14" t="str">
        <x:v>Karen Pirie</x:v>
      </x:c>
      <x:c r="G473" s="14" t="str">
        <x:v>tt11725900</x:v>
      </x:c>
      <x:c r="H473" s="14" t="n">
        <x:v>2022</x:v>
      </x:c>
      <x:c r="I473" s="14" t="n">
        <x:v>2025</x:v>
      </x:c>
      <x:c r="J473" s="14" t="str">
        <x:v>Earlier-Production Carry-In Cohort</x:v>
      </x:c>
      <x:c r="K473" s="14" t="n">
        <x:v>2022</x:v>
      </x:c>
      <x:c r="L473" s="14" t="str">
        <x:v>Used in 2025 annual analysis</x:v>
      </x:c>
      <x:c r="M473" s="15" t="n">
        <x:v>12</x:v>
      </x:c>
      <x:c r="N473" s="14" t="str">
        <x:v>John Michie</x:v>
      </x:c>
      <x:c r="O473" s="14" t="str">
        <x:v>nm0585181</x:v>
      </x:c>
      <x:c r="P473" s="14" t="str">
        <x:v>Fergus Sinclair Snr</x:v>
      </x:c>
      <x:c r="Q473" s="15" t="n">
        <x:v>3</x:v>
      </x:c>
      <x:c r="R473" s="14" t="str">
        <x:v>2025</x:v>
      </x:c>
      <x:c r="S473" s="14" t="n">
        <x:v>2025</x:v>
      </x:c>
      <x:c r="T473" s="14" t="n">
        <x:v>2025</x:v>
      </x:c>
      <x:c r="U473" s="14" t="str">
        <x:v>Explicit source first year retained</x:v>
      </x:c>
      <x:c r="V473" s="14" t="str">
        <x:v>Earliest supplied year is 2025.</x:v>
      </x:c>
      <x:c r="W473" s="14"/>
      <x:c r="X473" s="14" t="str">
        <x:v>Included</x:v>
      </x:c>
      <x:c r="Y473" s="14"/>
      <x:c r="Z473" s="14" t="str">
        <x:v>Karen Pirie.docx</x:v>
      </x:c>
      <x:c r="AA473" s="14" t="str">
        <x:v>HYPERLINK is not implemented. linkLocation=https://www.imdb.com/title/tt11725900/fullcredits/,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ITV / ITVX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HYPERLINK("https://en.wikipedia.org/wiki/Karen_Pirie","Open source")</x:f>
        <x:v>HYPERLINK is not implemented. linkLocation=https://en.wikipedia.org/wiki/Karen_Pirie,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6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3</x:v>
      </x:c>
      <x:c r="BS473" s="16" t="n">
        <x:v>0.5</x:v>
      </x:c>
      <x:c r="BT473" s="14" t="str">
        <x:v>Minority of episodes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4" t="str">
        <x:v>HYPERLINK is not implemented. linkLocation=https://www.imdb.com/title/tt11725900/fullcredits/,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tt11725900|nm6267130|catriona grant</x:v>
      </x:c>
      <x:c r="B474" s="14" t="str">
        <x:v>03</x:v>
      </x:c>
      <x:c r="C474" s="14" t="str">
        <x:v>2022_IMDb_Cast_Lists_Batch_03(1).xlsx</x:v>
      </x:c>
      <x:c r="D474" s="14" t="str">
        <x:v>Karen Pirie</x:v>
      </x:c>
      <x:c r="E474" s="14" t="n">
        <x:v>20</x:v>
      </x:c>
      <x:c r="F474" s="14" t="str">
        <x:v>Karen Pirie</x:v>
      </x:c>
      <x:c r="G474" s="14" t="str">
        <x:v>tt11725900</x:v>
      </x:c>
      <x:c r="H474" s="14" t="n">
        <x:v>2022</x:v>
      </x:c>
      <x:c r="I474" s="14" t="n">
        <x:v>2025</x:v>
      </x:c>
      <x:c r="J474" s="14" t="str">
        <x:v>Earlier-Production Carry-In Cohort</x:v>
      </x:c>
      <x:c r="K474" s="14" t="n">
        <x:v>2022</x:v>
      </x:c>
      <x:c r="L474" s="14" t="str">
        <x:v>Used in 2025 annual analysis</x:v>
      </x:c>
      <x:c r="M474" s="15" t="n">
        <x:v>13</x:v>
      </x:c>
      <x:c r="N474" s="14" t="str">
        <x:v>Julia Brown</x:v>
      </x:c>
      <x:c r="O474" s="14" t="str">
        <x:v>nm6267130</x:v>
      </x:c>
      <x:c r="P474" s="14" t="str">
        <x:v>Catriona Grant</x:v>
      </x:c>
      <x:c r="Q474" s="15" t="n">
        <x:v>3</x:v>
      </x:c>
      <x:c r="R474" s="14" t="str">
        <x:v>2025</x:v>
      </x:c>
      <x:c r="S474" s="14" t="n">
        <x:v>2025</x:v>
      </x:c>
      <x:c r="T474" s="14" t="n">
        <x:v>2025</x:v>
      </x:c>
      <x:c r="U474" s="14" t="str">
        <x:v>Explicit source first year retained</x:v>
      </x:c>
      <x:c r="V474" s="14" t="str">
        <x:v>Earliest supplied year is 2025.</x:v>
      </x:c>
      <x:c r="W474" s="14"/>
      <x:c r="X474" s="14" t="str">
        <x:v>Included</x:v>
      </x:c>
      <x:c r="Y474" s="14"/>
      <x:c r="Z474" s="14" t="str">
        <x:v>Karen Pirie.docx</x:v>
      </x:c>
      <x:c r="AA474" s="14" t="str">
        <x:v>HYPERLINK is not implemented. linkLocation=https://www.imdb.com/title/tt11725900/fullcredits/,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ITV / ITVX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HYPERLINK("https://en.wikipedia.org/wiki/Karen_Pirie","Open source")</x:f>
        <x:v>HYPERLINK is not implemented. linkLocation=https://en.wikipedia.org/wiki/Karen_Pirie,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6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3</x:v>
      </x:c>
      <x:c r="BS474" s="16" t="n">
        <x:v>0.5</x:v>
      </x:c>
      <x:c r="BT474" s="14" t="str">
        <x:v>Minority of episodes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4" t="str">
        <x:v>HYPERLINK is not implemented. linkLocation=https://www.imdb.com/title/tt11725900/fullcredits/,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tt11725900|nm9974122|dc isla stark</x:v>
      </x:c>
      <x:c r="B475" s="14" t="str">
        <x:v>03</x:v>
      </x:c>
      <x:c r="C475" s="14" t="str">
        <x:v>2022_IMDb_Cast_Lists_Batch_03(1).xlsx</x:v>
      </x:c>
      <x:c r="D475" s="14" t="str">
        <x:v>Karen Pirie</x:v>
      </x:c>
      <x:c r="E475" s="14" t="n">
        <x:v>23</x:v>
      </x:c>
      <x:c r="F475" s="14" t="str">
        <x:v>Karen Pirie</x:v>
      </x:c>
      <x:c r="G475" s="14" t="str">
        <x:v>tt11725900</x:v>
      </x:c>
      <x:c r="H475" s="14" t="n">
        <x:v>2022</x:v>
      </x:c>
      <x:c r="I475" s="14" t="n">
        <x:v>2025</x:v>
      </x:c>
      <x:c r="J475" s="14" t="str">
        <x:v>Earlier-Production Carry-In Cohort</x:v>
      </x:c>
      <x:c r="K475" s="14" t="n">
        <x:v>2022</x:v>
      </x:c>
      <x:c r="L475" s="14" t="str">
        <x:v>Used in 2025 annual analysis</x:v>
      </x:c>
      <x:c r="M475" s="15" t="n">
        <x:v>16</x:v>
      </x:c>
      <x:c r="N475" s="14" t="str">
        <x:v>Saskia Ashdown</x:v>
      </x:c>
      <x:c r="O475" s="14" t="str">
        <x:v>nm9974122</x:v>
      </x:c>
      <x:c r="P475" s="14" t="str">
        <x:v>DC Isla Stark</x:v>
      </x:c>
      <x:c r="Q475" s="15" t="n">
        <x:v>3</x:v>
      </x:c>
      <x:c r="R475" s="14" t="str">
        <x:v>2025</x:v>
      </x:c>
      <x:c r="S475" s="14" t="n">
        <x:v>2025</x:v>
      </x:c>
      <x:c r="T475" s="14" t="n">
        <x:v>2025</x:v>
      </x:c>
      <x:c r="U475" s="14" t="str">
        <x:v>Explicit source first year retained</x:v>
      </x:c>
      <x:c r="V475" s="14" t="str">
        <x:v>Earliest supplied year is 2025.</x:v>
      </x:c>
      <x:c r="W475" s="14"/>
      <x:c r="X475" s="14" t="str">
        <x:v>Included</x:v>
      </x:c>
      <x:c r="Y475" s="14"/>
      <x:c r="Z475" s="14" t="str">
        <x:v>Karen Pirie.docx</x:v>
      </x:c>
      <x:c r="AA475" s="14" t="str">
        <x:v>HYPERLINK is not implemented. linkLocation=https://www.imdb.com/title/tt11725900/fullcredits/,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ITV / ITVX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HYPERLINK("https://en.wikipedia.org/wiki/Karen_Pirie","Open source")</x:f>
        <x:v>HYPERLINK is not implemented. linkLocation=https://en.wikipedia.org/wiki/Karen_Pirie,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6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3</x:v>
      </x:c>
      <x:c r="BS475" s="16" t="n">
        <x:v>0.5</x:v>
      </x:c>
      <x:c r="BT475" s="14" t="str">
        <x:v>Minority of episodes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4" t="str">
        <x:v>HYPERLINK is not implemented. linkLocation=https://www.imdb.com/title/tt11725900/fullcredits/,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tt11725900|nm4495529|mick prentice jnr</x:v>
      </x:c>
      <x:c r="B476" s="14" t="str">
        <x:v>03</x:v>
      </x:c>
      <x:c r="C476" s="14" t="str">
        <x:v>2022_IMDb_Cast_Lists_Batch_03(1).xlsx</x:v>
      </x:c>
      <x:c r="D476" s="14" t="str">
        <x:v>Karen Pirie</x:v>
      </x:c>
      <x:c r="E476" s="14" t="n">
        <x:v>24</x:v>
      </x:c>
      <x:c r="F476" s="14" t="str">
        <x:v>Karen Pirie</x:v>
      </x:c>
      <x:c r="G476" s="14" t="str">
        <x:v>tt11725900</x:v>
      </x:c>
      <x:c r="H476" s="14" t="n">
        <x:v>2022</x:v>
      </x:c>
      <x:c r="I476" s="14" t="n">
        <x:v>2025</x:v>
      </x:c>
      <x:c r="J476" s="14" t="str">
        <x:v>Earlier-Production Carry-In Cohort</x:v>
      </x:c>
      <x:c r="K476" s="14" t="n">
        <x:v>2022</x:v>
      </x:c>
      <x:c r="L476" s="14" t="str">
        <x:v>Used in 2025 annual analysis</x:v>
      </x:c>
      <x:c r="M476" s="15" t="n">
        <x:v>17</x:v>
      </x:c>
      <x:c r="N476" s="14" t="str">
        <x:v>Mark Rowley</x:v>
      </x:c>
      <x:c r="O476" s="14" t="str">
        <x:v>nm4495529</x:v>
      </x:c>
      <x:c r="P476" s="14" t="str">
        <x:v>Mick Prentice Jnr</x:v>
      </x:c>
      <x:c r="Q476" s="15" t="n">
        <x:v>3</x:v>
      </x:c>
      <x:c r="R476" s="14" t="str">
        <x:v>2025</x:v>
      </x:c>
      <x:c r="S476" s="14" t="n">
        <x:v>2025</x:v>
      </x:c>
      <x:c r="T476" s="14" t="n">
        <x:v>2025</x:v>
      </x:c>
      <x:c r="U476" s="14" t="str">
        <x:v>Explicit source first year retained</x:v>
      </x:c>
      <x:c r="V476" s="14" t="str">
        <x:v>Earliest supplied year is 2025.</x:v>
      </x:c>
      <x:c r="W476" s="14"/>
      <x:c r="X476" s="14" t="str">
        <x:v>Included</x:v>
      </x:c>
      <x:c r="Y476" s="14"/>
      <x:c r="Z476" s="14" t="str">
        <x:v>Karen Pirie.docx</x:v>
      </x:c>
      <x:c r="AA476" s="14" t="str">
        <x:v>HYPERLINK is not implemented. linkLocation=https://www.imdb.com/title/tt11725900/fullcredits/,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ITV / ITVX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HYPERLINK("https://en.wikipedia.org/wiki/Karen_Pirie","Open source")</x:f>
        <x:v>HYPERLINK is not implemented. linkLocation=https://en.wikipedia.org/wiki/Karen_Pirie,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6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3</x:v>
      </x:c>
      <x:c r="BS476" s="16" t="n">
        <x:v>0.5</x:v>
      </x:c>
      <x:c r="BT476" s="14" t="str">
        <x:v>Minority of episodes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4" t="str">
        <x:v>HYPERLINK is not implemented. linkLocation=https://www.imdb.com/title/tt11725900/fullcredits/,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tt11725900|nm5458478|kevin campbell</x:v>
      </x:c>
      <x:c r="B477" s="14" t="str">
        <x:v>03</x:v>
      </x:c>
      <x:c r="C477" s="14" t="str">
        <x:v>2022_IMDb_Cast_Lists_Batch_03(1).xlsx</x:v>
      </x:c>
      <x:c r="D477" s="14" t="str">
        <x:v>Karen Pirie</x:v>
      </x:c>
      <x:c r="E477" s="14" t="n">
        <x:v>25</x:v>
      </x:c>
      <x:c r="F477" s="14" t="str">
        <x:v>Karen Pirie</x:v>
      </x:c>
      <x:c r="G477" s="14" t="str">
        <x:v>tt11725900</x:v>
      </x:c>
      <x:c r="H477" s="14" t="n">
        <x:v>2022</x:v>
      </x:c>
      <x:c r="I477" s="14" t="n">
        <x:v>2025</x:v>
      </x:c>
      <x:c r="J477" s="14" t="str">
        <x:v>Earlier-Production Carry-In Cohort</x:v>
      </x:c>
      <x:c r="K477" s="14" t="n">
        <x:v>2022</x:v>
      </x:c>
      <x:c r="L477" s="14" t="str">
        <x:v>Used in 2025 annual analysis</x:v>
      </x:c>
      <x:c r="M477" s="15" t="n">
        <x:v>18</x:v>
      </x:c>
      <x:c r="N477" s="14" t="str">
        <x:v>Stuart Campbell</x:v>
      </x:c>
      <x:c r="O477" s="14" t="str">
        <x:v>nm5458478</x:v>
      </x:c>
      <x:c r="P477" s="14" t="str">
        <x:v>Kevin Campbell</x:v>
      </x:c>
      <x:c r="Q477" s="15" t="n">
        <x:v>3</x:v>
      </x:c>
      <x:c r="R477" s="14" t="str">
        <x:v>2025</x:v>
      </x:c>
      <x:c r="S477" s="14" t="n">
        <x:v>2025</x:v>
      </x:c>
      <x:c r="T477" s="14" t="n">
        <x:v>2025</x:v>
      </x:c>
      <x:c r="U477" s="14" t="str">
        <x:v>Explicit source first year retained</x:v>
      </x:c>
      <x:c r="V477" s="14" t="str">
        <x:v>Earliest supplied year is 2025.</x:v>
      </x:c>
      <x:c r="W477" s="14"/>
      <x:c r="X477" s="14" t="str">
        <x:v>Included</x:v>
      </x:c>
      <x:c r="Y477" s="14"/>
      <x:c r="Z477" s="14" t="str">
        <x:v>Karen Pirie.docx</x:v>
      </x:c>
      <x:c r="AA477" s="14" t="str">
        <x:v>HYPERLINK is not implemented. linkLocation=https://www.imdb.com/title/tt11725900/fullcredits/,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ITV / ITVX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HYPERLINK("https://en.wikipedia.org/wiki/Karen_Pirie","Open source")</x:f>
        <x:v>HYPERLINK is not implemented. linkLocation=https://en.wikipedia.org/wiki/Karen_Pirie,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6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3</x:v>
      </x:c>
      <x:c r="BS477" s="16" t="n">
        <x:v>0.5</x:v>
      </x:c>
      <x:c r="BT477" s="14" t="str">
        <x:v>Minority of episodes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4" t="str">
        <x:v>HYPERLINK is not implemented. linkLocation=https://www.imdb.com/title/tt11725900/fullcredits/,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tt11725900|nm1652341|brodie grant jnr.</x:v>
      </x:c>
      <x:c r="B478" s="14" t="str">
        <x:v>03</x:v>
      </x:c>
      <x:c r="C478" s="14" t="str">
        <x:v>2022_IMDb_Cast_Lists_Batch_03(1).xlsx</x:v>
      </x:c>
      <x:c r="D478" s="14" t="str">
        <x:v>Karen Pirie</x:v>
      </x:c>
      <x:c r="E478" s="14" t="n">
        <x:v>27</x:v>
      </x:c>
      <x:c r="F478" s="14" t="str">
        <x:v>Karen Pirie</x:v>
      </x:c>
      <x:c r="G478" s="14" t="str">
        <x:v>tt11725900</x:v>
      </x:c>
      <x:c r="H478" s="14" t="n">
        <x:v>2022</x:v>
      </x:c>
      <x:c r="I478" s="14" t="n">
        <x:v>2025</x:v>
      </x:c>
      <x:c r="J478" s="14" t="str">
        <x:v>Earlier-Production Carry-In Cohort</x:v>
      </x:c>
      <x:c r="K478" s="14" t="n">
        <x:v>2022</x:v>
      </x:c>
      <x:c r="L478" s="14" t="str">
        <x:v>Used in 2025 annual analysis</x:v>
      </x:c>
      <x:c r="M478" s="15" t="n">
        <x:v>20</x:v>
      </x:c>
      <x:c r="N478" s="14" t="str">
        <x:v>Jamie Michie</x:v>
      </x:c>
      <x:c r="O478" s="14" t="str">
        <x:v>nm1652341</x:v>
      </x:c>
      <x:c r="P478" s="14" t="str">
        <x:v>Brodie Grant Jnr.</x:v>
      </x:c>
      <x:c r="Q478" s="15" t="n">
        <x:v>3</x:v>
      </x:c>
      <x:c r="R478" s="14" t="str">
        <x:v>2025</x:v>
      </x:c>
      <x:c r="S478" s="14" t="n">
        <x:v>2025</x:v>
      </x:c>
      <x:c r="T478" s="14" t="n">
        <x:v>2025</x:v>
      </x:c>
      <x:c r="U478" s="14" t="str">
        <x:v>Explicit source first year retained</x:v>
      </x:c>
      <x:c r="V478" s="14" t="str">
        <x:v>Earliest supplied year is 2025.</x:v>
      </x:c>
      <x:c r="W478" s="14"/>
      <x:c r="X478" s="14" t="str">
        <x:v>Included</x:v>
      </x:c>
      <x:c r="Y478" s="14"/>
      <x:c r="Z478" s="14" t="str">
        <x:v>Karen Pirie.docx</x:v>
      </x:c>
      <x:c r="AA478" s="14" t="str">
        <x:v>HYPERLINK is not implemented. linkLocation=https://www.imdb.com/title/tt11725900/fullcredits/,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ITV / ITVX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HYPERLINK("https://en.wikipedia.org/wiki/Karen_Pirie","Open source")</x:f>
        <x:v>HYPERLINK is not implemented. linkLocation=https://en.wikipedia.org/wiki/Karen_Pirie,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6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3</x:v>
      </x:c>
      <x:c r="BS478" s="16" t="n">
        <x:v>0.5</x:v>
      </x:c>
      <x:c r="BT478" s="14" t="str">
        <x:v>Minority of episodes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4" t="str">
        <x:v>HYPERLINK is not implemented. linkLocation=https://www.imdb.com/title/tt11725900/fullcredits/,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tt11725900|nm0866626|mary grant snr</x:v>
      </x:c>
      <x:c r="B479" s="14" t="str">
        <x:v>03</x:v>
      </x:c>
      <x:c r="C479" s="14" t="str">
        <x:v>2022_IMDb_Cast_Lists_Batch_03(1).xlsx</x:v>
      </x:c>
      <x:c r="D479" s="14" t="str">
        <x:v>Karen Pirie</x:v>
      </x:c>
      <x:c r="E479" s="14" t="n">
        <x:v>30</x:v>
      </x:c>
      <x:c r="F479" s="14" t="str">
        <x:v>Karen Pirie</x:v>
      </x:c>
      <x:c r="G479" s="14" t="str">
        <x:v>tt11725900</x:v>
      </x:c>
      <x:c r="H479" s="14" t="n">
        <x:v>2022</x:v>
      </x:c>
      <x:c r="I479" s="14" t="n">
        <x:v>2025</x:v>
      </x:c>
      <x:c r="J479" s="14" t="str">
        <x:v>Earlier-Production Carry-In Cohort</x:v>
      </x:c>
      <x:c r="K479" s="14" t="n">
        <x:v>2022</x:v>
      </x:c>
      <x:c r="L479" s="14" t="str">
        <x:v>Used in 2025 annual analysis</x:v>
      </x:c>
      <x:c r="M479" s="15" t="n">
        <x:v>23</x:v>
      </x:c>
      <x:c r="N479" s="14" t="str">
        <x:v>Frances Tomelty</x:v>
      </x:c>
      <x:c r="O479" s="14" t="str">
        <x:v>nm0866626</x:v>
      </x:c>
      <x:c r="P479" s="14" t="str">
        <x:v>Mary Grant Snr</x:v>
      </x:c>
      <x:c r="Q479" s="15" t="n">
        <x:v>3</x:v>
      </x:c>
      <x:c r="R479" s="14" t="str">
        <x:v>2025</x:v>
      </x:c>
      <x:c r="S479" s="14" t="n">
        <x:v>2025</x:v>
      </x:c>
      <x:c r="T479" s="14" t="n">
        <x:v>2025</x:v>
      </x:c>
      <x:c r="U479" s="14" t="str">
        <x:v>Explicit source first year retained</x:v>
      </x:c>
      <x:c r="V479" s="14" t="str">
        <x:v>Earliest supplied year is 2025.</x:v>
      </x:c>
      <x:c r="W479" s="14"/>
      <x:c r="X479" s="14" t="str">
        <x:v>Included</x:v>
      </x:c>
      <x:c r="Y479" s="14"/>
      <x:c r="Z479" s="14" t="str">
        <x:v>Karen Pirie.docx</x:v>
      </x:c>
      <x:c r="AA479" s="14" t="str">
        <x:v>HYPERLINK is not implemented. linkLocation=https://www.imdb.com/title/tt11725900/fullcredits/,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ITV / ITVX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HYPERLINK("https://en.wikipedia.org/wiki/Karen_Pirie","Open source")</x:f>
        <x:v>HYPERLINK is not implemented. linkLocation=https://en.wikipedia.org/wiki/Karen_Pirie,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6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3</x:v>
      </x:c>
      <x:c r="BS479" s="16" t="n">
        <x:v>0.5</x:v>
      </x:c>
      <x:c r="BT479" s="14" t="str">
        <x:v>Minority of episodes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4" t="str">
        <x:v>HYPERLINK is not implemented. linkLocation=https://www.imdb.com/title/tt11725900/fullcredits/,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tt11725900|nm0181920|brodie grant snr</x:v>
      </x:c>
      <x:c r="B480" s="14" t="str">
        <x:v>03</x:v>
      </x:c>
      <x:c r="C480" s="14" t="str">
        <x:v>2022_IMDb_Cast_Lists_Batch_03(1).xlsx</x:v>
      </x:c>
      <x:c r="D480" s="14" t="str">
        <x:v>Karen Pirie</x:v>
      </x:c>
      <x:c r="E480" s="14" t="n">
        <x:v>32</x:v>
      </x:c>
      <x:c r="F480" s="14" t="str">
        <x:v>Karen Pirie</x:v>
      </x:c>
      <x:c r="G480" s="14" t="str">
        <x:v>tt11725900</x:v>
      </x:c>
      <x:c r="H480" s="14" t="n">
        <x:v>2022</x:v>
      </x:c>
      <x:c r="I480" s="14" t="n">
        <x:v>2025</x:v>
      </x:c>
      <x:c r="J480" s="14" t="str">
        <x:v>Earlier-Production Carry-In Cohort</x:v>
      </x:c>
      <x:c r="K480" s="14" t="n">
        <x:v>2022</x:v>
      </x:c>
      <x:c r="L480" s="14" t="str">
        <x:v>Used in 2025 annual analysis</x:v>
      </x:c>
      <x:c r="M480" s="15" t="n">
        <x:v>25</x:v>
      </x:c>
      <x:c r="N480" s="14" t="str">
        <x:v>James Cosmo</x:v>
      </x:c>
      <x:c r="O480" s="14" t="str">
        <x:v>nm0181920</x:v>
      </x:c>
      <x:c r="P480" s="14" t="str">
        <x:v>Brodie Grant Snr</x:v>
      </x:c>
      <x:c r="Q480" s="15" t="n">
        <x:v>3</x:v>
      </x:c>
      <x:c r="R480" s="14" t="str">
        <x:v>2025</x:v>
      </x:c>
      <x:c r="S480" s="14" t="n">
        <x:v>2025</x:v>
      </x:c>
      <x:c r="T480" s="14" t="n">
        <x:v>2025</x:v>
      </x:c>
      <x:c r="U480" s="14" t="str">
        <x:v>Explicit source first year retained</x:v>
      </x:c>
      <x:c r="V480" s="14" t="str">
        <x:v>Earliest supplied year is 2025.</x:v>
      </x:c>
      <x:c r="W480" s="14"/>
      <x:c r="X480" s="14" t="str">
        <x:v>Included</x:v>
      </x:c>
      <x:c r="Y480" s="14"/>
      <x:c r="Z480" s="14" t="str">
        <x:v>Karen Pirie.docx</x:v>
      </x:c>
      <x:c r="AA480" s="14" t="str">
        <x:v>HYPERLINK is not implemented. linkLocation=https://www.imdb.com/title/tt11725900/fullcredits/,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ITV / ITVX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HYPERLINK("https://en.wikipedia.org/wiki/Karen_Pirie","Open source")</x:f>
        <x:v>HYPERLINK is not implemented. linkLocation=https://en.wikipedia.org/wiki/Karen_Pirie,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6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3</x:v>
      </x:c>
      <x:c r="BS480" s="16" t="n">
        <x:v>0.5</x:v>
      </x:c>
      <x:c r="BT480" s="14" t="str">
        <x:v>Minority of episodes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4" t="str">
        <x:v>HYPERLINK is not implemented. linkLocation=https://www.imdb.com/title/tt11725900/fullcredits/,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tt11725900|nm8548941|andy kerr</x:v>
      </x:c>
      <x:c r="B481" s="14" t="str">
        <x:v>03</x:v>
      </x:c>
      <x:c r="C481" s="14" t="str">
        <x:v>2022_IMDb_Cast_Lists_Batch_03(1).xlsx</x:v>
      </x:c>
      <x:c r="D481" s="14" t="str">
        <x:v>Karen Pirie</x:v>
      </x:c>
      <x:c r="E481" s="14" t="n">
        <x:v>35</x:v>
      </x:c>
      <x:c r="F481" s="14" t="str">
        <x:v>Karen Pirie</x:v>
      </x:c>
      <x:c r="G481" s="14" t="str">
        <x:v>tt11725900</x:v>
      </x:c>
      <x:c r="H481" s="14" t="n">
        <x:v>2022</x:v>
      </x:c>
      <x:c r="I481" s="14" t="n">
        <x:v>2025</x:v>
      </x:c>
      <x:c r="J481" s="14" t="str">
        <x:v>Earlier-Production Carry-In Cohort</x:v>
      </x:c>
      <x:c r="K481" s="14" t="n">
        <x:v>2022</x:v>
      </x:c>
      <x:c r="L481" s="14" t="str">
        <x:v>Used in 2025 annual analysis</x:v>
      </x:c>
      <x:c r="M481" s="15" t="n">
        <x:v>28</x:v>
      </x:c>
      <x:c r="N481" s="14" t="str">
        <x:v>Conor Berry</x:v>
      </x:c>
      <x:c r="O481" s="14" t="str">
        <x:v>nm8548941</x:v>
      </x:c>
      <x:c r="P481" s="14" t="str">
        <x:v>Andy Kerr</x:v>
      </x:c>
      <x:c r="Q481" s="15" t="n">
        <x:v>3</x:v>
      </x:c>
      <x:c r="R481" s="14" t="str">
        <x:v>2025</x:v>
      </x:c>
      <x:c r="S481" s="14" t="n">
        <x:v>2025</x:v>
      </x:c>
      <x:c r="T481" s="14" t="n">
        <x:v>2025</x:v>
      </x:c>
      <x:c r="U481" s="14" t="str">
        <x:v>Explicit source first year retained</x:v>
      </x:c>
      <x:c r="V481" s="14" t="str">
        <x:v>Earliest supplied year is 2025.</x:v>
      </x:c>
      <x:c r="W481" s="14"/>
      <x:c r="X481" s="14" t="str">
        <x:v>Included</x:v>
      </x:c>
      <x:c r="Y481" s="14"/>
      <x:c r="Z481" s="14" t="str">
        <x:v>Karen Pirie.docx</x:v>
      </x:c>
      <x:c r="AA481" s="14" t="str">
        <x:v>HYPERLINK is not implemented. linkLocation=https://www.imdb.com/title/tt11725900/fullcredits/,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ITV / ITVX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HYPERLINK("https://en.wikipedia.org/wiki/Karen_Pirie","Open source")</x:f>
        <x:v>HYPERLINK is not implemented. linkLocation=https://en.wikipedia.org/wiki/Karen_Pirie,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6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3</x:v>
      </x:c>
      <x:c r="BS481" s="16" t="n">
        <x:v>0.5</x:v>
      </x:c>
      <x:c r="BT481" s="14" t="str">
        <x:v>Minority of episodes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4" t="str">
        <x:v>HYPERLINK is not implemented. linkLocation=https://www.imdb.com/title/tt11725900/fullcredits/,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tt11725900|nm10730874|fergus jnr</x:v>
      </x:c>
      <x:c r="B482" s="14" t="str">
        <x:v>03</x:v>
      </x:c>
      <x:c r="C482" s="14" t="str">
        <x:v>2022_IMDb_Cast_Lists_Batch_03(1).xlsx</x:v>
      </x:c>
      <x:c r="D482" s="14" t="str">
        <x:v>Karen Pirie</x:v>
      </x:c>
      <x:c r="E482" s="14" t="n">
        <x:v>36</x:v>
      </x:c>
      <x:c r="F482" s="14" t="str">
        <x:v>Karen Pirie</x:v>
      </x:c>
      <x:c r="G482" s="14" t="str">
        <x:v>tt11725900</x:v>
      </x:c>
      <x:c r="H482" s="14" t="n">
        <x:v>2022</x:v>
      </x:c>
      <x:c r="I482" s="14" t="n">
        <x:v>2025</x:v>
      </x:c>
      <x:c r="J482" s="14" t="str">
        <x:v>Earlier-Production Carry-In Cohort</x:v>
      </x:c>
      <x:c r="K482" s="14" t="n">
        <x:v>2022</x:v>
      </x:c>
      <x:c r="L482" s="14" t="str">
        <x:v>Used in 2025 annual analysis</x:v>
      </x:c>
      <x:c r="M482" s="15" t="n">
        <x:v>29</x:v>
      </x:c>
      <x:c r="N482" s="14" t="str">
        <x:v>Jack Stewart</x:v>
      </x:c>
      <x:c r="O482" s="14" t="str">
        <x:v>nm10730874</x:v>
      </x:c>
      <x:c r="P482" s="14" t="str">
        <x:v>Fergus Jnr</x:v>
      </x:c>
      <x:c r="Q482" s="15" t="n">
        <x:v>3</x:v>
      </x:c>
      <x:c r="R482" s="14" t="str">
        <x:v>2025</x:v>
      </x:c>
      <x:c r="S482" s="14" t="n">
        <x:v>2025</x:v>
      </x:c>
      <x:c r="T482" s="14" t="n">
        <x:v>2025</x:v>
      </x:c>
      <x:c r="U482" s="14" t="str">
        <x:v>Explicit source first year retained</x:v>
      </x:c>
      <x:c r="V482" s="14" t="str">
        <x:v>Earliest supplied year is 2025.</x:v>
      </x:c>
      <x:c r="W482" s="14"/>
      <x:c r="X482" s="14" t="str">
        <x:v>Included</x:v>
      </x:c>
      <x:c r="Y482" s="14"/>
      <x:c r="Z482" s="14" t="str">
        <x:v>Karen Pirie.docx</x:v>
      </x:c>
      <x:c r="AA482" s="14" t="str">
        <x:v>HYPERLINK is not implemented. linkLocation=https://www.imdb.com/title/tt11725900/fullcredits/,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ITV / ITVX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HYPERLINK("https://en.wikipedia.org/wiki/Karen_Pirie","Open source")</x:f>
        <x:v>HYPERLINK is not implemented. linkLocation=https://en.wikipedia.org/wiki/Karen_Pirie,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6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3</x:v>
      </x:c>
      <x:c r="BS482" s="16" t="n">
        <x:v>0.5</x:v>
      </x:c>
      <x:c r="BT482" s="14" t="str">
        <x:v>Minority of episodes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4" t="str">
        <x:v>HYPERLINK is not implemented. linkLocation=https://www.imdb.com/title/tt11725900/fullcredits/,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tt11725900|nm1002209|mary grant jnr</x:v>
      </x:c>
      <x:c r="B483" s="14" t="str">
        <x:v>03</x:v>
      </x:c>
      <x:c r="C483" s="14" t="str">
        <x:v>2022_IMDb_Cast_Lists_Batch_03(1).xlsx</x:v>
      </x:c>
      <x:c r="D483" s="14" t="str">
        <x:v>Karen Pirie</x:v>
      </x:c>
      <x:c r="E483" s="14" t="n">
        <x:v>37</x:v>
      </x:c>
      <x:c r="F483" s="14" t="str">
        <x:v>Karen Pirie</x:v>
      </x:c>
      <x:c r="G483" s="14" t="str">
        <x:v>tt11725900</x:v>
      </x:c>
      <x:c r="H483" s="14" t="n">
        <x:v>2022</x:v>
      </x:c>
      <x:c r="I483" s="14" t="n">
        <x:v>2025</x:v>
      </x:c>
      <x:c r="J483" s="14" t="str">
        <x:v>Earlier-Production Carry-In Cohort</x:v>
      </x:c>
      <x:c r="K483" s="14" t="n">
        <x:v>2022</x:v>
      </x:c>
      <x:c r="L483" s="14" t="str">
        <x:v>Used in 2025 annual analysis</x:v>
      </x:c>
      <x:c r="M483" s="15" t="n">
        <x:v>30</x:v>
      </x:c>
      <x:c r="N483" s="14" t="str">
        <x:v>Madeleine Worrall</x:v>
      </x:c>
      <x:c r="O483" s="14" t="str">
        <x:v>nm1002209</x:v>
      </x:c>
      <x:c r="P483" s="14" t="str">
        <x:v>Mary Grant Jnr</x:v>
      </x:c>
      <x:c r="Q483" s="15" t="n">
        <x:v>3</x:v>
      </x:c>
      <x:c r="R483" s="14" t="str">
        <x:v>2025</x:v>
      </x:c>
      <x:c r="S483" s="14" t="n">
        <x:v>2025</x:v>
      </x:c>
      <x:c r="T483" s="14" t="n">
        <x:v>2025</x:v>
      </x:c>
      <x:c r="U483" s="14" t="str">
        <x:v>Explicit source first year retained</x:v>
      </x:c>
      <x:c r="V483" s="14" t="str">
        <x:v>Earliest supplied year is 2025.</x:v>
      </x:c>
      <x:c r="W483" s="14"/>
      <x:c r="X483" s="14" t="str">
        <x:v>Included</x:v>
      </x:c>
      <x:c r="Y483" s="14"/>
      <x:c r="Z483" s="14" t="str">
        <x:v>Karen Pirie.docx</x:v>
      </x:c>
      <x:c r="AA483" s="14" t="str">
        <x:v>HYPERLINK is not implemented. linkLocation=https://www.imdb.com/title/tt11725900/fullcredits/,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ITV / ITVX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HYPERLINK("https://en.wikipedia.org/wiki/Karen_Pirie","Open source")</x:f>
        <x:v>HYPERLINK is not implemented. linkLocation=https://en.wikipedia.org/wiki/Karen_Pirie,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6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3</x:v>
      </x:c>
      <x:c r="BS483" s="16" t="n">
        <x:v>0.5</x:v>
      </x:c>
      <x:c r="BT483" s="14" t="str">
        <x:v>Minority of episodes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4" t="str">
        <x:v>HYPERLINK is not implemented. linkLocation=https://www.imdb.com/title/tt11725900/fullcredits/,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tt11725900|nm8624309|di anderson</x:v>
      </x:c>
      <x:c r="B484" s="14" t="str">
        <x:v>03</x:v>
      </x:c>
      <x:c r="C484" s="14" t="str">
        <x:v>2022_IMDb_Cast_Lists_Batch_03(1).xlsx</x:v>
      </x:c>
      <x:c r="D484" s="14" t="str">
        <x:v>Karen Pirie</x:v>
      </x:c>
      <x:c r="E484" s="14" t="n">
        <x:v>41</x:v>
      </x:c>
      <x:c r="F484" s="14" t="str">
        <x:v>Karen Pirie</x:v>
      </x:c>
      <x:c r="G484" s="14" t="str">
        <x:v>tt11725900</x:v>
      </x:c>
      <x:c r="H484" s="14" t="n">
        <x:v>2022</x:v>
      </x:c>
      <x:c r="I484" s="14" t="n">
        <x:v>2025</x:v>
      </x:c>
      <x:c r="J484" s="14" t="str">
        <x:v>Earlier-Production Carry-In Cohort</x:v>
      </x:c>
      <x:c r="K484" s="14" t="n">
        <x:v>2022</x:v>
      </x:c>
      <x:c r="L484" s="14" t="str">
        <x:v>Used in 2025 annual analysis</x:v>
      </x:c>
      <x:c r="M484" s="15" t="n">
        <x:v>34</x:v>
      </x:c>
      <x:c r="N484" s="14" t="str">
        <x:v>Thoren Ferguson</x:v>
      </x:c>
      <x:c r="O484" s="14" t="str">
        <x:v>nm8624309</x:v>
      </x:c>
      <x:c r="P484" s="14" t="str">
        <x:v>DI Anderson</x:v>
      </x:c>
      <x:c r="Q484" s="15" t="n">
        <x:v>2</x:v>
      </x:c>
      <x:c r="R484" s="14" t="str">
        <x:v>2025</x:v>
      </x:c>
      <x:c r="S484" s="14" t="n">
        <x:v>2025</x:v>
      </x:c>
      <x:c r="T484" s="14" t="n">
        <x:v>2025</x:v>
      </x:c>
      <x:c r="U484" s="14" t="str">
        <x:v>Explicit source first year retained</x:v>
      </x:c>
      <x:c r="V484" s="14" t="str">
        <x:v>Earliest supplied year is 2025.</x:v>
      </x:c>
      <x:c r="W484" s="14"/>
      <x:c r="X484" s="14" t="str">
        <x:v>Included</x:v>
      </x:c>
      <x:c r="Y484" s="14"/>
      <x:c r="Z484" s="14" t="str">
        <x:v>Karen Pirie.docx</x:v>
      </x:c>
      <x:c r="AA484" s="14" t="str">
        <x:v>HYPERLINK is not implemented. linkLocation=https://www.imdb.com/title/tt11725900/fullcredits/,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ITV / ITVX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HYPERLINK("https://en.wikipedia.org/wiki/Karen_Pirie","Open source")</x:f>
        <x:v>HYPERLINK is not implemented. linkLocation=https://en.wikipedia.org/wiki/Karen_Pirie,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6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2</x:v>
      </x:c>
      <x:c r="BS484" s="16" t="n">
        <x:v>0.3333333333333333</x:v>
      </x:c>
      <x:c r="BT484" s="14" t="str">
        <x:v>Minority of episodes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4" t="str">
        <x:v>HYPERLINK is not implemented. linkLocation=https://www.imdb.com/title/tt11725900/fullcredits/,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tt11725900|nm8439834|gabriel porteous / adam snr</x:v>
      </x:c>
      <x:c r="B485" s="14" t="str">
        <x:v>03</x:v>
      </x:c>
      <x:c r="C485" s="14" t="str">
        <x:v>2022_IMDb_Cast_Lists_Batch_03(1).xlsx</x:v>
      </x:c>
      <x:c r="D485" s="14" t="str">
        <x:v>Karen Pirie</x:v>
      </x:c>
      <x:c r="E485" s="14" t="n">
        <x:v>42</x:v>
      </x:c>
      <x:c r="F485" s="14" t="str">
        <x:v>Karen Pirie</x:v>
      </x:c>
      <x:c r="G485" s="14" t="str">
        <x:v>tt11725900</x:v>
      </x:c>
      <x:c r="H485" s="14" t="n">
        <x:v>2022</x:v>
      </x:c>
      <x:c r="I485" s="14" t="n">
        <x:v>2025</x:v>
      </x:c>
      <x:c r="J485" s="14" t="str">
        <x:v>Earlier-Production Carry-In Cohort</x:v>
      </x:c>
      <x:c r="K485" s="14" t="n">
        <x:v>2022</x:v>
      </x:c>
      <x:c r="L485" s="14" t="str">
        <x:v>Used in 2025 annual analysis</x:v>
      </x:c>
      <x:c r="M485" s="15" t="n">
        <x:v>35</x:v>
      </x:c>
      <x:c r="N485" s="14" t="str">
        <x:v>Tommaso Basili</x:v>
      </x:c>
      <x:c r="O485" s="14" t="str">
        <x:v>nm8439834</x:v>
      </x:c>
      <x:c r="P485" s="14" t="str">
        <x:v>Gabriel Porteous / Adam Snr</x:v>
      </x:c>
      <x:c r="Q485" s="15" t="n">
        <x:v>2</x:v>
      </x:c>
      <x:c r="R485" s="14" t="str">
        <x:v>2025</x:v>
      </x:c>
      <x:c r="S485" s="14" t="n">
        <x:v>2025</x:v>
      </x:c>
      <x:c r="T485" s="14" t="n">
        <x:v>2025</x:v>
      </x:c>
      <x:c r="U485" s="14" t="str">
        <x:v>Explicit source first year retained</x:v>
      </x:c>
      <x:c r="V485" s="14" t="str">
        <x:v>Earliest supplied year is 2025.</x:v>
      </x:c>
      <x:c r="W485" s="14"/>
      <x:c r="X485" s="14" t="str">
        <x:v>Included</x:v>
      </x:c>
      <x:c r="Y485" s="14"/>
      <x:c r="Z485" s="14" t="str">
        <x:v>Karen Pirie.docx</x:v>
      </x:c>
      <x:c r="AA485" s="14" t="str">
        <x:v>HYPERLINK is not implemented. linkLocation=https://www.imdb.com/title/tt11725900/fullcredits/,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ITV / ITVX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HYPERLINK("https://en.wikipedia.org/wiki/Karen_Pirie","Open source")</x:f>
        <x:v>HYPERLINK is not implemented. linkLocation=https://en.wikipedia.org/wiki/Karen_Pirie,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6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2</x:v>
      </x:c>
      <x:c r="BS485" s="16" t="n">
        <x:v>0.3333333333333333</x:v>
      </x:c>
      <x:c r="BT485" s="14" t="str">
        <x:v>Minority of episodes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4" t="str">
        <x:v>HYPERLINK is not implemented. linkLocation=https://www.imdb.com/title/tt11725900/fullcredits/,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tt11725900|nm12381883|bonnie jnr</x:v>
      </x:c>
      <x:c r="B486" s="14" t="str">
        <x:v>03</x:v>
      </x:c>
      <x:c r="C486" s="14" t="str">
        <x:v>2022_IMDb_Cast_Lists_Batch_03(1).xlsx</x:v>
      </x:c>
      <x:c r="D486" s="14" t="str">
        <x:v>Karen Pirie</x:v>
      </x:c>
      <x:c r="E486" s="14" t="n">
        <x:v>44</x:v>
      </x:c>
      <x:c r="F486" s="14" t="str">
        <x:v>Karen Pirie</x:v>
      </x:c>
      <x:c r="G486" s="14" t="str">
        <x:v>tt11725900</x:v>
      </x:c>
      <x:c r="H486" s="14" t="n">
        <x:v>2022</x:v>
      </x:c>
      <x:c r="I486" s="14" t="n">
        <x:v>2025</x:v>
      </x:c>
      <x:c r="J486" s="14" t="str">
        <x:v>Earlier-Production Carry-In Cohort</x:v>
      </x:c>
      <x:c r="K486" s="14" t="n">
        <x:v>2022</x:v>
      </x:c>
      <x:c r="L486" s="14" t="str">
        <x:v>Used in 2025 annual analysis</x:v>
      </x:c>
      <x:c r="M486" s="15" t="n">
        <x:v>37</x:v>
      </x:c>
      <x:c r="N486" s="14" t="str">
        <x:v>Kat Ronney</x:v>
      </x:c>
      <x:c r="O486" s="14" t="str">
        <x:v>nm12381883</x:v>
      </x:c>
      <x:c r="P486" s="14" t="str">
        <x:v>Bonnie Jnr</x:v>
      </x:c>
      <x:c r="Q486" s="15" t="n">
        <x:v>2</x:v>
      </x:c>
      <x:c r="R486" s="14" t="str">
        <x:v>2025</x:v>
      </x:c>
      <x:c r="S486" s="14" t="n">
        <x:v>2025</x:v>
      </x:c>
      <x:c r="T486" s="14" t="n">
        <x:v>2025</x:v>
      </x:c>
      <x:c r="U486" s="14" t="str">
        <x:v>Explicit source first year retained</x:v>
      </x:c>
      <x:c r="V486" s="14" t="str">
        <x:v>Earliest supplied year is 2025.</x:v>
      </x:c>
      <x:c r="W486" s="14"/>
      <x:c r="X486" s="14" t="str">
        <x:v>Included</x:v>
      </x:c>
      <x:c r="Y486" s="14"/>
      <x:c r="Z486" s="14" t="str">
        <x:v>Karen Pirie.docx</x:v>
      </x:c>
      <x:c r="AA486" s="14" t="str">
        <x:v>HYPERLINK is not implemented. linkLocation=https://www.imdb.com/title/tt11725900/fullcredits/,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ITV / ITVX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HYPERLINK("https://en.wikipedia.org/wiki/Karen_Pirie","Open source")</x:f>
        <x:v>HYPERLINK is not implemented. linkLocation=https://en.wikipedia.org/wiki/Karen_Pirie,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6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2</x:v>
      </x:c>
      <x:c r="BS486" s="16" t="n">
        <x:v>0.3333333333333333</x:v>
      </x:c>
      <x:c r="BT486" s="14" t="str">
        <x:v>Minority of episodes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4" t="str">
        <x:v>HYPERLINK is not implemented. linkLocation=https://www.imdb.com/title/tt11725900/fullcredits/,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tt11725900|nm6210727|glen gibson</x:v>
      </x:c>
      <x:c r="B487" s="14" t="str">
        <x:v>03</x:v>
      </x:c>
      <x:c r="C487" s="14" t="str">
        <x:v>2022_IMDb_Cast_Lists_Batch_03(1).xlsx</x:v>
      </x:c>
      <x:c r="D487" s="14" t="str">
        <x:v>Karen Pirie</x:v>
      </x:c>
      <x:c r="E487" s="14" t="n">
        <x:v>48</x:v>
      </x:c>
      <x:c r="F487" s="14" t="str">
        <x:v>Karen Pirie</x:v>
      </x:c>
      <x:c r="G487" s="14" t="str">
        <x:v>tt11725900</x:v>
      </x:c>
      <x:c r="H487" s="14" t="n">
        <x:v>2022</x:v>
      </x:c>
      <x:c r="I487" s="14" t="n">
        <x:v>2025</x:v>
      </x:c>
      <x:c r="J487" s="14" t="str">
        <x:v>Earlier-Production Carry-In Cohort</x:v>
      </x:c>
      <x:c r="K487" s="14" t="n">
        <x:v>2022</x:v>
      </x:c>
      <x:c r="L487" s="14" t="str">
        <x:v>Used in 2025 annual analysis</x:v>
      </x:c>
      <x:c r="M487" s="15" t="n">
        <x:v>41</x:v>
      </x:c>
      <x:c r="N487" s="14" t="str">
        <x:v>Craig McGinlay</x:v>
      </x:c>
      <x:c r="O487" s="14" t="str">
        <x:v>nm6210727</x:v>
      </x:c>
      <x:c r="P487" s="14" t="str">
        <x:v>Glen Gibson</x:v>
      </x:c>
      <x:c r="Q487" s="15" t="n">
        <x:v>2</x:v>
      </x:c>
      <x:c r="R487" s="14" t="str">
        <x:v>2025</x:v>
      </x:c>
      <x:c r="S487" s="14" t="n">
        <x:v>2025</x:v>
      </x:c>
      <x:c r="T487" s="14" t="n">
        <x:v>2025</x:v>
      </x:c>
      <x:c r="U487" s="14" t="str">
        <x:v>Explicit source first year retained</x:v>
      </x:c>
      <x:c r="V487" s="14" t="str">
        <x:v>Earliest supplied year is 2025.</x:v>
      </x:c>
      <x:c r="W487" s="14"/>
      <x:c r="X487" s="14" t="str">
        <x:v>Included</x:v>
      </x:c>
      <x:c r="Y487" s="14"/>
      <x:c r="Z487" s="14" t="str">
        <x:v>Karen Pirie.docx</x:v>
      </x:c>
      <x:c r="AA487" s="14" t="str">
        <x:v>HYPERLINK is not implemented. linkLocation=https://www.imdb.com/title/tt11725900/fullcredits/,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ITV / ITVX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HYPERLINK("https://en.wikipedia.org/wiki/Karen_Pirie","Open source")</x:f>
        <x:v>HYPERLINK is not implemented. linkLocation=https://en.wikipedia.org/wiki/Karen_Pirie,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6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2</x:v>
      </x:c>
      <x:c r="BS487" s="16" t="n">
        <x:v>0.3333333333333333</x:v>
      </x:c>
      <x:c r="BT487" s="14" t="str">
        <x:v>Minority of episodes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4" t="str">
        <x:v>HYPERLINK is not implemented. linkLocation=https://www.imdb.com/title/tt11725900/fullcredits/,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tt11725900|nm1368781|susan snr</x:v>
      </x:c>
      <x:c r="B488" s="14" t="str">
        <x:v>03</x:v>
      </x:c>
      <x:c r="C488" s="14" t="str">
        <x:v>2022_IMDb_Cast_Lists_Batch_03(1).xlsx</x:v>
      </x:c>
      <x:c r="D488" s="14" t="str">
        <x:v>Karen Pirie</x:v>
      </x:c>
      <x:c r="E488" s="14" t="n">
        <x:v>49</x:v>
      </x:c>
      <x:c r="F488" s="14" t="str">
        <x:v>Karen Pirie</x:v>
      </x:c>
      <x:c r="G488" s="14" t="str">
        <x:v>tt11725900</x:v>
      </x:c>
      <x:c r="H488" s="14" t="n">
        <x:v>2022</x:v>
      </x:c>
      <x:c r="I488" s="14" t="n">
        <x:v>2025</x:v>
      </x:c>
      <x:c r="J488" s="14" t="str">
        <x:v>Earlier-Production Carry-In Cohort</x:v>
      </x:c>
      <x:c r="K488" s="14" t="n">
        <x:v>2022</x:v>
      </x:c>
      <x:c r="L488" s="14" t="str">
        <x:v>Used in 2025 annual analysis</x:v>
      </x:c>
      <x:c r="M488" s="15" t="n">
        <x:v>42</x:v>
      </x:c>
      <x:c r="N488" s="14" t="str">
        <x:v>Gillian Apter</x:v>
      </x:c>
      <x:c r="O488" s="14" t="str">
        <x:v>nm1368781</x:v>
      </x:c>
      <x:c r="P488" s="14" t="str">
        <x:v>Susan Snr</x:v>
      </x:c>
      <x:c r="Q488" s="15" t="n">
        <x:v>2</x:v>
      </x:c>
      <x:c r="R488" s="14" t="str">
        <x:v>2025</x:v>
      </x:c>
      <x:c r="S488" s="14" t="n">
        <x:v>2025</x:v>
      </x:c>
      <x:c r="T488" s="14" t="n">
        <x:v>2025</x:v>
      </x:c>
      <x:c r="U488" s="14" t="str">
        <x:v>Explicit source first year retained</x:v>
      </x:c>
      <x:c r="V488" s="14" t="str">
        <x:v>Earliest supplied year is 2025.</x:v>
      </x:c>
      <x:c r="W488" s="14"/>
      <x:c r="X488" s="14" t="str">
        <x:v>Included</x:v>
      </x:c>
      <x:c r="Y488" s="14"/>
      <x:c r="Z488" s="14" t="str">
        <x:v>Karen Pirie.docx</x:v>
      </x:c>
      <x:c r="AA488" s="14" t="str">
        <x:v>HYPERLINK is not implemented. linkLocation=https://www.imdb.com/title/tt11725900/fullcredits/,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ITV / ITVX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HYPERLINK("https://en.wikipedia.org/wiki/Karen_Pirie","Open source")</x:f>
        <x:v>HYPERLINK is not implemented. linkLocation=https://en.wikipedia.org/wiki/Karen_Pirie,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6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2</x:v>
      </x:c>
      <x:c r="BS488" s="16" t="n">
        <x:v>0.3333333333333333</x:v>
      </x:c>
      <x:c r="BT488" s="14" t="str">
        <x:v>Minority of episodes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4" t="str">
        <x:v>HYPERLINK is not implemented. linkLocation=https://www.imdb.com/title/tt11725900/fullcredits/,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tt11725900|nm9844932|wdc laurel blair</x:v>
      </x:c>
      <x:c r="B489" s="14" t="str">
        <x:v>03</x:v>
      </x:c>
      <x:c r="C489" s="14" t="str">
        <x:v>2022_IMDb_Cast_Lists_Batch_03(1).xlsx</x:v>
      </x:c>
      <x:c r="D489" s="14" t="str">
        <x:v>Karen Pirie</x:v>
      </x:c>
      <x:c r="E489" s="14" t="n">
        <x:v>50</x:v>
      </x:c>
      <x:c r="F489" s="14" t="str">
        <x:v>Karen Pirie</x:v>
      </x:c>
      <x:c r="G489" s="14" t="str">
        <x:v>tt11725900</x:v>
      </x:c>
      <x:c r="H489" s="14" t="n">
        <x:v>2022</x:v>
      </x:c>
      <x:c r="I489" s="14" t="n">
        <x:v>2025</x:v>
      </x:c>
      <x:c r="J489" s="14" t="str">
        <x:v>Earlier-Production Carry-In Cohort</x:v>
      </x:c>
      <x:c r="K489" s="14" t="n">
        <x:v>2022</x:v>
      </x:c>
      <x:c r="L489" s="14" t="str">
        <x:v>Used in 2025 annual analysis</x:v>
      </x:c>
      <x:c r="M489" s="15" t="n">
        <x:v>43</x:v>
      </x:c>
      <x:c r="N489" s="14" t="str">
        <x:v>Helen Katamba</x:v>
      </x:c>
      <x:c r="O489" s="14" t="str">
        <x:v>nm9844932</x:v>
      </x:c>
      <x:c r="P489" s="14" t="str">
        <x:v>WDC Laurel Blair</x:v>
      </x:c>
      <x:c r="Q489" s="15" t="n">
        <x:v>2</x:v>
      </x:c>
      <x:c r="R489" s="14" t="str">
        <x:v>2025</x:v>
      </x:c>
      <x:c r="S489" s="14" t="n">
        <x:v>2025</x:v>
      </x:c>
      <x:c r="T489" s="14" t="n">
        <x:v>2025</x:v>
      </x:c>
      <x:c r="U489" s="14" t="str">
        <x:v>Explicit source first year retained</x:v>
      </x:c>
      <x:c r="V489" s="14" t="str">
        <x:v>Earliest supplied year is 2025.</x:v>
      </x:c>
      <x:c r="W489" s="14"/>
      <x:c r="X489" s="14" t="str">
        <x:v>Included</x:v>
      </x:c>
      <x:c r="Y489" s="14"/>
      <x:c r="Z489" s="14" t="str">
        <x:v>Karen Pirie.docx</x:v>
      </x:c>
      <x:c r="AA489" s="14" t="str">
        <x:v>HYPERLINK is not implemented. linkLocation=https://www.imdb.com/title/tt11725900/fullcredits/,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ITV / ITVX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HYPERLINK("https://en.wikipedia.org/wiki/Karen_Pirie","Open source")</x:f>
        <x:v>HYPERLINK is not implemented. linkLocation=https://en.wikipedia.org/wiki/Karen_Pirie,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6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2</x:v>
      </x:c>
      <x:c r="BS489" s="16" t="n">
        <x:v>0.3333333333333333</x:v>
      </x:c>
      <x:c r="BT489" s="14" t="str">
        <x:v>Minority of episodes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4" t="str">
        <x:v>HYPERLINK is not implemented. linkLocation=https://www.imdb.com/title/tt11725900/fullcredits/,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tt11725900|nm2405307|news presenter</x:v>
      </x:c>
      <x:c r="B490" s="14" t="str">
        <x:v>03</x:v>
      </x:c>
      <x:c r="C490" s="14" t="str">
        <x:v>2022_IMDb_Cast_Lists_Batch_03(1).xlsx</x:v>
      </x:c>
      <x:c r="D490" s="14" t="str">
        <x:v>Karen Pirie</x:v>
      </x:c>
      <x:c r="E490" s="14" t="n">
        <x:v>51</x:v>
      </x:c>
      <x:c r="F490" s="14" t="str">
        <x:v>Karen Pirie</x:v>
      </x:c>
      <x:c r="G490" s="14" t="str">
        <x:v>tt11725900</x:v>
      </x:c>
      <x:c r="H490" s="14" t="n">
        <x:v>2022</x:v>
      </x:c>
      <x:c r="I490" s="14" t="n">
        <x:v>2025</x:v>
      </x:c>
      <x:c r="J490" s="14" t="str">
        <x:v>Earlier-Production Carry-In Cohort</x:v>
      </x:c>
      <x:c r="K490" s="14" t="n">
        <x:v>2022</x:v>
      </x:c>
      <x:c r="L490" s="14" t="str">
        <x:v>Used in 2025 annual analysis</x:v>
      </x:c>
      <x:c r="M490" s="15" t="n">
        <x:v>44</x:v>
      </x:c>
      <x:c r="N490" s="14" t="str">
        <x:v>Emma Cameron</x:v>
      </x:c>
      <x:c r="O490" s="14" t="str">
        <x:v>nm2405307</x:v>
      </x:c>
      <x:c r="P490" s="14" t="str">
        <x:v>News Presenter</x:v>
      </x:c>
      <x:c r="Q490" s="15" t="n">
        <x:v>2</x:v>
      </x:c>
      <x:c r="R490" s="14" t="str">
        <x:v>2025</x:v>
      </x:c>
      <x:c r="S490" s="14" t="n">
        <x:v>2025</x:v>
      </x:c>
      <x:c r="T490" s="14" t="n">
        <x:v>2025</x:v>
      </x:c>
      <x:c r="U490" s="14" t="str">
        <x:v>Explicit source first year retained</x:v>
      </x:c>
      <x:c r="V490" s="14" t="str">
        <x:v>Earliest supplied year is 2025.</x:v>
      </x:c>
      <x:c r="W490" s="14"/>
      <x:c r="X490" s="14" t="str">
        <x:v>Included</x:v>
      </x:c>
      <x:c r="Y490" s="14"/>
      <x:c r="Z490" s="14" t="str">
        <x:v>Karen Pirie.docx</x:v>
      </x:c>
      <x:c r="AA490" s="14" t="str">
        <x:v>HYPERLINK is not implemented. linkLocation=https://www.imdb.com/title/tt11725900/fullcredits/,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ITV / ITVX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HYPERLINK("https://en.wikipedia.org/wiki/Karen_Pirie","Open source")</x:f>
        <x:v>HYPERLINK is not implemented. linkLocation=https://en.wikipedia.org/wiki/Karen_Pirie,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6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2</x:v>
      </x:c>
      <x:c r="BS490" s="16" t="n">
        <x:v>0.3333333333333333</x:v>
      </x:c>
      <x:c r="BT490" s="14" t="str">
        <x:v>Minority of episodes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4" t="str">
        <x:v>HYPERLINK is not implemented. linkLocation=https://www.imdb.com/title/tt11725900/fullcredits/,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tt11725900|nm5030941|renata</x:v>
      </x:c>
      <x:c r="B491" s="14" t="str">
        <x:v>03</x:v>
      </x:c>
      <x:c r="C491" s="14" t="str">
        <x:v>2022_IMDb_Cast_Lists_Batch_03(1).xlsx</x:v>
      </x:c>
      <x:c r="D491" s="14" t="str">
        <x:v>Karen Pirie</x:v>
      </x:c>
      <x:c r="E491" s="14" t="n">
        <x:v>52</x:v>
      </x:c>
      <x:c r="F491" s="14" t="str">
        <x:v>Karen Pirie</x:v>
      </x:c>
      <x:c r="G491" s="14" t="str">
        <x:v>tt11725900</x:v>
      </x:c>
      <x:c r="H491" s="14" t="n">
        <x:v>2022</x:v>
      </x:c>
      <x:c r="I491" s="14" t="n">
        <x:v>2025</x:v>
      </x:c>
      <x:c r="J491" s="14" t="str">
        <x:v>Earlier-Production Carry-In Cohort</x:v>
      </x:c>
      <x:c r="K491" s="14" t="n">
        <x:v>2022</x:v>
      </x:c>
      <x:c r="L491" s="14" t="str">
        <x:v>Used in 2025 annual analysis</x:v>
      </x:c>
      <x:c r="M491" s="15" t="n">
        <x:v>45</x:v>
      </x:c>
      <x:c r="N491" s="14" t="str">
        <x:v>Carlotta Morelli</x:v>
      </x:c>
      <x:c r="O491" s="14" t="str">
        <x:v>nm5030941</x:v>
      </x:c>
      <x:c r="P491" s="14" t="str">
        <x:v>Renata</x:v>
      </x:c>
      <x:c r="Q491" s="15" t="n">
        <x:v>2</x:v>
      </x:c>
      <x:c r="R491" s="14" t="str">
        <x:v>2025</x:v>
      </x:c>
      <x:c r="S491" s="14" t="n">
        <x:v>2025</x:v>
      </x:c>
      <x:c r="T491" s="14" t="n">
        <x:v>2025</x:v>
      </x:c>
      <x:c r="U491" s="14" t="str">
        <x:v>Explicit source first year retained</x:v>
      </x:c>
      <x:c r="V491" s="14" t="str">
        <x:v>Earliest supplied year is 2025.</x:v>
      </x:c>
      <x:c r="W491" s="14"/>
      <x:c r="X491" s="14" t="str">
        <x:v>Included</x:v>
      </x:c>
      <x:c r="Y491" s="14"/>
      <x:c r="Z491" s="14" t="str">
        <x:v>Karen Pirie.docx</x:v>
      </x:c>
      <x:c r="AA491" s="14" t="str">
        <x:v>HYPERLINK is not implemented. linkLocation=https://www.imdb.com/title/tt11725900/fullcredits/,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ITV / ITVX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HYPERLINK("https://en.wikipedia.org/wiki/Karen_Pirie","Open source")</x:f>
        <x:v>HYPERLINK is not implemented. linkLocation=https://en.wikipedia.org/wiki/Karen_Pirie,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6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2</x:v>
      </x:c>
      <x:c r="BS491" s="16" t="n">
        <x:v>0.3333333333333333</x:v>
      </x:c>
      <x:c r="BT491" s="14" t="str">
        <x:v>Minority of episodes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4" t="str">
        <x:v>HYPERLINK is not implemented. linkLocation=https://www.imdb.com/title/tt11725900/fullcredits/,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tt11725900|nm0214860|barbieri</x:v>
      </x:c>
      <x:c r="B492" s="14" t="str">
        <x:v>03</x:v>
      </x:c>
      <x:c r="C492" s="14" t="str">
        <x:v>2022_IMDb_Cast_Lists_Batch_03(1).xlsx</x:v>
      </x:c>
      <x:c r="D492" s="14" t="str">
        <x:v>Karen Pirie</x:v>
      </x:c>
      <x:c r="E492" s="14" t="n">
        <x:v>56</x:v>
      </x:c>
      <x:c r="F492" s="14" t="str">
        <x:v>Karen Pirie</x:v>
      </x:c>
      <x:c r="G492" s="14" t="str">
        <x:v>tt11725900</x:v>
      </x:c>
      <x:c r="H492" s="14" t="n">
        <x:v>2022</x:v>
      </x:c>
      <x:c r="I492" s="14" t="n">
        <x:v>2025</x:v>
      </x:c>
      <x:c r="J492" s="14" t="str">
        <x:v>Earlier-Production Carry-In Cohort</x:v>
      </x:c>
      <x:c r="K492" s="14" t="n">
        <x:v>2022</x:v>
      </x:c>
      <x:c r="L492" s="14" t="str">
        <x:v>Used in 2025 annual analysis</x:v>
      </x:c>
      <x:c r="M492" s="15" t="n">
        <x:v>49</x:v>
      </x:c>
      <x:c r="N492" s="14" t="str">
        <x:v>Raffaello Degruttola</x:v>
      </x:c>
      <x:c r="O492" s="14" t="str">
        <x:v>nm0214860</x:v>
      </x:c>
      <x:c r="P492" s="14" t="str">
        <x:v>Barbieri</x:v>
      </x:c>
      <x:c r="Q492" s="15" t="n">
        <x:v>2</x:v>
      </x:c>
      <x:c r="R492" s="14" t="str">
        <x:v>2025</x:v>
      </x:c>
      <x:c r="S492" s="14" t="n">
        <x:v>2025</x:v>
      </x:c>
      <x:c r="T492" s="14" t="n">
        <x:v>2025</x:v>
      </x:c>
      <x:c r="U492" s="14" t="str">
        <x:v>Explicit source first year retained</x:v>
      </x:c>
      <x:c r="V492" s="14" t="str">
        <x:v>Earliest supplied year is 2025.</x:v>
      </x:c>
      <x:c r="W492" s="14"/>
      <x:c r="X492" s="14" t="str">
        <x:v>Included</x:v>
      </x:c>
      <x:c r="Y492" s="14"/>
      <x:c r="Z492" s="14" t="str">
        <x:v>Karen Pirie.docx</x:v>
      </x:c>
      <x:c r="AA492" s="14" t="str">
        <x:v>HYPERLINK is not implemented. linkLocation=https://www.imdb.com/title/tt11725900/fullcredits/,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ITV / ITVX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HYPERLINK("https://en.wikipedia.org/wiki/Karen_Pirie","Open source")</x:f>
        <x:v>HYPERLINK is not implemented. linkLocation=https://en.wikipedia.org/wiki/Karen_Pirie,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6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2</x:v>
      </x:c>
      <x:c r="BS492" s="16" t="n">
        <x:v>0.3333333333333333</x:v>
      </x:c>
      <x:c r="BT492" s="14" t="str">
        <x:v>Minority of episodes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4" t="str">
        <x:v>HYPERLINK is not implemented. linkLocation=https://www.imdb.com/title/tt11725900/fullcredits/,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tt11725900|nm0281424|mick prentice snr</x:v>
      </x:c>
      <x:c r="B493" s="14" t="str">
        <x:v>03</x:v>
      </x:c>
      <x:c r="C493" s="14" t="str">
        <x:v>2022_IMDb_Cast_Lists_Batch_03(1).xlsx</x:v>
      </x:c>
      <x:c r="D493" s="14" t="str">
        <x:v>Karen Pirie</x:v>
      </x:c>
      <x:c r="E493" s="14" t="n">
        <x:v>62</x:v>
      </x:c>
      <x:c r="F493" s="14" t="str">
        <x:v>Karen Pirie</x:v>
      </x:c>
      <x:c r="G493" s="14" t="str">
        <x:v>tt11725900</x:v>
      </x:c>
      <x:c r="H493" s="14" t="n">
        <x:v>2022</x:v>
      </x:c>
      <x:c r="I493" s="14" t="n">
        <x:v>2025</x:v>
      </x:c>
      <x:c r="J493" s="14" t="str">
        <x:v>Earlier-Production Carry-In Cohort</x:v>
      </x:c>
      <x:c r="K493" s="14" t="n">
        <x:v>2022</x:v>
      </x:c>
      <x:c r="L493" s="14" t="str">
        <x:v>Used in 2025 annual analysis</x:v>
      </x:c>
      <x:c r="M493" s="15" t="n">
        <x:v>55</x:v>
      </x:c>
      <x:c r="N493" s="14" t="str">
        <x:v>James Fleet</x:v>
      </x:c>
      <x:c r="O493" s="14" t="str">
        <x:v>nm0281424</x:v>
      </x:c>
      <x:c r="P493" s="14" t="str">
        <x:v>Mick Prentice Snr</x:v>
      </x:c>
      <x:c r="Q493" s="15" t="n">
        <x:v>1</x:v>
      </x:c>
      <x:c r="R493" s="14" t="str">
        <x:v>2025</x:v>
      </x:c>
      <x:c r="S493" s="14" t="n">
        <x:v>2025</x:v>
      </x:c>
      <x:c r="T493" s="14" t="n">
        <x:v>2025</x:v>
      </x:c>
      <x:c r="U493" s="14" t="str">
        <x:v>Explicit source first year retained</x:v>
      </x:c>
      <x:c r="V493" s="14" t="str">
        <x:v>Earliest supplied year is 2025.</x:v>
      </x:c>
      <x:c r="W493" s="14"/>
      <x:c r="X493" s="14" t="str">
        <x:v>Included</x:v>
      </x:c>
      <x:c r="Y493" s="14"/>
      <x:c r="Z493" s="14" t="str">
        <x:v>Karen Pirie.docx</x:v>
      </x:c>
      <x:c r="AA493" s="14" t="str">
        <x:v>HYPERLINK is not implemented. linkLocation=https://www.imdb.com/title/tt11725900/fullcredits/,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ITV / ITVX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HYPERLINK("https://en.wikipedia.org/wiki/Karen_Pirie","Open source")</x:f>
        <x:v>HYPERLINK is not implemented. linkLocation=https://en.wikipedia.org/wiki/Karen_Pirie,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6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0.16666666666666666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4" t="str">
        <x:v>HYPERLINK is not implemented. linkLocation=https://www.imdb.com/title/tt11725900/fullcredits/,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tt11725900|nm12586008|tom robertson jnr</x:v>
      </x:c>
      <x:c r="B494" s="14" t="str">
        <x:v>03</x:v>
      </x:c>
      <x:c r="C494" s="14" t="str">
        <x:v>2022_IMDb_Cast_Lists_Batch_03(1).xlsx</x:v>
      </x:c>
      <x:c r="D494" s="14" t="str">
        <x:v>Karen Pirie</x:v>
      </x:c>
      <x:c r="E494" s="14" t="n">
        <x:v>66</x:v>
      </x:c>
      <x:c r="F494" s="14" t="str">
        <x:v>Karen Pirie</x:v>
      </x:c>
      <x:c r="G494" s="14" t="str">
        <x:v>tt11725900</x:v>
      </x:c>
      <x:c r="H494" s="14" t="n">
        <x:v>2022</x:v>
      </x:c>
      <x:c r="I494" s="14" t="n">
        <x:v>2025</x:v>
      </x:c>
      <x:c r="J494" s="14" t="str">
        <x:v>Earlier-Production Carry-In Cohort</x:v>
      </x:c>
      <x:c r="K494" s="14" t="n">
        <x:v>2022</x:v>
      </x:c>
      <x:c r="L494" s="14" t="str">
        <x:v>Used in 2025 annual analysis</x:v>
      </x:c>
      <x:c r="M494" s="15" t="n">
        <x:v>59</x:v>
      </x:c>
      <x:c r="N494" s="14" t="str">
        <x:v>Calum Maclean</x:v>
      </x:c>
      <x:c r="O494" s="14" t="str">
        <x:v>nm12586008</x:v>
      </x:c>
      <x:c r="P494" s="14" t="str">
        <x:v>Tom Robertson Jnr</x:v>
      </x:c>
      <x:c r="Q494" s="15" t="n">
        <x:v>1</x:v>
      </x:c>
      <x:c r="R494" s="14" t="str">
        <x:v>2025</x:v>
      </x:c>
      <x:c r="S494" s="14" t="n">
        <x:v>2025</x:v>
      </x:c>
      <x:c r="T494" s="14" t="n">
        <x:v>2025</x:v>
      </x:c>
      <x:c r="U494" s="14" t="str">
        <x:v>Explicit source first year retained</x:v>
      </x:c>
      <x:c r="V494" s="14" t="str">
        <x:v>Earliest supplied year is 2025.</x:v>
      </x:c>
      <x:c r="W494" s="14"/>
      <x:c r="X494" s="14" t="str">
        <x:v>Included</x:v>
      </x:c>
      <x:c r="Y494" s="14"/>
      <x:c r="Z494" s="14" t="str">
        <x:v>Karen Pirie.docx</x:v>
      </x:c>
      <x:c r="AA494" s="14" t="str">
        <x:v>HYPERLINK is not implemented. linkLocation=https://www.imdb.com/title/tt11725900/fullcredits/,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ITV / ITVX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HYPERLINK("https://en.wikipedia.org/wiki/Karen_Pirie","Open source")</x:f>
        <x:v>HYPERLINK is not implemented. linkLocation=https://en.wikipedia.org/wiki/Karen_Pirie,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6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0.16666666666666666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4" t="str">
        <x:v>HYPERLINK is not implemented. linkLocation=https://www.imdb.com/title/tt11725900/fullcredits/,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tt11725900|nm11962202|susan jnr</x:v>
      </x:c>
      <x:c r="B495" s="14" t="str">
        <x:v>03</x:v>
      </x:c>
      <x:c r="C495" s="14" t="str">
        <x:v>2022_IMDb_Cast_Lists_Batch_03(1).xlsx</x:v>
      </x:c>
      <x:c r="D495" s="14" t="str">
        <x:v>Karen Pirie</x:v>
      </x:c>
      <x:c r="E495" s="14" t="n">
        <x:v>67</x:v>
      </x:c>
      <x:c r="F495" s="14" t="str">
        <x:v>Karen Pirie</x:v>
      </x:c>
      <x:c r="G495" s="14" t="str">
        <x:v>tt11725900</x:v>
      </x:c>
      <x:c r="H495" s="14" t="n">
        <x:v>2022</x:v>
      </x:c>
      <x:c r="I495" s="14" t="n">
        <x:v>2025</x:v>
      </x:c>
      <x:c r="J495" s="14" t="str">
        <x:v>Earlier-Production Carry-In Cohort</x:v>
      </x:c>
      <x:c r="K495" s="14" t="n">
        <x:v>2022</x:v>
      </x:c>
      <x:c r="L495" s="14" t="str">
        <x:v>Used in 2025 annual analysis</x:v>
      </x:c>
      <x:c r="M495" s="15" t="n">
        <x:v>60</x:v>
      </x:c>
      <x:c r="N495" s="14" t="str">
        <x:v>Ashleigh Trainer</x:v>
      </x:c>
      <x:c r="O495" s="14" t="str">
        <x:v>nm11962202</x:v>
      </x:c>
      <x:c r="P495" s="14" t="str">
        <x:v>Susan Jnr</x:v>
      </x:c>
      <x:c r="Q495" s="15" t="n">
        <x:v>1</x:v>
      </x:c>
      <x:c r="R495" s="14" t="str">
        <x:v>2025</x:v>
      </x:c>
      <x:c r="S495" s="14" t="n">
        <x:v>2025</x:v>
      </x:c>
      <x:c r="T495" s="14" t="n">
        <x:v>2025</x:v>
      </x:c>
      <x:c r="U495" s="14" t="str">
        <x:v>Explicit source first year retained</x:v>
      </x:c>
      <x:c r="V495" s="14" t="str">
        <x:v>Earliest supplied year is 2025.</x:v>
      </x:c>
      <x:c r="W495" s="14"/>
      <x:c r="X495" s="14" t="str">
        <x:v>Included</x:v>
      </x:c>
      <x:c r="Y495" s="14"/>
      <x:c r="Z495" s="14" t="str">
        <x:v>Karen Pirie.docx</x:v>
      </x:c>
      <x:c r="AA495" s="14" t="str">
        <x:v>HYPERLINK is not implemented. linkLocation=https://www.imdb.com/title/tt11725900/fullcredits/,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ITV / ITVX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HYPERLINK("https://en.wikipedia.org/wiki/Karen_Pirie","Open source")</x:f>
        <x:v>HYPERLINK is not implemented. linkLocation=https://en.wikipedia.org/wiki/Karen_Pirie,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6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0.16666666666666666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4" t="str">
        <x:v>HYPERLINK is not implemented. linkLocation=https://www.imdb.com/title/tt11725900/fullcredits/,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tt11725900|nm0232733|jenny snr</x:v>
      </x:c>
      <x:c r="B496" s="14" t="str">
        <x:v>03</x:v>
      </x:c>
      <x:c r="C496" s="14" t="str">
        <x:v>2022_IMDb_Cast_Lists_Batch_03(1).xlsx</x:v>
      </x:c>
      <x:c r="D496" s="14" t="str">
        <x:v>Karen Pirie</x:v>
      </x:c>
      <x:c r="E496" s="14" t="n">
        <x:v>69</x:v>
      </x:c>
      <x:c r="F496" s="14" t="str">
        <x:v>Karen Pirie</x:v>
      </x:c>
      <x:c r="G496" s="14" t="str">
        <x:v>tt11725900</x:v>
      </x:c>
      <x:c r="H496" s="14" t="n">
        <x:v>2022</x:v>
      </x:c>
      <x:c r="I496" s="14" t="n">
        <x:v>2025</x:v>
      </x:c>
      <x:c r="J496" s="14" t="str">
        <x:v>Earlier-Production Carry-In Cohort</x:v>
      </x:c>
      <x:c r="K496" s="14" t="n">
        <x:v>2022</x:v>
      </x:c>
      <x:c r="L496" s="14" t="str">
        <x:v>Used in 2025 annual analysis</x:v>
      </x:c>
      <x:c r="M496" s="15" t="n">
        <x:v>62</x:v>
      </x:c>
      <x:c r="N496" s="14" t="str">
        <x:v>Kate Donnelly</x:v>
      </x:c>
      <x:c r="O496" s="14" t="str">
        <x:v>nm0232733</x:v>
      </x:c>
      <x:c r="P496" s="14" t="str">
        <x:v>Jenny Snr</x:v>
      </x:c>
      <x:c r="Q496" s="15" t="n">
        <x:v>1</x:v>
      </x:c>
      <x:c r="R496" s="14" t="str">
        <x:v>2025</x:v>
      </x:c>
      <x:c r="S496" s="14" t="n">
        <x:v>2025</x:v>
      </x:c>
      <x:c r="T496" s="14" t="n">
        <x:v>2025</x:v>
      </x:c>
      <x:c r="U496" s="14" t="str">
        <x:v>Explicit source first year retained</x:v>
      </x:c>
      <x:c r="V496" s="14" t="str">
        <x:v>Earliest supplied year is 2025.</x:v>
      </x:c>
      <x:c r="W496" s="14"/>
      <x:c r="X496" s="14" t="str">
        <x:v>Included</x:v>
      </x:c>
      <x:c r="Y496" s="14"/>
      <x:c r="Z496" s="14" t="str">
        <x:v>Karen Pirie.docx</x:v>
      </x:c>
      <x:c r="AA496" s="14" t="str">
        <x:v>HYPERLINK is not implemented. linkLocation=https://www.imdb.com/title/tt11725900/fullcredits/,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ITV / ITVX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HYPERLINK("https://en.wikipedia.org/wiki/Karen_Pirie","Open source")</x:f>
        <x:v>HYPERLINK is not implemented. linkLocation=https://en.wikipedia.org/wiki/Karen_Pirie,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6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0.16666666666666666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4" t="str">
        <x:v>HYPERLINK is not implemented. linkLocation=https://www.imdb.com/title/tt11725900/fullcredits/,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tt11725900|nm1544249|taylor forbes</x:v>
      </x:c>
      <x:c r="B497" s="14" t="str">
        <x:v>03</x:v>
      </x:c>
      <x:c r="C497" s="14" t="str">
        <x:v>2022_IMDb_Cast_Lists_Batch_03(1).xlsx</x:v>
      </x:c>
      <x:c r="D497" s="14" t="str">
        <x:v>Karen Pirie</x:v>
      </x:c>
      <x:c r="E497" s="14" t="n">
        <x:v>70</x:v>
      </x:c>
      <x:c r="F497" s="14" t="str">
        <x:v>Karen Pirie</x:v>
      </x:c>
      <x:c r="G497" s="14" t="str">
        <x:v>tt11725900</x:v>
      </x:c>
      <x:c r="H497" s="14" t="n">
        <x:v>2022</x:v>
      </x:c>
      <x:c r="I497" s="14" t="n">
        <x:v>2025</x:v>
      </x:c>
      <x:c r="J497" s="14" t="str">
        <x:v>Earlier-Production Carry-In Cohort</x:v>
      </x:c>
      <x:c r="K497" s="14" t="n">
        <x:v>2022</x:v>
      </x:c>
      <x:c r="L497" s="14" t="str">
        <x:v>Used in 2025 annual analysis</x:v>
      </x:c>
      <x:c r="M497" s="15" t="n">
        <x:v>63</x:v>
      </x:c>
      <x:c r="N497" s="14" t="str">
        <x:v>Joanna Harte</x:v>
      </x:c>
      <x:c r="O497" s="14" t="str">
        <x:v>nm1544249</x:v>
      </x:c>
      <x:c r="P497" s="14" t="str">
        <x:v>Taylor Forbes</x:v>
      </x:c>
      <x:c r="Q497" s="15" t="n">
        <x:v>1</x:v>
      </x:c>
      <x:c r="R497" s="14" t="str">
        <x:v>2025</x:v>
      </x:c>
      <x:c r="S497" s="14" t="n">
        <x:v>2025</x:v>
      </x:c>
      <x:c r="T497" s="14" t="n">
        <x:v>2025</x:v>
      </x:c>
      <x:c r="U497" s="14" t="str">
        <x:v>Explicit source first year retained</x:v>
      </x:c>
      <x:c r="V497" s="14" t="str">
        <x:v>Earliest supplied year is 2025.</x:v>
      </x:c>
      <x:c r="W497" s="14"/>
      <x:c r="X497" s="14" t="str">
        <x:v>Included</x:v>
      </x:c>
      <x:c r="Y497" s="14"/>
      <x:c r="Z497" s="14" t="str">
        <x:v>Karen Pirie.docx</x:v>
      </x:c>
      <x:c r="AA497" s="14" t="str">
        <x:v>HYPERLINK is not implemented. linkLocation=https://www.imdb.com/title/tt11725900/fullcredits/,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ITV / ITVX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HYPERLINK("https://en.wikipedia.org/wiki/Karen_Pirie","Open source")</x:f>
        <x:v>HYPERLINK is not implemented. linkLocation=https://en.wikipedia.org/wiki/Karen_Pirie,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6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0.16666666666666666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4" t="str">
        <x:v>HYPERLINK is not implemented. linkLocation=https://www.imdb.com/title/tt11725900/fullcredits/,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tt11725900|nm6996487|jenny jnr</x:v>
      </x:c>
      <x:c r="B498" s="14" t="str">
        <x:v>03</x:v>
      </x:c>
      <x:c r="C498" s="14" t="str">
        <x:v>2022_IMDb_Cast_Lists_Batch_03(1).xlsx</x:v>
      </x:c>
      <x:c r="D498" s="14" t="str">
        <x:v>Karen Pirie</x:v>
      </x:c>
      <x:c r="E498" s="14" t="n">
        <x:v>71</x:v>
      </x:c>
      <x:c r="F498" s="14" t="str">
        <x:v>Karen Pirie</x:v>
      </x:c>
      <x:c r="G498" s="14" t="str">
        <x:v>tt11725900</x:v>
      </x:c>
      <x:c r="H498" s="14" t="n">
        <x:v>2022</x:v>
      </x:c>
      <x:c r="I498" s="14" t="n">
        <x:v>2025</x:v>
      </x:c>
      <x:c r="J498" s="14" t="str">
        <x:v>Earlier-Production Carry-In Cohort</x:v>
      </x:c>
      <x:c r="K498" s="14" t="n">
        <x:v>2022</x:v>
      </x:c>
      <x:c r="L498" s="14" t="str">
        <x:v>Used in 2025 annual analysis</x:v>
      </x:c>
      <x:c r="M498" s="15" t="n">
        <x:v>64</x:v>
      </x:c>
      <x:c r="N498" s="14" t="str">
        <x:v>Rachel Dick</x:v>
      </x:c>
      <x:c r="O498" s="14" t="str">
        <x:v>nm6996487</x:v>
      </x:c>
      <x:c r="P498" s="14" t="str">
        <x:v>Jenny Jnr</x:v>
      </x:c>
      <x:c r="Q498" s="15" t="n">
        <x:v>1</x:v>
      </x:c>
      <x:c r="R498" s="14" t="str">
        <x:v>2025</x:v>
      </x:c>
      <x:c r="S498" s="14" t="n">
        <x:v>2025</x:v>
      </x:c>
      <x:c r="T498" s="14" t="n">
        <x:v>2025</x:v>
      </x:c>
      <x:c r="U498" s="14" t="str">
        <x:v>Explicit source first year retained</x:v>
      </x:c>
      <x:c r="V498" s="14" t="str">
        <x:v>Earliest supplied year is 2025.</x:v>
      </x:c>
      <x:c r="W498" s="14"/>
      <x:c r="X498" s="14" t="str">
        <x:v>Included</x:v>
      </x:c>
      <x:c r="Y498" s="14"/>
      <x:c r="Z498" s="14" t="str">
        <x:v>Karen Pirie.docx</x:v>
      </x:c>
      <x:c r="AA498" s="14" t="str">
        <x:v>HYPERLINK is not implemented. linkLocation=https://www.imdb.com/title/tt11725900/fullcredits/,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ITV / ITVX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HYPERLINK("https://en.wikipedia.org/wiki/Karen_Pirie","Open source")</x:f>
        <x:v>HYPERLINK is not implemented. linkLocation=https://en.wikipedia.org/wiki/Karen_Pirie,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6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0.16666666666666666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4" t="str">
        <x:v>HYPERLINK is not implemented. linkLocation=https://www.imdb.com/title/tt11725900/fullcredits/,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tt11725900|nm0182588|tom robertson snr</x:v>
      </x:c>
      <x:c r="B499" s="14" t="str">
        <x:v>03</x:v>
      </x:c>
      <x:c r="C499" s="14" t="str">
        <x:v>2022_IMDb_Cast_Lists_Batch_03(1).xlsx</x:v>
      </x:c>
      <x:c r="D499" s="14" t="str">
        <x:v>Karen Pirie</x:v>
      </x:c>
      <x:c r="E499" s="14" t="n">
        <x:v>72</x:v>
      </x:c>
      <x:c r="F499" s="14" t="str">
        <x:v>Karen Pirie</x:v>
      </x:c>
      <x:c r="G499" s="14" t="str">
        <x:v>tt11725900</x:v>
      </x:c>
      <x:c r="H499" s="14" t="n">
        <x:v>2022</x:v>
      </x:c>
      <x:c r="I499" s="14" t="n">
        <x:v>2025</x:v>
      </x:c>
      <x:c r="J499" s="14" t="str">
        <x:v>Earlier-Production Carry-In Cohort</x:v>
      </x:c>
      <x:c r="K499" s="14" t="n">
        <x:v>2022</x:v>
      </x:c>
      <x:c r="L499" s="14" t="str">
        <x:v>Used in 2025 annual analysis</x:v>
      </x:c>
      <x:c r="M499" s="15" t="n">
        <x:v>65</x:v>
      </x:c>
      <x:c r="N499" s="14" t="str">
        <x:v>Matt Costello</x:v>
      </x:c>
      <x:c r="O499" s="14" t="str">
        <x:v>nm0182588</x:v>
      </x:c>
      <x:c r="P499" s="14" t="str">
        <x:v>Tom Robertson Snr</x:v>
      </x:c>
      <x:c r="Q499" s="15" t="n">
        <x:v>1</x:v>
      </x:c>
      <x:c r="R499" s="14" t="str">
        <x:v>2025</x:v>
      </x:c>
      <x:c r="S499" s="14" t="n">
        <x:v>2025</x:v>
      </x:c>
      <x:c r="T499" s="14" t="n">
        <x:v>2025</x:v>
      </x:c>
      <x:c r="U499" s="14" t="str">
        <x:v>Explicit source first year retained</x:v>
      </x:c>
      <x:c r="V499" s="14" t="str">
        <x:v>Earliest supplied year is 2025.</x:v>
      </x:c>
      <x:c r="W499" s="14"/>
      <x:c r="X499" s="14" t="str">
        <x:v>Included</x:v>
      </x:c>
      <x:c r="Y499" s="14"/>
      <x:c r="Z499" s="14" t="str">
        <x:v>Karen Pirie.docx</x:v>
      </x:c>
      <x:c r="AA499" s="14" t="str">
        <x:v>HYPERLINK is not implemented. linkLocation=https://www.imdb.com/title/tt11725900/fullcredits/,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ITV / ITVX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HYPERLINK("https://en.wikipedia.org/wiki/Karen_Pirie","Open source")</x:f>
        <x:v>HYPERLINK is not implemented. linkLocation=https://en.wikipedia.org/wiki/Karen_Pirie,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6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0.16666666666666666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4" t="str">
        <x:v>HYPERLINK is not implemented. linkLocation=https://www.imdb.com/title/tt11725900/fullcredits/,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tt11725900|nm0543429|andy kerr snr / matthias johnson</x:v>
      </x:c>
      <x:c r="B500" s="14" t="str">
        <x:v>03</x:v>
      </x:c>
      <x:c r="C500" s="14" t="str">
        <x:v>2022_IMDb_Cast_Lists_Batch_03(1).xlsx</x:v>
      </x:c>
      <x:c r="D500" s="14" t="str">
        <x:v>Karen Pirie</x:v>
      </x:c>
      <x:c r="E500" s="14" t="n">
        <x:v>73</x:v>
      </x:c>
      <x:c r="F500" s="14" t="str">
        <x:v>Karen Pirie</x:v>
      </x:c>
      <x:c r="G500" s="14" t="str">
        <x:v>tt11725900</x:v>
      </x:c>
      <x:c r="H500" s="14" t="n">
        <x:v>2022</x:v>
      </x:c>
      <x:c r="I500" s="14" t="n">
        <x:v>2025</x:v>
      </x:c>
      <x:c r="J500" s="14" t="str">
        <x:v>Earlier-Production Carry-In Cohort</x:v>
      </x:c>
      <x:c r="K500" s="14" t="n">
        <x:v>2022</x:v>
      </x:c>
      <x:c r="L500" s="14" t="str">
        <x:v>Used in 2025 annual analysis</x:v>
      </x:c>
      <x:c r="M500" s="15" t="n">
        <x:v>66</x:v>
      </x:c>
      <x:c r="N500" s="14" t="str">
        <x:v>Tom Mannion</x:v>
      </x:c>
      <x:c r="O500" s="14" t="str">
        <x:v>nm0543429</x:v>
      </x:c>
      <x:c r="P500" s="14" t="str">
        <x:v>Andy Kerr Snr / Matthias Johnson</x:v>
      </x:c>
      <x:c r="Q500" s="15" t="n">
        <x:v>1</x:v>
      </x:c>
      <x:c r="R500" s="14" t="str">
        <x:v>2025</x:v>
      </x:c>
      <x:c r="S500" s="14" t="n">
        <x:v>2025</x:v>
      </x:c>
      <x:c r="T500" s="14" t="n">
        <x:v>2025</x:v>
      </x:c>
      <x:c r="U500" s="14" t="str">
        <x:v>Explicit source first year retained</x:v>
      </x:c>
      <x:c r="V500" s="14" t="str">
        <x:v>Earliest supplied year is 2025.</x:v>
      </x:c>
      <x:c r="W500" s="14"/>
      <x:c r="X500" s="14" t="str">
        <x:v>Included</x:v>
      </x:c>
      <x:c r="Y500" s="14"/>
      <x:c r="Z500" s="14" t="str">
        <x:v>Karen Pirie.docx</x:v>
      </x:c>
      <x:c r="AA500" s="14" t="str">
        <x:v>HYPERLINK is not implemented. linkLocation=https://www.imdb.com/title/tt11725900/fullcredits/,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ITV / ITVX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HYPERLINK("https://en.wikipedia.org/wiki/Karen_Pirie","Open source")</x:f>
        <x:v>HYPERLINK is not implemented. linkLocation=https://en.wikipedia.org/wiki/Karen_Pirie,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6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0.16666666666666666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4" t="str">
        <x:v>HYPERLINK is not implemented. linkLocation=https://www.imdb.com/title/tt11725900/fullcredits/,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tt11725900|nm9318242|toby inglis</x:v>
      </x:c>
      <x:c r="B501" s="14" t="str">
        <x:v>03</x:v>
      </x:c>
      <x:c r="C501" s="14" t="str">
        <x:v>2022_IMDb_Cast_Lists_Batch_03(1).xlsx</x:v>
      </x:c>
      <x:c r="D501" s="14" t="str">
        <x:v>Karen Pirie</x:v>
      </x:c>
      <x:c r="E501" s="14" t="n">
        <x:v>75</x:v>
      </x:c>
      <x:c r="F501" s="14" t="str">
        <x:v>Karen Pirie</x:v>
      </x:c>
      <x:c r="G501" s="14" t="str">
        <x:v>tt11725900</x:v>
      </x:c>
      <x:c r="H501" s="14" t="n">
        <x:v>2022</x:v>
      </x:c>
      <x:c r="I501" s="14" t="n">
        <x:v>2025</x:v>
      </x:c>
      <x:c r="J501" s="14" t="str">
        <x:v>Earlier-Production Carry-In Cohort</x:v>
      </x:c>
      <x:c r="K501" s="14" t="n">
        <x:v>2022</x:v>
      </x:c>
      <x:c r="L501" s="14" t="str">
        <x:v>Used in 2025 annual analysis</x:v>
      </x:c>
      <x:c r="M501" s="15" t="n">
        <x:v>68</x:v>
      </x:c>
      <x:c r="N501" s="14" t="str">
        <x:v>Adam Young</x:v>
      </x:c>
      <x:c r="O501" s="14" t="str">
        <x:v>nm9318242</x:v>
      </x:c>
      <x:c r="P501" s="14" t="str">
        <x:v>Toby Inglis</x:v>
      </x:c>
      <x:c r="Q501" s="15" t="n">
        <x:v>1</x:v>
      </x:c>
      <x:c r="R501" s="14" t="str">
        <x:v>2025</x:v>
      </x:c>
      <x:c r="S501" s="14" t="n">
        <x:v>2025</x:v>
      </x:c>
      <x:c r="T501" s="14" t="n">
        <x:v>2025</x:v>
      </x:c>
      <x:c r="U501" s="14" t="str">
        <x:v>Explicit source first year retained</x:v>
      </x:c>
      <x:c r="V501" s="14" t="str">
        <x:v>Earliest supplied year is 2025.</x:v>
      </x:c>
      <x:c r="W501" s="14"/>
      <x:c r="X501" s="14" t="str">
        <x:v>Included</x:v>
      </x:c>
      <x:c r="Y501" s="14"/>
      <x:c r="Z501" s="14" t="str">
        <x:v>Karen Pirie.docx</x:v>
      </x:c>
      <x:c r="AA501" s="14" t="str">
        <x:v>HYPERLINK is not implemented. linkLocation=https://www.imdb.com/title/tt11725900/fullcredits/,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ITV / ITVX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HYPERLINK("https://en.wikipedia.org/wiki/Karen_Pirie","Open source")</x:f>
        <x:v>HYPERLINK is not implemented. linkLocation=https://en.wikipedia.org/wiki/Karen_Pirie,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6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0.16666666666666666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4" t="str">
        <x:v>HYPERLINK is not implemented. linkLocation=https://www.imdb.com/title/tt11725900/fullcredits/,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tt11725900|nm5560243|luca</x:v>
      </x:c>
      <x:c r="B502" s="14" t="str">
        <x:v>03</x:v>
      </x:c>
      <x:c r="C502" s="14" t="str">
        <x:v>2022_IMDb_Cast_Lists_Batch_03(1).xlsx</x:v>
      </x:c>
      <x:c r="D502" s="14" t="str">
        <x:v>Karen Pirie</x:v>
      </x:c>
      <x:c r="E502" s="14" t="n">
        <x:v>76</x:v>
      </x:c>
      <x:c r="F502" s="14" t="str">
        <x:v>Karen Pirie</x:v>
      </x:c>
      <x:c r="G502" s="14" t="str">
        <x:v>tt11725900</x:v>
      </x:c>
      <x:c r="H502" s="14" t="n">
        <x:v>2022</x:v>
      </x:c>
      <x:c r="I502" s="14" t="n">
        <x:v>2025</x:v>
      </x:c>
      <x:c r="J502" s="14" t="str">
        <x:v>Earlier-Production Carry-In Cohort</x:v>
      </x:c>
      <x:c r="K502" s="14" t="n">
        <x:v>2022</x:v>
      </x:c>
      <x:c r="L502" s="14" t="str">
        <x:v>Used in 2025 annual analysis</x:v>
      </x:c>
      <x:c r="M502" s="15" t="n">
        <x:v>69</x:v>
      </x:c>
      <x:c r="N502" s="14" t="str">
        <x:v>Jordan Mifsud</x:v>
      </x:c>
      <x:c r="O502" s="14" t="str">
        <x:v>nm5560243</x:v>
      </x:c>
      <x:c r="P502" s="14" t="str">
        <x:v>Luca</x:v>
      </x:c>
      <x:c r="Q502" s="15" t="n">
        <x:v>1</x:v>
      </x:c>
      <x:c r="R502" s="14" t="str">
        <x:v>2025</x:v>
      </x:c>
      <x:c r="S502" s="14" t="n">
        <x:v>2025</x:v>
      </x:c>
      <x:c r="T502" s="14" t="n">
        <x:v>2025</x:v>
      </x:c>
      <x:c r="U502" s="14" t="str">
        <x:v>Explicit source first year retained</x:v>
      </x:c>
      <x:c r="V502" s="14" t="str">
        <x:v>Earliest supplied year is 2025.</x:v>
      </x:c>
      <x:c r="W502" s="14"/>
      <x:c r="X502" s="14" t="str">
        <x:v>Included</x:v>
      </x:c>
      <x:c r="Y502" s="14" t="str">
        <x:v>(as Jordan Mifsúd)</x:v>
      </x:c>
      <x:c r="Z502" s="14" t="str">
        <x:v>Karen Pirie.docx</x:v>
      </x:c>
      <x:c r="AA502" s="14" t="str">
        <x:v>HYPERLINK is not implemented. linkLocation=https://www.imdb.com/title/tt11725900/fullcredits/,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ITV / ITVX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HYPERLINK("https://en.wikipedia.org/wiki/Karen_Pirie","Open source")</x:f>
        <x:v>HYPERLINK is not implemented. linkLocation=https://en.wikipedia.org/wiki/Karen_Pirie,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6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0.16666666666666666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4" t="str">
        <x:v>HYPERLINK is not implemented. linkLocation=https://www.imdb.com/title/tt11725900/fullcredits/,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tt11725900|nm1173273|jonas weber</x:v>
      </x:c>
      <x:c r="B503" s="14" t="str">
        <x:v>03</x:v>
      </x:c>
      <x:c r="C503" s="14" t="str">
        <x:v>2022_IMDb_Cast_Lists_Batch_03(1).xlsx</x:v>
      </x:c>
      <x:c r="D503" s="14" t="str">
        <x:v>Karen Pirie</x:v>
      </x:c>
      <x:c r="E503" s="14" t="n">
        <x:v>77</x:v>
      </x:c>
      <x:c r="F503" s="14" t="str">
        <x:v>Karen Pirie</x:v>
      </x:c>
      <x:c r="G503" s="14" t="str">
        <x:v>tt11725900</x:v>
      </x:c>
      <x:c r="H503" s="14" t="n">
        <x:v>2022</x:v>
      </x:c>
      <x:c r="I503" s="14" t="n">
        <x:v>2025</x:v>
      </x:c>
      <x:c r="J503" s="14" t="str">
        <x:v>Earlier-Production Carry-In Cohort</x:v>
      </x:c>
      <x:c r="K503" s="14" t="n">
        <x:v>2022</x:v>
      </x:c>
      <x:c r="L503" s="14" t="str">
        <x:v>Used in 2025 annual analysis</x:v>
      </x:c>
      <x:c r="M503" s="15" t="n">
        <x:v>70</x:v>
      </x:c>
      <x:c r="N503" s="14" t="str">
        <x:v>Axel B. Steinmueller</x:v>
      </x:c>
      <x:c r="O503" s="14" t="str">
        <x:v>nm1173273</x:v>
      </x:c>
      <x:c r="P503" s="14" t="str">
        <x:v>Jonas Weber</x:v>
      </x:c>
      <x:c r="Q503" s="15" t="n">
        <x:v>1</x:v>
      </x:c>
      <x:c r="R503" s="14" t="str">
        <x:v>2025</x:v>
      </x:c>
      <x:c r="S503" s="14" t="n">
        <x:v>2025</x:v>
      </x:c>
      <x:c r="T503" s="14" t="n">
        <x:v>2025</x:v>
      </x:c>
      <x:c r="U503" s="14" t="str">
        <x:v>Explicit source first year retained</x:v>
      </x:c>
      <x:c r="V503" s="14" t="str">
        <x:v>Earliest supplied year is 2025.</x:v>
      </x:c>
      <x:c r="W503" s="14"/>
      <x:c r="X503" s="14" t="str">
        <x:v>Included</x:v>
      </x:c>
      <x:c r="Y503" s="14" t="str">
        <x:v>(as Axel Steinmüller)</x:v>
      </x:c>
      <x:c r="Z503" s="14" t="str">
        <x:v>Karen Pirie.docx</x:v>
      </x:c>
      <x:c r="AA503" s="14" t="str">
        <x:v>HYPERLINK is not implemented. linkLocation=https://www.imdb.com/title/tt11725900/fullcredits/,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ITV / ITVX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HYPERLINK("https://en.wikipedia.org/wiki/Karen_Pirie","Open source")</x:f>
        <x:v>HYPERLINK is not implemented. linkLocation=https://en.wikipedia.org/wiki/Karen_Pirie,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6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0.16666666666666666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4" t="str">
        <x:v>HYPERLINK is not implemented. linkLocation=https://www.imdb.com/title/tt11725900/fullcredits/,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tt11725900|nm6359236|bonnie snr</x:v>
      </x:c>
      <x:c r="B504" s="14" t="str">
        <x:v>03</x:v>
      </x:c>
      <x:c r="C504" s="14" t="str">
        <x:v>2022_IMDb_Cast_Lists_Batch_03(1).xlsx</x:v>
      </x:c>
      <x:c r="D504" s="14" t="str">
        <x:v>Karen Pirie</x:v>
      </x:c>
      <x:c r="E504" s="14" t="n">
        <x:v>78</x:v>
      </x:c>
      <x:c r="F504" s="14" t="str">
        <x:v>Karen Pirie</x:v>
      </x:c>
      <x:c r="G504" s="14" t="str">
        <x:v>tt11725900</x:v>
      </x:c>
      <x:c r="H504" s="14" t="n">
        <x:v>2022</x:v>
      </x:c>
      <x:c r="I504" s="14" t="n">
        <x:v>2025</x:v>
      </x:c>
      <x:c r="J504" s="14" t="str">
        <x:v>Earlier-Production Carry-In Cohort</x:v>
      </x:c>
      <x:c r="K504" s="14" t="n">
        <x:v>2022</x:v>
      </x:c>
      <x:c r="L504" s="14" t="str">
        <x:v>Used in 2025 annual analysis</x:v>
      </x:c>
      <x:c r="M504" s="15" t="n">
        <x:v>71</x:v>
      </x:c>
      <x:c r="N504" s="14" t="str">
        <x:v>Seylan Baxter</x:v>
      </x:c>
      <x:c r="O504" s="14" t="str">
        <x:v>nm6359236</x:v>
      </x:c>
      <x:c r="P504" s="14" t="str">
        <x:v>Bonnie Snr</x:v>
      </x:c>
      <x:c r="Q504" s="15" t="n">
        <x:v>1</x:v>
      </x:c>
      <x:c r="R504" s="14" t="str">
        <x:v>2025</x:v>
      </x:c>
      <x:c r="S504" s="14" t="n">
        <x:v>2025</x:v>
      </x:c>
      <x:c r="T504" s="14" t="n">
        <x:v>2025</x:v>
      </x:c>
      <x:c r="U504" s="14" t="str">
        <x:v>Explicit source first year retained</x:v>
      </x:c>
      <x:c r="V504" s="14" t="str">
        <x:v>Earliest supplied year is 2025.</x:v>
      </x:c>
      <x:c r="W504" s="14"/>
      <x:c r="X504" s="14" t="str">
        <x:v>Included</x:v>
      </x:c>
      <x:c r="Y504" s="14"/>
      <x:c r="Z504" s="14" t="str">
        <x:v>Karen Pirie.docx</x:v>
      </x:c>
      <x:c r="AA504" s="14" t="str">
        <x:v>HYPERLINK is not implemented. linkLocation=https://www.imdb.com/title/tt11725900/fullcredits/,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ITV / ITVX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HYPERLINK("https://en.wikipedia.org/wiki/Karen_Pirie","Open source")</x:f>
        <x:v>HYPERLINK is not implemented. linkLocation=https://en.wikipedia.org/wiki/Karen_Pirie,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6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0.16666666666666666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4" t="str">
        <x:v>HYPERLINK is not implemented. linkLocation=https://www.imdb.com/title/tt11725900/fullcredits/,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tt11725900|nm6758611|detective spiteri</x:v>
      </x:c>
      <x:c r="B505" s="14" t="str">
        <x:v>03</x:v>
      </x:c>
      <x:c r="C505" s="14" t="str">
        <x:v>2022_IMDb_Cast_Lists_Batch_03(1).xlsx</x:v>
      </x:c>
      <x:c r="D505" s="14" t="str">
        <x:v>Karen Pirie</x:v>
      </x:c>
      <x:c r="E505" s="14" t="n">
        <x:v>79</x:v>
      </x:c>
      <x:c r="F505" s="14" t="str">
        <x:v>Karen Pirie</x:v>
      </x:c>
      <x:c r="G505" s="14" t="str">
        <x:v>tt11725900</x:v>
      </x:c>
      <x:c r="H505" s="14" t="n">
        <x:v>2022</x:v>
      </x:c>
      <x:c r="I505" s="14" t="n">
        <x:v>2025</x:v>
      </x:c>
      <x:c r="J505" s="14" t="str">
        <x:v>Earlier-Production Carry-In Cohort</x:v>
      </x:c>
      <x:c r="K505" s="14" t="n">
        <x:v>2022</x:v>
      </x:c>
      <x:c r="L505" s="14" t="str">
        <x:v>Used in 2025 annual analysis</x:v>
      </x:c>
      <x:c r="M505" s="15" t="n">
        <x:v>72</x:v>
      </x:c>
      <x:c r="N505" s="14" t="str">
        <x:v>Edward De Gaetano</x:v>
      </x:c>
      <x:c r="O505" s="14" t="str">
        <x:v>nm6758611</x:v>
      </x:c>
      <x:c r="P505" s="14" t="str">
        <x:v>Detective Spiteri</x:v>
      </x:c>
      <x:c r="Q505" s="15" t="n">
        <x:v>1</x:v>
      </x:c>
      <x:c r="R505" s="14" t="str">
        <x:v>2025</x:v>
      </x:c>
      <x:c r="S505" s="14" t="n">
        <x:v>2025</x:v>
      </x:c>
      <x:c r="T505" s="14" t="n">
        <x:v>2025</x:v>
      </x:c>
      <x:c r="U505" s="14" t="str">
        <x:v>Explicit source first year retained</x:v>
      </x:c>
      <x:c r="V505" s="14" t="str">
        <x:v>Earliest supplied year is 2025.</x:v>
      </x:c>
      <x:c r="W505" s="14"/>
      <x:c r="X505" s="14" t="str">
        <x:v>Included</x:v>
      </x:c>
      <x:c r="Y505" s="14"/>
      <x:c r="Z505" s="14" t="str">
        <x:v>Karen Pirie.docx</x:v>
      </x:c>
      <x:c r="AA505" s="14" t="str">
        <x:v>HYPERLINK is not implemented. linkLocation=https://www.imdb.com/title/tt11725900/fullcredits/,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ITV / ITVX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HYPERLINK("https://en.wikipedia.org/wiki/Karen_Pirie","Open source")</x:f>
        <x:v>HYPERLINK is not implemented. linkLocation=https://en.wikipedia.org/wiki/Karen_Pirie,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6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0.16666666666666666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4" t="str">
        <x:v>HYPERLINK is not implemented. linkLocation=https://www.imdb.com/title/tt11725900/fullcredits/,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tt11725900|nm2942983|detective camilleri</x:v>
      </x:c>
      <x:c r="B506" s="14" t="str">
        <x:v>03</x:v>
      </x:c>
      <x:c r="C506" s="14" t="str">
        <x:v>2022_IMDb_Cast_Lists_Batch_03(1).xlsx</x:v>
      </x:c>
      <x:c r="D506" s="14" t="str">
        <x:v>Karen Pirie</x:v>
      </x:c>
      <x:c r="E506" s="14" t="n">
        <x:v>80</x:v>
      </x:c>
      <x:c r="F506" s="14" t="str">
        <x:v>Karen Pirie</x:v>
      </x:c>
      <x:c r="G506" s="14" t="str">
        <x:v>tt11725900</x:v>
      </x:c>
      <x:c r="H506" s="14" t="n">
        <x:v>2022</x:v>
      </x:c>
      <x:c r="I506" s="14" t="n">
        <x:v>2025</x:v>
      </x:c>
      <x:c r="J506" s="14" t="str">
        <x:v>Earlier-Production Carry-In Cohort</x:v>
      </x:c>
      <x:c r="K506" s="14" t="n">
        <x:v>2022</x:v>
      </x:c>
      <x:c r="L506" s="14" t="str">
        <x:v>Used in 2025 annual analysis</x:v>
      </x:c>
      <x:c r="M506" s="15" t="n">
        <x:v>73</x:v>
      </x:c>
      <x:c r="N506" s="14" t="str">
        <x:v>Sarah Naudi</x:v>
      </x:c>
      <x:c r="O506" s="14" t="str">
        <x:v>nm2942983</x:v>
      </x:c>
      <x:c r="P506" s="14" t="str">
        <x:v>Detective Camilleri</x:v>
      </x:c>
      <x:c r="Q506" s="15" t="n">
        <x:v>1</x:v>
      </x:c>
      <x:c r="R506" s="14" t="str">
        <x:v>2025</x:v>
      </x:c>
      <x:c r="S506" s="14" t="n">
        <x:v>2025</x:v>
      </x:c>
      <x:c r="T506" s="14" t="n">
        <x:v>2025</x:v>
      </x:c>
      <x:c r="U506" s="14" t="str">
        <x:v>Explicit source first year retained</x:v>
      </x:c>
      <x:c r="V506" s="14" t="str">
        <x:v>Earliest supplied year is 2025.</x:v>
      </x:c>
      <x:c r="W506" s="14"/>
      <x:c r="X506" s="14" t="str">
        <x:v>Included</x:v>
      </x:c>
      <x:c r="Y506" s="14"/>
      <x:c r="Z506" s="14" t="str">
        <x:v>Karen Pirie.docx</x:v>
      </x:c>
      <x:c r="AA506" s="14" t="str">
        <x:v>HYPERLINK is not implemented. linkLocation=https://www.imdb.com/title/tt11725900/fullcredits/,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ITV / ITVX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HYPERLINK("https://en.wikipedia.org/wiki/Karen_Pirie","Open source")</x:f>
        <x:v>HYPERLINK is not implemented. linkLocation=https://en.wikipedia.org/wiki/Karen_Pirie,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6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0.16666666666666666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4" t="str">
        <x:v>HYPERLINK is not implemented. linkLocation=https://www.imdb.com/title/tt11725900/fullcredits/,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tt11725900|nm1830400|angie barclay snr</x:v>
      </x:c>
      <x:c r="B507" s="14" t="str">
        <x:v>03</x:v>
      </x:c>
      <x:c r="C507" s="14" t="str">
        <x:v>2022_IMDb_Cast_Lists_Batch_03(1).xlsx</x:v>
      </x:c>
      <x:c r="D507" s="14" t="str">
        <x:v>Karen Pirie</x:v>
      </x:c>
      <x:c r="E507" s="14" t="n">
        <x:v>82</x:v>
      </x:c>
      <x:c r="F507" s="14" t="str">
        <x:v>Karen Pirie</x:v>
      </x:c>
      <x:c r="G507" s="14" t="str">
        <x:v>tt11725900</x:v>
      </x:c>
      <x:c r="H507" s="14" t="n">
        <x:v>2022</x:v>
      </x:c>
      <x:c r="I507" s="14" t="n">
        <x:v>2025</x:v>
      </x:c>
      <x:c r="J507" s="14" t="str">
        <x:v>Earlier-Production Carry-In Cohort</x:v>
      </x:c>
      <x:c r="K507" s="14" t="n">
        <x:v>2022</x:v>
      </x:c>
      <x:c r="L507" s="14" t="str">
        <x:v>Used in 2025 annual analysis</x:v>
      </x:c>
      <x:c r="M507" s="15" t="n">
        <x:v>75</x:v>
      </x:c>
      <x:c r="N507" s="14" t="str">
        <x:v>Beth Marshall</x:v>
      </x:c>
      <x:c r="O507" s="14" t="str">
        <x:v>nm1830400</x:v>
      </x:c>
      <x:c r="P507" s="14" t="str">
        <x:v>Angie Barclay Snr</x:v>
      </x:c>
      <x:c r="Q507" s="15" t="n">
        <x:v>1</x:v>
      </x:c>
      <x:c r="R507" s="14" t="str">
        <x:v>2025</x:v>
      </x:c>
      <x:c r="S507" s="14" t="n">
        <x:v>2025</x:v>
      </x:c>
      <x:c r="T507" s="14" t="n">
        <x:v>2025</x:v>
      </x:c>
      <x:c r="U507" s="14" t="str">
        <x:v>Explicit source first year retained</x:v>
      </x:c>
      <x:c r="V507" s="14" t="str">
        <x:v>Earliest supplied year is 2025.</x:v>
      </x:c>
      <x:c r="W507" s="14"/>
      <x:c r="X507" s="14" t="str">
        <x:v>Included</x:v>
      </x:c>
      <x:c r="Y507" s="14"/>
      <x:c r="Z507" s="14" t="str">
        <x:v>Karen Pirie.docx</x:v>
      </x:c>
      <x:c r="AA507" s="14" t="str">
        <x:v>HYPERLINK is not implemented. linkLocation=https://www.imdb.com/title/tt11725900/fullcredits/,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ITV / ITVX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HYPERLINK("https://en.wikipedia.org/wiki/Karen_Pirie","Open source")</x:f>
        <x:v>HYPERLINK is not implemented. linkLocation=https://en.wikipedia.org/wiki/Karen_Pirie, friendlyName=Open source</x:v>
      </x:c>
      <x:c r="AN507" s="14" t="str">
        <x:v>No qualifying BBC relationship</x:v>
      </x:c>
      <x:c r="AO507" s="14" t="str">
        <x:v>No</x:v>
      </x:c>
      <x:c r="AP507" s="14" t="str">
        <x:v>Out of scope</x:v>
      </x:c>
      <x:c r="AQ507" s="14" t="str">
        <x:v>No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6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1</x:v>
      </x:c>
      <x:c r="BS507" s="16" t="n">
        <x:v>0.16666666666666666</x:v>
      </x:c>
      <x:c r="BT507" s="14" t="str">
        <x:v>One episode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4" t="str">
        <x:v>HYPERLINK is not implemented. linkLocation=https://www.imdb.com/title/tt11725900/fullcredits/,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tt11725900|nm0878489|dcs calder</x:v>
      </x:c>
      <x:c r="B508" s="14" t="str">
        <x:v>03</x:v>
      </x:c>
      <x:c r="C508" s="14" t="str">
        <x:v>2022_IMDb_Cast_Lists_Batch_03(1).xlsx</x:v>
      </x:c>
      <x:c r="D508" s="14" t="str">
        <x:v>Karen Pirie</x:v>
      </x:c>
      <x:c r="E508" s="14" t="n">
        <x:v>83</x:v>
      </x:c>
      <x:c r="F508" s="14" t="str">
        <x:v>Karen Pirie</x:v>
      </x:c>
      <x:c r="G508" s="14" t="str">
        <x:v>tt11725900</x:v>
      </x:c>
      <x:c r="H508" s="14" t="n">
        <x:v>2022</x:v>
      </x:c>
      <x:c r="I508" s="14" t="n">
        <x:v>2025</x:v>
      </x:c>
      <x:c r="J508" s="14" t="str">
        <x:v>Earlier-Production Carry-In Cohort</x:v>
      </x:c>
      <x:c r="K508" s="14" t="n">
        <x:v>2022</x:v>
      </x:c>
      <x:c r="L508" s="14" t="str">
        <x:v>Used in 2025 annual analysis</x:v>
      </x:c>
      <x:c r="M508" s="15" t="n">
        <x:v>76</x:v>
      </x:c>
      <x:c r="N508" s="14" t="str">
        <x:v>Jim Twaddale</x:v>
      </x:c>
      <x:c r="O508" s="14" t="str">
        <x:v>nm0878489</x:v>
      </x:c>
      <x:c r="P508" s="14" t="str">
        <x:v>DCS Calder</x:v>
      </x:c>
      <x:c r="Q508" s="15" t="n">
        <x:v>1</x:v>
      </x:c>
      <x:c r="R508" s="14" t="str">
        <x:v>2025</x:v>
      </x:c>
      <x:c r="S508" s="14" t="n">
        <x:v>2025</x:v>
      </x:c>
      <x:c r="T508" s="14" t="n">
        <x:v>2025</x:v>
      </x:c>
      <x:c r="U508" s="14" t="str">
        <x:v>Explicit source first year retained</x:v>
      </x:c>
      <x:c r="V508" s="14" t="str">
        <x:v>Earliest supplied year is 2025.</x:v>
      </x:c>
      <x:c r="W508" s="14"/>
      <x:c r="X508" s="14" t="str">
        <x:v>Included</x:v>
      </x:c>
      <x:c r="Y508" s="14"/>
      <x:c r="Z508" s="14" t="str">
        <x:v>Karen Pirie.docx</x:v>
      </x:c>
      <x:c r="AA508" s="14" t="str">
        <x:v>HYPERLINK is not implemented. linkLocation=https://www.imdb.com/title/tt11725900/fullcredits/,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ITV / ITVX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HYPERLINK("https://en.wikipedia.org/wiki/Karen_Pirie","Open source")</x:f>
        <x:v>HYPERLINK is not implemented. linkLocation=https://en.wikipedia.org/wiki/Karen_Pirie, friendlyName=Open source</x:v>
      </x:c>
      <x:c r="AN508" s="14" t="str">
        <x:v>No qualifying BBC relationship</x:v>
      </x:c>
      <x:c r="AO508" s="14" t="str">
        <x:v>No</x:v>
      </x:c>
      <x:c r="AP508" s="14" t="str">
        <x:v>Out of scope</x:v>
      </x:c>
      <x:c r="AQ508" s="14" t="str">
        <x:v>No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6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1</x:v>
      </x:c>
      <x:c r="BS508" s="16" t="n">
        <x:v>0.16666666666666666</x:v>
      </x:c>
      <x:c r="BT508" s="14" t="str">
        <x:v>One episode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4" t="str">
        <x:v>HYPERLINK is not implemented. linkLocation=https://www.imdb.com/title/tt11725900/fullcredits/,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tt11725900|nm0139796|bridget early</x:v>
      </x:c>
      <x:c r="B509" s="14" t="str">
        <x:v>03</x:v>
      </x:c>
      <x:c r="C509" s="14" t="str">
        <x:v>2022_IMDb_Cast_Lists_Batch_03(1).xlsx</x:v>
      </x:c>
      <x:c r="D509" s="14" t="str">
        <x:v>Karen Pirie</x:v>
      </x:c>
      <x:c r="E509" s="14" t="n">
        <x:v>84</x:v>
      </x:c>
      <x:c r="F509" s="14" t="str">
        <x:v>Karen Pirie</x:v>
      </x:c>
      <x:c r="G509" s="14" t="str">
        <x:v>tt11725900</x:v>
      </x:c>
      <x:c r="H509" s="14" t="n">
        <x:v>2022</x:v>
      </x:c>
      <x:c r="I509" s="14" t="n">
        <x:v>2025</x:v>
      </x:c>
      <x:c r="J509" s="14" t="str">
        <x:v>Earlier-Production Carry-In Cohort</x:v>
      </x:c>
      <x:c r="K509" s="14" t="n">
        <x:v>2022</x:v>
      </x:c>
      <x:c r="L509" s="14" t="str">
        <x:v>Used in 2025 annual analysis</x:v>
      </x:c>
      <x:c r="M509" s="15" t="n">
        <x:v>77</x:v>
      </x:c>
      <x:c r="N509" s="14" t="str">
        <x:v>Maureen Carr</x:v>
      </x:c>
      <x:c r="O509" s="14" t="str">
        <x:v>nm0139796</x:v>
      </x:c>
      <x:c r="P509" s="14" t="str">
        <x:v>Bridget Early</x:v>
      </x:c>
      <x:c r="Q509" s="15" t="n">
        <x:v>1</x:v>
      </x:c>
      <x:c r="R509" s="14" t="str">
        <x:v>2025</x:v>
      </x:c>
      <x:c r="S509" s="14" t="n">
        <x:v>2025</x:v>
      </x:c>
      <x:c r="T509" s="14" t="n">
        <x:v>2025</x:v>
      </x:c>
      <x:c r="U509" s="14" t="str">
        <x:v>Explicit source first year retained</x:v>
      </x:c>
      <x:c r="V509" s="14" t="str">
        <x:v>Earliest supplied year is 2025.</x:v>
      </x:c>
      <x:c r="W509" s="14"/>
      <x:c r="X509" s="14" t="str">
        <x:v>Included</x:v>
      </x:c>
      <x:c r="Y509" s="14"/>
      <x:c r="Z509" s="14" t="str">
        <x:v>Karen Pirie.docx</x:v>
      </x:c>
      <x:c r="AA509" s="14" t="str">
        <x:v>HYPERLINK is not implemented. linkLocation=https://www.imdb.com/title/tt11725900/fullcredits/,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ITV / ITVX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HYPERLINK("https://en.wikipedia.org/wiki/Karen_Pirie","Open source")</x:f>
        <x:v>HYPERLINK is not implemented. linkLocation=https://en.wikipedia.org/wiki/Karen_Pirie, friendlyName=Open source</x:v>
      </x:c>
      <x:c r="AN509" s="14" t="str">
        <x:v>No qualifying BBC relationship</x:v>
      </x:c>
      <x:c r="AO509" s="14" t="str">
        <x:v>No</x:v>
      </x:c>
      <x:c r="AP509" s="14" t="str">
        <x:v>Out of scope</x:v>
      </x:c>
      <x:c r="AQ509" s="14" t="str">
        <x:v>No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6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1</x:v>
      </x:c>
      <x:c r="BS509" s="16" t="n">
        <x:v>0.16666666666666666</x:v>
      </x:c>
      <x:c r="BT509" s="14" t="str">
        <x:v>One episode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4" t="str">
        <x:v>HYPERLINK is not implemented. linkLocation=https://www.imdb.com/title/tt11725900/fullcredits/,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tt11725900|nm3040811|alessandro</x:v>
      </x:c>
      <x:c r="B510" s="14" t="str">
        <x:v>03</x:v>
      </x:c>
      <x:c r="C510" s="14" t="str">
        <x:v>2022_IMDb_Cast_Lists_Batch_03(1).xlsx</x:v>
      </x:c>
      <x:c r="D510" s="14" t="str">
        <x:v>Karen Pirie</x:v>
      </x:c>
      <x:c r="E510" s="14" t="n">
        <x:v>85</x:v>
      </x:c>
      <x:c r="F510" s="14" t="str">
        <x:v>Karen Pirie</x:v>
      </x:c>
      <x:c r="G510" s="14" t="str">
        <x:v>tt11725900</x:v>
      </x:c>
      <x:c r="H510" s="14" t="n">
        <x:v>2022</x:v>
      </x:c>
      <x:c r="I510" s="14" t="n">
        <x:v>2025</x:v>
      </x:c>
      <x:c r="J510" s="14" t="str">
        <x:v>Earlier-Production Carry-In Cohort</x:v>
      </x:c>
      <x:c r="K510" s="14" t="n">
        <x:v>2022</x:v>
      </x:c>
      <x:c r="L510" s="14" t="str">
        <x:v>Used in 2025 annual analysis</x:v>
      </x:c>
      <x:c r="M510" s="15" t="n">
        <x:v>78</x:v>
      </x:c>
      <x:c r="N510" s="14" t="str">
        <x:v>Andrei Claude</x:v>
      </x:c>
      <x:c r="O510" s="14" t="str">
        <x:v>nm3040811</x:v>
      </x:c>
      <x:c r="P510" s="14" t="str">
        <x:v>Alessandro</x:v>
      </x:c>
      <x:c r="Q510" s="15" t="n">
        <x:v>1</x:v>
      </x:c>
      <x:c r="R510" s="14" t="str">
        <x:v>2025</x:v>
      </x:c>
      <x:c r="S510" s="14" t="n">
        <x:v>2025</x:v>
      </x:c>
      <x:c r="T510" s="14" t="n">
        <x:v>2025</x:v>
      </x:c>
      <x:c r="U510" s="14" t="str">
        <x:v>Explicit source first year retained</x:v>
      </x:c>
      <x:c r="V510" s="14" t="str">
        <x:v>Earliest supplied year is 2025.</x:v>
      </x:c>
      <x:c r="W510" s="14"/>
      <x:c r="X510" s="14" t="str">
        <x:v>Included</x:v>
      </x:c>
      <x:c r="Y510" s="14"/>
      <x:c r="Z510" s="14" t="str">
        <x:v>Karen Pirie.docx</x:v>
      </x:c>
      <x:c r="AA510" s="14" t="str">
        <x:v>HYPERLINK is not implemented. linkLocation=https://www.imdb.com/title/tt11725900/fullcredits/,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ITV / ITVX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HYPERLINK("https://en.wikipedia.org/wiki/Karen_Pirie","Open source")</x:f>
        <x:v>HYPERLINK is not implemented. linkLocation=https://en.wikipedia.org/wiki/Karen_Pirie, friendlyName=Open source</x:v>
      </x:c>
      <x:c r="AN510" s="14" t="str">
        <x:v>No qualifying BBC relationship</x:v>
      </x:c>
      <x:c r="AO510" s="14" t="str">
        <x:v>No</x:v>
      </x:c>
      <x:c r="AP510" s="14" t="str">
        <x:v>Out of scope</x:v>
      </x:c>
      <x:c r="AQ510" s="14" t="str">
        <x:v>No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6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1</x:v>
      </x:c>
      <x:c r="BS510" s="16" t="n">
        <x:v>0.16666666666666666</x:v>
      </x:c>
      <x:c r="BT510" s="14" t="str">
        <x:v>One episode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4" t="str">
        <x:v>HYPERLINK is not implemented. linkLocation=https://www.imdb.com/title/tt11725900/fullcredits/,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tt11725900|nm8557251|fiona campbell</x:v>
      </x:c>
      <x:c r="B511" s="14" t="str">
        <x:v>03</x:v>
      </x:c>
      <x:c r="C511" s="14" t="str">
        <x:v>2022_IMDb_Cast_Lists_Batch_03(1).xlsx</x:v>
      </x:c>
      <x:c r="D511" s="14" t="str">
        <x:v>Karen Pirie</x:v>
      </x:c>
      <x:c r="E511" s="14" t="n">
        <x:v>86</x:v>
      </x:c>
      <x:c r="F511" s="14" t="str">
        <x:v>Karen Pirie</x:v>
      </x:c>
      <x:c r="G511" s="14" t="str">
        <x:v>tt11725900</x:v>
      </x:c>
      <x:c r="H511" s="14" t="n">
        <x:v>2022</x:v>
      </x:c>
      <x:c r="I511" s="14" t="n">
        <x:v>2025</x:v>
      </x:c>
      <x:c r="J511" s="14" t="str">
        <x:v>Earlier-Production Carry-In Cohort</x:v>
      </x:c>
      <x:c r="K511" s="14" t="n">
        <x:v>2022</x:v>
      </x:c>
      <x:c r="L511" s="14" t="str">
        <x:v>Used in 2025 annual analysis</x:v>
      </x:c>
      <x:c r="M511" s="15" t="n">
        <x:v>79</x:v>
      </x:c>
      <x:c r="N511" s="14" t="str">
        <x:v>Wendy Seager</x:v>
      </x:c>
      <x:c r="O511" s="14" t="str">
        <x:v>nm8557251</x:v>
      </x:c>
      <x:c r="P511" s="14" t="str">
        <x:v>Fiona Campbell</x:v>
      </x:c>
      <x:c r="Q511" s="15" t="n">
        <x:v>1</x:v>
      </x:c>
      <x:c r="R511" s="14" t="str">
        <x:v>2025</x:v>
      </x:c>
      <x:c r="S511" s="14" t="n">
        <x:v>2025</x:v>
      </x:c>
      <x:c r="T511" s="14" t="n">
        <x:v>2025</x:v>
      </x:c>
      <x:c r="U511" s="14" t="str">
        <x:v>Explicit source first year retained</x:v>
      </x:c>
      <x:c r="V511" s="14" t="str">
        <x:v>Earliest supplied year is 2025.</x:v>
      </x:c>
      <x:c r="W511" s="14"/>
      <x:c r="X511" s="14" t="str">
        <x:v>Included</x:v>
      </x:c>
      <x:c r="Y511" s="14"/>
      <x:c r="Z511" s="14" t="str">
        <x:v>Karen Pirie.docx</x:v>
      </x:c>
      <x:c r="AA511" s="14" t="str">
        <x:v>HYPERLINK is not implemented. linkLocation=https://www.imdb.com/title/tt11725900/fullcredits/,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ITV / ITVX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HYPERLINK("https://en.wikipedia.org/wiki/Karen_Pirie","Open source")</x:f>
        <x:v>HYPERLINK is not implemented. linkLocation=https://en.wikipedia.org/wiki/Karen_Pirie, friendlyName=Open source</x:v>
      </x:c>
      <x:c r="AN511" s="14" t="str">
        <x:v>No qualifying BBC relationship</x:v>
      </x:c>
      <x:c r="AO511" s="14" t="str">
        <x:v>No</x:v>
      </x:c>
      <x:c r="AP511" s="14" t="str">
        <x:v>Out of scope</x:v>
      </x:c>
      <x:c r="AQ511" s="14" t="str">
        <x:v>No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6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1</x:v>
      </x:c>
      <x:c r="BS511" s="16" t="n">
        <x:v>0.16666666666666666</x:v>
      </x:c>
      <x:c r="BT511" s="14" t="str">
        <x:v>One episode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4" t="str">
        <x:v>HYPERLINK is not implemented. linkLocation=https://www.imdb.com/title/tt11725900/fullcredits/,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tt11725900|nm2959043|airfield security guard</x:v>
      </x:c>
      <x:c r="B512" s="14" t="str">
        <x:v>03</x:v>
      </x:c>
      <x:c r="C512" s="14" t="str">
        <x:v>2022_IMDb_Cast_Lists_Batch_03(1).xlsx</x:v>
      </x:c>
      <x:c r="D512" s="14" t="str">
        <x:v>Karen Pirie</x:v>
      </x:c>
      <x:c r="E512" s="14" t="n">
        <x:v>87</x:v>
      </x:c>
      <x:c r="F512" s="14" t="str">
        <x:v>Karen Pirie</x:v>
      </x:c>
      <x:c r="G512" s="14" t="str">
        <x:v>tt11725900</x:v>
      </x:c>
      <x:c r="H512" s="14" t="n">
        <x:v>2022</x:v>
      </x:c>
      <x:c r="I512" s="14" t="n">
        <x:v>2025</x:v>
      </x:c>
      <x:c r="J512" s="14" t="str">
        <x:v>Earlier-Production Carry-In Cohort</x:v>
      </x:c>
      <x:c r="K512" s="14" t="n">
        <x:v>2022</x:v>
      </x:c>
      <x:c r="L512" s="14" t="str">
        <x:v>Used in 2025 annual analysis</x:v>
      </x:c>
      <x:c r="M512" s="15" t="n">
        <x:v>80</x:v>
      </x:c>
      <x:c r="N512" s="14" t="str">
        <x:v>Dom Watters</x:v>
      </x:c>
      <x:c r="O512" s="14" t="str">
        <x:v>nm2959043</x:v>
      </x:c>
      <x:c r="P512" s="14" t="str">
        <x:v>Airfield Security Guard</x:v>
      </x:c>
      <x:c r="Q512" s="15" t="n">
        <x:v>1</x:v>
      </x:c>
      <x:c r="R512" s="14" t="str">
        <x:v>2025</x:v>
      </x:c>
      <x:c r="S512" s="14" t="n">
        <x:v>2025</x:v>
      </x:c>
      <x:c r="T512" s="14" t="n">
        <x:v>2025</x:v>
      </x:c>
      <x:c r="U512" s="14" t="str">
        <x:v>Explicit source first year retained</x:v>
      </x:c>
      <x:c r="V512" s="14" t="str">
        <x:v>Earliest supplied year is 2025.</x:v>
      </x:c>
      <x:c r="W512" s="14"/>
      <x:c r="X512" s="14" t="str">
        <x:v>Included</x:v>
      </x:c>
      <x:c r="Y512" s="14" t="str">
        <x:v>(as Dominic Watters)</x:v>
      </x:c>
      <x:c r="Z512" s="14" t="str">
        <x:v>Karen Pirie.docx</x:v>
      </x:c>
      <x:c r="AA512" s="14" t="str">
        <x:v>HYPERLINK is not implemented. linkLocation=https://www.imdb.com/title/tt11725900/fullcredits/,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ITV / ITVX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HYPERLINK("https://en.wikipedia.org/wiki/Karen_Pirie","Open source")</x:f>
        <x:v>HYPERLINK is not implemented. linkLocation=https://en.wikipedia.org/wiki/Karen_Pirie, friendlyName=Open source</x:v>
      </x:c>
      <x:c r="AN512" s="14" t="str">
        <x:v>No qualifying BBC relationship</x:v>
      </x:c>
      <x:c r="AO512" s="14" t="str">
        <x:v>No</x:v>
      </x:c>
      <x:c r="AP512" s="14" t="str">
        <x:v>Out of scope</x:v>
      </x:c>
      <x:c r="AQ512" s="14" t="str">
        <x:v>No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6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1</x:v>
      </x:c>
      <x:c r="BS512" s="16" t="n">
        <x:v>0.16666666666666666</x:v>
      </x:c>
      <x:c r="BT512" s="14" t="str">
        <x:v>One episode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4" t="str">
        <x:v>HYPERLINK is not implemented. linkLocation=https://www.imdb.com/title/tt11725900/fullcredits/,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tt11725900|nm2176245|neville atkins</x:v>
      </x:c>
      <x:c r="B513" s="14" t="str">
        <x:v>03</x:v>
      </x:c>
      <x:c r="C513" s="14" t="str">
        <x:v>2022_IMDb_Cast_Lists_Batch_03(1).xlsx</x:v>
      </x:c>
      <x:c r="D513" s="14" t="str">
        <x:v>Karen Pirie</x:v>
      </x:c>
      <x:c r="E513" s="14" t="n">
        <x:v>88</x:v>
      </x:c>
      <x:c r="F513" s="14" t="str">
        <x:v>Karen Pirie</x:v>
      </x:c>
      <x:c r="G513" s="14" t="str">
        <x:v>tt11725900</x:v>
      </x:c>
      <x:c r="H513" s="14" t="n">
        <x:v>2022</x:v>
      </x:c>
      <x:c r="I513" s="14" t="n">
        <x:v>2025</x:v>
      </x:c>
      <x:c r="J513" s="14" t="str">
        <x:v>Earlier-Production Carry-In Cohort</x:v>
      </x:c>
      <x:c r="K513" s="14" t="n">
        <x:v>2022</x:v>
      </x:c>
      <x:c r="L513" s="14" t="str">
        <x:v>Used in 2025 annual analysis</x:v>
      </x:c>
      <x:c r="M513" s="15" t="n">
        <x:v>81</x:v>
      </x:c>
      <x:c r="N513" s="14" t="str">
        <x:v>Tony Cownie</x:v>
      </x:c>
      <x:c r="O513" s="14" t="str">
        <x:v>nm2176245</x:v>
      </x:c>
      <x:c r="P513" s="14" t="str">
        <x:v>Neville Atkins</x:v>
      </x:c>
      <x:c r="Q513" s="15" t="n">
        <x:v>1</x:v>
      </x:c>
      <x:c r="R513" s="14" t="str">
        <x:v>2025</x:v>
      </x:c>
      <x:c r="S513" s="14" t="n">
        <x:v>2025</x:v>
      </x:c>
      <x:c r="T513" s="14" t="n">
        <x:v>2025</x:v>
      </x:c>
      <x:c r="U513" s="14" t="str">
        <x:v>Explicit source first year retained</x:v>
      </x:c>
      <x:c r="V513" s="14" t="str">
        <x:v>Earliest supplied year is 2025.</x:v>
      </x:c>
      <x:c r="W513" s="14"/>
      <x:c r="X513" s="14" t="str">
        <x:v>Included</x:v>
      </x:c>
      <x:c r="Y513" s="14"/>
      <x:c r="Z513" s="14" t="str">
        <x:v>Karen Pirie.docx</x:v>
      </x:c>
      <x:c r="AA513" s="14" t="str">
        <x:v>HYPERLINK is not implemented. linkLocation=https://www.imdb.com/title/tt11725900/fullcredits/,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ITV / ITVX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HYPERLINK("https://en.wikipedia.org/wiki/Karen_Pirie","Open source")</x:f>
        <x:v>HYPERLINK is not implemented. linkLocation=https://en.wikipedia.org/wiki/Karen_Pirie, friendlyName=Open source</x:v>
      </x:c>
      <x:c r="AN513" s="14" t="str">
        <x:v>No qualifying BBC relationship</x:v>
      </x:c>
      <x:c r="AO513" s="14" t="str">
        <x:v>No</x:v>
      </x:c>
      <x:c r="AP513" s="14" t="str">
        <x:v>Out of scope</x:v>
      </x:c>
      <x:c r="AQ513" s="14" t="str">
        <x:v>No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6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1</x:v>
      </x:c>
      <x:c r="BS513" s="16" t="n">
        <x:v>0.16666666666666666</x:v>
      </x:c>
      <x:c r="BT513" s="14" t="str">
        <x:v>One episode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4" t="str">
        <x:v>HYPERLINK is not implemented. linkLocation=https://www.imdb.com/title/tt11725900/fullcredits/,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tt11725900|nm0692301|ryan campbell</x:v>
      </x:c>
      <x:c r="B514" s="14" t="str">
        <x:v>03</x:v>
      </x:c>
      <x:c r="C514" s="14" t="str">
        <x:v>2022_IMDb_Cast_Lists_Batch_03(1).xlsx</x:v>
      </x:c>
      <x:c r="D514" s="14" t="str">
        <x:v>Karen Pirie</x:v>
      </x:c>
      <x:c r="E514" s="14" t="n">
        <x:v>89</x:v>
      </x:c>
      <x:c r="F514" s="14" t="str">
        <x:v>Karen Pirie</x:v>
      </x:c>
      <x:c r="G514" s="14" t="str">
        <x:v>tt11725900</x:v>
      </x:c>
      <x:c r="H514" s="14" t="n">
        <x:v>2022</x:v>
      </x:c>
      <x:c r="I514" s="14" t="n">
        <x:v>2025</x:v>
      </x:c>
      <x:c r="J514" s="14" t="str">
        <x:v>Earlier-Production Carry-In Cohort</x:v>
      </x:c>
      <x:c r="K514" s="14" t="n">
        <x:v>2022</x:v>
      </x:c>
      <x:c r="L514" s="14" t="str">
        <x:v>Used in 2025 annual analysis</x:v>
      </x:c>
      <x:c r="M514" s="15" t="n">
        <x:v>82</x:v>
      </x:c>
      <x:c r="N514" s="14" t="str">
        <x:v>Stewart Porter</x:v>
      </x:c>
      <x:c r="O514" s="14" t="str">
        <x:v>nm0692301</x:v>
      </x:c>
      <x:c r="P514" s="14" t="str">
        <x:v>Ryan Campbell</x:v>
      </x:c>
      <x:c r="Q514" s="15" t="n">
        <x:v>1</x:v>
      </x:c>
      <x:c r="R514" s="14" t="str">
        <x:v>2025</x:v>
      </x:c>
      <x:c r="S514" s="14" t="n">
        <x:v>2025</x:v>
      </x:c>
      <x:c r="T514" s="14" t="n">
        <x:v>2025</x:v>
      </x:c>
      <x:c r="U514" s="14" t="str">
        <x:v>Explicit source first year retained</x:v>
      </x:c>
      <x:c r="V514" s="14" t="str">
        <x:v>Earliest supplied year is 2025.</x:v>
      </x:c>
      <x:c r="W514" s="14"/>
      <x:c r="X514" s="14" t="str">
        <x:v>Included</x:v>
      </x:c>
      <x:c r="Y514" s="14"/>
      <x:c r="Z514" s="14" t="str">
        <x:v>Karen Pirie.docx</x:v>
      </x:c>
      <x:c r="AA514" s="14" t="str">
        <x:v>HYPERLINK is not implemented. linkLocation=https://www.imdb.com/title/tt11725900/fullcredits/,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ITV / ITVX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HYPERLINK("https://en.wikipedia.org/wiki/Karen_Pirie","Open source")</x:f>
        <x:v>HYPERLINK is not implemented. linkLocation=https://en.wikipedia.org/wiki/Karen_Pirie, friendlyName=Open source</x:v>
      </x:c>
      <x:c r="AN514" s="14" t="str">
        <x:v>No qualifying BBC relationship</x:v>
      </x:c>
      <x:c r="AO514" s="14" t="str">
        <x:v>No</x:v>
      </x:c>
      <x:c r="AP514" s="14" t="str">
        <x:v>Out of scope</x:v>
      </x:c>
      <x:c r="AQ514" s="14" t="str">
        <x:v>No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6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1</x:v>
      </x:c>
      <x:c r="BS514" s="16" t="n">
        <x:v>0.16666666666666666</x:v>
      </x:c>
      <x:c r="BT514" s="14" t="str">
        <x:v>One episode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4" t="str">
        <x:v>HYPERLINK is not implemented. linkLocation=https://www.imdb.com/title/tt11725900/fullcredits/,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tt11725900|nm5049659|cameron murdoch</x:v>
      </x:c>
      <x:c r="B515" s="14" t="str">
        <x:v>03</x:v>
      </x:c>
      <x:c r="C515" s="14" t="str">
        <x:v>2022_IMDb_Cast_Lists_Batch_03(1).xlsx</x:v>
      </x:c>
      <x:c r="D515" s="14" t="str">
        <x:v>Karen Pirie</x:v>
      </x:c>
      <x:c r="E515" s="14" t="n">
        <x:v>90</x:v>
      </x:c>
      <x:c r="F515" s="14" t="str">
        <x:v>Karen Pirie</x:v>
      </x:c>
      <x:c r="G515" s="14" t="str">
        <x:v>tt11725900</x:v>
      </x:c>
      <x:c r="H515" s="14" t="n">
        <x:v>2022</x:v>
      </x:c>
      <x:c r="I515" s="14" t="n">
        <x:v>2025</x:v>
      </x:c>
      <x:c r="J515" s="14" t="str">
        <x:v>Earlier-Production Carry-In Cohort</x:v>
      </x:c>
      <x:c r="K515" s="14" t="n">
        <x:v>2022</x:v>
      </x:c>
      <x:c r="L515" s="14" t="str">
        <x:v>Used in 2025 annual analysis</x:v>
      </x:c>
      <x:c r="M515" s="15" t="n">
        <x:v>83</x:v>
      </x:c>
      <x:c r="N515" s="14" t="str">
        <x:v>Cameron Fulton</x:v>
      </x:c>
      <x:c r="O515" s="14" t="str">
        <x:v>nm5049659</x:v>
      </x:c>
      <x:c r="P515" s="14" t="str">
        <x:v>Cameron Murdoch</x:v>
      </x:c>
      <x:c r="Q515" s="15" t="n">
        <x:v>1</x:v>
      </x:c>
      <x:c r="R515" s="14" t="str">
        <x:v>2025</x:v>
      </x:c>
      <x:c r="S515" s="14" t="n">
        <x:v>2025</x:v>
      </x:c>
      <x:c r="T515" s="14" t="n">
        <x:v>2025</x:v>
      </x:c>
      <x:c r="U515" s="14" t="str">
        <x:v>Explicit source first year retained</x:v>
      </x:c>
      <x:c r="V515" s="14" t="str">
        <x:v>Earliest supplied year is 2025.</x:v>
      </x:c>
      <x:c r="W515" s="14"/>
      <x:c r="X515" s="14" t="str">
        <x:v>Included</x:v>
      </x:c>
      <x:c r="Y515" s="14"/>
      <x:c r="Z515" s="14" t="str">
        <x:v>Karen Pirie.docx</x:v>
      </x:c>
      <x:c r="AA515" s="14" t="str">
        <x:v>HYPERLINK is not implemented. linkLocation=https://www.imdb.com/title/tt11725900/fullcredits/,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ITV / ITVX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HYPERLINK("https://en.wikipedia.org/wiki/Karen_Pirie","Open source")</x:f>
        <x:v>HYPERLINK is not implemented. linkLocation=https://en.wikipedia.org/wiki/Karen_Pirie, friendlyName=Open source</x:v>
      </x:c>
      <x:c r="AN515" s="14" t="str">
        <x:v>No qualifying BBC relationship</x:v>
      </x:c>
      <x:c r="AO515" s="14" t="str">
        <x:v>No</x:v>
      </x:c>
      <x:c r="AP515" s="14" t="str">
        <x:v>Out of scope</x:v>
      </x:c>
      <x:c r="AQ515" s="14" t="str">
        <x:v>No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6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1</x:v>
      </x:c>
      <x:c r="BS515" s="16" t="n">
        <x:v>0.16666666666666666</x:v>
      </x:c>
      <x:c r="BT515" s="14" t="str">
        <x:v>One episode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4" t="str">
        <x:v>HYPERLINK is not implemented. linkLocation=https://www.imdb.com/title/tt11725900/fullcredits/,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tt11725900|nm16434203|angus</x:v>
      </x:c>
      <x:c r="B516" s="14" t="str">
        <x:v>03</x:v>
      </x:c>
      <x:c r="C516" s="14" t="str">
        <x:v>2022_IMDb_Cast_Lists_Batch_03(1).xlsx</x:v>
      </x:c>
      <x:c r="D516" s="14" t="str">
        <x:v>Karen Pirie</x:v>
      </x:c>
      <x:c r="E516" s="14" t="n">
        <x:v>100</x:v>
      </x:c>
      <x:c r="F516" s="14" t="str">
        <x:v>Karen Pirie</x:v>
      </x:c>
      <x:c r="G516" s="14" t="str">
        <x:v>tt11725900</x:v>
      </x:c>
      <x:c r="H516" s="14" t="n">
        <x:v>2022</x:v>
      </x:c>
      <x:c r="I516" s="14" t="n">
        <x:v>2025</x:v>
      </x:c>
      <x:c r="J516" s="14" t="str">
        <x:v>Earlier-Production Carry-In Cohort</x:v>
      </x:c>
      <x:c r="K516" s="14" t="n">
        <x:v>2022</x:v>
      </x:c>
      <x:c r="L516" s="14" t="str">
        <x:v>Used in 2025 annual analysis</x:v>
      </x:c>
      <x:c r="M516" s="15" t="n">
        <x:v>93</x:v>
      </x:c>
      <x:c r="N516" s="14" t="str">
        <x:v>William Alexander</x:v>
      </x:c>
      <x:c r="O516" s="14" t="str">
        <x:v>nm16434203</x:v>
      </x:c>
      <x:c r="P516" s="14" t="str">
        <x:v>Angus</x:v>
      </x:c>
      <x:c r="Q516" s="15" t="n">
        <x:v>1</x:v>
      </x:c>
      <x:c r="R516" s="14" t="str">
        <x:v>2025</x:v>
      </x:c>
      <x:c r="S516" s="14" t="n">
        <x:v>2025</x:v>
      </x:c>
      <x:c r="T516" s="14" t="n">
        <x:v>2025</x:v>
      </x:c>
      <x:c r="U516" s="14" t="str">
        <x:v>Explicit source first year retained</x:v>
      </x:c>
      <x:c r="V516" s="14" t="str">
        <x:v>Earliest supplied year is 2025.</x:v>
      </x:c>
      <x:c r="W516" s="14"/>
      <x:c r="X516" s="14" t="str">
        <x:v>Included</x:v>
      </x:c>
      <x:c r="Y516" s="14"/>
      <x:c r="Z516" s="14" t="str">
        <x:v>Karen Pirie.docx</x:v>
      </x:c>
      <x:c r="AA516" s="14" t="str">
        <x:v>HYPERLINK is not implemented. linkLocation=https://www.imdb.com/title/tt11725900/fullcredits/,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ITV / ITVX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HYPERLINK("https://en.wikipedia.org/wiki/Karen_Pirie","Open source")</x:f>
        <x:v>HYPERLINK is not implemented. linkLocation=https://en.wikipedia.org/wiki/Karen_Pirie, friendlyName=Open source</x:v>
      </x:c>
      <x:c r="AN516" s="14" t="str">
        <x:v>No qualifying BBC relationship</x:v>
      </x:c>
      <x:c r="AO516" s="14" t="str">
        <x:v>No</x:v>
      </x:c>
      <x:c r="AP516" s="14" t="str">
        <x:v>Out of scope</x:v>
      </x:c>
      <x:c r="AQ516" s="14" t="str">
        <x:v>No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6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1</x:v>
      </x:c>
      <x:c r="BS516" s="16" t="n">
        <x:v>0.16666666666666666</x:v>
      </x:c>
      <x:c r="BT516" s="14" t="str">
        <x:v>One episode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4" t="str">
        <x:v>HYPERLINK is not implemented. linkLocation=https://www.imdb.com/title/tt11725900/fullcredits/,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tt11725900|nm17688830|adam grant</x:v>
      </x:c>
      <x:c r="B517" s="14" t="str">
        <x:v>03</x:v>
      </x:c>
      <x:c r="C517" s="14" t="str">
        <x:v>2022_IMDb_Cast_Lists_Batch_03(1).xlsx</x:v>
      </x:c>
      <x:c r="D517" s="14" t="str">
        <x:v>Karen Pirie</x:v>
      </x:c>
      <x:c r="E517" s="14" t="n">
        <x:v>101</x:v>
      </x:c>
      <x:c r="F517" s="14" t="str">
        <x:v>Karen Pirie</x:v>
      </x:c>
      <x:c r="G517" s="14" t="str">
        <x:v>tt11725900</x:v>
      </x:c>
      <x:c r="H517" s="14" t="n">
        <x:v>2022</x:v>
      </x:c>
      <x:c r="I517" s="14" t="n">
        <x:v>2025</x:v>
      </x:c>
      <x:c r="J517" s="14" t="str">
        <x:v>Earlier-Production Carry-In Cohort</x:v>
      </x:c>
      <x:c r="K517" s="14" t="n">
        <x:v>2022</x:v>
      </x:c>
      <x:c r="L517" s="14" t="str">
        <x:v>Used in 2025 annual analysis</x:v>
      </x:c>
      <x:c r="M517" s="15" t="n">
        <x:v>94</x:v>
      </x:c>
      <x:c r="N517" s="14" t="str">
        <x:v>Alex Gilmour</x:v>
      </x:c>
      <x:c r="O517" s="14" t="str">
        <x:v>nm17688830</x:v>
      </x:c>
      <x:c r="P517" s="14" t="str">
        <x:v>Adam Grant</x:v>
      </x:c>
      <x:c r="Q517" s="15" t="n">
        <x:v>1</x:v>
      </x:c>
      <x:c r="R517" s="14" t="str">
        <x:v>2025</x:v>
      </x:c>
      <x:c r="S517" s="14" t="n">
        <x:v>2025</x:v>
      </x:c>
      <x:c r="T517" s="14" t="n">
        <x:v>2025</x:v>
      </x:c>
      <x:c r="U517" s="14" t="str">
        <x:v>Explicit source first year retained</x:v>
      </x:c>
      <x:c r="V517" s="14" t="str">
        <x:v>Earliest supplied year is 2025.</x:v>
      </x:c>
      <x:c r="W517" s="14"/>
      <x:c r="X517" s="14" t="str">
        <x:v>Included</x:v>
      </x:c>
      <x:c r="Y517" s="14"/>
      <x:c r="Z517" s="14" t="str">
        <x:v>Karen Pirie.docx</x:v>
      </x:c>
      <x:c r="AA517" s="14" t="str">
        <x:v>HYPERLINK is not implemented. linkLocation=https://www.imdb.com/title/tt11725900/fullcredits/,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ITV / ITVX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HYPERLINK("https://en.wikipedia.org/wiki/Karen_Pirie","Open source")</x:f>
        <x:v>HYPERLINK is not implemented. linkLocation=https://en.wikipedia.org/wiki/Karen_Pirie, friendlyName=Open source</x:v>
      </x:c>
      <x:c r="AN517" s="14" t="str">
        <x:v>No qualifying BBC relationship</x:v>
      </x:c>
      <x:c r="AO517" s="14" t="str">
        <x:v>No</x:v>
      </x:c>
      <x:c r="AP517" s="14" t="str">
        <x:v>Out of scope</x:v>
      </x:c>
      <x:c r="AQ517" s="14" t="str">
        <x:v>No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6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1</x:v>
      </x:c>
      <x:c r="BS517" s="16" t="n">
        <x:v>0.16666666666666666</x:v>
      </x:c>
      <x:c r="BT517" s="14" t="str">
        <x:v>One episode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4" t="str">
        <x:v>HYPERLINK is not implemented. linkLocation=https://www.imdb.com/title/tt11725900/fullcredits/,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tt11725900|nm17688829|adam grant</x:v>
      </x:c>
      <x:c r="B518" s="14" t="str">
        <x:v>03</x:v>
      </x:c>
      <x:c r="C518" s="14" t="str">
        <x:v>2022_IMDb_Cast_Lists_Batch_03(1).xlsx</x:v>
      </x:c>
      <x:c r="D518" s="14" t="str">
        <x:v>Karen Pirie</x:v>
      </x:c>
      <x:c r="E518" s="14" t="n">
        <x:v>102</x:v>
      </x:c>
      <x:c r="F518" s="14" t="str">
        <x:v>Karen Pirie</x:v>
      </x:c>
      <x:c r="G518" s="14" t="str">
        <x:v>tt11725900</x:v>
      </x:c>
      <x:c r="H518" s="14" t="n">
        <x:v>2022</x:v>
      </x:c>
      <x:c r="I518" s="14" t="n">
        <x:v>2025</x:v>
      </x:c>
      <x:c r="J518" s="14" t="str">
        <x:v>Earlier-Production Carry-In Cohort</x:v>
      </x:c>
      <x:c r="K518" s="14" t="n">
        <x:v>2022</x:v>
      </x:c>
      <x:c r="L518" s="14" t="str">
        <x:v>Used in 2025 annual analysis</x:v>
      </x:c>
      <x:c r="M518" s="15" t="n">
        <x:v>95</x:v>
      </x:c>
      <x:c r="N518" s="14" t="str">
        <x:v>Andrew Gilmour</x:v>
      </x:c>
      <x:c r="O518" s="14" t="str">
        <x:v>nm17688829</x:v>
      </x:c>
      <x:c r="P518" s="14" t="str">
        <x:v>Adam Grant</x:v>
      </x:c>
      <x:c r="Q518" s="15" t="n">
        <x:v>1</x:v>
      </x:c>
      <x:c r="R518" s="14" t="str">
        <x:v>2025</x:v>
      </x:c>
      <x:c r="S518" s="14" t="n">
        <x:v>2025</x:v>
      </x:c>
      <x:c r="T518" s="14" t="n">
        <x:v>2025</x:v>
      </x:c>
      <x:c r="U518" s="14" t="str">
        <x:v>Explicit source first year retained</x:v>
      </x:c>
      <x:c r="V518" s="14" t="str">
        <x:v>Earliest supplied year is 2025.</x:v>
      </x:c>
      <x:c r="W518" s="14"/>
      <x:c r="X518" s="14" t="str">
        <x:v>Included</x:v>
      </x:c>
      <x:c r="Y518" s="14"/>
      <x:c r="Z518" s="14" t="str">
        <x:v>Karen Pirie.docx</x:v>
      </x:c>
      <x:c r="AA518" s="14" t="str">
        <x:v>HYPERLINK is not implemented. linkLocation=https://www.imdb.com/title/tt11725900/fullcredits/,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ITV / ITVX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HYPERLINK("https://en.wikipedia.org/wiki/Karen_Pirie","Open source")</x:f>
        <x:v>HYPERLINK is not implemented. linkLocation=https://en.wikipedia.org/wiki/Karen_Pirie, friendlyName=Open source</x:v>
      </x:c>
      <x:c r="AN518" s="14" t="str">
        <x:v>No qualifying BBC relationship</x:v>
      </x:c>
      <x:c r="AO518" s="14" t="str">
        <x:v>No</x:v>
      </x:c>
      <x:c r="AP518" s="14" t="str">
        <x:v>Out of scope</x:v>
      </x:c>
      <x:c r="AQ518" s="14" t="str">
        <x:v>No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6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1</x:v>
      </x:c>
      <x:c r="BS518" s="16" t="n">
        <x:v>0.16666666666666666</x:v>
      </x:c>
      <x:c r="BT518" s="14" t="str">
        <x:v>One episode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4" t="str">
        <x:v>HYPERLINK is not implemented. linkLocation=https://www.imdb.com/title/tt11725900/fullcredits/,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tt11725900|nm17688853|angus</x:v>
      </x:c>
      <x:c r="B519" s="14" t="str">
        <x:v>03</x:v>
      </x:c>
      <x:c r="C519" s="14" t="str">
        <x:v>2022_IMDb_Cast_Lists_Batch_03(1).xlsx</x:v>
      </x:c>
      <x:c r="D519" s="14" t="str">
        <x:v>Karen Pirie</x:v>
      </x:c>
      <x:c r="E519" s="14" t="n">
        <x:v>103</x:v>
      </x:c>
      <x:c r="F519" s="14" t="str">
        <x:v>Karen Pirie</x:v>
      </x:c>
      <x:c r="G519" s="14" t="str">
        <x:v>tt11725900</x:v>
      </x:c>
      <x:c r="H519" s="14" t="n">
        <x:v>2022</x:v>
      </x:c>
      <x:c r="I519" s="14" t="n">
        <x:v>2025</x:v>
      </x:c>
      <x:c r="J519" s="14" t="str">
        <x:v>Earlier-Production Carry-In Cohort</x:v>
      </x:c>
      <x:c r="K519" s="14" t="n">
        <x:v>2022</x:v>
      </x:c>
      <x:c r="L519" s="14" t="str">
        <x:v>Used in 2025 annual analysis</x:v>
      </x:c>
      <x:c r="M519" s="15" t="n">
        <x:v>96</x:v>
      </x:c>
      <x:c r="N519" s="14" t="str">
        <x:v>William Alexander</x:v>
      </x:c>
      <x:c r="O519" s="14" t="str">
        <x:v>nm17688853</x:v>
      </x:c>
      <x:c r="P519" s="14" t="str">
        <x:v>Angus</x:v>
      </x:c>
      <x:c r="Q519" s="15" t="n">
        <x:v>1</x:v>
      </x:c>
      <x:c r="R519" s="14" t="str">
        <x:v>2025</x:v>
      </x:c>
      <x:c r="S519" s="14" t="n">
        <x:v>2025</x:v>
      </x:c>
      <x:c r="T519" s="14" t="n">
        <x:v>2025</x:v>
      </x:c>
      <x:c r="U519" s="14" t="str">
        <x:v>Explicit source first year retained</x:v>
      </x:c>
      <x:c r="V519" s="14" t="str">
        <x:v>Earliest supplied year is 2025.</x:v>
      </x:c>
      <x:c r="W519" s="14"/>
      <x:c r="X519" s="14" t="str">
        <x:v>Included</x:v>
      </x:c>
      <x:c r="Y519" s="14"/>
      <x:c r="Z519" s="14" t="str">
        <x:v>Karen Pirie.docx</x:v>
      </x:c>
      <x:c r="AA519" s="14" t="str">
        <x:v>HYPERLINK is not implemented. linkLocation=https://www.imdb.com/title/tt11725900/fullcredits/,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ITV / ITVX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HYPERLINK("https://en.wikipedia.org/wiki/Karen_Pirie","Open source")</x:f>
        <x:v>HYPERLINK is not implemented. linkLocation=https://en.wikipedia.org/wiki/Karen_Pirie, friendlyName=Open source</x:v>
      </x:c>
      <x:c r="AN519" s="14" t="str">
        <x:v>No qualifying BBC relationship</x:v>
      </x:c>
      <x:c r="AO519" s="14" t="str">
        <x:v>No</x:v>
      </x:c>
      <x:c r="AP519" s="14" t="str">
        <x:v>Out of scope</x:v>
      </x:c>
      <x:c r="AQ519" s="14" t="str">
        <x:v>No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6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1</x:v>
      </x:c>
      <x:c r="BS519" s="16" t="n">
        <x:v>0.16666666666666666</x:v>
      </x:c>
      <x:c r="BT519" s="14" t="str">
        <x:v>One episode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4" t="str">
        <x:v>HYPERLINK is not implemented. linkLocation=https://www.imdb.com/title/tt11725900/fullcredits/,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tt11725900|nm17688854|girl in queue</x:v>
      </x:c>
      <x:c r="B520" s="14" t="str">
        <x:v>03</x:v>
      </x:c>
      <x:c r="C520" s="14" t="str">
        <x:v>2022_IMDb_Cast_Lists_Batch_03(1).xlsx</x:v>
      </x:c>
      <x:c r="D520" s="14" t="str">
        <x:v>Karen Pirie</x:v>
      </x:c>
      <x:c r="E520" s="14" t="n">
        <x:v>104</x:v>
      </x:c>
      <x:c r="F520" s="14" t="str">
        <x:v>Karen Pirie</x:v>
      </x:c>
      <x:c r="G520" s="14" t="str">
        <x:v>tt11725900</x:v>
      </x:c>
      <x:c r="H520" s="14" t="n">
        <x:v>2022</x:v>
      </x:c>
      <x:c r="I520" s="14" t="n">
        <x:v>2025</x:v>
      </x:c>
      <x:c r="J520" s="14" t="str">
        <x:v>Earlier-Production Carry-In Cohort</x:v>
      </x:c>
      <x:c r="K520" s="14" t="n">
        <x:v>2022</x:v>
      </x:c>
      <x:c r="L520" s="14" t="str">
        <x:v>Used in 2025 annual analysis</x:v>
      </x:c>
      <x:c r="M520" s="15" t="n">
        <x:v>97</x:v>
      </x:c>
      <x:c r="N520" s="14" t="str">
        <x:v>Emma Bell</x:v>
      </x:c>
      <x:c r="O520" s="14" t="str">
        <x:v>nm17688854</x:v>
      </x:c>
      <x:c r="P520" s="14" t="str">
        <x:v>Girl In Queue</x:v>
      </x:c>
      <x:c r="Q520" s="15" t="n">
        <x:v>1</x:v>
      </x:c>
      <x:c r="R520" s="14" t="str">
        <x:v>2025</x:v>
      </x:c>
      <x:c r="S520" s="14" t="n">
        <x:v>2025</x:v>
      </x:c>
      <x:c r="T520" s="14" t="n">
        <x:v>2025</x:v>
      </x:c>
      <x:c r="U520" s="14" t="str">
        <x:v>Explicit source first year retained</x:v>
      </x:c>
      <x:c r="V520" s="14" t="str">
        <x:v>Earliest supplied year is 2025.</x:v>
      </x:c>
      <x:c r="W520" s="14"/>
      <x:c r="X520" s="14" t="str">
        <x:v>Included</x:v>
      </x:c>
      <x:c r="Y520" s="14"/>
      <x:c r="Z520" s="14" t="str">
        <x:v>Karen Pirie.docx</x:v>
      </x:c>
      <x:c r="AA520" s="14" t="str">
        <x:v>HYPERLINK is not implemented. linkLocation=https://www.imdb.com/title/tt11725900/fullcredits/,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ITV / ITVX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HYPERLINK("https://en.wikipedia.org/wiki/Karen_Pirie","Open source")</x:f>
        <x:v>HYPERLINK is not implemented. linkLocation=https://en.wikipedia.org/wiki/Karen_Pirie, friendlyName=Open source</x:v>
      </x:c>
      <x:c r="AN520" s="14" t="str">
        <x:v>No qualifying BBC relationship</x:v>
      </x:c>
      <x:c r="AO520" s="14" t="str">
        <x:v>No</x:v>
      </x:c>
      <x:c r="AP520" s="14" t="str">
        <x:v>Out of scope</x:v>
      </x:c>
      <x:c r="AQ520" s="14" t="str">
        <x:v>No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6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1</x:v>
      </x:c>
      <x:c r="BS520" s="16" t="n">
        <x:v>0.16666666666666666</x:v>
      </x:c>
      <x:c r="BT520" s="14" t="str">
        <x:v>One episode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4" t="str">
        <x:v>HYPERLINK is not implemented. linkLocation=https://www.imdb.com/title/tt11725900/fullcredits/,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tt10405370|nm10354428|john tonkin</x:v>
      </x:c>
      <x:c r="B521" s="14" t="str">
        <x:v>04</x:v>
      </x:c>
      <x:c r="C521" s="14" t="str">
        <x:v>2022_IMDb_Cast_Lists_Batch_04(1).xlsx</x:v>
      </x:c>
      <x:c r="D521" s="14" t="str">
        <x:v>Rogue Heroes</x:v>
      </x:c>
      <x:c r="E521" s="14" t="n">
        <x:v>20</x:v>
      </x:c>
      <x:c r="F521" s="14" t="str">
        <x:v>Rogue Heroes</x:v>
      </x:c>
      <x:c r="G521" s="14" t="str">
        <x:v>tt10405370</x:v>
      </x:c>
      <x:c r="H521" s="14" t="n">
        <x:v>2022</x:v>
      </x:c>
      <x:c r="I521" s="14" t="n">
        <x:v>2025</x:v>
      </x:c>
      <x:c r="J521" s="14" t="str">
        <x:v>Earlier-Production Carry-In Cohort</x:v>
      </x:c>
      <x:c r="K521" s="14" t="n">
        <x:v>2022</x:v>
      </x:c>
      <x:c r="L521" s="14" t="str">
        <x:v>Used in 2025 annual analysis</x:v>
      </x:c>
      <x:c r="M521" s="15" t="n">
        <x:v>13</x:v>
      </x:c>
      <x:c r="N521" s="14" t="str">
        <x:v>Jack Barton</x:v>
      </x:c>
      <x:c r="O521" s="14" t="str">
        <x:v>nm10354428</x:v>
      </x:c>
      <x:c r="P521" s="14" t="str">
        <x:v>John Tonkin</x:v>
      </x:c>
      <x:c r="Q521" s="15" t="n">
        <x:v>7</x:v>
      </x:c>
      <x:c r="R521" s="14" t="str">
        <x:v>2025</x:v>
      </x:c>
      <x:c r="S521" s="14" t="n">
        <x:v>2025</x:v>
      </x:c>
      <x:c r="T521" s="14" t="n">
        <x:v>2025</x:v>
      </x:c>
      <x:c r="U521" s="14" t="str">
        <x:v>Explicit source first year retained</x:v>
      </x:c>
      <x:c r="V521" s="14" t="str">
        <x:v>Earliest supplied year is 2025.</x:v>
      </x:c>
      <x:c r="W521" s="14"/>
      <x:c r="X521" s="14" t="str">
        <x:v>Included</x:v>
      </x:c>
      <x:c r="Y521" s="14"/>
      <x:c r="Z521" s="14" t="str">
        <x:v>Rogue Heroes.docx</x:v>
      </x:c>
      <x:c r="AA521" s="14" t="str">
        <x:v>HYPERLINK is not implemented. linkLocation=https://www.imdb.com/title/tt10405370/fullcredits/,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HYPERLINK("https://en.wikipedia.org/wiki/Rogue_Heroes","Open source")</x:f>
        <x:v>HYPERLINK is not implemented. linkLocation=https://en.wikipedia.org/wiki/Rogue_Heroes,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13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7</x:v>
      </x:c>
      <x:c r="BS521" s="16" t="n">
        <x:v>0.5384615384615384</x:v>
      </x:c>
      <x:c r="BT521" s="14" t="str">
        <x:v>Majority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4" t="str">
        <x:v>HYPERLINK is not implemented. linkLocation=https://www.imdb.com/title/tt10405370/fullcredits/,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tt10405370|nm4495529|jock mcdiarmid</x:v>
      </x:c>
      <x:c r="B522" s="14" t="str">
        <x:v>04</x:v>
      </x:c>
      <x:c r="C522" s="14" t="str">
        <x:v>2022_IMDb_Cast_Lists_Batch_04(1).xlsx</x:v>
      </x:c>
      <x:c r="D522" s="14" t="str">
        <x:v>Rogue Heroes</x:v>
      </x:c>
      <x:c r="E522" s="14" t="n">
        <x:v>23</x:v>
      </x:c>
      <x:c r="F522" s="14" t="str">
        <x:v>Rogue Heroes</x:v>
      </x:c>
      <x:c r="G522" s="14" t="str">
        <x:v>tt10405370</x:v>
      </x:c>
      <x:c r="H522" s="14" t="n">
        <x:v>2022</x:v>
      </x:c>
      <x:c r="I522" s="14" t="n">
        <x:v>2025</x:v>
      </x:c>
      <x:c r="J522" s="14" t="str">
        <x:v>Earlier-Production Carry-In Cohort</x:v>
      </x:c>
      <x:c r="K522" s="14" t="n">
        <x:v>2022</x:v>
      </x:c>
      <x:c r="L522" s="14" t="str">
        <x:v>Used in 2025 annual analysis</x:v>
      </x:c>
      <x:c r="M522" s="15" t="n">
        <x:v>16</x:v>
      </x:c>
      <x:c r="N522" s="14" t="str">
        <x:v>Mark Rowley</x:v>
      </x:c>
      <x:c r="O522" s="14" t="str">
        <x:v>nm4495529</x:v>
      </x:c>
      <x:c r="P522" s="14" t="str">
        <x:v>Jock McDiarmid</x:v>
      </x:c>
      <x:c r="Q522" s="15" t="n">
        <x:v>6</x:v>
      </x:c>
      <x:c r="R522" s="14" t="str">
        <x:v>2025</x:v>
      </x:c>
      <x:c r="S522" s="14" t="n">
        <x:v>2025</x:v>
      </x:c>
      <x:c r="T522" s="14" t="n">
        <x:v>2025</x:v>
      </x:c>
      <x:c r="U522" s="14" t="str">
        <x:v>Explicit source first year retained</x:v>
      </x:c>
      <x:c r="V522" s="14" t="str">
        <x:v>Earliest supplied year is 2025.</x:v>
      </x:c>
      <x:c r="W522" s="14"/>
      <x:c r="X522" s="14" t="str">
        <x:v>Included</x:v>
      </x:c>
      <x:c r="Y522" s="14"/>
      <x:c r="Z522" s="14" t="str">
        <x:v>Rogue Heroes.docx</x:v>
      </x:c>
      <x:c r="AA522" s="14" t="str">
        <x:v>HYPERLINK is not implemented. linkLocation=https://www.imdb.com/title/tt10405370/fullcredits/,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HYPERLINK("https://en.wikipedia.org/wiki/Rogue_Heroes","Open source")</x:f>
        <x:v>HYPERLINK is not implemented. linkLocation=https://en.wikipedia.org/wiki/Rogue_Heroes,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13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6</x:v>
      </x:c>
      <x:c r="BS522" s="16" t="n">
        <x:v>0.46153846153846156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4" t="str">
        <x:v>HYPERLINK is not implemented. linkLocation=https://www.imdb.com/title/tt10405370/fullcredits/,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tt10405370|nm3152605|bill stirling</x:v>
      </x:c>
      <x:c r="B523" s="14" t="str">
        <x:v>04</x:v>
      </x:c>
      <x:c r="C523" s="14" t="str">
        <x:v>2022_IMDb_Cast_Lists_Batch_04(1).xlsx</x:v>
      </x:c>
      <x:c r="D523" s="14" t="str">
        <x:v>Rogue Heroes</x:v>
      </x:c>
      <x:c r="E523" s="14" t="n">
        <x:v>24</x:v>
      </x:c>
      <x:c r="F523" s="14" t="str">
        <x:v>Rogue Heroes</x:v>
      </x:c>
      <x:c r="G523" s="14" t="str">
        <x:v>tt10405370</x:v>
      </x:c>
      <x:c r="H523" s="14" t="n">
        <x:v>2022</x:v>
      </x:c>
      <x:c r="I523" s="14" t="n">
        <x:v>2025</x:v>
      </x:c>
      <x:c r="J523" s="14" t="str">
        <x:v>Earlier-Production Carry-In Cohort</x:v>
      </x:c>
      <x:c r="K523" s="14" t="n">
        <x:v>2022</x:v>
      </x:c>
      <x:c r="L523" s="14" t="str">
        <x:v>Used in 2025 annual analysis</x:v>
      </x:c>
      <x:c r="M523" s="15" t="n">
        <x:v>17</x:v>
      </x:c>
      <x:c r="N523" s="14" t="str">
        <x:v>Gwilym Lee</x:v>
      </x:c>
      <x:c r="O523" s="14" t="str">
        <x:v>nm3152605</x:v>
      </x:c>
      <x:c r="P523" s="14" t="str">
        <x:v>Bill Stirling</x:v>
      </x:c>
      <x:c r="Q523" s="15" t="n">
        <x:v>6</x:v>
      </x:c>
      <x:c r="R523" s="14" t="str">
        <x:v>2025</x:v>
      </x:c>
      <x:c r="S523" s="14" t="n">
        <x:v>2025</x:v>
      </x:c>
      <x:c r="T523" s="14" t="n">
        <x:v>2025</x:v>
      </x:c>
      <x:c r="U523" s="14" t="str">
        <x:v>Explicit source first year retained</x:v>
      </x:c>
      <x:c r="V523" s="14" t="str">
        <x:v>Earliest supplied year is 2025.</x:v>
      </x:c>
      <x:c r="W523" s="14"/>
      <x:c r="X523" s="14" t="str">
        <x:v>Included</x:v>
      </x:c>
      <x:c r="Y523" s="14"/>
      <x:c r="Z523" s="14" t="str">
        <x:v>Rogue Heroes.docx</x:v>
      </x:c>
      <x:c r="AA523" s="14" t="str">
        <x:v>HYPERLINK is not implemented. linkLocation=https://www.imdb.com/title/tt10405370/fullcredits/,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HYPERLINK("https://en.wikipedia.org/wiki/Rogue_Heroes","Open source")</x:f>
        <x:v>HYPERLINK is not implemented. linkLocation=https://en.wikipedia.org/wiki/Rogue_Heroes,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13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6</x:v>
      </x:c>
      <x:c r="BS523" s="16" t="n">
        <x:v>0.46153846153846156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4" t="str">
        <x:v>HYPERLINK is not implemented. linkLocation=https://www.imdb.com/title/tt10405370/fullcredits/,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tt10405370|nm9057632|alessia biondi</x:v>
      </x:c>
      <x:c r="B524" s="14" t="str">
        <x:v>04</x:v>
      </x:c>
      <x:c r="C524" s="14" t="str">
        <x:v>2022_IMDb_Cast_Lists_Batch_04(1).xlsx</x:v>
      </x:c>
      <x:c r="D524" s="14" t="str">
        <x:v>Rogue Heroes</x:v>
      </x:c>
      <x:c r="E524" s="14" t="n">
        <x:v>36</x:v>
      </x:c>
      <x:c r="F524" s="14" t="str">
        <x:v>Rogue Heroes</x:v>
      </x:c>
      <x:c r="G524" s="14" t="str">
        <x:v>tt10405370</x:v>
      </x:c>
      <x:c r="H524" s="14" t="n">
        <x:v>2022</x:v>
      </x:c>
      <x:c r="I524" s="14" t="n">
        <x:v>2025</x:v>
      </x:c>
      <x:c r="J524" s="14" t="str">
        <x:v>Earlier-Production Carry-In Cohort</x:v>
      </x:c>
      <x:c r="K524" s="14" t="n">
        <x:v>2022</x:v>
      </x:c>
      <x:c r="L524" s="14" t="str">
        <x:v>Used in 2025 annual analysis</x:v>
      </x:c>
      <x:c r="M524" s="15" t="n">
        <x:v>29</x:v>
      </x:c>
      <x:c r="N524" s="14" t="str">
        <x:v>Anna Manuelli</x:v>
      </x:c>
      <x:c r="O524" s="14" t="str">
        <x:v>nm9057632</x:v>
      </x:c>
      <x:c r="P524" s="14" t="str">
        <x:v>Alessia Biondi</x:v>
      </x:c>
      <x:c r="Q524" s="15" t="n">
        <x:v>4</x:v>
      </x:c>
      <x:c r="R524" s="14" t="str">
        <x:v>2025</x:v>
      </x:c>
      <x:c r="S524" s="14" t="n">
        <x:v>2025</x:v>
      </x:c>
      <x:c r="T524" s="14" t="n">
        <x:v>2025</x:v>
      </x:c>
      <x:c r="U524" s="14" t="str">
        <x:v>Explicit source first year retained</x:v>
      </x:c>
      <x:c r="V524" s="14" t="str">
        <x:v>Earliest supplied year is 2025.</x:v>
      </x:c>
      <x:c r="W524" s="14"/>
      <x:c r="X524" s="14" t="str">
        <x:v>Included</x:v>
      </x:c>
      <x:c r="Y524" s="14"/>
      <x:c r="Z524" s="14" t="str">
        <x:v>Rogue Heroes.docx</x:v>
      </x:c>
      <x:c r="AA524" s="14" t="str">
        <x:v>HYPERLINK is not implemented. linkLocation=https://www.imdb.com/title/tt10405370/fullcredits/,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HYPERLINK("https://en.wikipedia.org/wiki/Rogue_Heroes","Open source")</x:f>
        <x:v>HYPERLINK is not implemented. linkLocation=https://en.wikipedia.org/wiki/Rogue_Heroes,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13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4</x:v>
      </x:c>
      <x:c r="BS524" s="16" t="n">
        <x:v>0.3076923076923077</x:v>
      </x:c>
      <x:c r="BT524" s="14" t="str">
        <x:v>Minority of episodes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4" t="str">
        <x:v>HYPERLINK is not implemented. linkLocation=https://www.imdb.com/title/tt10405370/fullcredits/,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tt10405370|nm10953730|alfredo</x:v>
      </x:c>
      <x:c r="B525" s="14" t="str">
        <x:v>04</x:v>
      </x:c>
      <x:c r="C525" s="14" t="str">
        <x:v>2022_IMDb_Cast_Lists_Batch_04(1).xlsx</x:v>
      </x:c>
      <x:c r="D525" s="14" t="str">
        <x:v>Rogue Heroes</x:v>
      </x:c>
      <x:c r="E525" s="14" t="n">
        <x:v>37</x:v>
      </x:c>
      <x:c r="F525" s="14" t="str">
        <x:v>Rogue Heroes</x:v>
      </x:c>
      <x:c r="G525" s="14" t="str">
        <x:v>tt10405370</x:v>
      </x:c>
      <x:c r="H525" s="14" t="n">
        <x:v>2022</x:v>
      </x:c>
      <x:c r="I525" s="14" t="n">
        <x:v>2025</x:v>
      </x:c>
      <x:c r="J525" s="14" t="str">
        <x:v>Earlier-Production Carry-In Cohort</x:v>
      </x:c>
      <x:c r="K525" s="14" t="n">
        <x:v>2022</x:v>
      </x:c>
      <x:c r="L525" s="14" t="str">
        <x:v>Used in 2025 annual analysis</x:v>
      </x:c>
      <x:c r="M525" s="15" t="n">
        <x:v>30</x:v>
      </x:c>
      <x:c r="N525" s="14" t="str">
        <x:v>Matteo Franco</x:v>
      </x:c>
      <x:c r="O525" s="14" t="str">
        <x:v>nm10953730</x:v>
      </x:c>
      <x:c r="P525" s="14" t="str">
        <x:v>Alfredo</x:v>
      </x:c>
      <x:c r="Q525" s="15" t="n">
        <x:v>4</x:v>
      </x:c>
      <x:c r="R525" s="14" t="str">
        <x:v>2025</x:v>
      </x:c>
      <x:c r="S525" s="14" t="n">
        <x:v>2025</x:v>
      </x:c>
      <x:c r="T525" s="14" t="n">
        <x:v>2025</x:v>
      </x:c>
      <x:c r="U525" s="14" t="str">
        <x:v>Explicit source first year retained</x:v>
      </x:c>
      <x:c r="V525" s="14" t="str">
        <x:v>Earliest supplied year is 2025.</x:v>
      </x:c>
      <x:c r="W525" s="14"/>
      <x:c r="X525" s="14" t="str">
        <x:v>Included</x:v>
      </x:c>
      <x:c r="Y525" s="14"/>
      <x:c r="Z525" s="14" t="str">
        <x:v>Rogue Heroes.docx</x:v>
      </x:c>
      <x:c r="AA525" s="14" t="str">
        <x:v>HYPERLINK is not implemented. linkLocation=https://www.imdb.com/title/tt10405370/fullcredits/,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HYPERLINK("https://en.wikipedia.org/wiki/Rogue_Heroes","Open source")</x:f>
        <x:v>HYPERLINK is not implemented. linkLocation=https://en.wikipedia.org/wiki/Rogue_Heroes,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13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4</x:v>
      </x:c>
      <x:c r="BS525" s="16" t="n">
        <x:v>0.3076923076923077</x:v>
      </x:c>
      <x:c r="BT525" s="14" t="str">
        <x:v>Minority of episodes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4" t="str">
        <x:v>HYPERLINK is not implemented. linkLocation=https://www.imdb.com/title/tt10405370/fullcredits/,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tt10405370|nm6067112|anthony greville-bell</x:v>
      </x:c>
      <x:c r="B526" s="14" t="str">
        <x:v>04</x:v>
      </x:c>
      <x:c r="C526" s="14" t="str">
        <x:v>2022_IMDb_Cast_Lists_Batch_04(1).xlsx</x:v>
      </x:c>
      <x:c r="D526" s="14" t="str">
        <x:v>Rogue Heroes</x:v>
      </x:c>
      <x:c r="E526" s="14" t="n">
        <x:v>38</x:v>
      </x:c>
      <x:c r="F526" s="14" t="str">
        <x:v>Rogue Heroes</x:v>
      </x:c>
      <x:c r="G526" s="14" t="str">
        <x:v>tt10405370</x:v>
      </x:c>
      <x:c r="H526" s="14" t="n">
        <x:v>2022</x:v>
      </x:c>
      <x:c r="I526" s="14" t="n">
        <x:v>2025</x:v>
      </x:c>
      <x:c r="J526" s="14" t="str">
        <x:v>Earlier-Production Carry-In Cohort</x:v>
      </x:c>
      <x:c r="K526" s="14" t="n">
        <x:v>2022</x:v>
      </x:c>
      <x:c r="L526" s="14" t="str">
        <x:v>Used in 2025 annual analysis</x:v>
      </x:c>
      <x:c r="M526" s="15" t="n">
        <x:v>31</x:v>
      </x:c>
      <x:c r="N526" s="14" t="str">
        <x:v>Stuart Thompson</x:v>
      </x:c>
      <x:c r="O526" s="14" t="str">
        <x:v>nm6067112</x:v>
      </x:c>
      <x:c r="P526" s="14" t="str">
        <x:v>Anthony Greville-Bell</x:v>
      </x:c>
      <x:c r="Q526" s="15" t="n">
        <x:v>4</x:v>
      </x:c>
      <x:c r="R526" s="14" t="str">
        <x:v>2025</x:v>
      </x:c>
      <x:c r="S526" s="14" t="n">
        <x:v>2025</x:v>
      </x:c>
      <x:c r="T526" s="14" t="n">
        <x:v>2025</x:v>
      </x:c>
      <x:c r="U526" s="14" t="str">
        <x:v>Explicit source first year retained</x:v>
      </x:c>
      <x:c r="V526" s="14" t="str">
        <x:v>Earliest supplied year is 2025.</x:v>
      </x:c>
      <x:c r="W526" s="14"/>
      <x:c r="X526" s="14" t="str">
        <x:v>Included</x:v>
      </x:c>
      <x:c r="Y526" s="14"/>
      <x:c r="Z526" s="14" t="str">
        <x:v>Rogue Heroes.docx</x:v>
      </x:c>
      <x:c r="AA526" s="14" t="str">
        <x:v>HYPERLINK is not implemented. linkLocation=https://www.imdb.com/title/tt10405370/fullcredits/,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HYPERLINK("https://en.wikipedia.org/wiki/Rogue_Heroes","Open source")</x:f>
        <x:v>HYPERLINK is not implemented. linkLocation=https://en.wikipedia.org/wiki/Rogue_Heroes,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13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4</x:v>
      </x:c>
      <x:c r="BS526" s="16" t="n">
        <x:v>0.3076923076923077</x:v>
      </x:c>
      <x:c r="BT526" s="14" t="str">
        <x:v>Minority of episodes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4" t="str">
        <x:v>HYPERLINK is not implemented. linkLocation=https://www.imdb.com/title/tt10405370/fullcredits/,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tt10405370|nm3313605|cram</x:v>
      </x:c>
      <x:c r="B527" s="14" t="str">
        <x:v>04</x:v>
      </x:c>
      <x:c r="C527" s="14" t="str">
        <x:v>2022_IMDb_Cast_Lists_Batch_04(1).xlsx</x:v>
      </x:c>
      <x:c r="D527" s="14" t="str">
        <x:v>Rogue Heroes</x:v>
      </x:c>
      <x:c r="E527" s="14" t="n">
        <x:v>39</x:v>
      </x:c>
      <x:c r="F527" s="14" t="str">
        <x:v>Rogue Heroes</x:v>
      </x:c>
      <x:c r="G527" s="14" t="str">
        <x:v>tt10405370</x:v>
      </x:c>
      <x:c r="H527" s="14" t="n">
        <x:v>2022</x:v>
      </x:c>
      <x:c r="I527" s="14" t="n">
        <x:v>2025</x:v>
      </x:c>
      <x:c r="J527" s="14" t="str">
        <x:v>Earlier-Production Carry-In Cohort</x:v>
      </x:c>
      <x:c r="K527" s="14" t="n">
        <x:v>2022</x:v>
      </x:c>
      <x:c r="L527" s="14" t="str">
        <x:v>Used in 2025 annual analysis</x:v>
      </x:c>
      <x:c r="M527" s="15" t="n">
        <x:v>32</x:v>
      </x:c>
      <x:c r="N527" s="14" t="str">
        <x:v>Sandy Batchelor</x:v>
      </x:c>
      <x:c r="O527" s="14" t="str">
        <x:v>nm3313605</x:v>
      </x:c>
      <x:c r="P527" s="14" t="str">
        <x:v>Cram</x:v>
      </x:c>
      <x:c r="Q527" s="15" t="n">
        <x:v>3</x:v>
      </x:c>
      <x:c r="R527" s="14" t="str">
        <x:v>2025</x:v>
      </x:c>
      <x:c r="S527" s="14" t="n">
        <x:v>2025</x:v>
      </x:c>
      <x:c r="T527" s="14" t="n">
        <x:v>2025</x:v>
      </x:c>
      <x:c r="U527" s="14" t="str">
        <x:v>Explicit source first year retained</x:v>
      </x:c>
      <x:c r="V527" s="14" t="str">
        <x:v>Earliest supplied year is 2025.</x:v>
      </x:c>
      <x:c r="W527" s="14"/>
      <x:c r="X527" s="14" t="str">
        <x:v>Included</x:v>
      </x:c>
      <x:c r="Y527" s="14"/>
      <x:c r="Z527" s="14" t="str">
        <x:v>Rogue Heroes.docx</x:v>
      </x:c>
      <x:c r="AA527" s="14" t="str">
        <x:v>HYPERLINK is not implemented. linkLocation=https://www.imdb.com/title/tt10405370/fullcredits/,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HYPERLINK("https://en.wikipedia.org/wiki/Rogue_Heroes","Open source")</x:f>
        <x:v>HYPERLINK is not implemented. linkLocation=https://en.wikipedia.org/wiki/Rogue_Heroes,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13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3</x:v>
      </x:c>
      <x:c r="BS527" s="16" t="n">
        <x:v>0.23076923076923078</x:v>
      </x:c>
      <x:c r="BT527" s="14" t="str">
        <x:v>Minority of episodes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4" t="str">
        <x:v>HYPERLINK is not implemented. linkLocation=https://www.imdb.com/title/tt10405370/fullcredits/,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tt10405370|nm11472709|matteo amato</x:v>
      </x:c>
      <x:c r="B528" s="14" t="str">
        <x:v>04</x:v>
      </x:c>
      <x:c r="C528" s="14" t="str">
        <x:v>2022_IMDb_Cast_Lists_Batch_04(1).xlsx</x:v>
      </x:c>
      <x:c r="D528" s="14" t="str">
        <x:v>Rogue Heroes</x:v>
      </x:c>
      <x:c r="E528" s="14" t="n">
        <x:v>47</x:v>
      </x:c>
      <x:c r="F528" s="14" t="str">
        <x:v>Rogue Heroes</x:v>
      </x:c>
      <x:c r="G528" s="14" t="str">
        <x:v>tt10405370</x:v>
      </x:c>
      <x:c r="H528" s="14" t="n">
        <x:v>2022</x:v>
      </x:c>
      <x:c r="I528" s="14" t="n">
        <x:v>2025</x:v>
      </x:c>
      <x:c r="J528" s="14" t="str">
        <x:v>Earlier-Production Carry-In Cohort</x:v>
      </x:c>
      <x:c r="K528" s="14" t="n">
        <x:v>2022</x:v>
      </x:c>
      <x:c r="L528" s="14" t="str">
        <x:v>Used in 2025 annual analysis</x:v>
      </x:c>
      <x:c r="M528" s="15" t="n">
        <x:v>40</x:v>
      </x:c>
      <x:c r="N528" s="14" t="str">
        <x:v>Luca Morello</x:v>
      </x:c>
      <x:c r="O528" s="14" t="str">
        <x:v>nm11472709</x:v>
      </x:c>
      <x:c r="P528" s="14" t="str">
        <x:v>Matteo Amato</x:v>
      </x:c>
      <x:c r="Q528" s="15" t="n">
        <x:v>2</x:v>
      </x:c>
      <x:c r="R528" s="14" t="str">
        <x:v>2025</x:v>
      </x:c>
      <x:c r="S528" s="14" t="n">
        <x:v>2025</x:v>
      </x:c>
      <x:c r="T528" s="14" t="n">
        <x:v>2025</x:v>
      </x:c>
      <x:c r="U528" s="14" t="str">
        <x:v>Explicit source first year retained</x:v>
      </x:c>
      <x:c r="V528" s="14" t="str">
        <x:v>Earliest supplied year is 2025.</x:v>
      </x:c>
      <x:c r="W528" s="14"/>
      <x:c r="X528" s="14" t="str">
        <x:v>Included</x:v>
      </x:c>
      <x:c r="Y528" s="14"/>
      <x:c r="Z528" s="14" t="str">
        <x:v>Rogue Heroes.docx</x:v>
      </x:c>
      <x:c r="AA528" s="14" t="str">
        <x:v>HYPERLINK is not implemented. linkLocation=https://www.imdb.com/title/tt10405370/fullcredits/,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HYPERLINK("https://en.wikipedia.org/wiki/Rogue_Heroes","Open source")</x:f>
        <x:v>HYPERLINK is not implemented. linkLocation=https://en.wikipedia.org/wiki/Rogue_Heroes,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13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2</x:v>
      </x:c>
      <x:c r="BS528" s="16" t="n">
        <x:v>0.15384615384615385</x:v>
      </x:c>
      <x:c r="BT528" s="14" t="str">
        <x:v>Minority of episodes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4" t="str">
        <x:v>HYPERLINK is not implemented. linkLocation=https://www.imdb.com/title/tt10405370/fullcredits/,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tt10405370|nm0642126|general montgomery</x:v>
      </x:c>
      <x:c r="B529" s="14" t="str">
        <x:v>04</x:v>
      </x:c>
      <x:c r="C529" s="14" t="str">
        <x:v>2022_IMDb_Cast_Lists_Batch_04(1).xlsx</x:v>
      </x:c>
      <x:c r="D529" s="14" t="str">
        <x:v>Rogue Heroes</x:v>
      </x:c>
      <x:c r="E529" s="14" t="n">
        <x:v>51</x:v>
      </x:c>
      <x:c r="F529" s="14" t="str">
        <x:v>Rogue Heroes</x:v>
      </x:c>
      <x:c r="G529" s="14" t="str">
        <x:v>tt10405370</x:v>
      </x:c>
      <x:c r="H529" s="14" t="n">
        <x:v>2022</x:v>
      </x:c>
      <x:c r="I529" s="14" t="n">
        <x:v>2025</x:v>
      </x:c>
      <x:c r="J529" s="14" t="str">
        <x:v>Earlier-Production Carry-In Cohort</x:v>
      </x:c>
      <x:c r="K529" s="14" t="n">
        <x:v>2022</x:v>
      </x:c>
      <x:c r="L529" s="14" t="str">
        <x:v>Used in 2025 annual analysis</x:v>
      </x:c>
      <x:c r="M529" s="15" t="n">
        <x:v>44</x:v>
      </x:c>
      <x:c r="N529" s="14" t="str">
        <x:v>Con O'Neill</x:v>
      </x:c>
      <x:c r="O529" s="14" t="str">
        <x:v>nm0642126</x:v>
      </x:c>
      <x:c r="P529" s="14" t="str">
        <x:v>General Montgomery</x:v>
      </x:c>
      <x:c r="Q529" s="15" t="n">
        <x:v>2</x:v>
      </x:c>
      <x:c r="R529" s="14" t="str">
        <x:v>2025</x:v>
      </x:c>
      <x:c r="S529" s="14" t="n">
        <x:v>2025</x:v>
      </x:c>
      <x:c r="T529" s="14" t="n">
        <x:v>2025</x:v>
      </x:c>
      <x:c r="U529" s="14" t="str">
        <x:v>Explicit source first year retained</x:v>
      </x:c>
      <x:c r="V529" s="14" t="str">
        <x:v>Earliest supplied year is 2025.</x:v>
      </x:c>
      <x:c r="W529" s="14"/>
      <x:c r="X529" s="14" t="str">
        <x:v>Included</x:v>
      </x:c>
      <x:c r="Y529" s="14"/>
      <x:c r="Z529" s="14" t="str">
        <x:v>Rogue Heroes.docx</x:v>
      </x:c>
      <x:c r="AA529" s="14" t="str">
        <x:v>HYPERLINK is not implemented. linkLocation=https://www.imdb.com/title/tt10405370/fullcredits/,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HYPERLINK("https://en.wikipedia.org/wiki/Rogue_Heroes","Open source")</x:f>
        <x:v>HYPERLINK is not implemented. linkLocation=https://en.wikipedia.org/wiki/Rogue_Heroes,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13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2</x:v>
      </x:c>
      <x:c r="BS529" s="16" t="n">
        <x:v>0.15384615384615385</x:v>
      </x:c>
      <x:c r="BT529" s="14" t="str">
        <x:v>Minority of episodes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4" t="str">
        <x:v>HYPERLINK is not implemented. linkLocation=https://www.imdb.com/title/tt10405370/fullcredits/,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tt10405370|nm4586910|jack pringle</x:v>
      </x:c>
      <x:c r="B530" s="14" t="str">
        <x:v>04</x:v>
      </x:c>
      <x:c r="C530" s="14" t="str">
        <x:v>2022_IMDb_Cast_Lists_Batch_04(1).xlsx</x:v>
      </x:c>
      <x:c r="D530" s="14" t="str">
        <x:v>Rogue Heroes</x:v>
      </x:c>
      <x:c r="E530" s="14" t="n">
        <x:v>52</x:v>
      </x:c>
      <x:c r="F530" s="14" t="str">
        <x:v>Rogue Heroes</x:v>
      </x:c>
      <x:c r="G530" s="14" t="str">
        <x:v>tt10405370</x:v>
      </x:c>
      <x:c r="H530" s="14" t="n">
        <x:v>2022</x:v>
      </x:c>
      <x:c r="I530" s="14" t="n">
        <x:v>2025</x:v>
      </x:c>
      <x:c r="J530" s="14" t="str">
        <x:v>Earlier-Production Carry-In Cohort</x:v>
      </x:c>
      <x:c r="K530" s="14" t="n">
        <x:v>2022</x:v>
      </x:c>
      <x:c r="L530" s="14" t="str">
        <x:v>Used in 2025 annual analysis</x:v>
      </x:c>
      <x:c r="M530" s="15" t="n">
        <x:v>45</x:v>
      </x:c>
      <x:c r="N530" s="14" t="str">
        <x:v>Oliver Bennett</x:v>
      </x:c>
      <x:c r="O530" s="14" t="str">
        <x:v>nm4586910</x:v>
      </x:c>
      <x:c r="P530" s="14" t="str">
        <x:v>Jack Pringle</x:v>
      </x:c>
      <x:c r="Q530" s="15" t="n">
        <x:v>2</x:v>
      </x:c>
      <x:c r="R530" s="14" t="str">
        <x:v>2025</x:v>
      </x:c>
      <x:c r="S530" s="14" t="n">
        <x:v>2025</x:v>
      </x:c>
      <x:c r="T530" s="14" t="n">
        <x:v>2025</x:v>
      </x:c>
      <x:c r="U530" s="14" t="str">
        <x:v>Explicit source first year retained</x:v>
      </x:c>
      <x:c r="V530" s="14" t="str">
        <x:v>Earliest supplied year is 2025.</x:v>
      </x:c>
      <x:c r="W530" s="14"/>
      <x:c r="X530" s="14" t="str">
        <x:v>Included</x:v>
      </x:c>
      <x:c r="Y530" s="14"/>
      <x:c r="Z530" s="14" t="str">
        <x:v>Rogue Heroes.docx</x:v>
      </x:c>
      <x:c r="AA530" s="14" t="str">
        <x:v>HYPERLINK is not implemented. linkLocation=https://www.imdb.com/title/tt10405370/fullcredits/,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HYPERLINK("https://en.wikipedia.org/wiki/Rogue_Heroes","Open source")</x:f>
        <x:v>HYPERLINK is not implemented. linkLocation=https://en.wikipedia.org/wiki/Rogue_Heroes,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13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2</x:v>
      </x:c>
      <x:c r="BS530" s="16" t="n">
        <x:v>0.15384615384615385</x:v>
      </x:c>
      <x:c r="BT530" s="14" t="str">
        <x:v>Minority of episodes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4" t="str">
        <x:v>HYPERLINK is not implemented. linkLocation=https://www.imdb.com/title/tt10405370/fullcredits/,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tt10405370|nm2527209|lt. general dempsey</x:v>
      </x:c>
      <x:c r="B531" s="14" t="str">
        <x:v>04</x:v>
      </x:c>
      <x:c r="C531" s="14" t="str">
        <x:v>2022_IMDb_Cast_Lists_Batch_04(1).xlsx</x:v>
      </x:c>
      <x:c r="D531" s="14" t="str">
        <x:v>Rogue Heroes</x:v>
      </x:c>
      <x:c r="E531" s="14" t="n">
        <x:v>53</x:v>
      </x:c>
      <x:c r="F531" s="14" t="str">
        <x:v>Rogue Heroes</x:v>
      </x:c>
      <x:c r="G531" s="14" t="str">
        <x:v>tt10405370</x:v>
      </x:c>
      <x:c r="H531" s="14" t="n">
        <x:v>2022</x:v>
      </x:c>
      <x:c r="I531" s="14" t="n">
        <x:v>2025</x:v>
      </x:c>
      <x:c r="J531" s="14" t="str">
        <x:v>Earlier-Production Carry-In Cohort</x:v>
      </x:c>
      <x:c r="K531" s="14" t="n">
        <x:v>2022</x:v>
      </x:c>
      <x:c r="L531" s="14" t="str">
        <x:v>Used in 2025 annual analysis</x:v>
      </x:c>
      <x:c r="M531" s="15" t="n">
        <x:v>46</x:v>
      </x:c>
      <x:c r="N531" s="14" t="str">
        <x:v>Edward Bennett</x:v>
      </x:c>
      <x:c r="O531" s="14" t="str">
        <x:v>nm2527209</x:v>
      </x:c>
      <x:c r="P531" s="14" t="str">
        <x:v>Lt. General Dempsey</x:v>
      </x:c>
      <x:c r="Q531" s="15" t="n">
        <x:v>2</x:v>
      </x:c>
      <x:c r="R531" s="14" t="str">
        <x:v>2025</x:v>
      </x:c>
      <x:c r="S531" s="14" t="n">
        <x:v>2025</x:v>
      </x:c>
      <x:c r="T531" s="14" t="n">
        <x:v>2025</x:v>
      </x:c>
      <x:c r="U531" s="14" t="str">
        <x:v>Explicit source first year retained</x:v>
      </x:c>
      <x:c r="V531" s="14" t="str">
        <x:v>Earliest supplied year is 2025.</x:v>
      </x:c>
      <x:c r="W531" s="14"/>
      <x:c r="X531" s="14" t="str">
        <x:v>Included</x:v>
      </x:c>
      <x:c r="Y531" s="14"/>
      <x:c r="Z531" s="14" t="str">
        <x:v>Rogue Heroes.docx</x:v>
      </x:c>
      <x:c r="AA531" s="14" t="str">
        <x:v>HYPERLINK is not implemented. linkLocation=https://www.imdb.com/title/tt10405370/fullcredits/,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HYPERLINK("https://en.wikipedia.org/wiki/Rogue_Heroes","Open source")</x:f>
        <x:v>HYPERLINK is not implemented. linkLocation=https://en.wikipedia.org/wiki/Rogue_Heroes,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13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2</x:v>
      </x:c>
      <x:c r="BS531" s="16" t="n">
        <x:v>0.15384615384615385</x:v>
      </x:c>
      <x:c r="BT531" s="14" t="str">
        <x:v>Minority of episodes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4" t="str">
        <x:v>HYPERLINK is not implemented. linkLocation=https://www.imdb.com/title/tt10405370/fullcredits/,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tt10405370|nm7717620|reich chancellery secretary</x:v>
      </x:c>
      <x:c r="B532" s="14" t="str">
        <x:v>04</x:v>
      </x:c>
      <x:c r="C532" s="14" t="str">
        <x:v>2022_IMDb_Cast_Lists_Batch_04(1).xlsx</x:v>
      </x:c>
      <x:c r="D532" s="14" t="str">
        <x:v>Rogue Heroes</x:v>
      </x:c>
      <x:c r="E532" s="14" t="n">
        <x:v>54</x:v>
      </x:c>
      <x:c r="F532" s="14" t="str">
        <x:v>Rogue Heroes</x:v>
      </x:c>
      <x:c r="G532" s="14" t="str">
        <x:v>tt10405370</x:v>
      </x:c>
      <x:c r="H532" s="14" t="n">
        <x:v>2022</x:v>
      </x:c>
      <x:c r="I532" s="14" t="n">
        <x:v>2025</x:v>
      </x:c>
      <x:c r="J532" s="14" t="str">
        <x:v>Earlier-Production Carry-In Cohort</x:v>
      </x:c>
      <x:c r="K532" s="14" t="n">
        <x:v>2022</x:v>
      </x:c>
      <x:c r="L532" s="14" t="str">
        <x:v>Used in 2025 annual analysis</x:v>
      </x:c>
      <x:c r="M532" s="15" t="n">
        <x:v>47</x:v>
      </x:c>
      <x:c r="N532" s="14" t="str">
        <x:v>Rebecca Dyson-Smith</x:v>
      </x:c>
      <x:c r="O532" s="14" t="str">
        <x:v>nm7717620</x:v>
      </x:c>
      <x:c r="P532" s="14" t="str">
        <x:v>Reich Chancellery Secretary</x:v>
      </x:c>
      <x:c r="Q532" s="15" t="n">
        <x:v>1</x:v>
      </x:c>
      <x:c r="R532" s="14" t="str">
        <x:v>2025</x:v>
      </x:c>
      <x:c r="S532" s="14" t="n">
        <x:v>2025</x:v>
      </x:c>
      <x:c r="T532" s="14" t="n">
        <x:v>2025</x:v>
      </x:c>
      <x:c r="U532" s="14" t="str">
        <x:v>Explicit source first year retained</x:v>
      </x:c>
      <x:c r="V532" s="14" t="str">
        <x:v>Earliest supplied year is 2025.</x:v>
      </x:c>
      <x:c r="W532" s="14"/>
      <x:c r="X532" s="14" t="str">
        <x:v>Included</x:v>
      </x:c>
      <x:c r="Y532" s="14"/>
      <x:c r="Z532" s="14" t="str">
        <x:v>Rogue Heroes.docx</x:v>
      </x:c>
      <x:c r="AA532" s="14" t="str">
        <x:v>HYPERLINK is not implemented. linkLocation=https://www.imdb.com/title/tt10405370/fullcredits/,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HYPERLINK("https://en.wikipedia.org/wiki/Rogue_Heroes","Open source")</x:f>
        <x:v>HYPERLINK is not implemented. linkLocation=https://en.wikipedia.org/wiki/Rogue_Heroes,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13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0.07692307692307693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4" t="str">
        <x:v>HYPERLINK is not implemented. linkLocation=https://www.imdb.com/title/tt10405370/fullcredits/,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tt10405370|nm10431507|reich chancellery officer</x:v>
      </x:c>
      <x:c r="B533" s="14" t="str">
        <x:v>04</x:v>
      </x:c>
      <x:c r="C533" s="14" t="str">
        <x:v>2022_IMDb_Cast_Lists_Batch_04(1).xlsx</x:v>
      </x:c>
      <x:c r="D533" s="14" t="str">
        <x:v>Rogue Heroes</x:v>
      </x:c>
      <x:c r="E533" s="14" t="n">
        <x:v>56</x:v>
      </x:c>
      <x:c r="F533" s="14" t="str">
        <x:v>Rogue Heroes</x:v>
      </x:c>
      <x:c r="G533" s="14" t="str">
        <x:v>tt10405370</x:v>
      </x:c>
      <x:c r="H533" s="14" t="n">
        <x:v>2022</x:v>
      </x:c>
      <x:c r="I533" s="14" t="n">
        <x:v>2025</x:v>
      </x:c>
      <x:c r="J533" s="14" t="str">
        <x:v>Earlier-Production Carry-In Cohort</x:v>
      </x:c>
      <x:c r="K533" s="14" t="n">
        <x:v>2022</x:v>
      </x:c>
      <x:c r="L533" s="14" t="str">
        <x:v>Used in 2025 annual analysis</x:v>
      </x:c>
      <x:c r="M533" s="15" t="n">
        <x:v>49</x:v>
      </x:c>
      <x:c r="N533" s="14" t="str">
        <x:v>Max Themak</x:v>
      </x:c>
      <x:c r="O533" s="14" t="str">
        <x:v>nm10431507</x:v>
      </x:c>
      <x:c r="P533" s="14" t="str">
        <x:v>Reich Chancellery Officer</x:v>
      </x:c>
      <x:c r="Q533" s="15" t="n">
        <x:v>1</x:v>
      </x:c>
      <x:c r="R533" s="14" t="str">
        <x:v>2025</x:v>
      </x:c>
      <x:c r="S533" s="14" t="n">
        <x:v>2025</x:v>
      </x:c>
      <x:c r="T533" s="14" t="n">
        <x:v>2025</x:v>
      </x:c>
      <x:c r="U533" s="14" t="str">
        <x:v>Explicit source first year retained</x:v>
      </x:c>
      <x:c r="V533" s="14" t="str">
        <x:v>Earliest supplied year is 2025.</x:v>
      </x:c>
      <x:c r="W533" s="14"/>
      <x:c r="X533" s="14" t="str">
        <x:v>Included</x:v>
      </x:c>
      <x:c r="Y533" s="14"/>
      <x:c r="Z533" s="14" t="str">
        <x:v>Rogue Heroes.docx</x:v>
      </x:c>
      <x:c r="AA533" s="14" t="str">
        <x:v>HYPERLINK is not implemented. linkLocation=https://www.imdb.com/title/tt10405370/fullcredits/,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HYPERLINK("https://en.wikipedia.org/wiki/Rogue_Heroes","Open source")</x:f>
        <x:v>HYPERLINK is not implemented. linkLocation=https://en.wikipedia.org/wiki/Rogue_Heroes,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13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0.07692307692307693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4" t="str">
        <x:v>HYPERLINK is not implemented. linkLocation=https://www.imdb.com/title/tt10405370/fullcredits/,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tt10405370|nm8284947|anxious german soldier</x:v>
      </x:c>
      <x:c r="B534" s="14" t="str">
        <x:v>04</x:v>
      </x:c>
      <x:c r="C534" s="14" t="str">
        <x:v>2022_IMDb_Cast_Lists_Batch_04(1).xlsx</x:v>
      </x:c>
      <x:c r="D534" s="14" t="str">
        <x:v>Rogue Heroes</x:v>
      </x:c>
      <x:c r="E534" s="14" t="n">
        <x:v>57</x:v>
      </x:c>
      <x:c r="F534" s="14" t="str">
        <x:v>Rogue Heroes</x:v>
      </x:c>
      <x:c r="G534" s="14" t="str">
        <x:v>tt10405370</x:v>
      </x:c>
      <x:c r="H534" s="14" t="n">
        <x:v>2022</x:v>
      </x:c>
      <x:c r="I534" s="14" t="n">
        <x:v>2025</x:v>
      </x:c>
      <x:c r="J534" s="14" t="str">
        <x:v>Earlier-Production Carry-In Cohort</x:v>
      </x:c>
      <x:c r="K534" s="14" t="n">
        <x:v>2022</x:v>
      </x:c>
      <x:c r="L534" s="14" t="str">
        <x:v>Used in 2025 annual analysis</x:v>
      </x:c>
      <x:c r="M534" s="15" t="n">
        <x:v>50</x:v>
      </x:c>
      <x:c r="N534" s="14" t="str">
        <x:v>Moritz Bäckerling</x:v>
      </x:c>
      <x:c r="O534" s="14" t="str">
        <x:v>nm8284947</x:v>
      </x:c>
      <x:c r="P534" s="14" t="str">
        <x:v>Anxious German Soldier</x:v>
      </x:c>
      <x:c r="Q534" s="15" t="n">
        <x:v>1</x:v>
      </x:c>
      <x:c r="R534" s="14" t="str">
        <x:v>2025</x:v>
      </x:c>
      <x:c r="S534" s="14" t="n">
        <x:v>2025</x:v>
      </x:c>
      <x:c r="T534" s="14" t="n">
        <x:v>2025</x:v>
      </x:c>
      <x:c r="U534" s="14" t="str">
        <x:v>Explicit source first year retained</x:v>
      </x:c>
      <x:c r="V534" s="14" t="str">
        <x:v>Earliest supplied year is 2025.</x:v>
      </x:c>
      <x:c r="W534" s="14"/>
      <x:c r="X534" s="14" t="str">
        <x:v>Included</x:v>
      </x:c>
      <x:c r="Y534" s="14"/>
      <x:c r="Z534" s="14" t="str">
        <x:v>Rogue Heroes.docx</x:v>
      </x:c>
      <x:c r="AA534" s="14" t="str">
        <x:v>HYPERLINK is not implemented. linkLocation=https://www.imdb.com/title/tt10405370/fullcredits/,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HYPERLINK("https://en.wikipedia.org/wiki/Rogue_Heroes","Open source")</x:f>
        <x:v>HYPERLINK is not implemented. linkLocation=https://en.wikipedia.org/wiki/Rogue_Heroes,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13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0.07692307692307693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4" t="str">
        <x:v>HYPERLINK is not implemented. linkLocation=https://www.imdb.com/title/tt10405370/fullcredits/,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tt10405370|nm4858070|firing squad officer</x:v>
      </x:c>
      <x:c r="B535" s="14" t="str">
        <x:v>04</x:v>
      </x:c>
      <x:c r="C535" s="14" t="str">
        <x:v>2022_IMDb_Cast_Lists_Batch_04(1).xlsx</x:v>
      </x:c>
      <x:c r="D535" s="14" t="str">
        <x:v>Rogue Heroes</x:v>
      </x:c>
      <x:c r="E535" s="14" t="n">
        <x:v>61</x:v>
      </x:c>
      <x:c r="F535" s="14" t="str">
        <x:v>Rogue Heroes</x:v>
      </x:c>
      <x:c r="G535" s="14" t="str">
        <x:v>tt10405370</x:v>
      </x:c>
      <x:c r="H535" s="14" t="n">
        <x:v>2022</x:v>
      </x:c>
      <x:c r="I535" s="14" t="n">
        <x:v>2025</x:v>
      </x:c>
      <x:c r="J535" s="14" t="str">
        <x:v>Earlier-Production Carry-In Cohort</x:v>
      </x:c>
      <x:c r="K535" s="14" t="n">
        <x:v>2022</x:v>
      </x:c>
      <x:c r="L535" s="14" t="str">
        <x:v>Used in 2025 annual analysis</x:v>
      </x:c>
      <x:c r="M535" s="15" t="n">
        <x:v>54</x:v>
      </x:c>
      <x:c r="N535" s="14" t="str">
        <x:v>Igor Pecenjev</x:v>
      </x:c>
      <x:c r="O535" s="14" t="str">
        <x:v>nm4858070</x:v>
      </x:c>
      <x:c r="P535" s="14" t="str">
        <x:v>Firing Squad Officer</x:v>
      </x:c>
      <x:c r="Q535" s="15" t="n">
        <x:v>1</x:v>
      </x:c>
      <x:c r="R535" s="14" t="str">
        <x:v>2025</x:v>
      </x:c>
      <x:c r="S535" s="14" t="n">
        <x:v>2025</x:v>
      </x:c>
      <x:c r="T535" s="14" t="n">
        <x:v>2025</x:v>
      </x:c>
      <x:c r="U535" s="14" t="str">
        <x:v>Explicit source first year retained</x:v>
      </x:c>
      <x:c r="V535" s="14" t="str">
        <x:v>Earliest supplied year is 2025.</x:v>
      </x:c>
      <x:c r="W535" s="14"/>
      <x:c r="X535" s="14" t="str">
        <x:v>Included</x:v>
      </x:c>
      <x:c r="Y535" s="14" t="str">
        <x:v>(as Igor Pečenjev)</x:v>
      </x:c>
      <x:c r="Z535" s="14" t="str">
        <x:v>Rogue Heroes.docx</x:v>
      </x:c>
      <x:c r="AA535" s="14" t="str">
        <x:v>HYPERLINK is not implemented. linkLocation=https://www.imdb.com/title/tt10405370/fullcredits/,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HYPERLINK("https://en.wikipedia.org/wiki/Rogue_Heroes","Open source")</x:f>
        <x:v>HYPERLINK is not implemented. linkLocation=https://en.wikipedia.org/wiki/Rogue_Heroes,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13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0.07692307692307693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4" t="str">
        <x:v>HYPERLINK is not implemented. linkLocation=https://www.imdb.com/title/tt10405370/fullcredits/,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tt10405370|nm16914430|jetty officer</x:v>
      </x:c>
      <x:c r="B536" s="14" t="str">
        <x:v>04</x:v>
      </x:c>
      <x:c r="C536" s="14" t="str">
        <x:v>2022_IMDb_Cast_Lists_Batch_04(1).xlsx</x:v>
      </x:c>
      <x:c r="D536" s="14" t="str">
        <x:v>Rogue Heroes</x:v>
      </x:c>
      <x:c r="E536" s="14" t="n">
        <x:v>62</x:v>
      </x:c>
      <x:c r="F536" s="14" t="str">
        <x:v>Rogue Heroes</x:v>
      </x:c>
      <x:c r="G536" s="14" t="str">
        <x:v>tt10405370</x:v>
      </x:c>
      <x:c r="H536" s="14" t="n">
        <x:v>2022</x:v>
      </x:c>
      <x:c r="I536" s="14" t="n">
        <x:v>2025</x:v>
      </x:c>
      <x:c r="J536" s="14" t="str">
        <x:v>Earlier-Production Carry-In Cohort</x:v>
      </x:c>
      <x:c r="K536" s="14" t="n">
        <x:v>2022</x:v>
      </x:c>
      <x:c r="L536" s="14" t="str">
        <x:v>Used in 2025 annual analysis</x:v>
      </x:c>
      <x:c r="M536" s="15" t="n">
        <x:v>55</x:v>
      </x:c>
      <x:c r="N536" s="14" t="str">
        <x:v>Jan Novosel</x:v>
      </x:c>
      <x:c r="O536" s="14" t="str">
        <x:v>nm16914430</x:v>
      </x:c>
      <x:c r="P536" s="14" t="str">
        <x:v>Jetty Officer</x:v>
      </x:c>
      <x:c r="Q536" s="15" t="n">
        <x:v>1</x:v>
      </x:c>
      <x:c r="R536" s="14" t="str">
        <x:v>2025</x:v>
      </x:c>
      <x:c r="S536" s="14" t="n">
        <x:v>2025</x:v>
      </x:c>
      <x:c r="T536" s="14" t="n">
        <x:v>2025</x:v>
      </x:c>
      <x:c r="U536" s="14" t="str">
        <x:v>Explicit source first year retained</x:v>
      </x:c>
      <x:c r="V536" s="14" t="str">
        <x:v>Earliest supplied year is 2025.</x:v>
      </x:c>
      <x:c r="W536" s="14"/>
      <x:c r="X536" s="14" t="str">
        <x:v>Included</x:v>
      </x:c>
      <x:c r="Y536" s="14"/>
      <x:c r="Z536" s="14" t="str">
        <x:v>Rogue Heroes.docx</x:v>
      </x:c>
      <x:c r="AA536" s="14" t="str">
        <x:v>HYPERLINK is not implemented. linkLocation=https://www.imdb.com/title/tt10405370/fullcredits/,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HYPERLINK("https://en.wikipedia.org/wiki/Rogue_Heroes","Open source")</x:f>
        <x:v>HYPERLINK is not implemented. linkLocation=https://en.wikipedia.org/wiki/Rogue_Heroes,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13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0.07692307692307693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4" t="str">
        <x:v>HYPERLINK is not implemented. linkLocation=https://www.imdb.com/title/tt10405370/fullcredits/,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tt10405370|nm11259848|pow</x:v>
      </x:c>
      <x:c r="B537" s="14" t="str">
        <x:v>04</x:v>
      </x:c>
      <x:c r="C537" s="14" t="str">
        <x:v>2022_IMDb_Cast_Lists_Batch_04(1).xlsx</x:v>
      </x:c>
      <x:c r="D537" s="14" t="str">
        <x:v>Rogue Heroes</x:v>
      </x:c>
      <x:c r="E537" s="14" t="n">
        <x:v>63</x:v>
      </x:c>
      <x:c r="F537" s="14" t="str">
        <x:v>Rogue Heroes</x:v>
      </x:c>
      <x:c r="G537" s="14" t="str">
        <x:v>tt10405370</x:v>
      </x:c>
      <x:c r="H537" s="14" t="n">
        <x:v>2022</x:v>
      </x:c>
      <x:c r="I537" s="14" t="n">
        <x:v>2025</x:v>
      </x:c>
      <x:c r="J537" s="14" t="str">
        <x:v>Earlier-Production Carry-In Cohort</x:v>
      </x:c>
      <x:c r="K537" s="14" t="n">
        <x:v>2022</x:v>
      </x:c>
      <x:c r="L537" s="14" t="str">
        <x:v>Used in 2025 annual analysis</x:v>
      </x:c>
      <x:c r="M537" s="15" t="n">
        <x:v>56</x:v>
      </x:c>
      <x:c r="N537" s="14" t="str">
        <x:v>Isaac Beechey</x:v>
      </x:c>
      <x:c r="O537" s="14" t="str">
        <x:v>nm11259848</x:v>
      </x:c>
      <x:c r="P537" s="14" t="str">
        <x:v>POW</x:v>
      </x:c>
      <x:c r="Q537" s="15" t="n">
        <x:v>1</x:v>
      </x:c>
      <x:c r="R537" s="14" t="str">
        <x:v>2025</x:v>
      </x:c>
      <x:c r="S537" s="14" t="n">
        <x:v>2025</x:v>
      </x:c>
      <x:c r="T537" s="14" t="n">
        <x:v>2025</x:v>
      </x:c>
      <x:c r="U537" s="14" t="str">
        <x:v>Explicit source first year retained</x:v>
      </x:c>
      <x:c r="V537" s="14" t="str">
        <x:v>Earliest supplied year is 2025.</x:v>
      </x:c>
      <x:c r="W537" s="14"/>
      <x:c r="X537" s="14" t="str">
        <x:v>Included</x:v>
      </x:c>
      <x:c r="Y537" s="14"/>
      <x:c r="Z537" s="14" t="str">
        <x:v>Rogue Heroes.docx</x:v>
      </x:c>
      <x:c r="AA537" s="14" t="str">
        <x:v>HYPERLINK is not implemented. linkLocation=https://www.imdb.com/title/tt10405370/fullcredits/,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HYPERLINK("https://en.wikipedia.org/wiki/Rogue_Heroes","Open source")</x:f>
        <x:v>HYPERLINK is not implemented. linkLocation=https://en.wikipedia.org/wiki/Rogue_Heroes,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13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0.07692307692307693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4" t="str">
        <x:v>HYPERLINK is not implemented. linkLocation=https://www.imdb.com/title/tt10405370/fullcredits/,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tt10405370|nm8704244|chef</x:v>
      </x:c>
      <x:c r="B538" s="14" t="str">
        <x:v>04</x:v>
      </x:c>
      <x:c r="C538" s="14" t="str">
        <x:v>2022_IMDb_Cast_Lists_Batch_04(1).xlsx</x:v>
      </x:c>
      <x:c r="D538" s="14" t="str">
        <x:v>Rogue Heroes</x:v>
      </x:c>
      <x:c r="E538" s="14" t="n">
        <x:v>68</x:v>
      </x:c>
      <x:c r="F538" s="14" t="str">
        <x:v>Rogue Heroes</x:v>
      </x:c>
      <x:c r="G538" s="14" t="str">
        <x:v>tt10405370</x:v>
      </x:c>
      <x:c r="H538" s="14" t="n">
        <x:v>2022</x:v>
      </x:c>
      <x:c r="I538" s="14" t="n">
        <x:v>2025</x:v>
      </x:c>
      <x:c r="J538" s="14" t="str">
        <x:v>Earlier-Production Carry-In Cohort</x:v>
      </x:c>
      <x:c r="K538" s="14" t="n">
        <x:v>2022</x:v>
      </x:c>
      <x:c r="L538" s="14" t="str">
        <x:v>Used in 2025 annual analysis</x:v>
      </x:c>
      <x:c r="M538" s="15" t="n">
        <x:v>61</x:v>
      </x:c>
      <x:c r="N538" s="14" t="str">
        <x:v>Morgan Bailey</x:v>
      </x:c>
      <x:c r="O538" s="14" t="str">
        <x:v>nm8704244</x:v>
      </x:c>
      <x:c r="P538" s="14" t="str">
        <x:v>Chef</x:v>
      </x:c>
      <x:c r="Q538" s="15" t="n">
        <x:v>1</x:v>
      </x:c>
      <x:c r="R538" s="14" t="str">
        <x:v>2025</x:v>
      </x:c>
      <x:c r="S538" s="14" t="n">
        <x:v>2025</x:v>
      </x:c>
      <x:c r="T538" s="14" t="n">
        <x:v>2025</x:v>
      </x:c>
      <x:c r="U538" s="14" t="str">
        <x:v>Explicit source first year retained</x:v>
      </x:c>
      <x:c r="V538" s="14" t="str">
        <x:v>Earliest supplied year is 2025.</x:v>
      </x:c>
      <x:c r="W538" s="14"/>
      <x:c r="X538" s="14" t="str">
        <x:v>Included</x:v>
      </x:c>
      <x:c r="Y538" s="14"/>
      <x:c r="Z538" s="14" t="str">
        <x:v>Rogue Heroes.docx</x:v>
      </x:c>
      <x:c r="AA538" s="14" t="str">
        <x:v>HYPERLINK is not implemented. linkLocation=https://www.imdb.com/title/tt10405370/fullcredits/,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HYPERLINK("https://en.wikipedia.org/wiki/Rogue_Heroes","Open source")</x:f>
        <x:v>HYPERLINK is not implemented. linkLocation=https://en.wikipedia.org/wiki/Rogue_Heroes,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13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0.07692307692307693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4" t="str">
        <x:v>HYPERLINK is not implemented. linkLocation=https://www.imdb.com/title/tt10405370/fullcredits/,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tt10405370|nm0212204|father cavalli</x:v>
      </x:c>
      <x:c r="B539" s="14" t="str">
        <x:v>04</x:v>
      </x:c>
      <x:c r="C539" s="14" t="str">
        <x:v>2022_IMDb_Cast_Lists_Batch_04(1).xlsx</x:v>
      </x:c>
      <x:c r="D539" s="14" t="str">
        <x:v>Rogue Heroes</x:v>
      </x:c>
      <x:c r="E539" s="14" t="n">
        <x:v>72</x:v>
      </x:c>
      <x:c r="F539" s="14" t="str">
        <x:v>Rogue Heroes</x:v>
      </x:c>
      <x:c r="G539" s="14" t="str">
        <x:v>tt10405370</x:v>
      </x:c>
      <x:c r="H539" s="14" t="n">
        <x:v>2022</x:v>
      </x:c>
      <x:c r="I539" s="14" t="n">
        <x:v>2025</x:v>
      </x:c>
      <x:c r="J539" s="14" t="str">
        <x:v>Earlier-Production Carry-In Cohort</x:v>
      </x:c>
      <x:c r="K539" s="14" t="n">
        <x:v>2022</x:v>
      </x:c>
      <x:c r="L539" s="14" t="str">
        <x:v>Used in 2025 annual analysis</x:v>
      </x:c>
      <x:c r="M539" s="15" t="n">
        <x:v>65</x:v>
      </x:c>
      <x:c r="N539" s="14" t="str">
        <x:v>Paolo De Vita</x:v>
      </x:c>
      <x:c r="O539" s="14" t="str">
        <x:v>nm0212204</x:v>
      </x:c>
      <x:c r="P539" s="14" t="str">
        <x:v>Father Cavalli</x:v>
      </x:c>
      <x:c r="Q539" s="15" t="n">
        <x:v>1</x:v>
      </x:c>
      <x:c r="R539" s="14" t="str">
        <x:v>2025</x:v>
      </x:c>
      <x:c r="S539" s="14" t="n">
        <x:v>2025</x:v>
      </x:c>
      <x:c r="T539" s="14" t="n">
        <x:v>2025</x:v>
      </x:c>
      <x:c r="U539" s="14" t="str">
        <x:v>Explicit source first year retained</x:v>
      </x:c>
      <x:c r="V539" s="14" t="str">
        <x:v>Earliest supplied year is 2025.</x:v>
      </x:c>
      <x:c r="W539" s="14"/>
      <x:c r="X539" s="14" t="str">
        <x:v>Included</x:v>
      </x:c>
      <x:c r="Y539" s="14" t="str">
        <x:v>(as Paolo De Vite)</x:v>
      </x:c>
      <x:c r="Z539" s="14" t="str">
        <x:v>Rogue Heroes.docx</x:v>
      </x:c>
      <x:c r="AA539" s="14" t="str">
        <x:v>HYPERLINK is not implemented. linkLocation=https://www.imdb.com/title/tt10405370/fullcredits/,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HYPERLINK("https://en.wikipedia.org/wiki/Rogue_Heroes","Open source")</x:f>
        <x:v>HYPERLINK is not implemented. linkLocation=https://en.wikipedia.org/wiki/Rogue_Heroes,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13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0.07692307692307693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4" t="str">
        <x:v>HYPERLINK is not implemented. linkLocation=https://www.imdb.com/title/tt10405370/fullcredits/,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tt10405370|nm11531498|sofia amato</x:v>
      </x:c>
      <x:c r="B540" s="14" t="str">
        <x:v>04</x:v>
      </x:c>
      <x:c r="C540" s="14" t="str">
        <x:v>2022_IMDb_Cast_Lists_Batch_04(1).xlsx</x:v>
      </x:c>
      <x:c r="D540" s="14" t="str">
        <x:v>Rogue Heroes</x:v>
      </x:c>
      <x:c r="E540" s="14" t="n">
        <x:v>79</x:v>
      </x:c>
      <x:c r="F540" s="14" t="str">
        <x:v>Rogue Heroes</x:v>
      </x:c>
      <x:c r="G540" s="14" t="str">
        <x:v>tt10405370</x:v>
      </x:c>
      <x:c r="H540" s="14" t="n">
        <x:v>2022</x:v>
      </x:c>
      <x:c r="I540" s="14" t="n">
        <x:v>2025</x:v>
      </x:c>
      <x:c r="J540" s="14" t="str">
        <x:v>Earlier-Production Carry-In Cohort</x:v>
      </x:c>
      <x:c r="K540" s="14" t="n">
        <x:v>2022</x:v>
      </x:c>
      <x:c r="L540" s="14" t="str">
        <x:v>Used in 2025 annual analysis</x:v>
      </x:c>
      <x:c r="M540" s="15" t="n">
        <x:v>72</x:v>
      </x:c>
      <x:c r="N540" s="14" t="str">
        <x:v>Lea Gavino</x:v>
      </x:c>
      <x:c r="O540" s="14" t="str">
        <x:v>nm11531498</x:v>
      </x:c>
      <x:c r="P540" s="14" t="str">
        <x:v>Sofia Amato</x:v>
      </x:c>
      <x:c r="Q540" s="15" t="n">
        <x:v>1</x:v>
      </x:c>
      <x:c r="R540" s="14" t="str">
        <x:v>2025</x:v>
      </x:c>
      <x:c r="S540" s="14" t="n">
        <x:v>2025</x:v>
      </x:c>
      <x:c r="T540" s="14" t="n">
        <x:v>2025</x:v>
      </x:c>
      <x:c r="U540" s="14" t="str">
        <x:v>Explicit source first year retained</x:v>
      </x:c>
      <x:c r="V540" s="14" t="str">
        <x:v>Earliest supplied year is 2025.</x:v>
      </x:c>
      <x:c r="W540" s="14"/>
      <x:c r="X540" s="14" t="str">
        <x:v>Included</x:v>
      </x:c>
      <x:c r="Y540" s="14"/>
      <x:c r="Z540" s="14" t="str">
        <x:v>Rogue Heroes.docx</x:v>
      </x:c>
      <x:c r="AA540" s="14" t="str">
        <x:v>HYPERLINK is not implemented. linkLocation=https://www.imdb.com/title/tt10405370/fullcredits/,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HYPERLINK("https://en.wikipedia.org/wiki/Rogue_Heroes","Open source")</x:f>
        <x:v>HYPERLINK is not implemented. linkLocation=https://en.wikipedia.org/wiki/Rogue_Heroes,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13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0.07692307692307693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4" t="str">
        <x:v>HYPERLINK is not implemented. linkLocation=https://www.imdb.com/title/tt10405370/fullcredits/,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tt10405370|nm0884141|barber</x:v>
      </x:c>
      <x:c r="B541" s="14" t="str">
        <x:v>04</x:v>
      </x:c>
      <x:c r="C541" s="14" t="str">
        <x:v>2022_IMDb_Cast_Lists_Batch_04(1).xlsx</x:v>
      </x:c>
      <x:c r="D541" s="14" t="str">
        <x:v>Rogue Heroes</x:v>
      </x:c>
      <x:c r="E541" s="14" t="n">
        <x:v>80</x:v>
      </x:c>
      <x:c r="F541" s="14" t="str">
        <x:v>Rogue Heroes</x:v>
      </x:c>
      <x:c r="G541" s="14" t="str">
        <x:v>tt10405370</x:v>
      </x:c>
      <x:c r="H541" s="14" t="n">
        <x:v>2022</x:v>
      </x:c>
      <x:c r="I541" s="14" t="n">
        <x:v>2025</x:v>
      </x:c>
      <x:c r="J541" s="14" t="str">
        <x:v>Earlier-Production Carry-In Cohort</x:v>
      </x:c>
      <x:c r="K541" s="14" t="n">
        <x:v>2022</x:v>
      </x:c>
      <x:c r="L541" s="14" t="str">
        <x:v>Used in 2025 annual analysis</x:v>
      </x:c>
      <x:c r="M541" s="15" t="n">
        <x:v>73</x:v>
      </x:c>
      <x:c r="N541" s="14" t="str">
        <x:v>Dusko Valentic</x:v>
      </x:c>
      <x:c r="O541" s="14" t="str">
        <x:v>nm0884141</x:v>
      </x:c>
      <x:c r="P541" s="14" t="str">
        <x:v>Barber</x:v>
      </x:c>
      <x:c r="Q541" s="15" t="n">
        <x:v>1</x:v>
      </x:c>
      <x:c r="R541" s="14" t="str">
        <x:v>2025</x:v>
      </x:c>
      <x:c r="S541" s="14" t="n">
        <x:v>2025</x:v>
      </x:c>
      <x:c r="T541" s="14" t="n">
        <x:v>2025</x:v>
      </x:c>
      <x:c r="U541" s="14" t="str">
        <x:v>Explicit source first year retained</x:v>
      </x:c>
      <x:c r="V541" s="14" t="str">
        <x:v>Earliest supplied year is 2025.</x:v>
      </x:c>
      <x:c r="W541" s="14"/>
      <x:c r="X541" s="14" t="str">
        <x:v>Included</x:v>
      </x:c>
      <x:c r="Y541" s="14" t="str">
        <x:v>(as Duško Valentić)</x:v>
      </x:c>
      <x:c r="Z541" s="14" t="str">
        <x:v>Rogue Heroes.docx</x:v>
      </x:c>
      <x:c r="AA541" s="14" t="str">
        <x:v>HYPERLINK is not implemented. linkLocation=https://www.imdb.com/title/tt10405370/fullcredits/,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HYPERLINK("https://en.wikipedia.org/wiki/Rogue_Heroes","Open source")</x:f>
        <x:v>HYPERLINK is not implemented. linkLocation=https://en.wikipedia.org/wiki/Rogue_Heroes,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13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0.07692307692307693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4" t="str">
        <x:v>HYPERLINK is not implemented. linkLocation=https://www.imdb.com/title/tt10405370/fullcredits/,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tt10405370|nm10717786|private winston best</x:v>
      </x:c>
      <x:c r="B542" s="14" t="str">
        <x:v>04</x:v>
      </x:c>
      <x:c r="C542" s="14" t="str">
        <x:v>2022_IMDb_Cast_Lists_Batch_04(1).xlsx</x:v>
      </x:c>
      <x:c r="D542" s="14" t="str">
        <x:v>Rogue Heroes</x:v>
      </x:c>
      <x:c r="E542" s="14" t="n">
        <x:v>81</x:v>
      </x:c>
      <x:c r="F542" s="14" t="str">
        <x:v>Rogue Heroes</x:v>
      </x:c>
      <x:c r="G542" s="14" t="str">
        <x:v>tt10405370</x:v>
      </x:c>
      <x:c r="H542" s="14" t="n">
        <x:v>2022</x:v>
      </x:c>
      <x:c r="I542" s="14" t="n">
        <x:v>2025</x:v>
      </x:c>
      <x:c r="J542" s="14" t="str">
        <x:v>Earlier-Production Carry-In Cohort</x:v>
      </x:c>
      <x:c r="K542" s="14" t="n">
        <x:v>2022</x:v>
      </x:c>
      <x:c r="L542" s="14" t="str">
        <x:v>Used in 2025 annual analysis</x:v>
      </x:c>
      <x:c r="M542" s="15" t="n">
        <x:v>74</x:v>
      </x:c>
      <x:c r="N542" s="14" t="str">
        <x:v>Christopher J. Gordon</x:v>
      </x:c>
      <x:c r="O542" s="14" t="str">
        <x:v>nm10717786</x:v>
      </x:c>
      <x:c r="P542" s="14" t="str">
        <x:v>Private Winston Best</x:v>
      </x:c>
      <x:c r="Q542" s="15" t="n">
        <x:v>1</x:v>
      </x:c>
      <x:c r="R542" s="14" t="str">
        <x:v>2025</x:v>
      </x:c>
      <x:c r="S542" s="14" t="n">
        <x:v>2025</x:v>
      </x:c>
      <x:c r="T542" s="14" t="n">
        <x:v>2025</x:v>
      </x:c>
      <x:c r="U542" s="14" t="str">
        <x:v>Explicit source first year retained</x:v>
      </x:c>
      <x:c r="V542" s="14" t="str">
        <x:v>Earliest supplied year is 2025.</x:v>
      </x:c>
      <x:c r="W542" s="14"/>
      <x:c r="X542" s="14" t="str">
        <x:v>Included</x:v>
      </x:c>
      <x:c r="Y542" s="14" t="str">
        <x:v>(as Chris James-Gordon)</x:v>
      </x:c>
      <x:c r="Z542" s="14" t="str">
        <x:v>Rogue Heroes.docx</x:v>
      </x:c>
      <x:c r="AA542" s="14" t="str">
        <x:v>HYPERLINK is not implemented. linkLocation=https://www.imdb.com/title/tt10405370/fullcredits/,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HYPERLINK("https://en.wikipedia.org/wiki/Rogue_Heroes","Open source")</x:f>
        <x:v>HYPERLINK is not implemented. linkLocation=https://en.wikipedia.org/wiki/Rogue_Heroes,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13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0.07692307692307693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4" t="str">
        <x:v>HYPERLINK is not implemented. linkLocation=https://www.imdb.com/title/tt10405370/fullcredits/,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tt10405370|nm14651844|drowning soldier 1</x:v>
      </x:c>
      <x:c r="B543" s="14" t="str">
        <x:v>04</x:v>
      </x:c>
      <x:c r="C543" s="14" t="str">
        <x:v>2022_IMDb_Cast_Lists_Batch_04(1).xlsx</x:v>
      </x:c>
      <x:c r="D543" s="14" t="str">
        <x:v>Rogue Heroes</x:v>
      </x:c>
      <x:c r="E543" s="14" t="n">
        <x:v>84</x:v>
      </x:c>
      <x:c r="F543" s="14" t="str">
        <x:v>Rogue Heroes</x:v>
      </x:c>
      <x:c r="G543" s="14" t="str">
        <x:v>tt10405370</x:v>
      </x:c>
      <x:c r="H543" s="14" t="n">
        <x:v>2022</x:v>
      </x:c>
      <x:c r="I543" s="14" t="n">
        <x:v>2025</x:v>
      </x:c>
      <x:c r="J543" s="14" t="str">
        <x:v>Earlier-Production Carry-In Cohort</x:v>
      </x:c>
      <x:c r="K543" s="14" t="n">
        <x:v>2022</x:v>
      </x:c>
      <x:c r="L543" s="14" t="str">
        <x:v>Used in 2025 annual analysis</x:v>
      </x:c>
      <x:c r="M543" s="15" t="n">
        <x:v>77</x:v>
      </x:c>
      <x:c r="N543" s="14" t="str">
        <x:v>Tyler-Jo Richardson</x:v>
      </x:c>
      <x:c r="O543" s="14" t="str">
        <x:v>nm14651844</x:v>
      </x:c>
      <x:c r="P543" s="14" t="str">
        <x:v>Drowning Soldier 1</x:v>
      </x:c>
      <x:c r="Q543" s="15" t="n">
        <x:v>1</x:v>
      </x:c>
      <x:c r="R543" s="14" t="str">
        <x:v>2025</x:v>
      </x:c>
      <x:c r="S543" s="14" t="n">
        <x:v>2025</x:v>
      </x:c>
      <x:c r="T543" s="14" t="n">
        <x:v>2025</x:v>
      </x:c>
      <x:c r="U543" s="14" t="str">
        <x:v>Explicit source first year retained</x:v>
      </x:c>
      <x:c r="V543" s="14" t="str">
        <x:v>Earliest supplied year is 2025.</x:v>
      </x:c>
      <x:c r="W543" s="14"/>
      <x:c r="X543" s="14" t="str">
        <x:v>Included</x:v>
      </x:c>
      <x:c r="Y543" s="14"/>
      <x:c r="Z543" s="14" t="str">
        <x:v>Rogue Heroes.docx</x:v>
      </x:c>
      <x:c r="AA543" s="14" t="str">
        <x:v>HYPERLINK is not implemented. linkLocation=https://www.imdb.com/title/tt10405370/fullcredits/,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HYPERLINK("https://en.wikipedia.org/wiki/Rogue_Heroes","Open source")</x:f>
        <x:v>HYPERLINK is not implemented. linkLocation=https://en.wikipedia.org/wiki/Rogue_Heroes,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13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0.07692307692307693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4" t="str">
        <x:v>HYPERLINK is not implemented. linkLocation=https://www.imdb.com/title/tt10405370/fullcredits/,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tt10405370|nm12219953|lorenzo amato</x:v>
      </x:c>
      <x:c r="B544" s="14" t="str">
        <x:v>04</x:v>
      </x:c>
      <x:c r="C544" s="14" t="str">
        <x:v>2022_IMDb_Cast_Lists_Batch_04(1).xlsx</x:v>
      </x:c>
      <x:c r="D544" s="14" t="str">
        <x:v>Rogue Heroes</x:v>
      </x:c>
      <x:c r="E544" s="14" t="n">
        <x:v>85</x:v>
      </x:c>
      <x:c r="F544" s="14" t="str">
        <x:v>Rogue Heroes</x:v>
      </x:c>
      <x:c r="G544" s="14" t="str">
        <x:v>tt10405370</x:v>
      </x:c>
      <x:c r="H544" s="14" t="n">
        <x:v>2022</x:v>
      </x:c>
      <x:c r="I544" s="14" t="n">
        <x:v>2025</x:v>
      </x:c>
      <x:c r="J544" s="14" t="str">
        <x:v>Earlier-Production Carry-In Cohort</x:v>
      </x:c>
      <x:c r="K544" s="14" t="n">
        <x:v>2022</x:v>
      </x:c>
      <x:c r="L544" s="14" t="str">
        <x:v>Used in 2025 annual analysis</x:v>
      </x:c>
      <x:c r="M544" s="15" t="n">
        <x:v>78</x:v>
      </x:c>
      <x:c r="N544" s="14" t="str">
        <x:v>Gabriele Linari</x:v>
      </x:c>
      <x:c r="O544" s="14" t="str">
        <x:v>nm12219953</x:v>
      </x:c>
      <x:c r="P544" s="14" t="str">
        <x:v>Lorenzo Amato</x:v>
      </x:c>
      <x:c r="Q544" s="15" t="n">
        <x:v>1</x:v>
      </x:c>
      <x:c r="R544" s="14" t="str">
        <x:v>2025</x:v>
      </x:c>
      <x:c r="S544" s="14" t="n">
        <x:v>2025</x:v>
      </x:c>
      <x:c r="T544" s="14" t="n">
        <x:v>2025</x:v>
      </x:c>
      <x:c r="U544" s="14" t="str">
        <x:v>Explicit source first year retained</x:v>
      </x:c>
      <x:c r="V544" s="14" t="str">
        <x:v>Earliest supplied year is 2025.</x:v>
      </x:c>
      <x:c r="W544" s="14"/>
      <x:c r="X544" s="14" t="str">
        <x:v>Included</x:v>
      </x:c>
      <x:c r="Y544" s="14"/>
      <x:c r="Z544" s="14" t="str">
        <x:v>Rogue Heroes.docx</x:v>
      </x:c>
      <x:c r="AA544" s="14" t="str">
        <x:v>HYPERLINK is not implemented. linkLocation=https://www.imdb.com/title/tt10405370/fullcredits/,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HYPERLINK("https://en.wikipedia.org/wiki/Rogue_Heroes","Open source")</x:f>
        <x:v>HYPERLINK is not implemented. linkLocation=https://en.wikipedia.org/wiki/Rogue_Heroes,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13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0.07692307692307693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4" t="str">
        <x:v>HYPERLINK is not implemented. linkLocation=https://www.imdb.com/title/tt10405370/fullcredits/,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tt10405370|nm6403697|drowning soldier 2</x:v>
      </x:c>
      <x:c r="B545" s="14" t="str">
        <x:v>04</x:v>
      </x:c>
      <x:c r="C545" s="14" t="str">
        <x:v>2022_IMDb_Cast_Lists_Batch_04(1).xlsx</x:v>
      </x:c>
      <x:c r="D545" s="14" t="str">
        <x:v>Rogue Heroes</x:v>
      </x:c>
      <x:c r="E545" s="14" t="n">
        <x:v>87</x:v>
      </x:c>
      <x:c r="F545" s="14" t="str">
        <x:v>Rogue Heroes</x:v>
      </x:c>
      <x:c r="G545" s="14" t="str">
        <x:v>tt10405370</x:v>
      </x:c>
      <x:c r="H545" s="14" t="n">
        <x:v>2022</x:v>
      </x:c>
      <x:c r="I545" s="14" t="n">
        <x:v>2025</x:v>
      </x:c>
      <x:c r="J545" s="14" t="str">
        <x:v>Earlier-Production Carry-In Cohort</x:v>
      </x:c>
      <x:c r="K545" s="14" t="n">
        <x:v>2022</x:v>
      </x:c>
      <x:c r="L545" s="14" t="str">
        <x:v>Used in 2025 annual analysis</x:v>
      </x:c>
      <x:c r="M545" s="15" t="n">
        <x:v>80</x:v>
      </x:c>
      <x:c r="N545" s="14" t="str">
        <x:v>James Craze</x:v>
      </x:c>
      <x:c r="O545" s="14" t="str">
        <x:v>nm6403697</x:v>
      </x:c>
      <x:c r="P545" s="14" t="str">
        <x:v>Drowning Soldier 2</x:v>
      </x:c>
      <x:c r="Q545" s="15" t="n">
        <x:v>1</x:v>
      </x:c>
      <x:c r="R545" s="14" t="str">
        <x:v>2025</x:v>
      </x:c>
      <x:c r="S545" s="14" t="n">
        <x:v>2025</x:v>
      </x:c>
      <x:c r="T545" s="14" t="n">
        <x:v>2025</x:v>
      </x:c>
      <x:c r="U545" s="14" t="str">
        <x:v>Explicit source first year retained</x:v>
      </x:c>
      <x:c r="V545" s="14" t="str">
        <x:v>Earliest supplied year is 2025.</x:v>
      </x:c>
      <x:c r="W545" s="14"/>
      <x:c r="X545" s="14" t="str">
        <x:v>Included</x:v>
      </x:c>
      <x:c r="Y545" s="14"/>
      <x:c r="Z545" s="14" t="str">
        <x:v>Rogue Heroes.docx</x:v>
      </x:c>
      <x:c r="AA545" s="14" t="str">
        <x:v>HYPERLINK is not implemented. linkLocation=https://www.imdb.com/title/tt10405370/fullcredits/,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HYPERLINK("https://en.wikipedia.org/wiki/Rogue_Heroes","Open source")</x:f>
        <x:v>HYPERLINK is not implemented. linkLocation=https://en.wikipedia.org/wiki/Rogue_Heroes,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13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1</x:v>
      </x:c>
      <x:c r="BS545" s="16" t="n">
        <x:v>0.07692307692307693</x:v>
      </x:c>
      <x:c r="BT545" s="14" t="str">
        <x:v>One episode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4" t="str">
        <x:v>HYPERLINK is not implemented. linkLocation=https://www.imdb.com/title/tt10405370/fullcredits/,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tt10405370|nm9112758|francesca amato</x:v>
      </x:c>
      <x:c r="B546" s="14" t="str">
        <x:v>04</x:v>
      </x:c>
      <x:c r="C546" s="14" t="str">
        <x:v>2022_IMDb_Cast_Lists_Batch_04(1).xlsx</x:v>
      </x:c>
      <x:c r="D546" s="14" t="str">
        <x:v>Rogue Heroes</x:v>
      </x:c>
      <x:c r="E546" s="14" t="n">
        <x:v>88</x:v>
      </x:c>
      <x:c r="F546" s="14" t="str">
        <x:v>Rogue Heroes</x:v>
      </x:c>
      <x:c r="G546" s="14" t="str">
        <x:v>tt10405370</x:v>
      </x:c>
      <x:c r="H546" s="14" t="n">
        <x:v>2022</x:v>
      </x:c>
      <x:c r="I546" s="14" t="n">
        <x:v>2025</x:v>
      </x:c>
      <x:c r="J546" s="14" t="str">
        <x:v>Earlier-Production Carry-In Cohort</x:v>
      </x:c>
      <x:c r="K546" s="14" t="n">
        <x:v>2022</x:v>
      </x:c>
      <x:c r="L546" s="14" t="str">
        <x:v>Used in 2025 annual analysis</x:v>
      </x:c>
      <x:c r="M546" s="15" t="n">
        <x:v>81</x:v>
      </x:c>
      <x:c r="N546" s="14" t="str">
        <x:v>Valeria Panepinto</x:v>
      </x:c>
      <x:c r="O546" s="14" t="str">
        <x:v>nm9112758</x:v>
      </x:c>
      <x:c r="P546" s="14" t="str">
        <x:v>Francesca Amato</x:v>
      </x:c>
      <x:c r="Q546" s="15" t="n">
        <x:v>1</x:v>
      </x:c>
      <x:c r="R546" s="14" t="str">
        <x:v>2025</x:v>
      </x:c>
      <x:c r="S546" s="14" t="n">
        <x:v>2025</x:v>
      </x:c>
      <x:c r="T546" s="14" t="n">
        <x:v>2025</x:v>
      </x:c>
      <x:c r="U546" s="14" t="str">
        <x:v>Explicit source first year retained</x:v>
      </x:c>
      <x:c r="V546" s="14" t="str">
        <x:v>Earliest supplied year is 2025.</x:v>
      </x:c>
      <x:c r="W546" s="14"/>
      <x:c r="X546" s="14" t="str">
        <x:v>Included</x:v>
      </x:c>
      <x:c r="Y546" s="14"/>
      <x:c r="Z546" s="14" t="str">
        <x:v>Rogue Heroes.docx</x:v>
      </x:c>
      <x:c r="AA546" s="14" t="str">
        <x:v>HYPERLINK is not implemented. linkLocation=https://www.imdb.com/title/tt10405370/fullcredits/,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HYPERLINK("https://en.wikipedia.org/wiki/Rogue_Heroes","Open source")</x:f>
        <x:v>HYPERLINK is not implemented. linkLocation=https://en.wikipedia.org/wiki/Rogue_Heroes,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13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1</x:v>
      </x:c>
      <x:c r="BS546" s="16" t="n">
        <x:v>0.07692307692307693</x:v>
      </x:c>
      <x:c r="BT546" s="14" t="str">
        <x:v>One episode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4" t="str">
        <x:v>HYPERLINK is not implemented. linkLocation=https://www.imdb.com/title/tt10405370/fullcredits/,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tt10405370|nm14782566|drowning soldier 3</x:v>
      </x:c>
      <x:c r="B547" s="14" t="str">
        <x:v>04</x:v>
      </x:c>
      <x:c r="C547" s="14" t="str">
        <x:v>2022_IMDb_Cast_Lists_Batch_04(1).xlsx</x:v>
      </x:c>
      <x:c r="D547" s="14" t="str">
        <x:v>Rogue Heroes</x:v>
      </x:c>
      <x:c r="E547" s="14" t="n">
        <x:v>89</x:v>
      </x:c>
      <x:c r="F547" s="14" t="str">
        <x:v>Rogue Heroes</x:v>
      </x:c>
      <x:c r="G547" s="14" t="str">
        <x:v>tt10405370</x:v>
      </x:c>
      <x:c r="H547" s="14" t="n">
        <x:v>2022</x:v>
      </x:c>
      <x:c r="I547" s="14" t="n">
        <x:v>2025</x:v>
      </x:c>
      <x:c r="J547" s="14" t="str">
        <x:v>Earlier-Production Carry-In Cohort</x:v>
      </x:c>
      <x:c r="K547" s="14" t="n">
        <x:v>2022</x:v>
      </x:c>
      <x:c r="L547" s="14" t="str">
        <x:v>Used in 2025 annual analysis</x:v>
      </x:c>
      <x:c r="M547" s="15" t="n">
        <x:v>82</x:v>
      </x:c>
      <x:c r="N547" s="14" t="str">
        <x:v>James Ó'Quinn</x:v>
      </x:c>
      <x:c r="O547" s="14" t="str">
        <x:v>nm14782566</x:v>
      </x:c>
      <x:c r="P547" s="14" t="str">
        <x:v>Drowning Soldier 3</x:v>
      </x:c>
      <x:c r="Q547" s="15" t="n">
        <x:v>1</x:v>
      </x:c>
      <x:c r="R547" s="14" t="str">
        <x:v>2025</x:v>
      </x:c>
      <x:c r="S547" s="14" t="n">
        <x:v>2025</x:v>
      </x:c>
      <x:c r="T547" s="14" t="n">
        <x:v>2025</x:v>
      </x:c>
      <x:c r="U547" s="14" t="str">
        <x:v>Explicit source first year retained</x:v>
      </x:c>
      <x:c r="V547" s="14" t="str">
        <x:v>Earliest supplied year is 2025.</x:v>
      </x:c>
      <x:c r="W547" s="14"/>
      <x:c r="X547" s="14" t="str">
        <x:v>Included</x:v>
      </x:c>
      <x:c r="Y547" s="14"/>
      <x:c r="Z547" s="14" t="str">
        <x:v>Rogue Heroes.docx</x:v>
      </x:c>
      <x:c r="AA547" s="14" t="str">
        <x:v>HYPERLINK is not implemented. linkLocation=https://www.imdb.com/title/tt10405370/fullcredits/,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HYPERLINK("https://en.wikipedia.org/wiki/Rogue_Heroes","Open source")</x:f>
        <x:v>HYPERLINK is not implemented. linkLocation=https://en.wikipedia.org/wiki/Rogue_Heroes,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13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1</x:v>
      </x:c>
      <x:c r="BS547" s="16" t="n">
        <x:v>0.07692307692307693</x:v>
      </x:c>
      <x:c r="BT547" s="14" t="str">
        <x:v>One episode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4" t="str">
        <x:v>HYPERLINK is not implemented. linkLocation=https://www.imdb.com/title/tt10405370/fullcredits/,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tt10405370|nm15233908|supporting artist</x:v>
      </x:c>
      <x:c r="B548" s="14" t="str">
        <x:v>04</x:v>
      </x:c>
      <x:c r="C548" s="14" t="str">
        <x:v>2022_IMDb_Cast_Lists_Batch_04(1).xlsx</x:v>
      </x:c>
      <x:c r="D548" s="14" t="str">
        <x:v>Rogue Heroes</x:v>
      </x:c>
      <x:c r="E548" s="14" t="n">
        <x:v>95</x:v>
      </x:c>
      <x:c r="F548" s="14" t="str">
        <x:v>Rogue Heroes</x:v>
      </x:c>
      <x:c r="G548" s="14" t="str">
        <x:v>tt10405370</x:v>
      </x:c>
      <x:c r="H548" s="14" t="n">
        <x:v>2022</x:v>
      </x:c>
      <x:c r="I548" s="14" t="n">
        <x:v>2025</x:v>
      </x:c>
      <x:c r="J548" s="14" t="str">
        <x:v>Earlier-Production Carry-In Cohort</x:v>
      </x:c>
      <x:c r="K548" s="14" t="n">
        <x:v>2022</x:v>
      </x:c>
      <x:c r="L548" s="14" t="str">
        <x:v>Used in 2025 annual analysis</x:v>
      </x:c>
      <x:c r="M548" s="15" t="n">
        <x:v>88</x:v>
      </x:c>
      <x:c r="N548" s="14" t="str">
        <x:v>Evan Hartnett</x:v>
      </x:c>
      <x:c r="O548" s="14" t="str">
        <x:v>nm15233908</x:v>
      </x:c>
      <x:c r="P548" s="14" t="str">
        <x:v>Supporting Artist</x:v>
      </x:c>
      <x:c r="Q548" s="15" t="n">
        <x:v>1</x:v>
      </x:c>
      <x:c r="R548" s="14" t="str">
        <x:v>2025</x:v>
      </x:c>
      <x:c r="S548" s="14" t="n">
        <x:v>2025</x:v>
      </x:c>
      <x:c r="T548" s="14" t="n">
        <x:v>2025</x:v>
      </x:c>
      <x:c r="U548" s="14" t="str">
        <x:v>Explicit source first year retained</x:v>
      </x:c>
      <x:c r="V548" s="14" t="str">
        <x:v>Earliest supplied year is 2025.</x:v>
      </x:c>
      <x:c r="W548" s="14"/>
      <x:c r="X548" s="14" t="str">
        <x:v>Included</x:v>
      </x:c>
      <x:c r="Y548" s="14"/>
      <x:c r="Z548" s="14" t="str">
        <x:v>Rogue Heroes.docx</x:v>
      </x:c>
      <x:c r="AA548" s="14" t="str">
        <x:v>HYPERLINK is not implemented. linkLocation=https://www.imdb.com/title/tt10405370/fullcredits/,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HYPERLINK("https://en.wikipedia.org/wiki/Rogue_Heroes","Open source")</x:f>
        <x:v>HYPERLINK is not implemented. linkLocation=https://en.wikipedia.org/wiki/Rogue_Heroes,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13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1</x:v>
      </x:c>
      <x:c r="BS548" s="16" t="n">
        <x:v>0.07692307692307693</x:v>
      </x:c>
      <x:c r="BT548" s="14" t="str">
        <x:v>One episode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4" t="str">
        <x:v>HYPERLINK is not implemented. linkLocation=https://www.imdb.com/title/tt10405370/fullcredits/,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tt10405370|nm2196406|police officer</x:v>
      </x:c>
      <x:c r="B549" s="14" t="str">
        <x:v>04</x:v>
      </x:c>
      <x:c r="C549" s="14" t="str">
        <x:v>2022_IMDb_Cast_Lists_Batch_04(1).xlsx</x:v>
      </x:c>
      <x:c r="D549" s="14" t="str">
        <x:v>Rogue Heroes</x:v>
      </x:c>
      <x:c r="E549" s="14" t="n">
        <x:v>97</x:v>
      </x:c>
      <x:c r="F549" s="14" t="str">
        <x:v>Rogue Heroes</x:v>
      </x:c>
      <x:c r="G549" s="14" t="str">
        <x:v>tt10405370</x:v>
      </x:c>
      <x:c r="H549" s="14" t="n">
        <x:v>2022</x:v>
      </x:c>
      <x:c r="I549" s="14" t="n">
        <x:v>2025</x:v>
      </x:c>
      <x:c r="J549" s="14" t="str">
        <x:v>Earlier-Production Carry-In Cohort</x:v>
      </x:c>
      <x:c r="K549" s="14" t="n">
        <x:v>2022</x:v>
      </x:c>
      <x:c r="L549" s="14" t="str">
        <x:v>Used in 2025 annual analysis</x:v>
      </x:c>
      <x:c r="M549" s="15" t="n">
        <x:v>90</x:v>
      </x:c>
      <x:c r="N549" s="14" t="str">
        <x:v>Nigel Boyle</x:v>
      </x:c>
      <x:c r="O549" s="14" t="str">
        <x:v>nm2196406</x:v>
      </x:c>
      <x:c r="P549" s="14" t="str">
        <x:v>Police Officer</x:v>
      </x:c>
      <x:c r="Q549" s="15" t="n">
        <x:v>1</x:v>
      </x:c>
      <x:c r="R549" s="14" t="str">
        <x:v>2025</x:v>
      </x:c>
      <x:c r="S549" s="14" t="n">
        <x:v>2025</x:v>
      </x:c>
      <x:c r="T549" s="14" t="n">
        <x:v>2025</x:v>
      </x:c>
      <x:c r="U549" s="14" t="str">
        <x:v>Explicit source first year retained</x:v>
      </x:c>
      <x:c r="V549" s="14" t="str">
        <x:v>Earliest supplied year is 2025.</x:v>
      </x:c>
      <x:c r="W549" s="14"/>
      <x:c r="X549" s="14" t="str">
        <x:v>Included</x:v>
      </x:c>
      <x:c r="Y549" s="14"/>
      <x:c r="Z549" s="14" t="str">
        <x:v>Rogue Heroes.docx</x:v>
      </x:c>
      <x:c r="AA549" s="14" t="str">
        <x:v>HYPERLINK is not implemented. linkLocation=https://www.imdb.com/title/tt10405370/fullcredits/,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HYPERLINK("https://en.wikipedia.org/wiki/Rogue_Heroes","Open source")</x:f>
        <x:v>HYPERLINK is not implemented. linkLocation=https://en.wikipedia.org/wiki/Rogue_Heroes,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13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1</x:v>
      </x:c>
      <x:c r="BS549" s="16" t="n">
        <x:v>0.07692307692307693</x:v>
      </x:c>
      <x:c r="BT549" s="14" t="str">
        <x:v>One episode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4" t="str">
        <x:v>HYPERLINK is not implemented. linkLocation=https://www.imdb.com/title/tt10405370/fullcredits/,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tt10405370|nm9193972|supporting artist</x:v>
      </x:c>
      <x:c r="B550" s="14" t="str">
        <x:v>04</x:v>
      </x:c>
      <x:c r="C550" s="14" t="str">
        <x:v>2022_IMDb_Cast_Lists_Batch_04(1).xlsx</x:v>
      </x:c>
      <x:c r="D550" s="14" t="str">
        <x:v>Rogue Heroes</x:v>
      </x:c>
      <x:c r="E550" s="14" t="n">
        <x:v>98</x:v>
      </x:c>
      <x:c r="F550" s="14" t="str">
        <x:v>Rogue Heroes</x:v>
      </x:c>
      <x:c r="G550" s="14" t="str">
        <x:v>tt10405370</x:v>
      </x:c>
      <x:c r="H550" s="14" t="n">
        <x:v>2022</x:v>
      </x:c>
      <x:c r="I550" s="14" t="n">
        <x:v>2025</x:v>
      </x:c>
      <x:c r="J550" s="14" t="str">
        <x:v>Earlier-Production Carry-In Cohort</x:v>
      </x:c>
      <x:c r="K550" s="14" t="n">
        <x:v>2022</x:v>
      </x:c>
      <x:c r="L550" s="14" t="str">
        <x:v>Used in 2025 annual analysis</x:v>
      </x:c>
      <x:c r="M550" s="15" t="n">
        <x:v>91</x:v>
      </x:c>
      <x:c r="N550" s="14" t="str">
        <x:v>Matthew Hegarty</x:v>
      </x:c>
      <x:c r="O550" s="14" t="str">
        <x:v>nm9193972</x:v>
      </x:c>
      <x:c r="P550" s="14" t="str">
        <x:v>Supporting Artist</x:v>
      </x:c>
      <x:c r="Q550" s="15" t="n">
        <x:v>1</x:v>
      </x:c>
      <x:c r="R550" s="14" t="str">
        <x:v>2025</x:v>
      </x:c>
      <x:c r="S550" s="14" t="n">
        <x:v>2025</x:v>
      </x:c>
      <x:c r="T550" s="14" t="n">
        <x:v>2025</x:v>
      </x:c>
      <x:c r="U550" s="14" t="str">
        <x:v>Explicit source first year retained</x:v>
      </x:c>
      <x:c r="V550" s="14" t="str">
        <x:v>Earliest supplied year is 2025.</x:v>
      </x:c>
      <x:c r="W550" s="14"/>
      <x:c r="X550" s="14" t="str">
        <x:v>Included</x:v>
      </x:c>
      <x:c r="Y550" s="14"/>
      <x:c r="Z550" s="14" t="str">
        <x:v>Rogue Heroes.docx</x:v>
      </x:c>
      <x:c r="AA550" s="14" t="str">
        <x:v>HYPERLINK is not implemented. linkLocation=https://www.imdb.com/title/tt10405370/fullcredits/,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HYPERLINK("https://en.wikipedia.org/wiki/Rogue_Heroes","Open source")</x:f>
        <x:v>HYPERLINK is not implemented. linkLocation=https://en.wikipedia.org/wiki/Rogue_Heroes,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13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1</x:v>
      </x:c>
      <x:c r="BS550" s="16" t="n">
        <x:v>0.07692307692307693</x:v>
      </x:c>
      <x:c r="BT550" s="14" t="str">
        <x:v>One episode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4" t="str">
        <x:v>HYPERLINK is not implemented. linkLocation=https://www.imdb.com/title/tt10405370/fullcredits/,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tt10405370|nm3537262|italian guard</x:v>
      </x:c>
      <x:c r="B551" s="14" t="str">
        <x:v>04</x:v>
      </x:c>
      <x:c r="C551" s="14" t="str">
        <x:v>2022_IMDb_Cast_Lists_Batch_04(1).xlsx</x:v>
      </x:c>
      <x:c r="D551" s="14" t="str">
        <x:v>Rogue Heroes</x:v>
      </x:c>
      <x:c r="E551" s="14" t="n">
        <x:v>99</x:v>
      </x:c>
      <x:c r="F551" s="14" t="str">
        <x:v>Rogue Heroes</x:v>
      </x:c>
      <x:c r="G551" s="14" t="str">
        <x:v>tt10405370</x:v>
      </x:c>
      <x:c r="H551" s="14" t="n">
        <x:v>2022</x:v>
      </x:c>
      <x:c r="I551" s="14" t="n">
        <x:v>2025</x:v>
      </x:c>
      <x:c r="J551" s="14" t="str">
        <x:v>Earlier-Production Carry-In Cohort</x:v>
      </x:c>
      <x:c r="K551" s="14" t="n">
        <x:v>2022</x:v>
      </x:c>
      <x:c r="L551" s="14" t="str">
        <x:v>Used in 2025 annual analysis</x:v>
      </x:c>
      <x:c r="M551" s="15" t="n">
        <x:v>92</x:v>
      </x:c>
      <x:c r="N551" s="14" t="str">
        <x:v>Giulio Mezza</x:v>
      </x:c>
      <x:c r="O551" s="14" t="str">
        <x:v>nm3537262</x:v>
      </x:c>
      <x:c r="P551" s="14" t="str">
        <x:v>Italian Guard</x:v>
      </x:c>
      <x:c r="Q551" s="15" t="n">
        <x:v>1</x:v>
      </x:c>
      <x:c r="R551" s="14" t="str">
        <x:v>2025</x:v>
      </x:c>
      <x:c r="S551" s="14" t="n">
        <x:v>2025</x:v>
      </x:c>
      <x:c r="T551" s="14" t="n">
        <x:v>2025</x:v>
      </x:c>
      <x:c r="U551" s="14" t="str">
        <x:v>Explicit source first year retained</x:v>
      </x:c>
      <x:c r="V551" s="14" t="str">
        <x:v>Earliest supplied year is 2025.</x:v>
      </x:c>
      <x:c r="W551" s="14"/>
      <x:c r="X551" s="14" t="str">
        <x:v>Included</x:v>
      </x:c>
      <x:c r="Y551" s="14"/>
      <x:c r="Z551" s="14" t="str">
        <x:v>Rogue Heroes.docx</x:v>
      </x:c>
      <x:c r="AA551" s="14" t="str">
        <x:v>HYPERLINK is not implemented. linkLocation=https://www.imdb.com/title/tt10405370/fullcredits/,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HYPERLINK("https://en.wikipedia.org/wiki/Rogue_Heroes","Open source")</x:f>
        <x:v>HYPERLINK is not implemented. linkLocation=https://en.wikipedia.org/wiki/Rogue_Heroes,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13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1</x:v>
      </x:c>
      <x:c r="BS551" s="16" t="n">
        <x:v>0.07692307692307693</x:v>
      </x:c>
      <x:c r="BT551" s="14" t="str">
        <x:v>One episode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4" t="str">
        <x:v>HYPERLINK is not implemented. linkLocation=https://www.imdb.com/title/tt10405370/fullcredits/,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tt10405370|nm0458883|spotter in tower</x:v>
      </x:c>
      <x:c r="B552" s="14" t="str">
        <x:v>04</x:v>
      </x:c>
      <x:c r="C552" s="14" t="str">
        <x:v>2022_IMDb_Cast_Lists_Batch_04(1).xlsx</x:v>
      </x:c>
      <x:c r="D552" s="14" t="str">
        <x:v>Rogue Heroes</x:v>
      </x:c>
      <x:c r="E552" s="14" t="n">
        <x:v>101</x:v>
      </x:c>
      <x:c r="F552" s="14" t="str">
        <x:v>Rogue Heroes</x:v>
      </x:c>
      <x:c r="G552" s="14" t="str">
        <x:v>tt10405370</x:v>
      </x:c>
      <x:c r="H552" s="14" t="n">
        <x:v>2022</x:v>
      </x:c>
      <x:c r="I552" s="14" t="n">
        <x:v>2025</x:v>
      </x:c>
      <x:c r="J552" s="14" t="str">
        <x:v>Earlier-Production Carry-In Cohort</x:v>
      </x:c>
      <x:c r="K552" s="14" t="n">
        <x:v>2022</x:v>
      </x:c>
      <x:c r="L552" s="14" t="str">
        <x:v>Used in 2025 annual analysis</x:v>
      </x:c>
      <x:c r="M552" s="15" t="n">
        <x:v>94</x:v>
      </x:c>
      <x:c r="N552" s="14" t="str">
        <x:v>Manuel Klein</x:v>
      </x:c>
      <x:c r="O552" s="14" t="str">
        <x:v>nm0458883</x:v>
      </x:c>
      <x:c r="P552" s="14" t="str">
        <x:v>Spotter in Tower</x:v>
      </x:c>
      <x:c r="Q552" s="15" t="n">
        <x:v>1</x:v>
      </x:c>
      <x:c r="R552" s="14" t="str">
        <x:v>2025</x:v>
      </x:c>
      <x:c r="S552" s="14" t="n">
        <x:v>2025</x:v>
      </x:c>
      <x:c r="T552" s="14" t="n">
        <x:v>2025</x:v>
      </x:c>
      <x:c r="U552" s="14" t="str">
        <x:v>Explicit source first year retained</x:v>
      </x:c>
      <x:c r="V552" s="14" t="str">
        <x:v>Earliest supplied year is 2025.</x:v>
      </x:c>
      <x:c r="W552" s="14"/>
      <x:c r="X552" s="14" t="str">
        <x:v>Included</x:v>
      </x:c>
      <x:c r="Y552" s="14"/>
      <x:c r="Z552" s="14" t="str">
        <x:v>Rogue Heroes.docx</x:v>
      </x:c>
      <x:c r="AA552" s="14" t="str">
        <x:v>HYPERLINK is not implemented. linkLocation=https://www.imdb.com/title/tt10405370/fullcredits/,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HYPERLINK("https://en.wikipedia.org/wiki/Rogue_Heroes","Open source")</x:f>
        <x:v>HYPERLINK is not implemented. linkLocation=https://en.wikipedia.org/wiki/Rogue_Heroes,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13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1</x:v>
      </x:c>
      <x:c r="BS552" s="16" t="n">
        <x:v>0.07692307692307693</x:v>
      </x:c>
      <x:c r="BT552" s="14" t="str">
        <x:v>One episode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4" t="str">
        <x:v>HYPERLINK is not implemented. linkLocation=https://www.imdb.com/title/tt10405370/fullcredits/,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tt10405370|nm13641790|supporting artist</x:v>
      </x:c>
      <x:c r="B553" s="14" t="str">
        <x:v>04</x:v>
      </x:c>
      <x:c r="C553" s="14" t="str">
        <x:v>2022_IMDb_Cast_Lists_Batch_04(1).xlsx</x:v>
      </x:c>
      <x:c r="D553" s="14" t="str">
        <x:v>Rogue Heroes</x:v>
      </x:c>
      <x:c r="E553" s="14" t="n">
        <x:v>102</x:v>
      </x:c>
      <x:c r="F553" s="14" t="str">
        <x:v>Rogue Heroes</x:v>
      </x:c>
      <x:c r="G553" s="14" t="str">
        <x:v>tt10405370</x:v>
      </x:c>
      <x:c r="H553" s="14" t="n">
        <x:v>2022</x:v>
      </x:c>
      <x:c r="I553" s="14" t="n">
        <x:v>2025</x:v>
      </x:c>
      <x:c r="J553" s="14" t="str">
        <x:v>Earlier-Production Carry-In Cohort</x:v>
      </x:c>
      <x:c r="K553" s="14" t="n">
        <x:v>2022</x:v>
      </x:c>
      <x:c r="L553" s="14" t="str">
        <x:v>Used in 2025 annual analysis</x:v>
      </x:c>
      <x:c r="M553" s="15" t="n">
        <x:v>95</x:v>
      </x:c>
      <x:c r="N553" s="14" t="str">
        <x:v>Joshua de Marcos</x:v>
      </x:c>
      <x:c r="O553" s="14" t="str">
        <x:v>nm13641790</x:v>
      </x:c>
      <x:c r="P553" s="14" t="str">
        <x:v>Supporting Artist</x:v>
      </x:c>
      <x:c r="Q553" s="15" t="n">
        <x:v>1</x:v>
      </x:c>
      <x:c r="R553" s="14" t="str">
        <x:v>2025</x:v>
      </x:c>
      <x:c r="S553" s="14" t="n">
        <x:v>2025</x:v>
      </x:c>
      <x:c r="T553" s="14" t="n">
        <x:v>2025</x:v>
      </x:c>
      <x:c r="U553" s="14" t="str">
        <x:v>Explicit source first year retained</x:v>
      </x:c>
      <x:c r="V553" s="14" t="str">
        <x:v>Earliest supplied year is 2025.</x:v>
      </x:c>
      <x:c r="W553" s="14"/>
      <x:c r="X553" s="14" t="str">
        <x:v>Included</x:v>
      </x:c>
      <x:c r="Y553" s="14"/>
      <x:c r="Z553" s="14" t="str">
        <x:v>Rogue Heroes.docx</x:v>
      </x:c>
      <x:c r="AA553" s="14" t="str">
        <x:v>HYPERLINK is not implemented. linkLocation=https://www.imdb.com/title/tt10405370/fullcredits/,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HYPERLINK("https://en.wikipedia.org/wiki/Rogue_Heroes","Open source")</x:f>
        <x:v>HYPERLINK is not implemented. linkLocation=https://en.wikipedia.org/wiki/Rogue_Heroes,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13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1</x:v>
      </x:c>
      <x:c r="BS553" s="16" t="n">
        <x:v>0.07692307692307693</x:v>
      </x:c>
      <x:c r="BT553" s="14" t="str">
        <x:v>One episode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4" t="str">
        <x:v>HYPERLINK is not implemented. linkLocation=https://www.imdb.com/title/tt10405370/fullcredits/,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tt10405370|nm5273954|italian farmer</x:v>
      </x:c>
      <x:c r="B554" s="14" t="str">
        <x:v>04</x:v>
      </x:c>
      <x:c r="C554" s="14" t="str">
        <x:v>2022_IMDb_Cast_Lists_Batch_04(1).xlsx</x:v>
      </x:c>
      <x:c r="D554" s="14" t="str">
        <x:v>Rogue Heroes</x:v>
      </x:c>
      <x:c r="E554" s="14" t="n">
        <x:v>103</x:v>
      </x:c>
      <x:c r="F554" s="14" t="str">
        <x:v>Rogue Heroes</x:v>
      </x:c>
      <x:c r="G554" s="14" t="str">
        <x:v>tt10405370</x:v>
      </x:c>
      <x:c r="H554" s="14" t="n">
        <x:v>2022</x:v>
      </x:c>
      <x:c r="I554" s="14" t="n">
        <x:v>2025</x:v>
      </x:c>
      <x:c r="J554" s="14" t="str">
        <x:v>Earlier-Production Carry-In Cohort</x:v>
      </x:c>
      <x:c r="K554" s="14" t="n">
        <x:v>2022</x:v>
      </x:c>
      <x:c r="L554" s="14" t="str">
        <x:v>Used in 2025 annual analysis</x:v>
      </x:c>
      <x:c r="M554" s="15" t="n">
        <x:v>96</x:v>
      </x:c>
      <x:c r="N554" s="14" t="str">
        <x:v>Thomas Tinker</x:v>
      </x:c>
      <x:c r="O554" s="14" t="str">
        <x:v>nm5273954</x:v>
      </x:c>
      <x:c r="P554" s="14" t="str">
        <x:v>Italian Farmer</x:v>
      </x:c>
      <x:c r="Q554" s="15" t="n">
        <x:v>1</x:v>
      </x:c>
      <x:c r="R554" s="14" t="str">
        <x:v>2025</x:v>
      </x:c>
      <x:c r="S554" s="14" t="n">
        <x:v>2025</x:v>
      </x:c>
      <x:c r="T554" s="14" t="n">
        <x:v>2025</x:v>
      </x:c>
      <x:c r="U554" s="14" t="str">
        <x:v>Explicit source first year retained</x:v>
      </x:c>
      <x:c r="V554" s="14" t="str">
        <x:v>Earliest supplied year is 2025.</x:v>
      </x:c>
      <x:c r="W554" s="14"/>
      <x:c r="X554" s="14" t="str">
        <x:v>Included</x:v>
      </x:c>
      <x:c r="Y554" s="14"/>
      <x:c r="Z554" s="14" t="str">
        <x:v>Rogue Heroes.docx</x:v>
      </x:c>
      <x:c r="AA554" s="14" t="str">
        <x:v>HYPERLINK is not implemented. linkLocation=https://www.imdb.com/title/tt10405370/fullcredits/,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HYPERLINK("https://en.wikipedia.org/wiki/Rogue_Heroes","Open source")</x:f>
        <x:v>HYPERLINK is not implemented. linkLocation=https://en.wikipedia.org/wiki/Rogue_Heroes,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13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0.07692307692307693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4" t="str">
        <x:v>HYPERLINK is not implemented. linkLocation=https://www.imdb.com/title/tt10405370/fullcredits/,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tt10405370|nm16974198|messenger</x:v>
      </x:c>
      <x:c r="B555" s="14" t="str">
        <x:v>04</x:v>
      </x:c>
      <x:c r="C555" s="14" t="str">
        <x:v>2022_IMDb_Cast_Lists_Batch_04(1).xlsx</x:v>
      </x:c>
      <x:c r="D555" s="14" t="str">
        <x:v>Rogue Heroes</x:v>
      </x:c>
      <x:c r="E555" s="14" t="n">
        <x:v>104</x:v>
      </x:c>
      <x:c r="F555" s="14" t="str">
        <x:v>Rogue Heroes</x:v>
      </x:c>
      <x:c r="G555" s="14" t="str">
        <x:v>tt10405370</x:v>
      </x:c>
      <x:c r="H555" s="14" t="n">
        <x:v>2022</x:v>
      </x:c>
      <x:c r="I555" s="14" t="n">
        <x:v>2025</x:v>
      </x:c>
      <x:c r="J555" s="14" t="str">
        <x:v>Earlier-Production Carry-In Cohort</x:v>
      </x:c>
      <x:c r="K555" s="14" t="n">
        <x:v>2022</x:v>
      </x:c>
      <x:c r="L555" s="14" t="str">
        <x:v>Used in 2025 annual analysis</x:v>
      </x:c>
      <x:c r="M555" s="15" t="n">
        <x:v>97</x:v>
      </x:c>
      <x:c r="N555" s="14" t="str">
        <x:v>Benedict Wishart</x:v>
      </x:c>
      <x:c r="O555" s="14" t="str">
        <x:v>nm16974198</x:v>
      </x:c>
      <x:c r="P555" s="14" t="str">
        <x:v>Messenger</x:v>
      </x:c>
      <x:c r="Q555" s="15" t="n">
        <x:v>1</x:v>
      </x:c>
      <x:c r="R555" s="14" t="str">
        <x:v>2025</x:v>
      </x:c>
      <x:c r="S555" s="14" t="n">
        <x:v>2025</x:v>
      </x:c>
      <x:c r="T555" s="14" t="n">
        <x:v>2025</x:v>
      </x:c>
      <x:c r="U555" s="14" t="str">
        <x:v>Explicit source first year retained</x:v>
      </x:c>
      <x:c r="V555" s="14" t="str">
        <x:v>Earliest supplied year is 2025.</x:v>
      </x:c>
      <x:c r="W555" s="14"/>
      <x:c r="X555" s="14" t="str">
        <x:v>Included</x:v>
      </x:c>
      <x:c r="Y555" s="14"/>
      <x:c r="Z555" s="14" t="str">
        <x:v>Rogue Heroes.docx</x:v>
      </x:c>
      <x:c r="AA555" s="14" t="str">
        <x:v>HYPERLINK is not implemented. linkLocation=https://www.imdb.com/title/tt10405370/fullcredits/,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HYPERLINK("https://en.wikipedia.org/wiki/Rogue_Heroes","Open source")</x:f>
        <x:v>HYPERLINK is not implemented. linkLocation=https://en.wikipedia.org/wiki/Rogue_Heroes,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13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0.07692307692307693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4" t="str">
        <x:v>HYPERLINK is not implemented. linkLocation=https://www.imdb.com/title/tt10405370/fullcredits/,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tt10405370|nm1259108|ritz waiter</x:v>
      </x:c>
      <x:c r="B556" s="14" t="str">
        <x:v>04</x:v>
      </x:c>
      <x:c r="C556" s="14" t="str">
        <x:v>2022_IMDb_Cast_Lists_Batch_04(1).xlsx</x:v>
      </x:c>
      <x:c r="D556" s="14" t="str">
        <x:v>Rogue Heroes</x:v>
      </x:c>
      <x:c r="E556" s="14" t="n">
        <x:v>105</x:v>
      </x:c>
      <x:c r="F556" s="14" t="str">
        <x:v>Rogue Heroes</x:v>
      </x:c>
      <x:c r="G556" s="14" t="str">
        <x:v>tt10405370</x:v>
      </x:c>
      <x:c r="H556" s="14" t="n">
        <x:v>2022</x:v>
      </x:c>
      <x:c r="I556" s="14" t="n">
        <x:v>2025</x:v>
      </x:c>
      <x:c r="J556" s="14" t="str">
        <x:v>Earlier-Production Carry-In Cohort</x:v>
      </x:c>
      <x:c r="K556" s="14" t="n">
        <x:v>2022</x:v>
      </x:c>
      <x:c r="L556" s="14" t="str">
        <x:v>Used in 2025 annual analysis</x:v>
      </x:c>
      <x:c r="M556" s="15" t="n">
        <x:v>98</x:v>
      </x:c>
      <x:c r="N556" s="14" t="str">
        <x:v>David Langham</x:v>
      </x:c>
      <x:c r="O556" s="14" t="str">
        <x:v>nm1259108</x:v>
      </x:c>
      <x:c r="P556" s="14" t="str">
        <x:v>Ritz Waiter</x:v>
      </x:c>
      <x:c r="Q556" s="15" t="n">
        <x:v>1</x:v>
      </x:c>
      <x:c r="R556" s="14" t="str">
        <x:v>2025</x:v>
      </x:c>
      <x:c r="S556" s="14" t="n">
        <x:v>2025</x:v>
      </x:c>
      <x:c r="T556" s="14" t="n">
        <x:v>2025</x:v>
      </x:c>
      <x:c r="U556" s="14" t="str">
        <x:v>Explicit source first year retained</x:v>
      </x:c>
      <x:c r="V556" s="14" t="str">
        <x:v>Earliest supplied year is 2025.</x:v>
      </x:c>
      <x:c r="W556" s="14"/>
      <x:c r="X556" s="14" t="str">
        <x:v>Included</x:v>
      </x:c>
      <x:c r="Y556" s="14"/>
      <x:c r="Z556" s="14" t="str">
        <x:v>Rogue Heroes.docx</x:v>
      </x:c>
      <x:c r="AA556" s="14" t="str">
        <x:v>HYPERLINK is not implemented. linkLocation=https://www.imdb.com/title/tt10405370/fullcredits/,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HYPERLINK("https://en.wikipedia.org/wiki/Rogue_Heroes","Open source")</x:f>
        <x:v>HYPERLINK is not implemented. linkLocation=https://en.wikipedia.org/wiki/Rogue_Heroes,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13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0.07692307692307693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4" t="str">
        <x:v>HYPERLINK is not implemented. linkLocation=https://www.imdb.com/title/tt10405370/fullcredits/,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tt10405370|nm8753224|italian driver</x:v>
      </x:c>
      <x:c r="B557" s="14" t="str">
        <x:v>04</x:v>
      </x:c>
      <x:c r="C557" s="14" t="str">
        <x:v>2022_IMDb_Cast_Lists_Batch_04(1).xlsx</x:v>
      </x:c>
      <x:c r="D557" s="14" t="str">
        <x:v>Rogue Heroes</x:v>
      </x:c>
      <x:c r="E557" s="14" t="n">
        <x:v>106</x:v>
      </x:c>
      <x:c r="F557" s="14" t="str">
        <x:v>Rogue Heroes</x:v>
      </x:c>
      <x:c r="G557" s="14" t="str">
        <x:v>tt10405370</x:v>
      </x:c>
      <x:c r="H557" s="14" t="n">
        <x:v>2022</x:v>
      </x:c>
      <x:c r="I557" s="14" t="n">
        <x:v>2025</x:v>
      </x:c>
      <x:c r="J557" s="14" t="str">
        <x:v>Earlier-Production Carry-In Cohort</x:v>
      </x:c>
      <x:c r="K557" s="14" t="n">
        <x:v>2022</x:v>
      </x:c>
      <x:c r="L557" s="14" t="str">
        <x:v>Used in 2025 annual analysis</x:v>
      </x:c>
      <x:c r="M557" s="15" t="n">
        <x:v>99</x:v>
      </x:c>
      <x:c r="N557" s="14" t="str">
        <x:v>Amedeo Bianchimano</x:v>
      </x:c>
      <x:c r="O557" s="14" t="str">
        <x:v>nm8753224</x:v>
      </x:c>
      <x:c r="P557" s="14" t="str">
        <x:v>Italian Driver</x:v>
      </x:c>
      <x:c r="Q557" s="15" t="n">
        <x:v>1</x:v>
      </x:c>
      <x:c r="R557" s="14" t="str">
        <x:v>2025</x:v>
      </x:c>
      <x:c r="S557" s="14" t="n">
        <x:v>2025</x:v>
      </x:c>
      <x:c r="T557" s="14" t="n">
        <x:v>2025</x:v>
      </x:c>
      <x:c r="U557" s="14" t="str">
        <x:v>Explicit source first year retained</x:v>
      </x:c>
      <x:c r="V557" s="14" t="str">
        <x:v>Earliest supplied year is 2025.</x:v>
      </x:c>
      <x:c r="W557" s="14"/>
      <x:c r="X557" s="14" t="str">
        <x:v>Included</x:v>
      </x:c>
      <x:c r="Y557" s="14"/>
      <x:c r="Z557" s="14" t="str">
        <x:v>Rogue Heroes.docx</x:v>
      </x:c>
      <x:c r="AA557" s="14" t="str">
        <x:v>HYPERLINK is not implemented. linkLocation=https://www.imdb.com/title/tt10405370/fullcredits/,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HYPERLINK("https://en.wikipedia.org/wiki/Rogue_Heroes","Open source")</x:f>
        <x:v>HYPERLINK is not implemented. linkLocation=https://en.wikipedia.org/wiki/Rogue_Heroes,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13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0.07692307692307693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4" t="str">
        <x:v>HYPERLINK is not implemented. linkLocation=https://www.imdb.com/title/tt10405370/fullcredits/,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tt10405370|nm1601096|general heidrich</x:v>
      </x:c>
      <x:c r="B558" s="14" t="str">
        <x:v>04</x:v>
      </x:c>
      <x:c r="C558" s="14" t="str">
        <x:v>2022_IMDb_Cast_Lists_Batch_04(1).xlsx</x:v>
      </x:c>
      <x:c r="D558" s="14" t="str">
        <x:v>Rogue Heroes</x:v>
      </x:c>
      <x:c r="E558" s="14" t="n">
        <x:v>108</x:v>
      </x:c>
      <x:c r="F558" s="14" t="str">
        <x:v>Rogue Heroes</x:v>
      </x:c>
      <x:c r="G558" s="14" t="str">
        <x:v>tt10405370</x:v>
      </x:c>
      <x:c r="H558" s="14" t="n">
        <x:v>2022</x:v>
      </x:c>
      <x:c r="I558" s="14" t="n">
        <x:v>2025</x:v>
      </x:c>
      <x:c r="J558" s="14" t="str">
        <x:v>Earlier-Production Carry-In Cohort</x:v>
      </x:c>
      <x:c r="K558" s="14" t="n">
        <x:v>2022</x:v>
      </x:c>
      <x:c r="L558" s="14" t="str">
        <x:v>Used in 2025 annual analysis</x:v>
      </x:c>
      <x:c r="M558" s="15" t="n">
        <x:v>101</x:v>
      </x:c>
      <x:c r="N558" s="14" t="str">
        <x:v>Robert Dölle</x:v>
      </x:c>
      <x:c r="O558" s="14" t="str">
        <x:v>nm1601096</x:v>
      </x:c>
      <x:c r="P558" s="14" t="str">
        <x:v>General Heidrich</x:v>
      </x:c>
      <x:c r="Q558" s="15" t="n">
        <x:v>1</x:v>
      </x:c>
      <x:c r="R558" s="14" t="str">
        <x:v>2025</x:v>
      </x:c>
      <x:c r="S558" s="14" t="n">
        <x:v>2025</x:v>
      </x:c>
      <x:c r="T558" s="14" t="n">
        <x:v>2025</x:v>
      </x:c>
      <x:c r="U558" s="14" t="str">
        <x:v>Explicit source first year retained</x:v>
      </x:c>
      <x:c r="V558" s="14" t="str">
        <x:v>Earliest supplied year is 2025.</x:v>
      </x:c>
      <x:c r="W558" s="14"/>
      <x:c r="X558" s="14" t="str">
        <x:v>Included</x:v>
      </x:c>
      <x:c r="Y558" s="14"/>
      <x:c r="Z558" s="14" t="str">
        <x:v>Rogue Heroes.docx</x:v>
      </x:c>
      <x:c r="AA558" s="14" t="str">
        <x:v>HYPERLINK is not implemented. linkLocation=https://www.imdb.com/title/tt10405370/fullcredits/,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HYPERLINK("https://en.wikipedia.org/wiki/Rogue_Heroes","Open source")</x:f>
        <x:v>HYPERLINK is not implemented. linkLocation=https://en.wikipedia.org/wiki/Rogue_Heroes,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13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0.07692307692307693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4" t="str">
        <x:v>HYPERLINK is not implemented. linkLocation=https://www.imdb.com/title/tt10405370/fullcredits/,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tt10405370|nm12267448|american soldier</x:v>
      </x:c>
      <x:c r="B559" s="14" t="str">
        <x:v>04</x:v>
      </x:c>
      <x:c r="C559" s="14" t="str">
        <x:v>2022_IMDb_Cast_Lists_Batch_04(1).xlsx</x:v>
      </x:c>
      <x:c r="D559" s="14" t="str">
        <x:v>Rogue Heroes</x:v>
      </x:c>
      <x:c r="E559" s="14" t="n">
        <x:v>109</x:v>
      </x:c>
      <x:c r="F559" s="14" t="str">
        <x:v>Rogue Heroes</x:v>
      </x:c>
      <x:c r="G559" s="14" t="str">
        <x:v>tt10405370</x:v>
      </x:c>
      <x:c r="H559" s="14" t="n">
        <x:v>2022</x:v>
      </x:c>
      <x:c r="I559" s="14" t="n">
        <x:v>2025</x:v>
      </x:c>
      <x:c r="J559" s="14" t="str">
        <x:v>Earlier-Production Carry-In Cohort</x:v>
      </x:c>
      <x:c r="K559" s="14" t="n">
        <x:v>2022</x:v>
      </x:c>
      <x:c r="L559" s="14" t="str">
        <x:v>Used in 2025 annual analysis</x:v>
      </x:c>
      <x:c r="M559" s="15" t="n">
        <x:v>102</x:v>
      </x:c>
      <x:c r="N559" s="14" t="str">
        <x:v>Kelvin Ade</x:v>
      </x:c>
      <x:c r="O559" s="14" t="str">
        <x:v>nm12267448</x:v>
      </x:c>
      <x:c r="P559" s="14" t="str">
        <x:v>American Soldier</x:v>
      </x:c>
      <x:c r="Q559" s="15" t="n">
        <x:v>1</x:v>
      </x:c>
      <x:c r="R559" s="14" t="str">
        <x:v>2025</x:v>
      </x:c>
      <x:c r="S559" s="14" t="n">
        <x:v>2025</x:v>
      </x:c>
      <x:c r="T559" s="14" t="n">
        <x:v>2025</x:v>
      </x:c>
      <x:c r="U559" s="14" t="str">
        <x:v>Explicit source first year retained</x:v>
      </x:c>
      <x:c r="V559" s="14" t="str">
        <x:v>Earliest supplied year is 2025.</x:v>
      </x:c>
      <x:c r="W559" s="14"/>
      <x:c r="X559" s="14" t="str">
        <x:v>Included</x:v>
      </x:c>
      <x:c r="Y559" s="14"/>
      <x:c r="Z559" s="14" t="str">
        <x:v>Rogue Heroes.docx</x:v>
      </x:c>
      <x:c r="AA559" s="14" t="str">
        <x:v>HYPERLINK is not implemented. linkLocation=https://www.imdb.com/title/tt10405370/fullcredits/,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HYPERLINK("https://en.wikipedia.org/wiki/Rogue_Heroes","Open source")</x:f>
        <x:v>HYPERLINK is not implemented. linkLocation=https://en.wikipedia.org/wiki/Rogue_Heroes,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13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0.07692307692307693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4" t="str">
        <x:v>HYPERLINK is not implemented. linkLocation=https://www.imdb.com/title/tt10405370/fullcredits/,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tt10405370|nm8464631|italian collaborator</x:v>
      </x:c>
      <x:c r="B560" s="14" t="str">
        <x:v>04</x:v>
      </x:c>
      <x:c r="C560" s="14" t="str">
        <x:v>2022_IMDb_Cast_Lists_Batch_04(1).xlsx</x:v>
      </x:c>
      <x:c r="D560" s="14" t="str">
        <x:v>Rogue Heroes</x:v>
      </x:c>
      <x:c r="E560" s="14" t="n">
        <x:v>110</x:v>
      </x:c>
      <x:c r="F560" s="14" t="str">
        <x:v>Rogue Heroes</x:v>
      </x:c>
      <x:c r="G560" s="14" t="str">
        <x:v>tt10405370</x:v>
      </x:c>
      <x:c r="H560" s="14" t="n">
        <x:v>2022</x:v>
      </x:c>
      <x:c r="I560" s="14" t="n">
        <x:v>2025</x:v>
      </x:c>
      <x:c r="J560" s="14" t="str">
        <x:v>Earlier-Production Carry-In Cohort</x:v>
      </x:c>
      <x:c r="K560" s="14" t="n">
        <x:v>2022</x:v>
      </x:c>
      <x:c r="L560" s="14" t="str">
        <x:v>Used in 2025 annual analysis</x:v>
      </x:c>
      <x:c r="M560" s="15" t="n">
        <x:v>103</x:v>
      </x:c>
      <x:c r="N560" s="14" t="str">
        <x:v>Alessio Montagnani</x:v>
      </x:c>
      <x:c r="O560" s="14" t="str">
        <x:v>nm8464631</x:v>
      </x:c>
      <x:c r="P560" s="14" t="str">
        <x:v>Italian Collaborator</x:v>
      </x:c>
      <x:c r="Q560" s="15" t="n">
        <x:v>1</x:v>
      </x:c>
      <x:c r="R560" s="14" t="str">
        <x:v>2025</x:v>
      </x:c>
      <x:c r="S560" s="14" t="n">
        <x:v>2025</x:v>
      </x:c>
      <x:c r="T560" s="14" t="n">
        <x:v>2025</x:v>
      </x:c>
      <x:c r="U560" s="14" t="str">
        <x:v>Explicit source first year retained</x:v>
      </x:c>
      <x:c r="V560" s="14" t="str">
        <x:v>Earliest supplied year is 2025.</x:v>
      </x:c>
      <x:c r="W560" s="14"/>
      <x:c r="X560" s="14" t="str">
        <x:v>Included</x:v>
      </x:c>
      <x:c r="Y560" s="14"/>
      <x:c r="Z560" s="14" t="str">
        <x:v>Rogue Heroes.docx</x:v>
      </x:c>
      <x:c r="AA560" s="14" t="str">
        <x:v>HYPERLINK is not implemented. linkLocation=https://www.imdb.com/title/tt10405370/fullcredits/,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HYPERLINK("https://en.wikipedia.org/wiki/Rogue_Heroes","Open source")</x:f>
        <x:v>HYPERLINK is not implemented. linkLocation=https://en.wikipedia.org/wiki/Rogue_Heroes,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13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0.07692307692307693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4" t="str">
        <x:v>HYPERLINK is not implemented. linkLocation=https://www.imdb.com/title/tt10405370/fullcredits/,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tt10405370|nm16889999|supporting artist</x:v>
      </x:c>
      <x:c r="B561" s="14" t="str">
        <x:v>04</x:v>
      </x:c>
      <x:c r="C561" s="14" t="str">
        <x:v>2022_IMDb_Cast_Lists_Batch_04(1).xlsx</x:v>
      </x:c>
      <x:c r="D561" s="14" t="str">
        <x:v>Rogue Heroes</x:v>
      </x:c>
      <x:c r="E561" s="14" t="n">
        <x:v>111</x:v>
      </x:c>
      <x:c r="F561" s="14" t="str">
        <x:v>Rogue Heroes</x:v>
      </x:c>
      <x:c r="G561" s="14" t="str">
        <x:v>tt10405370</x:v>
      </x:c>
      <x:c r="H561" s="14" t="n">
        <x:v>2022</x:v>
      </x:c>
      <x:c r="I561" s="14" t="n">
        <x:v>2025</x:v>
      </x:c>
      <x:c r="J561" s="14" t="str">
        <x:v>Earlier-Production Carry-In Cohort</x:v>
      </x:c>
      <x:c r="K561" s="14" t="n">
        <x:v>2022</x:v>
      </x:c>
      <x:c r="L561" s="14" t="str">
        <x:v>Used in 2025 annual analysis</x:v>
      </x:c>
      <x:c r="M561" s="15" t="n">
        <x:v>104</x:v>
      </x:c>
      <x:c r="N561" s="14" t="str">
        <x:v>Luke Mazzamuto</x:v>
      </x:c>
      <x:c r="O561" s="14" t="str">
        <x:v>nm16889999</x:v>
      </x:c>
      <x:c r="P561" s="14" t="str">
        <x:v>Supporting Artist</x:v>
      </x:c>
      <x:c r="Q561" s="15" t="n">
        <x:v>1</x:v>
      </x:c>
      <x:c r="R561" s="14" t="str">
        <x:v>2025</x:v>
      </x:c>
      <x:c r="S561" s="14" t="n">
        <x:v>2025</x:v>
      </x:c>
      <x:c r="T561" s="14" t="n">
        <x:v>2025</x:v>
      </x:c>
      <x:c r="U561" s="14" t="str">
        <x:v>Explicit source first year retained</x:v>
      </x:c>
      <x:c r="V561" s="14" t="str">
        <x:v>Earliest supplied year is 2025.</x:v>
      </x:c>
      <x:c r="W561" s="14"/>
      <x:c r="X561" s="14" t="str">
        <x:v>Included</x:v>
      </x:c>
      <x:c r="Y561" s="14"/>
      <x:c r="Z561" s="14" t="str">
        <x:v>Rogue Heroes.docx</x:v>
      </x:c>
      <x:c r="AA561" s="14" t="str">
        <x:v>HYPERLINK is not implemented. linkLocation=https://www.imdb.com/title/tt10405370/fullcredits/,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HYPERLINK("https://en.wikipedia.org/wiki/Rogue_Heroes","Open source")</x:f>
        <x:v>HYPERLINK is not implemented. linkLocation=https://en.wikipedia.org/wiki/Rogue_Heroes,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13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0.07692307692307693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4" t="str">
        <x:v>HYPERLINK is not implemented. linkLocation=https://www.imdb.com/title/tt10405370/fullcredits/,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tt10405370|nm11123420|daphne reece williams</x:v>
      </x:c>
      <x:c r="B562" s="14" t="str">
        <x:v>04</x:v>
      </x:c>
      <x:c r="C562" s="14" t="str">
        <x:v>2022_IMDb_Cast_Lists_Batch_04(1).xlsx</x:v>
      </x:c>
      <x:c r="D562" s="14" t="str">
        <x:v>Rogue Heroes</x:v>
      </x:c>
      <x:c r="E562" s="14" t="n">
        <x:v>113</x:v>
      </x:c>
      <x:c r="F562" s="14" t="str">
        <x:v>Rogue Heroes</x:v>
      </x:c>
      <x:c r="G562" s="14" t="str">
        <x:v>tt10405370</x:v>
      </x:c>
      <x:c r="H562" s="14" t="n">
        <x:v>2022</x:v>
      </x:c>
      <x:c r="I562" s="14" t="n">
        <x:v>2025</x:v>
      </x:c>
      <x:c r="J562" s="14" t="str">
        <x:v>Earlier-Production Carry-In Cohort</x:v>
      </x:c>
      <x:c r="K562" s="14" t="n">
        <x:v>2022</x:v>
      </x:c>
      <x:c r="L562" s="14" t="str">
        <x:v>Used in 2025 annual analysis</x:v>
      </x:c>
      <x:c r="M562" s="15" t="n">
        <x:v>106</x:v>
      </x:c>
      <x:c r="N562" s="14" t="str">
        <x:v>Bianca Bardoe</x:v>
      </x:c>
      <x:c r="O562" s="14" t="str">
        <x:v>nm11123420</x:v>
      </x:c>
      <x:c r="P562" s="14" t="str">
        <x:v>Daphne Reece Williams</x:v>
      </x:c>
      <x:c r="Q562" s="15" t="n">
        <x:v>1</x:v>
      </x:c>
      <x:c r="R562" s="14" t="str">
        <x:v>2025</x:v>
      </x:c>
      <x:c r="S562" s="14" t="n">
        <x:v>2025</x:v>
      </x:c>
      <x:c r="T562" s="14" t="n">
        <x:v>2025</x:v>
      </x:c>
      <x:c r="U562" s="14" t="str">
        <x:v>Explicit source first year retained</x:v>
      </x:c>
      <x:c r="V562" s="14" t="str">
        <x:v>Earliest supplied year is 2025.</x:v>
      </x:c>
      <x:c r="W562" s="14"/>
      <x:c r="X562" s="14" t="str">
        <x:v>Included</x:v>
      </x:c>
      <x:c r="Y562" s="14"/>
      <x:c r="Z562" s="14" t="str">
        <x:v>Rogue Heroes.docx</x:v>
      </x:c>
      <x:c r="AA562" s="14" t="str">
        <x:v>HYPERLINK is not implemented. linkLocation=https://www.imdb.com/title/tt10405370/fullcredits/,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HYPERLINK("https://en.wikipedia.org/wiki/Rogue_Heroes","Open source")</x:f>
        <x:v>HYPERLINK is not implemented. linkLocation=https://en.wikipedia.org/wiki/Rogue_Heroes,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13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0.07692307692307693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4" t="str">
        <x:v>HYPERLINK is not implemented. linkLocation=https://www.imdb.com/title/tt10405370/fullcredits/,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tt10405370|nm4857085|german road block officer</x:v>
      </x:c>
      <x:c r="B563" s="14" t="str">
        <x:v>04</x:v>
      </x:c>
      <x:c r="C563" s="14" t="str">
        <x:v>2022_IMDb_Cast_Lists_Batch_04(1).xlsx</x:v>
      </x:c>
      <x:c r="D563" s="14" t="str">
        <x:v>Rogue Heroes</x:v>
      </x:c>
      <x:c r="E563" s="14" t="n">
        <x:v>114</x:v>
      </x:c>
      <x:c r="F563" s="14" t="str">
        <x:v>Rogue Heroes</x:v>
      </x:c>
      <x:c r="G563" s="14" t="str">
        <x:v>tt10405370</x:v>
      </x:c>
      <x:c r="H563" s="14" t="n">
        <x:v>2022</x:v>
      </x:c>
      <x:c r="I563" s="14" t="n">
        <x:v>2025</x:v>
      </x:c>
      <x:c r="J563" s="14" t="str">
        <x:v>Earlier-Production Carry-In Cohort</x:v>
      </x:c>
      <x:c r="K563" s="14" t="n">
        <x:v>2022</x:v>
      </x:c>
      <x:c r="L563" s="14" t="str">
        <x:v>Used in 2025 annual analysis</x:v>
      </x:c>
      <x:c r="M563" s="15" t="n">
        <x:v>107</x:v>
      </x:c>
      <x:c r="N563" s="14" t="str">
        <x:v>Vibor Krekovic</x:v>
      </x:c>
      <x:c r="O563" s="14" t="str">
        <x:v>nm4857085</x:v>
      </x:c>
      <x:c r="P563" s="14" t="str">
        <x:v>German Road Block Officer</x:v>
      </x:c>
      <x:c r="Q563" s="15" t="n">
        <x:v>1</x:v>
      </x:c>
      <x:c r="R563" s="14" t="str">
        <x:v>2025</x:v>
      </x:c>
      <x:c r="S563" s="14" t="n">
        <x:v>2025</x:v>
      </x:c>
      <x:c r="T563" s="14" t="n">
        <x:v>2025</x:v>
      </x:c>
      <x:c r="U563" s="14" t="str">
        <x:v>Explicit source first year retained</x:v>
      </x:c>
      <x:c r="V563" s="14" t="str">
        <x:v>Earliest supplied year is 2025.</x:v>
      </x:c>
      <x:c r="W563" s="14"/>
      <x:c r="X563" s="14" t="str">
        <x:v>Included</x:v>
      </x:c>
      <x:c r="Y563" s="14"/>
      <x:c r="Z563" s="14" t="str">
        <x:v>Rogue Heroes.docx</x:v>
      </x:c>
      <x:c r="AA563" s="14" t="str">
        <x:v>HYPERLINK is not implemented. linkLocation=https://www.imdb.com/title/tt10405370/fullcredits/,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HYPERLINK("https://en.wikipedia.org/wiki/Rogue_Heroes","Open source")</x:f>
        <x:v>HYPERLINK is not implemented. linkLocation=https://en.wikipedia.org/wiki/Rogue_Heroes,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13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0.07692307692307693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4" t="str">
        <x:v>HYPERLINK is not implemented. linkLocation=https://www.imdb.com/title/tt10405370/fullcredits/,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tt10405370|nm16914429|supporting artist</x:v>
      </x:c>
      <x:c r="B564" s="14" t="str">
        <x:v>04</x:v>
      </x:c>
      <x:c r="C564" s="14" t="str">
        <x:v>2022_IMDb_Cast_Lists_Batch_04(1).xlsx</x:v>
      </x:c>
      <x:c r="D564" s="14" t="str">
        <x:v>Rogue Heroes</x:v>
      </x:c>
      <x:c r="E564" s="14" t="n">
        <x:v>115</x:v>
      </x:c>
      <x:c r="F564" s="14" t="str">
        <x:v>Rogue Heroes</x:v>
      </x:c>
      <x:c r="G564" s="14" t="str">
        <x:v>tt10405370</x:v>
      </x:c>
      <x:c r="H564" s="14" t="n">
        <x:v>2022</x:v>
      </x:c>
      <x:c r="I564" s="14" t="n">
        <x:v>2025</x:v>
      </x:c>
      <x:c r="J564" s="14" t="str">
        <x:v>Earlier-Production Carry-In Cohort</x:v>
      </x:c>
      <x:c r="K564" s="14" t="n">
        <x:v>2022</x:v>
      </x:c>
      <x:c r="L564" s="14" t="str">
        <x:v>Used in 2025 annual analysis</x:v>
      </x:c>
      <x:c r="M564" s="15" t="n">
        <x:v>108</x:v>
      </x:c>
      <x:c r="N564" s="14" t="str">
        <x:v>Dominic Pearcy</x:v>
      </x:c>
      <x:c r="O564" s="14" t="str">
        <x:v>nm16914429</x:v>
      </x:c>
      <x:c r="P564" s="14" t="str">
        <x:v>Supporting Artist</x:v>
      </x:c>
      <x:c r="Q564" s="15" t="n">
        <x:v>1</x:v>
      </x:c>
      <x:c r="R564" s="14" t="str">
        <x:v>2025</x:v>
      </x:c>
      <x:c r="S564" s="14" t="n">
        <x:v>2025</x:v>
      </x:c>
      <x:c r="T564" s="14" t="n">
        <x:v>2025</x:v>
      </x:c>
      <x:c r="U564" s="14" t="str">
        <x:v>Explicit source first year retained</x:v>
      </x:c>
      <x:c r="V564" s="14" t="str">
        <x:v>Earliest supplied year is 2025.</x:v>
      </x:c>
      <x:c r="W564" s="14"/>
      <x:c r="X564" s="14" t="str">
        <x:v>Included</x:v>
      </x:c>
      <x:c r="Y564" s="14"/>
      <x:c r="Z564" s="14" t="str">
        <x:v>Rogue Heroes.docx</x:v>
      </x:c>
      <x:c r="AA564" s="14" t="str">
        <x:v>HYPERLINK is not implemented. linkLocation=https://www.imdb.com/title/tt10405370/fullcredits/,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HYPERLINK("https://en.wikipedia.org/wiki/Rogue_Heroes","Open source")</x:f>
        <x:v>HYPERLINK is not implemented. linkLocation=https://en.wikipedia.org/wiki/Rogue_Heroes,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13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0.07692307692307693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4" t="str">
        <x:v>HYPERLINK is not implemented. linkLocation=https://www.imdb.com/title/tt10405370/fullcredits/,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tt10405370|nm4122118|german prison guard</x:v>
      </x:c>
      <x:c r="B565" s="14" t="str">
        <x:v>04</x:v>
      </x:c>
      <x:c r="C565" s="14" t="str">
        <x:v>2022_IMDb_Cast_Lists_Batch_04(1).xlsx</x:v>
      </x:c>
      <x:c r="D565" s="14" t="str">
        <x:v>Rogue Heroes</x:v>
      </x:c>
      <x:c r="E565" s="14" t="n">
        <x:v>116</x:v>
      </x:c>
      <x:c r="F565" s="14" t="str">
        <x:v>Rogue Heroes</x:v>
      </x:c>
      <x:c r="G565" s="14" t="str">
        <x:v>tt10405370</x:v>
      </x:c>
      <x:c r="H565" s="14" t="n">
        <x:v>2022</x:v>
      </x:c>
      <x:c r="I565" s="14" t="n">
        <x:v>2025</x:v>
      </x:c>
      <x:c r="J565" s="14" t="str">
        <x:v>Earlier-Production Carry-In Cohort</x:v>
      </x:c>
      <x:c r="K565" s="14" t="n">
        <x:v>2022</x:v>
      </x:c>
      <x:c r="L565" s="14" t="str">
        <x:v>Used in 2025 annual analysis</x:v>
      </x:c>
      <x:c r="M565" s="15" t="n">
        <x:v>109</x:v>
      </x:c>
      <x:c r="N565" s="14" t="str">
        <x:v>George Taylor</x:v>
      </x:c>
      <x:c r="O565" s="14" t="str">
        <x:v>nm4122118</x:v>
      </x:c>
      <x:c r="P565" s="14" t="str">
        <x:v>German Prison Guard</x:v>
      </x:c>
      <x:c r="Q565" s="15" t="n">
        <x:v>1</x:v>
      </x:c>
      <x:c r="R565" s="14" t="str">
        <x:v>2025</x:v>
      </x:c>
      <x:c r="S565" s="14" t="n">
        <x:v>2025</x:v>
      </x:c>
      <x:c r="T565" s="14" t="n">
        <x:v>2025</x:v>
      </x:c>
      <x:c r="U565" s="14" t="str">
        <x:v>Explicit source first year retained</x:v>
      </x:c>
      <x:c r="V565" s="14" t="str">
        <x:v>Earliest supplied year is 2025.</x:v>
      </x:c>
      <x:c r="W565" s="14"/>
      <x:c r="X565" s="14" t="str">
        <x:v>Included</x:v>
      </x:c>
      <x:c r="Y565" s="14"/>
      <x:c r="Z565" s="14" t="str">
        <x:v>Rogue Heroes.docx</x:v>
      </x:c>
      <x:c r="AA565" s="14" t="str">
        <x:v>HYPERLINK is not implemented. linkLocation=https://www.imdb.com/title/tt10405370/fullcredits/,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HYPERLINK("https://en.wikipedia.org/wiki/Rogue_Heroes","Open source")</x:f>
        <x:v>HYPERLINK is not implemented. linkLocation=https://en.wikipedia.org/wiki/Rogue_Heroes,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13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0.07692307692307693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4" t="str">
        <x:v>HYPERLINK is not implemented. linkLocation=https://www.imdb.com/title/tt10405370/fullcredits/,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tt10405370|nm0194128|giulio colombo</x:v>
      </x:c>
      <x:c r="B566" s="14" t="str">
        <x:v>04</x:v>
      </x:c>
      <x:c r="C566" s="14" t="str">
        <x:v>2022_IMDb_Cast_Lists_Batch_04(1).xlsx</x:v>
      </x:c>
      <x:c r="D566" s="14" t="str">
        <x:v>Rogue Heroes</x:v>
      </x:c>
      <x:c r="E566" s="14" t="n">
        <x:v>117</x:v>
      </x:c>
      <x:c r="F566" s="14" t="str">
        <x:v>Rogue Heroes</x:v>
      </x:c>
      <x:c r="G566" s="14" t="str">
        <x:v>tt10405370</x:v>
      </x:c>
      <x:c r="H566" s="14" t="n">
        <x:v>2022</x:v>
      </x:c>
      <x:c r="I566" s="14" t="n">
        <x:v>2025</x:v>
      </x:c>
      <x:c r="J566" s="14" t="str">
        <x:v>Earlier-Production Carry-In Cohort</x:v>
      </x:c>
      <x:c r="K566" s="14" t="n">
        <x:v>2022</x:v>
      </x:c>
      <x:c r="L566" s="14" t="str">
        <x:v>Used in 2025 annual analysis</x:v>
      </x:c>
      <x:c r="M566" s="15" t="n">
        <x:v>110</x:v>
      </x:c>
      <x:c r="N566" s="14" t="str">
        <x:v>Rok Cvetkov</x:v>
      </x:c>
      <x:c r="O566" s="14" t="str">
        <x:v>nm0194128</x:v>
      </x:c>
      <x:c r="P566" s="14" t="str">
        <x:v>Giulio Colombo</x:v>
      </x:c>
      <x:c r="Q566" s="15" t="n">
        <x:v>1</x:v>
      </x:c>
      <x:c r="R566" s="14" t="str">
        <x:v>2025</x:v>
      </x:c>
      <x:c r="S566" s="14" t="n">
        <x:v>2025</x:v>
      </x:c>
      <x:c r="T566" s="14" t="n">
        <x:v>2025</x:v>
      </x:c>
      <x:c r="U566" s="14" t="str">
        <x:v>Explicit source first year retained</x:v>
      </x:c>
      <x:c r="V566" s="14" t="str">
        <x:v>Earliest supplied year is 2025.</x:v>
      </x:c>
      <x:c r="W566" s="14"/>
      <x:c r="X566" s="14" t="str">
        <x:v>Included</x:v>
      </x:c>
      <x:c r="Y566" s="14"/>
      <x:c r="Z566" s="14" t="str">
        <x:v>Rogue Heroes.docx</x:v>
      </x:c>
      <x:c r="AA566" s="14" t="str">
        <x:v>HYPERLINK is not implemented. linkLocation=https://www.imdb.com/title/tt10405370/fullcredits/,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HYPERLINK("https://en.wikipedia.org/wiki/Rogue_Heroes","Open source")</x:f>
        <x:v>HYPERLINK is not implemented. linkLocation=https://en.wikipedia.org/wiki/Rogue_Heroes,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13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0.07692307692307693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4" t="str">
        <x:v>HYPERLINK is not implemented. linkLocation=https://www.imdb.com/title/tt10405370/fullcredits/,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tt10405370|nm7447543|german surrendering officer</x:v>
      </x:c>
      <x:c r="B567" s="14" t="str">
        <x:v>04</x:v>
      </x:c>
      <x:c r="C567" s="14" t="str">
        <x:v>2022_IMDb_Cast_Lists_Batch_04(1).xlsx</x:v>
      </x:c>
      <x:c r="D567" s="14" t="str">
        <x:v>Rogue Heroes</x:v>
      </x:c>
      <x:c r="E567" s="14" t="n">
        <x:v>118</x:v>
      </x:c>
      <x:c r="F567" s="14" t="str">
        <x:v>Rogue Heroes</x:v>
      </x:c>
      <x:c r="G567" s="14" t="str">
        <x:v>tt10405370</x:v>
      </x:c>
      <x:c r="H567" s="14" t="n">
        <x:v>2022</x:v>
      </x:c>
      <x:c r="I567" s="14" t="n">
        <x:v>2025</x:v>
      </x:c>
      <x:c r="J567" s="14" t="str">
        <x:v>Earlier-Production Carry-In Cohort</x:v>
      </x:c>
      <x:c r="K567" s="14" t="n">
        <x:v>2022</x:v>
      </x:c>
      <x:c r="L567" s="14" t="str">
        <x:v>Used in 2025 annual analysis</x:v>
      </x:c>
      <x:c r="M567" s="15" t="n">
        <x:v>111</x:v>
      </x:c>
      <x:c r="N567" s="14" t="str">
        <x:v>Terence Schweizer</x:v>
      </x:c>
      <x:c r="O567" s="14" t="str">
        <x:v>nm7447543</x:v>
      </x:c>
      <x:c r="P567" s="14" t="str">
        <x:v>German Surrendering Officer</x:v>
      </x:c>
      <x:c r="Q567" s="15" t="n">
        <x:v>1</x:v>
      </x:c>
      <x:c r="R567" s="14" t="str">
        <x:v>2025</x:v>
      </x:c>
      <x:c r="S567" s="14" t="n">
        <x:v>2025</x:v>
      </x:c>
      <x:c r="T567" s="14" t="n">
        <x:v>2025</x:v>
      </x:c>
      <x:c r="U567" s="14" t="str">
        <x:v>Explicit source first year retained</x:v>
      </x:c>
      <x:c r="V567" s="14" t="str">
        <x:v>Earliest supplied year is 2025.</x:v>
      </x:c>
      <x:c r="W567" s="14"/>
      <x:c r="X567" s="14" t="str">
        <x:v>Included</x:v>
      </x:c>
      <x:c r="Y567" s="14"/>
      <x:c r="Z567" s="14" t="str">
        <x:v>Rogue Heroes.docx</x:v>
      </x:c>
      <x:c r="AA567" s="14" t="str">
        <x:v>HYPERLINK is not implemented. linkLocation=https://www.imdb.com/title/tt10405370/fullcredits/,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HYPERLINK("https://en.wikipedia.org/wiki/Rogue_Heroes","Open source")</x:f>
        <x:v>HYPERLINK is not implemented. linkLocation=https://en.wikipedia.org/wiki/Rogue_Heroes,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13</x:v>
      </x:c>
      <x:c r="BP567" s="14" t="str">
        <x:v>Maximum supplied eligible IMDb cast-credit total; annual episode total not independently verified.</x:v>
      </x:c>
      <x:c r="BQ567" s="14" t="str">
        <x:v>Medium</x:v>
      </x:c>
      <x:c r="BR567" s="15" t="n">
        <x:v>1</x:v>
      </x:c>
      <x:c r="BS567" s="16" t="n">
        <x:v>0.07692307692307693</x:v>
      </x:c>
      <x:c r="BT567" s="14" t="str">
        <x:v>One episode</x:v>
      </x:c>
      <x:c r="BU567" s="14" t="str">
        <x:v>Medium</x:v>
      </x:c>
      <x:c r="BV567" s="14" t="str">
        <x:v>Derived from the supplied IMDb episode count and documented production-total proxy.</x:v>
      </x:c>
      <x:c r="BW567" s="14" t="str">
        <x:v>Unable to determine</x:v>
      </x:c>
      <x:c r="BX567" s="14" t="str">
        <x:v>Cast-list and episode data do not establish narrative prominence.</x:v>
      </x:c>
      <x:c r="BY567" s="14" t="str">
        <x:v>Supplied IMDb cast-list workbook</x:v>
      </x:c>
      <x:c r="BZ567" s="14" t="str">
        <x:v>HYPERLINK is not implemented. linkLocation=https://www.imdb.com/title/tt10405370/fullcredits/,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tt10405370|nm6773218|german officer on bridge</x:v>
      </x:c>
      <x:c r="B568" s="14" t="str">
        <x:v>04</x:v>
      </x:c>
      <x:c r="C568" s="14" t="str">
        <x:v>2022_IMDb_Cast_Lists_Batch_04(1).xlsx</x:v>
      </x:c>
      <x:c r="D568" s="14" t="str">
        <x:v>Rogue Heroes</x:v>
      </x:c>
      <x:c r="E568" s="14" t="n">
        <x:v>120</x:v>
      </x:c>
      <x:c r="F568" s="14" t="str">
        <x:v>Rogue Heroes</x:v>
      </x:c>
      <x:c r="G568" s="14" t="str">
        <x:v>tt10405370</x:v>
      </x:c>
      <x:c r="H568" s="14" t="n">
        <x:v>2022</x:v>
      </x:c>
      <x:c r="I568" s="14" t="n">
        <x:v>2025</x:v>
      </x:c>
      <x:c r="J568" s="14" t="str">
        <x:v>Earlier-Production Carry-In Cohort</x:v>
      </x:c>
      <x:c r="K568" s="14" t="n">
        <x:v>2022</x:v>
      </x:c>
      <x:c r="L568" s="14" t="str">
        <x:v>Used in 2025 annual analysis</x:v>
      </x:c>
      <x:c r="M568" s="15" t="n">
        <x:v>113</x:v>
      </x:c>
      <x:c r="N568" s="14" t="str">
        <x:v>Robin Leo Hoffmann</x:v>
      </x:c>
      <x:c r="O568" s="14" t="str">
        <x:v>nm6773218</x:v>
      </x:c>
      <x:c r="P568" s="14" t="str">
        <x:v>German Officer on Bridge</x:v>
      </x:c>
      <x:c r="Q568" s="15" t="n">
        <x:v>1</x:v>
      </x:c>
      <x:c r="R568" s="14" t="str">
        <x:v>2025</x:v>
      </x:c>
      <x:c r="S568" s="14" t="n">
        <x:v>2025</x:v>
      </x:c>
      <x:c r="T568" s="14" t="n">
        <x:v>2025</x:v>
      </x:c>
      <x:c r="U568" s="14" t="str">
        <x:v>Explicit source first year retained</x:v>
      </x:c>
      <x:c r="V568" s="14" t="str">
        <x:v>Earliest supplied year is 2025.</x:v>
      </x:c>
      <x:c r="W568" s="14"/>
      <x:c r="X568" s="14" t="str">
        <x:v>Included</x:v>
      </x:c>
      <x:c r="Y568" s="14"/>
      <x:c r="Z568" s="14" t="str">
        <x:v>Rogue Heroes.docx</x:v>
      </x:c>
      <x:c r="AA568" s="14" t="str">
        <x:v>HYPERLINK is not implemented. linkLocation=https://www.imdb.com/title/tt10405370/fullcredits/,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HYPERLINK("https://en.wikipedia.org/wiki/Rogue_Heroes","Open source")</x:f>
        <x:v>HYPERLINK is not implemented. linkLocation=https://en.wikipedia.org/wiki/Rogue_Heroes,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13</x:v>
      </x:c>
      <x:c r="BP568" s="14" t="str">
        <x:v>Maximum supplied eligible IMDb cast-credit total; annual episode total not independently verified.</x:v>
      </x:c>
      <x:c r="BQ568" s="14" t="str">
        <x:v>Medium</x:v>
      </x:c>
      <x:c r="BR568" s="15" t="n">
        <x:v>1</x:v>
      </x:c>
      <x:c r="BS568" s="16" t="n">
        <x:v>0.07692307692307693</x:v>
      </x:c>
      <x:c r="BT568" s="14" t="str">
        <x:v>One episode</x:v>
      </x:c>
      <x:c r="BU568" s="14" t="str">
        <x:v>Medium</x:v>
      </x:c>
      <x:c r="BV568" s="14" t="str">
        <x:v>Derived from the supplied IMDb episode count and documented production-total proxy.</x:v>
      </x:c>
      <x:c r="BW568" s="14" t="str">
        <x:v>Unable to determine</x:v>
      </x:c>
      <x:c r="BX568" s="14" t="str">
        <x:v>Cast-list and episode data do not establish narrative prominence.</x:v>
      </x:c>
      <x:c r="BY568" s="14" t="str">
        <x:v>Supplied IMDb cast-list workbook</x:v>
      </x:c>
      <x:c r="BZ568" s="14" t="str">
        <x:v>HYPERLINK is not implemented. linkLocation=https://www.imdb.com/title/tt10405370/fullcredits/,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tt15407098|nm0018723|lord matthew sedgewick</x:v>
      </x:c>
      <x:c r="B569" s="14" t="str">
        <x:v>05</x:v>
      </x:c>
      <x:c r="C569" s="14" t="str">
        <x:v>2022_IMDb_Cast_Lists_Batch_05(1).xlsx</x:v>
      </x:c>
      <x:c r="D569" s="14" t="str">
        <x:v>Sister Boniface Mysteries</x:v>
      </x:c>
      <x:c r="E569" s="14" t="n">
        <x:v>28</x:v>
      </x:c>
      <x:c r="F569" s="14" t="str">
        <x:v>Sister Boniface Mysteries</x:v>
      </x:c>
      <x:c r="G569" s="14" t="str">
        <x:v>tt15407098</x:v>
      </x:c>
      <x:c r="H569" s="14" t="n">
        <x:v>2022</x:v>
      </x:c>
      <x:c r="I569" s="14" t="n">
        <x:v>2025</x:v>
      </x:c>
      <x:c r="J569" s="14" t="str">
        <x:v>Earlier-Production Carry-In Cohort</x:v>
      </x:c>
      <x:c r="K569" s="14" t="n">
        <x:v>2022</x:v>
      </x:c>
      <x:c r="L569" s="14" t="str">
        <x:v>Used in 2025 annual analysis</x:v>
      </x:c>
      <x:c r="M569" s="15" t="n">
        <x:v>21</x:v>
      </x:c>
      <x:c r="N569" s="14" t="str">
        <x:v>Sam Alexander</x:v>
      </x:c>
      <x:c r="O569" s="14" t="str">
        <x:v>nm0018723</x:v>
      </x:c>
      <x:c r="P569" s="14" t="str">
        <x:v>Lord Matthew Sedgewick</x:v>
      </x:c>
      <x:c r="Q569" s="15" t="n">
        <x:v>2</x:v>
      </x:c>
      <x:c r="R569" s="14" t="str">
        <x:v>2025</x:v>
      </x:c>
      <x:c r="S569" s="14" t="n">
        <x:v>2025</x:v>
      </x:c>
      <x:c r="T569" s="14" t="n">
        <x:v>2025</x:v>
      </x:c>
      <x:c r="U569" s="14" t="str">
        <x:v>Explicit source first year retained</x:v>
      </x:c>
      <x:c r="V569" s="14" t="str">
        <x:v>Earliest supplied year is 2025.</x:v>
      </x:c>
      <x:c r="W569" s="14"/>
      <x:c r="X569" s="14" t="str">
        <x:v>Included</x:v>
      </x:c>
      <x:c r="Y569" s="14"/>
      <x:c r="Z569" s="14" t="str">
        <x:v>Sister Boniface Mysteries.docx</x:v>
      </x:c>
      <x:c r="AA569" s="14" t="str">
        <x:v>HYPERLINK is not implemented. linkLocation=https://www.imdb.com/title/tt15407098/fullcredits/,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BritBox UK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69" s="14" t="str">
        <x:v>No qualifying BBC relationship</x:v>
      </x:c>
      <x:c r="AO569" s="14" t="str">
        <x:v>No</x:v>
      </x:c>
      <x:c r="AP569" s="14" t="str">
        <x:v>Out of scope</x:v>
      </x:c>
      <x:c r="AQ569" s="14" t="str">
        <x:v>No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38</x:v>
      </x:c>
      <x:c r="BP569" s="14" t="str">
        <x:v>Maximum supplied eligible IMDb cast-credit total; annual episode total not independently verified.</x:v>
      </x:c>
      <x:c r="BQ569" s="14" t="str">
        <x:v>Medium</x:v>
      </x:c>
      <x:c r="BR569" s="15" t="n">
        <x:v>2</x:v>
      </x:c>
      <x:c r="BS569" s="16" t="n">
        <x:v>0.05263157894736842</x:v>
      </x:c>
      <x:c r="BT569" s="14" t="str">
        <x:v>Minority of episodes</x:v>
      </x:c>
      <x:c r="BU569" s="14" t="str">
        <x:v>Medium</x:v>
      </x:c>
      <x:c r="BV569" s="14" t="str">
        <x:v>Derived from the supplied IMDb episode count and documented production-total proxy.</x:v>
      </x:c>
      <x:c r="BW569" s="14" t="str">
        <x:v>Unable to determine</x:v>
      </x:c>
      <x:c r="BX569" s="14" t="str">
        <x:v>Cast-list and episode data do not establish narrative prominence.</x:v>
      </x:c>
      <x:c r="BY569" s="14" t="str">
        <x:v>Supplied IMDb cast-list workbook</x:v>
      </x:c>
      <x:c r="BZ569" s="14" t="str">
        <x:v>HYPERLINK is not implemented. linkLocation=https://www.imdb.com/title/tt15407098/fullcredits/,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tt15407098|nm2952645|freddie fuller</x:v>
      </x:c>
      <x:c r="B570" s="14" t="str">
        <x:v>05</x:v>
      </x:c>
      <x:c r="C570" s="14" t="str">
        <x:v>2022_IMDb_Cast_Lists_Batch_05(1).xlsx</x:v>
      </x:c>
      <x:c r="D570" s="14" t="str">
        <x:v>Sister Boniface Mysteries</x:v>
      </x:c>
      <x:c r="E570" s="14" t="n">
        <x:v>50</x:v>
      </x:c>
      <x:c r="F570" s="14" t="str">
        <x:v>Sister Boniface Mysteries</x:v>
      </x:c>
      <x:c r="G570" s="14" t="str">
        <x:v>tt15407098</x:v>
      </x:c>
      <x:c r="H570" s="14" t="n">
        <x:v>2022</x:v>
      </x:c>
      <x:c r="I570" s="14" t="n">
        <x:v>2025</x:v>
      </x:c>
      <x:c r="J570" s="14" t="str">
        <x:v>Earlier-Production Carry-In Cohort</x:v>
      </x:c>
      <x:c r="K570" s="14" t="n">
        <x:v>2022</x:v>
      </x:c>
      <x:c r="L570" s="14" t="str">
        <x:v>Used in 2025 annual analysis</x:v>
      </x:c>
      <x:c r="M570" s="15" t="n">
        <x:v>43</x:v>
      </x:c>
      <x:c r="N570" s="14" t="str">
        <x:v>Jonny Weldon</x:v>
      </x:c>
      <x:c r="O570" s="14" t="str">
        <x:v>nm2952645</x:v>
      </x:c>
      <x:c r="P570" s="14" t="str">
        <x:v>Freddie Fuller</x:v>
      </x:c>
      <x:c r="Q570" s="15" t="n">
        <x:v>1</x:v>
      </x:c>
      <x:c r="R570" s="14" t="str">
        <x:v>2025</x:v>
      </x:c>
      <x:c r="S570" s="14" t="n">
        <x:v>2025</x:v>
      </x:c>
      <x:c r="T570" s="14" t="n">
        <x:v>2025</x:v>
      </x:c>
      <x:c r="U570" s="14" t="str">
        <x:v>Explicit source first year retained</x:v>
      </x:c>
      <x:c r="V570" s="14" t="str">
        <x:v>Earliest supplied year is 2025.</x:v>
      </x:c>
      <x:c r="W570" s="14"/>
      <x:c r="X570" s="14" t="str">
        <x:v>Included</x:v>
      </x:c>
      <x:c r="Y570" s="14"/>
      <x:c r="Z570" s="14" t="str">
        <x:v>Sister Boniface Mysteries.docx</x:v>
      </x:c>
      <x:c r="AA570" s="14" t="str">
        <x:v>HYPERLINK is not implemented. linkLocation=https://www.imdb.com/title/tt15407098/fullcredits/,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BritBox UK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0" s="14" t="str">
        <x:v>No qualifying BBC relationship</x:v>
      </x:c>
      <x:c r="AO570" s="14" t="str">
        <x:v>No</x:v>
      </x:c>
      <x:c r="AP570" s="14" t="str">
        <x:v>Out of scope</x:v>
      </x:c>
      <x:c r="AQ570" s="14" t="str">
        <x:v>No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38</x:v>
      </x:c>
      <x:c r="BP570" s="14" t="str">
        <x:v>Maximum supplied eligible IMDb cast-credit total; annual episode total not independently verified.</x:v>
      </x:c>
      <x:c r="BQ570" s="14" t="str">
        <x:v>Medium</x:v>
      </x:c>
      <x:c r="BR570" s="15" t="n">
        <x:v>1</x:v>
      </x:c>
      <x:c r="BS570" s="16" t="n">
        <x:v>0.02631578947368421</x:v>
      </x:c>
      <x:c r="BT570" s="14" t="str">
        <x:v>One episode</x:v>
      </x:c>
      <x:c r="BU570" s="14" t="str">
        <x:v>Medium</x:v>
      </x:c>
      <x:c r="BV570" s="14" t="str">
        <x:v>Derived from the supplied IMDb episode count and documented production-total proxy.</x:v>
      </x:c>
      <x:c r="BW570" s="14" t="str">
        <x:v>Unable to determine</x:v>
      </x:c>
      <x:c r="BX570" s="14" t="str">
        <x:v>Cast-list and episode data do not establish narrative prominence.</x:v>
      </x:c>
      <x:c r="BY570" s="14" t="str">
        <x:v>Supplied IMDb cast-list workbook</x:v>
      </x:c>
      <x:c r="BZ570" s="14" t="str">
        <x:v>HYPERLINK is not implemented. linkLocation=https://www.imdb.com/title/tt15407098/fullcredits/,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tt15407098|nm0927835|arthur millington</x:v>
      </x:c>
      <x:c r="B571" s="14" t="str">
        <x:v>05</x:v>
      </x:c>
      <x:c r="C571" s="14" t="str">
        <x:v>2022_IMDb_Cast_Lists_Batch_05(1).xlsx</x:v>
      </x:c>
      <x:c r="D571" s="14" t="str">
        <x:v>Sister Boniface Mysteries</x:v>
      </x:c>
      <x:c r="E571" s="14" t="n">
        <x:v>51</x:v>
      </x:c>
      <x:c r="F571" s="14" t="str">
        <x:v>Sister Boniface Mysteries</x:v>
      </x:c>
      <x:c r="G571" s="14" t="str">
        <x:v>tt15407098</x:v>
      </x:c>
      <x:c r="H571" s="14" t="n">
        <x:v>2022</x:v>
      </x:c>
      <x:c r="I571" s="14" t="n">
        <x:v>2025</x:v>
      </x:c>
      <x:c r="J571" s="14" t="str">
        <x:v>Earlier-Production Carry-In Cohort</x:v>
      </x:c>
      <x:c r="K571" s="14" t="n">
        <x:v>2022</x:v>
      </x:c>
      <x:c r="L571" s="14" t="str">
        <x:v>Used in 2025 annual analysis</x:v>
      </x:c>
      <x:c r="M571" s="15" t="n">
        <x:v>44</x:v>
      </x:c>
      <x:c r="N571" s="14" t="str">
        <x:v>Peter Wight</x:v>
      </x:c>
      <x:c r="O571" s="14" t="str">
        <x:v>nm0927835</x:v>
      </x:c>
      <x:c r="P571" s="14" t="str">
        <x:v>Arthur Millington</x:v>
      </x:c>
      <x:c r="Q571" s="15" t="n">
        <x:v>1</x:v>
      </x:c>
      <x:c r="R571" s="14" t="str">
        <x:v>2025</x:v>
      </x:c>
      <x:c r="S571" s="14" t="n">
        <x:v>2025</x:v>
      </x:c>
      <x:c r="T571" s="14" t="n">
        <x:v>2025</x:v>
      </x:c>
      <x:c r="U571" s="14" t="str">
        <x:v>Explicit source first year retained</x:v>
      </x:c>
      <x:c r="V571" s="14" t="str">
        <x:v>Earliest supplied year is 2025.</x:v>
      </x:c>
      <x:c r="W571" s="14"/>
      <x:c r="X571" s="14" t="str">
        <x:v>Included</x:v>
      </x:c>
      <x:c r="Y571" s="14"/>
      <x:c r="Z571" s="14" t="str">
        <x:v>Sister Boniface Mysteries.docx</x:v>
      </x:c>
      <x:c r="AA571" s="14" t="str">
        <x:v>HYPERLINK is not implemented. linkLocation=https://www.imdb.com/title/tt15407098/fullcredits/,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BritBox UK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1" s="14" t="str">
        <x:v>No qualifying BBC relationship</x:v>
      </x:c>
      <x:c r="AO571" s="14" t="str">
        <x:v>No</x:v>
      </x:c>
      <x:c r="AP571" s="14" t="str">
        <x:v>Out of scope</x:v>
      </x:c>
      <x:c r="AQ571" s="14" t="str">
        <x:v>No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38</x:v>
      </x:c>
      <x:c r="BP571" s="14" t="str">
        <x:v>Maximum supplied eligible IMDb cast-credit total; annual episode total not independently verified.</x:v>
      </x:c>
      <x:c r="BQ571" s="14" t="str">
        <x:v>Medium</x:v>
      </x:c>
      <x:c r="BR571" s="15" t="n">
        <x:v>1</x:v>
      </x:c>
      <x:c r="BS571" s="16" t="n">
        <x:v>0.02631578947368421</x:v>
      </x:c>
      <x:c r="BT571" s="14" t="str">
        <x:v>One episode</x:v>
      </x:c>
      <x:c r="BU571" s="14" t="str">
        <x:v>Medium</x:v>
      </x:c>
      <x:c r="BV571" s="14" t="str">
        <x:v>Derived from the supplied IMDb episode count and documented production-total proxy.</x:v>
      </x:c>
      <x:c r="BW571" s="14" t="str">
        <x:v>Unable to determine</x:v>
      </x:c>
      <x:c r="BX571" s="14" t="str">
        <x:v>Cast-list and episode data do not establish narrative prominence.</x:v>
      </x:c>
      <x:c r="BY571" s="14" t="str">
        <x:v>Supplied IMDb cast-list workbook</x:v>
      </x:c>
      <x:c r="BZ571" s="14" t="str">
        <x:v>HYPERLINK is not implemented. linkLocation=https://www.imdb.com/title/tt15407098/fullcredits/,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tt15407098|nm1525717|hank sawyer / narrator</x:v>
      </x:c>
      <x:c r="B572" s="14" t="str">
        <x:v>05</x:v>
      </x:c>
      <x:c r="C572" s="14" t="str">
        <x:v>2022_IMDb_Cast_Lists_Batch_05(1).xlsx</x:v>
      </x:c>
      <x:c r="D572" s="14" t="str">
        <x:v>Sister Boniface Mysteries</x:v>
      </x:c>
      <x:c r="E572" s="14" t="n">
        <x:v>52</x:v>
      </x:c>
      <x:c r="F572" s="14" t="str">
        <x:v>Sister Boniface Mysteries</x:v>
      </x:c>
      <x:c r="G572" s="14" t="str">
        <x:v>tt15407098</x:v>
      </x:c>
      <x:c r="H572" s="14" t="n">
        <x:v>2022</x:v>
      </x:c>
      <x:c r="I572" s="14" t="n">
        <x:v>2025</x:v>
      </x:c>
      <x:c r="J572" s="14" t="str">
        <x:v>Earlier-Production Carry-In Cohort</x:v>
      </x:c>
      <x:c r="K572" s="14" t="n">
        <x:v>2022</x:v>
      </x:c>
      <x:c r="L572" s="14" t="str">
        <x:v>Used in 2025 annual analysis</x:v>
      </x:c>
      <x:c r="M572" s="15" t="n">
        <x:v>45</x:v>
      </x:c>
      <x:c r="N572" s="14" t="str">
        <x:v>David Bedella</x:v>
      </x:c>
      <x:c r="O572" s="14" t="str">
        <x:v>nm1525717</x:v>
      </x:c>
      <x:c r="P572" s="14" t="str">
        <x:v>Hank Sawyer / Narrator</x:v>
      </x:c>
      <x:c r="Q572" s="15" t="n">
        <x:v>1</x:v>
      </x:c>
      <x:c r="R572" s="14" t="str">
        <x:v>2025</x:v>
      </x:c>
      <x:c r="S572" s="14" t="n">
        <x:v>2025</x:v>
      </x:c>
      <x:c r="T572" s="14" t="n">
        <x:v>2025</x:v>
      </x:c>
      <x:c r="U572" s="14" t="str">
        <x:v>Explicit source first year retained</x:v>
      </x:c>
      <x:c r="V572" s="14" t="str">
        <x:v>Earliest supplied year is 2025.</x:v>
      </x:c>
      <x:c r="W572" s="14"/>
      <x:c r="X572" s="14" t="str">
        <x:v>Included</x:v>
      </x:c>
      <x:c r="Y572" s="14"/>
      <x:c r="Z572" s="14" t="str">
        <x:v>Sister Boniface Mysteries.docx</x:v>
      </x:c>
      <x:c r="AA572" s="14" t="str">
        <x:v>HYPERLINK is not implemented. linkLocation=https://www.imdb.com/title/tt15407098/fullcredits/,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BritBox UK</x:v>
      </x:c>
      <x:c r="AI572" s="14" t="str">
        <x:v>UK original 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uk original commission.</x:v>
      </x:c>
      <x:c r="AM5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2" s="14" t="str">
        <x:v>No qualifying BBC relationship</x:v>
      </x:c>
      <x:c r="AO572" s="14" t="str">
        <x:v>No</x:v>
      </x:c>
      <x:c r="AP572" s="14" t="str">
        <x:v>Out of scope</x:v>
      </x:c>
      <x:c r="AQ572" s="14" t="str">
        <x:v>No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38</x:v>
      </x:c>
      <x:c r="BP572" s="14" t="str">
        <x:v>Maximum supplied eligible IMDb cast-credit total; annual episode total not independently verified.</x:v>
      </x:c>
      <x:c r="BQ572" s="14" t="str">
        <x:v>Medium</x:v>
      </x:c>
      <x:c r="BR572" s="15" t="n">
        <x:v>1</x:v>
      </x:c>
      <x:c r="BS572" s="16" t="n">
        <x:v>0.02631578947368421</x:v>
      </x:c>
      <x:c r="BT572" s="14" t="str">
        <x:v>One episode</x:v>
      </x:c>
      <x:c r="BU572" s="14" t="str">
        <x:v>Medium</x:v>
      </x:c>
      <x:c r="BV572" s="14" t="str">
        <x:v>Derived from the supplied IMDb episode count and documented production-total proxy.</x:v>
      </x:c>
      <x:c r="BW572" s="14" t="str">
        <x:v>Unable to determine</x:v>
      </x:c>
      <x:c r="BX572" s="14" t="str">
        <x:v>Cast-list and episode data do not establish narrative prominence.</x:v>
      </x:c>
      <x:c r="BY572" s="14" t="str">
        <x:v>Supplied IMDb cast-list workbook</x:v>
      </x:c>
      <x:c r="BZ572" s="14" t="str">
        <x:v>HYPERLINK is not implemented. linkLocation=https://www.imdb.com/title/tt15407098/fullcredits/,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tt15407098|nm1746538|alan yarrow</x:v>
      </x:c>
      <x:c r="B573" s="14" t="str">
        <x:v>05</x:v>
      </x:c>
      <x:c r="C573" s="14" t="str">
        <x:v>2022_IMDb_Cast_Lists_Batch_05(1).xlsx</x:v>
      </x:c>
      <x:c r="D573" s="14" t="str">
        <x:v>Sister Boniface Mysteries</x:v>
      </x:c>
      <x:c r="E573" s="14" t="n">
        <x:v>53</x:v>
      </x:c>
      <x:c r="F573" s="14" t="str">
        <x:v>Sister Boniface Mysteries</x:v>
      </x:c>
      <x:c r="G573" s="14" t="str">
        <x:v>tt15407098</x:v>
      </x:c>
      <x:c r="H573" s="14" t="n">
        <x:v>2022</x:v>
      </x:c>
      <x:c r="I573" s="14" t="n">
        <x:v>2025</x:v>
      </x:c>
      <x:c r="J573" s="14" t="str">
        <x:v>Earlier-Production Carry-In Cohort</x:v>
      </x:c>
      <x:c r="K573" s="14" t="n">
        <x:v>2022</x:v>
      </x:c>
      <x:c r="L573" s="14" t="str">
        <x:v>Used in 2025 annual analysis</x:v>
      </x:c>
      <x:c r="M573" s="15" t="n">
        <x:v>46</x:v>
      </x:c>
      <x:c r="N573" s="14" t="str">
        <x:v>Ben Rufus Green</x:v>
      </x:c>
      <x:c r="O573" s="14" t="str">
        <x:v>nm1746538</x:v>
      </x:c>
      <x:c r="P573" s="14" t="str">
        <x:v>Alan Yarrow</x:v>
      </x:c>
      <x:c r="Q573" s="15" t="n">
        <x:v>1</x:v>
      </x:c>
      <x:c r="R573" s="14" t="str">
        <x:v>2025</x:v>
      </x:c>
      <x:c r="S573" s="14" t="n">
        <x:v>2025</x:v>
      </x:c>
      <x:c r="T573" s="14" t="n">
        <x:v>2025</x:v>
      </x:c>
      <x:c r="U573" s="14" t="str">
        <x:v>Explicit source first year retained</x:v>
      </x:c>
      <x:c r="V573" s="14" t="str">
        <x:v>Earliest supplied year is 2025.</x:v>
      </x:c>
      <x:c r="W573" s="14"/>
      <x:c r="X573" s="14" t="str">
        <x:v>Included</x:v>
      </x:c>
      <x:c r="Y573" s="14"/>
      <x:c r="Z573" s="14" t="str">
        <x:v>Sister Boniface Mysteries.docx</x:v>
      </x:c>
      <x:c r="AA573" s="14" t="str">
        <x:v>HYPERLINK is not implemented. linkLocation=https://www.imdb.com/title/tt15407098/fullcredits/,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BritBox UK</x:v>
      </x:c>
      <x:c r="AI573" s="14" t="str">
        <x:v>UK original 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uk original commission.</x:v>
      </x:c>
      <x:c r="AM5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3" s="14" t="str">
        <x:v>No qualifying BBC relationship</x:v>
      </x:c>
      <x:c r="AO573" s="14" t="str">
        <x:v>No</x:v>
      </x:c>
      <x:c r="AP573" s="14" t="str">
        <x:v>Out of scope</x:v>
      </x:c>
      <x:c r="AQ573" s="14" t="str">
        <x:v>No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38</x:v>
      </x:c>
      <x:c r="BP573" s="14" t="str">
        <x:v>Maximum supplied eligible IMDb cast-credit total; annual episode total not independently verified.</x:v>
      </x:c>
      <x:c r="BQ573" s="14" t="str">
        <x:v>Medium</x:v>
      </x:c>
      <x:c r="BR573" s="15" t="n">
        <x:v>1</x:v>
      </x:c>
      <x:c r="BS573" s="16" t="n">
        <x:v>0.02631578947368421</x:v>
      </x:c>
      <x:c r="BT573" s="14" t="str">
        <x:v>One episode</x:v>
      </x:c>
      <x:c r="BU573" s="14" t="str">
        <x:v>Medium</x:v>
      </x:c>
      <x:c r="BV573" s="14" t="str">
        <x:v>Derived from the supplied IMDb episode count and documented production-total proxy.</x:v>
      </x:c>
      <x:c r="BW573" s="14" t="str">
        <x:v>Unable to determine</x:v>
      </x:c>
      <x:c r="BX573" s="14" t="str">
        <x:v>Cast-list and episode data do not establish narrative prominence.</x:v>
      </x:c>
      <x:c r="BY573" s="14" t="str">
        <x:v>Supplied IMDb cast-list workbook</x:v>
      </x:c>
      <x:c r="BZ573" s="14" t="str">
        <x:v>HYPERLINK is not implemented. linkLocation=https://www.imdb.com/title/tt15407098/fullcredits/,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tt15407098|nm1360837|walt north / foxman</x:v>
      </x:c>
      <x:c r="B574" s="14" t="str">
        <x:v>05</x:v>
      </x:c>
      <x:c r="C574" s="14" t="str">
        <x:v>2022_IMDb_Cast_Lists_Batch_05(1).xlsx</x:v>
      </x:c>
      <x:c r="D574" s="14" t="str">
        <x:v>Sister Boniface Mysteries</x:v>
      </x:c>
      <x:c r="E574" s="14" t="n">
        <x:v>67</x:v>
      </x:c>
      <x:c r="F574" s="14" t="str">
        <x:v>Sister Boniface Mysteries</x:v>
      </x:c>
      <x:c r="G574" s="14" t="str">
        <x:v>tt15407098</x:v>
      </x:c>
      <x:c r="H574" s="14" t="n">
        <x:v>2022</x:v>
      </x:c>
      <x:c r="I574" s="14" t="n">
        <x:v>2025</x:v>
      </x:c>
      <x:c r="J574" s="14" t="str">
        <x:v>Earlier-Production Carry-In Cohort</x:v>
      </x:c>
      <x:c r="K574" s="14" t="n">
        <x:v>2022</x:v>
      </x:c>
      <x:c r="L574" s="14" t="str">
        <x:v>Used in 2025 annual analysis</x:v>
      </x:c>
      <x:c r="M574" s="15" t="n">
        <x:v>60</x:v>
      </x:c>
      <x:c r="N574" s="14" t="str">
        <x:v>Dan Renton Skinner</x:v>
      </x:c>
      <x:c r="O574" s="14" t="str">
        <x:v>nm1360837</x:v>
      </x:c>
      <x:c r="P574" s="14" t="str">
        <x:v>Walt North / Foxman</x:v>
      </x:c>
      <x:c r="Q574" s="15" t="n">
        <x:v>1</x:v>
      </x:c>
      <x:c r="R574" s="14" t="str">
        <x:v>2025</x:v>
      </x:c>
      <x:c r="S574" s="14" t="n">
        <x:v>2025</x:v>
      </x:c>
      <x:c r="T574" s="14" t="n">
        <x:v>2025</x:v>
      </x:c>
      <x:c r="U574" s="14" t="str">
        <x:v>Explicit source first year retained</x:v>
      </x:c>
      <x:c r="V574" s="14" t="str">
        <x:v>Earliest supplied year is 2025.</x:v>
      </x:c>
      <x:c r="W574" s="14"/>
      <x:c r="X574" s="14" t="str">
        <x:v>Included</x:v>
      </x:c>
      <x:c r="Y574" s="14"/>
      <x:c r="Z574" s="14" t="str">
        <x:v>Sister Boniface Mysteries.docx</x:v>
      </x:c>
      <x:c r="AA574" s="14" t="str">
        <x:v>HYPERLINK is not implemented. linkLocation=https://www.imdb.com/title/tt15407098/fullcredits/,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BritBox UK</x:v>
      </x:c>
      <x:c r="AI574" s="14" t="str">
        <x:v>UK original 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uk original commission.</x:v>
      </x:c>
      <x:c r="AM5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4" s="14" t="str">
        <x:v>No qualifying BBC relationship</x:v>
      </x:c>
      <x:c r="AO574" s="14" t="str">
        <x:v>No</x:v>
      </x:c>
      <x:c r="AP574" s="14" t="str">
        <x:v>Out of scope</x:v>
      </x:c>
      <x:c r="AQ574" s="14" t="str">
        <x:v>No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38</x:v>
      </x:c>
      <x:c r="BP574" s="14" t="str">
        <x:v>Maximum supplied eligible IMDb cast-credit total; annual episode total not independently verified.</x:v>
      </x:c>
      <x:c r="BQ574" s="14" t="str">
        <x:v>Medium</x:v>
      </x:c>
      <x:c r="BR574" s="15" t="n">
        <x:v>1</x:v>
      </x:c>
      <x:c r="BS574" s="16" t="n">
        <x:v>0.02631578947368421</x:v>
      </x:c>
      <x:c r="BT574" s="14" t="str">
        <x:v>One episode</x:v>
      </x:c>
      <x:c r="BU574" s="14" t="str">
        <x:v>Medium</x:v>
      </x:c>
      <x:c r="BV574" s="14" t="str">
        <x:v>Derived from the supplied IMDb episode count and documented production-total proxy.</x:v>
      </x:c>
      <x:c r="BW574" s="14" t="str">
        <x:v>Unable to determine</x:v>
      </x:c>
      <x:c r="BX574" s="14" t="str">
        <x:v>Cast-list and episode data do not establish narrative prominence.</x:v>
      </x:c>
      <x:c r="BY574" s="14" t="str">
        <x:v>Supplied IMDb cast-list workbook</x:v>
      </x:c>
      <x:c r="BZ574" s="14" t="str">
        <x:v>HYPERLINK is not implemented. linkLocation=https://www.imdb.com/title/tt15407098/fullcredits/,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tt15407098|nm0808110|jeanie mcintyre</x:v>
      </x:c>
      <x:c r="B575" s="14" t="str">
        <x:v>05</x:v>
      </x:c>
      <x:c r="C575" s="14" t="str">
        <x:v>2022_IMDb_Cast_Lists_Batch_05(1).xlsx</x:v>
      </x:c>
      <x:c r="D575" s="14" t="str">
        <x:v>Sister Boniface Mysteries</x:v>
      </x:c>
      <x:c r="E575" s="14" t="n">
        <x:v>68</x:v>
      </x:c>
      <x:c r="F575" s="14" t="str">
        <x:v>Sister Boniface Mysteries</x:v>
      </x:c>
      <x:c r="G575" s="14" t="str">
        <x:v>tt15407098</x:v>
      </x:c>
      <x:c r="H575" s="14" t="n">
        <x:v>2022</x:v>
      </x:c>
      <x:c r="I575" s="14" t="n">
        <x:v>2025</x:v>
      </x:c>
      <x:c r="J575" s="14" t="str">
        <x:v>Earlier-Production Carry-In Cohort</x:v>
      </x:c>
      <x:c r="K575" s="14" t="n">
        <x:v>2022</x:v>
      </x:c>
      <x:c r="L575" s="14" t="str">
        <x:v>Used in 2025 annual analysis</x:v>
      </x:c>
      <x:c r="M575" s="15" t="n">
        <x:v>61</x:v>
      </x:c>
      <x:c r="N575" s="14" t="str">
        <x:v>Elaine C. Smith</x:v>
      </x:c>
      <x:c r="O575" s="14" t="str">
        <x:v>nm0808110</x:v>
      </x:c>
      <x:c r="P575" s="14" t="str">
        <x:v>Jeanie McIntyre</x:v>
      </x:c>
      <x:c r="Q575" s="15" t="n">
        <x:v>1</x:v>
      </x:c>
      <x:c r="R575" s="14" t="str">
        <x:v>2025</x:v>
      </x:c>
      <x:c r="S575" s="14" t="n">
        <x:v>2025</x:v>
      </x:c>
      <x:c r="T575" s="14" t="n">
        <x:v>2025</x:v>
      </x:c>
      <x:c r="U575" s="14" t="str">
        <x:v>Explicit source first year retained</x:v>
      </x:c>
      <x:c r="V575" s="14" t="str">
        <x:v>Earliest supplied year is 2025.</x:v>
      </x:c>
      <x:c r="W575" s="14"/>
      <x:c r="X575" s="14" t="str">
        <x:v>Included</x:v>
      </x:c>
      <x:c r="Y575" s="14" t="str">
        <x:v>(as Elaine C Smith)</x:v>
      </x:c>
      <x:c r="Z575" s="14" t="str">
        <x:v>Sister Boniface Mysteries.docx</x:v>
      </x:c>
      <x:c r="AA575" s="14" t="str">
        <x:v>HYPERLINK is not implemented. linkLocation=https://www.imdb.com/title/tt15407098/fullcredits/,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BritBox UK</x:v>
      </x:c>
      <x:c r="AI575" s="14" t="str">
        <x:v>UK original 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uk original commission.</x:v>
      </x:c>
      <x:c r="AM5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5" s="14" t="str">
        <x:v>No qualifying BBC relationship</x:v>
      </x:c>
      <x:c r="AO575" s="14" t="str">
        <x:v>No</x:v>
      </x:c>
      <x:c r="AP575" s="14" t="str">
        <x:v>Out of scope</x:v>
      </x:c>
      <x:c r="AQ575" s="14" t="str">
        <x:v>No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38</x:v>
      </x:c>
      <x:c r="BP575" s="14" t="str">
        <x:v>Maximum supplied eligible IMDb cast-credit total; annual episode total not independently verified.</x:v>
      </x:c>
      <x:c r="BQ575" s="14" t="str">
        <x:v>Medium</x:v>
      </x:c>
      <x:c r="BR575" s="15" t="n">
        <x:v>1</x:v>
      </x:c>
      <x:c r="BS575" s="16" t="n">
        <x:v>0.02631578947368421</x:v>
      </x:c>
      <x:c r="BT575" s="14" t="str">
        <x:v>One episode</x:v>
      </x:c>
      <x:c r="BU575" s="14" t="str">
        <x:v>Medium</x:v>
      </x:c>
      <x:c r="BV575" s="14" t="str">
        <x:v>Derived from the supplied IMDb episode count and documented production-total proxy.</x:v>
      </x:c>
      <x:c r="BW575" s="14" t="str">
        <x:v>Unable to determine</x:v>
      </x:c>
      <x:c r="BX575" s="14" t="str">
        <x:v>Cast-list and episode data do not establish narrative prominence.</x:v>
      </x:c>
      <x:c r="BY575" s="14" t="str">
        <x:v>Supplied IMDb cast-list workbook</x:v>
      </x:c>
      <x:c r="BZ575" s="14" t="str">
        <x:v>HYPERLINK is not implemented. linkLocation=https://www.imdb.com/title/tt15407098/fullcredits/,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tt15407098|nm17691751|angela ainsworth</x:v>
      </x:c>
      <x:c r="B576" s="14" t="str">
        <x:v>05</x:v>
      </x:c>
      <x:c r="C576" s="14" t="str">
        <x:v>2022_IMDb_Cast_Lists_Batch_05(1).xlsx</x:v>
      </x:c>
      <x:c r="D576" s="14" t="str">
        <x:v>Sister Boniface Mysteries</x:v>
      </x:c>
      <x:c r="E576" s="14" t="n">
        <x:v>69</x:v>
      </x:c>
      <x:c r="F576" s="14" t="str">
        <x:v>Sister Boniface Mysteries</x:v>
      </x:c>
      <x:c r="G576" s="14" t="str">
        <x:v>tt15407098</x:v>
      </x:c>
      <x:c r="H576" s="14" t="n">
        <x:v>2022</x:v>
      </x:c>
      <x:c r="I576" s="14" t="n">
        <x:v>2025</x:v>
      </x:c>
      <x:c r="J576" s="14" t="str">
        <x:v>Earlier-Production Carry-In Cohort</x:v>
      </x:c>
      <x:c r="K576" s="14" t="n">
        <x:v>2022</x:v>
      </x:c>
      <x:c r="L576" s="14" t="str">
        <x:v>Used in 2025 annual analysis</x:v>
      </x:c>
      <x:c r="M576" s="15" t="n">
        <x:v>62</x:v>
      </x:c>
      <x:c r="N576" s="14" t="str">
        <x:v>Hayley Johnston</x:v>
      </x:c>
      <x:c r="O576" s="14" t="str">
        <x:v>nm17691751</x:v>
      </x:c>
      <x:c r="P576" s="14" t="str">
        <x:v>Angela Ainsworth</x:v>
      </x:c>
      <x:c r="Q576" s="15" t="n">
        <x:v>1</x:v>
      </x:c>
      <x:c r="R576" s="14" t="str">
        <x:v>2025</x:v>
      </x:c>
      <x:c r="S576" s="14" t="n">
        <x:v>2025</x:v>
      </x:c>
      <x:c r="T576" s="14" t="n">
        <x:v>2025</x:v>
      </x:c>
      <x:c r="U576" s="14" t="str">
        <x:v>Explicit source first year retained</x:v>
      </x:c>
      <x:c r="V576" s="14" t="str">
        <x:v>Earliest supplied year is 2025.</x:v>
      </x:c>
      <x:c r="W576" s="14"/>
      <x:c r="X576" s="14" t="str">
        <x:v>Included</x:v>
      </x:c>
      <x:c r="Y576" s="14"/>
      <x:c r="Z576" s="14" t="str">
        <x:v>Sister Boniface Mysteries.docx</x:v>
      </x:c>
      <x:c r="AA576" s="14" t="str">
        <x:v>HYPERLINK is not implemented. linkLocation=https://www.imdb.com/title/tt15407098/fullcredits/,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BritBox UK</x:v>
      </x:c>
      <x:c r="AI576" s="14" t="str">
        <x:v>UK original 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uk original commission.</x:v>
      </x:c>
      <x:c r="AM5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6" s="14" t="str">
        <x:v>No qualifying BBC relationship</x:v>
      </x:c>
      <x:c r="AO576" s="14" t="str">
        <x:v>No</x:v>
      </x:c>
      <x:c r="AP576" s="14" t="str">
        <x:v>Out of scope</x:v>
      </x:c>
      <x:c r="AQ576" s="14" t="str">
        <x:v>No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38</x:v>
      </x:c>
      <x:c r="BP576" s="14" t="str">
        <x:v>Maximum supplied eligible IMDb cast-credit total; annual episode total not independently verified.</x:v>
      </x:c>
      <x:c r="BQ576" s="14" t="str">
        <x:v>Medium</x:v>
      </x:c>
      <x:c r="BR576" s="15" t="n">
        <x:v>1</x:v>
      </x:c>
      <x:c r="BS576" s="16" t="n">
        <x:v>0.02631578947368421</x:v>
      </x:c>
      <x:c r="BT576" s="14" t="str">
        <x:v>One episode</x:v>
      </x:c>
      <x:c r="BU576" s="14" t="str">
        <x:v>Medium</x:v>
      </x:c>
      <x:c r="BV576" s="14" t="str">
        <x:v>Derived from the supplied IMDb episode count and documented production-total proxy.</x:v>
      </x:c>
      <x:c r="BW576" s="14" t="str">
        <x:v>Unable to determine</x:v>
      </x:c>
      <x:c r="BX576" s="14" t="str">
        <x:v>Cast-list and episode data do not establish narrative prominence.</x:v>
      </x:c>
      <x:c r="BY576" s="14" t="str">
        <x:v>Supplied IMDb cast-list workbook</x:v>
      </x:c>
      <x:c r="BZ576" s="14" t="str">
        <x:v>HYPERLINK is not implemented. linkLocation=https://www.imdb.com/title/tt15407098/fullcredits/,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tt15407098|nm4044551|brett hyde / beaver</x:v>
      </x:c>
      <x:c r="B577" s="14" t="str">
        <x:v>05</x:v>
      </x:c>
      <x:c r="C577" s="14" t="str">
        <x:v>2022_IMDb_Cast_Lists_Batch_05(1).xlsx</x:v>
      </x:c>
      <x:c r="D577" s="14" t="str">
        <x:v>Sister Boniface Mysteries</x:v>
      </x:c>
      <x:c r="E577" s="14" t="n">
        <x:v>85</x:v>
      </x:c>
      <x:c r="F577" s="14" t="str">
        <x:v>Sister Boniface Mysteries</x:v>
      </x:c>
      <x:c r="G577" s="14" t="str">
        <x:v>tt15407098</x:v>
      </x:c>
      <x:c r="H577" s="14" t="n">
        <x:v>2022</x:v>
      </x:c>
      <x:c r="I577" s="14" t="n">
        <x:v>2025</x:v>
      </x:c>
      <x:c r="J577" s="14" t="str">
        <x:v>Earlier-Production Carry-In Cohort</x:v>
      </x:c>
      <x:c r="K577" s="14" t="n">
        <x:v>2022</x:v>
      </x:c>
      <x:c r="L577" s="14" t="str">
        <x:v>Used in 2025 annual analysis</x:v>
      </x:c>
      <x:c r="M577" s="15" t="n">
        <x:v>78</x:v>
      </x:c>
      <x:c r="N577" s="14" t="str">
        <x:v>Nathan McMullen</x:v>
      </x:c>
      <x:c r="O577" s="14" t="str">
        <x:v>nm4044551</x:v>
      </x:c>
      <x:c r="P577" s="14" t="str">
        <x:v>Brett Hyde / Beaver</x:v>
      </x:c>
      <x:c r="Q577" s="15" t="n">
        <x:v>1</x:v>
      </x:c>
      <x:c r="R577" s="14" t="str">
        <x:v>2025</x:v>
      </x:c>
      <x:c r="S577" s="14" t="n">
        <x:v>2025</x:v>
      </x:c>
      <x:c r="T577" s="14" t="n">
        <x:v>2025</x:v>
      </x:c>
      <x:c r="U577" s="14" t="str">
        <x:v>Explicit source first year retained</x:v>
      </x:c>
      <x:c r="V577" s="14" t="str">
        <x:v>Earliest supplied year is 2025.</x:v>
      </x:c>
      <x:c r="W577" s="14"/>
      <x:c r="X577" s="14" t="str">
        <x:v>Included</x:v>
      </x:c>
      <x:c r="Y577" s="14"/>
      <x:c r="Z577" s="14" t="str">
        <x:v>Sister Boniface Mysteries.docx</x:v>
      </x:c>
      <x:c r="AA577" s="14" t="str">
        <x:v>HYPERLINK is not implemented. linkLocation=https://www.imdb.com/title/tt15407098/fullcredits/,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BritBox UK</x:v>
      </x:c>
      <x:c r="AI577" s="14" t="str">
        <x:v>UK original 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uk original commission.</x:v>
      </x:c>
      <x:c r="AM5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7" s="14" t="str">
        <x:v>No qualifying BBC relationship</x:v>
      </x:c>
      <x:c r="AO577" s="14" t="str">
        <x:v>No</x:v>
      </x:c>
      <x:c r="AP577" s="14" t="str">
        <x:v>Out of scope</x:v>
      </x:c>
      <x:c r="AQ577" s="14" t="str">
        <x:v>No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38</x:v>
      </x:c>
      <x:c r="BP577" s="14" t="str">
        <x:v>Maximum supplied eligible IMDb cast-credit total; annual episode total not independently verified.</x:v>
      </x:c>
      <x:c r="BQ577" s="14" t="str">
        <x:v>Medium</x:v>
      </x:c>
      <x:c r="BR577" s="15" t="n">
        <x:v>1</x:v>
      </x:c>
      <x:c r="BS577" s="16" t="n">
        <x:v>0.02631578947368421</x:v>
      </x:c>
      <x:c r="BT577" s="14" t="str">
        <x:v>One episode</x:v>
      </x:c>
      <x:c r="BU577" s="14" t="str">
        <x:v>Medium</x:v>
      </x:c>
      <x:c r="BV577" s="14" t="str">
        <x:v>Derived from the supplied IMDb episode count and documented production-total proxy.</x:v>
      </x:c>
      <x:c r="BW577" s="14" t="str">
        <x:v>Unable to determine</x:v>
      </x:c>
      <x:c r="BX577" s="14" t="str">
        <x:v>Cast-list and episode data do not establish narrative prominence.</x:v>
      </x:c>
      <x:c r="BY577" s="14" t="str">
        <x:v>Supplied IMDb cast-list workbook</x:v>
      </x:c>
      <x:c r="BZ577" s="14" t="str">
        <x:v>HYPERLINK is not implemented. linkLocation=https://www.imdb.com/title/tt15407098/fullcredits/,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tt15407098|nm3544818|bernice mcdowell</x:v>
      </x:c>
      <x:c r="B578" s="14" t="str">
        <x:v>05</x:v>
      </x:c>
      <x:c r="C578" s="14" t="str">
        <x:v>2022_IMDb_Cast_Lists_Batch_05(1).xlsx</x:v>
      </x:c>
      <x:c r="D578" s="14" t="str">
        <x:v>Sister Boniface Mysteries</x:v>
      </x:c>
      <x:c r="E578" s="14" t="n">
        <x:v>86</x:v>
      </x:c>
      <x:c r="F578" s="14" t="str">
        <x:v>Sister Boniface Mysteries</x:v>
      </x:c>
      <x:c r="G578" s="14" t="str">
        <x:v>tt15407098</x:v>
      </x:c>
      <x:c r="H578" s="14" t="n">
        <x:v>2022</x:v>
      </x:c>
      <x:c r="I578" s="14" t="n">
        <x:v>2025</x:v>
      </x:c>
      <x:c r="J578" s="14" t="str">
        <x:v>Earlier-Production Carry-In Cohort</x:v>
      </x:c>
      <x:c r="K578" s="14" t="n">
        <x:v>2022</x:v>
      </x:c>
      <x:c r="L578" s="14" t="str">
        <x:v>Used in 2025 annual analysis</x:v>
      </x:c>
      <x:c r="M578" s="15" t="n">
        <x:v>79</x:v>
      </x:c>
      <x:c r="N578" s="14" t="str">
        <x:v>Dani Moseley</x:v>
      </x:c>
      <x:c r="O578" s="14" t="str">
        <x:v>nm3544818</x:v>
      </x:c>
      <x:c r="P578" s="14" t="str">
        <x:v>Bernice McDowell</x:v>
      </x:c>
      <x:c r="Q578" s="15" t="n">
        <x:v>1</x:v>
      </x:c>
      <x:c r="R578" s="14" t="str">
        <x:v>2025</x:v>
      </x:c>
      <x:c r="S578" s="14" t="n">
        <x:v>2025</x:v>
      </x:c>
      <x:c r="T578" s="14" t="n">
        <x:v>2025</x:v>
      </x:c>
      <x:c r="U578" s="14" t="str">
        <x:v>Explicit source first year retained</x:v>
      </x:c>
      <x:c r="V578" s="14" t="str">
        <x:v>Earliest supplied year is 2025.</x:v>
      </x:c>
      <x:c r="W578" s="14"/>
      <x:c r="X578" s="14" t="str">
        <x:v>Included</x:v>
      </x:c>
      <x:c r="Y578" s="14"/>
      <x:c r="Z578" s="14" t="str">
        <x:v>Sister Boniface Mysteries.docx</x:v>
      </x:c>
      <x:c r="AA578" s="14" t="str">
        <x:v>HYPERLINK is not implemented. linkLocation=https://www.imdb.com/title/tt15407098/fullcredits/,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BritBox UK</x:v>
      </x:c>
      <x:c r="AI578" s="14" t="str">
        <x:v>UK original 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uk original commission.</x:v>
      </x:c>
      <x:c r="AM5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8" s="14" t="str">
        <x:v>No qualifying BBC relationship</x:v>
      </x:c>
      <x:c r="AO578" s="14" t="str">
        <x:v>No</x:v>
      </x:c>
      <x:c r="AP578" s="14" t="str">
        <x:v>Out of scope</x:v>
      </x:c>
      <x:c r="AQ578" s="14" t="str">
        <x:v>No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38</x:v>
      </x:c>
      <x:c r="BP578" s="14" t="str">
        <x:v>Maximum supplied eligible IMDb cast-credit total; annual episode total not independently verified.</x:v>
      </x:c>
      <x:c r="BQ578" s="14" t="str">
        <x:v>Medium</x:v>
      </x:c>
      <x:c r="BR578" s="15" t="n">
        <x:v>1</x:v>
      </x:c>
      <x:c r="BS578" s="16" t="n">
        <x:v>0.02631578947368421</x:v>
      </x:c>
      <x:c r="BT578" s="14" t="str">
        <x:v>One episode</x:v>
      </x:c>
      <x:c r="BU578" s="14" t="str">
        <x:v>Medium</x:v>
      </x:c>
      <x:c r="BV578" s="14" t="str">
        <x:v>Derived from the supplied IMDb episode count and documented production-total proxy.</x:v>
      </x:c>
      <x:c r="BW578" s="14" t="str">
        <x:v>Unable to determine</x:v>
      </x:c>
      <x:c r="BX578" s="14" t="str">
        <x:v>Cast-list and episode data do not establish narrative prominence.</x:v>
      </x:c>
      <x:c r="BY578" s="14" t="str">
        <x:v>Supplied IMDb cast-list workbook</x:v>
      </x:c>
      <x:c r="BZ578" s="14" t="str">
        <x:v>HYPERLINK is not implemented. linkLocation=https://www.imdb.com/title/tt15407098/fullcredits/,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tt15407098|nm0057073|giles penistone</x:v>
      </x:c>
      <x:c r="B579" s="14" t="str">
        <x:v>05</x:v>
      </x:c>
      <x:c r="C579" s="14" t="str">
        <x:v>2022_IMDb_Cast_Lists_Batch_05(1).xlsx</x:v>
      </x:c>
      <x:c r="D579" s="14" t="str">
        <x:v>Sister Boniface Mysteries</x:v>
      </x:c>
      <x:c r="E579" s="14" t="n">
        <x:v>87</x:v>
      </x:c>
      <x:c r="F579" s="14" t="str">
        <x:v>Sister Boniface Mysteries</x:v>
      </x:c>
      <x:c r="G579" s="14" t="str">
        <x:v>tt15407098</x:v>
      </x:c>
      <x:c r="H579" s="14" t="n">
        <x:v>2022</x:v>
      </x:c>
      <x:c r="I579" s="14" t="n">
        <x:v>2025</x:v>
      </x:c>
      <x:c r="J579" s="14" t="str">
        <x:v>Earlier-Production Carry-In Cohort</x:v>
      </x:c>
      <x:c r="K579" s="14" t="n">
        <x:v>2022</x:v>
      </x:c>
      <x:c r="L579" s="14" t="str">
        <x:v>Used in 2025 annual analysis</x:v>
      </x:c>
      <x:c r="M579" s="15" t="n">
        <x:v>80</x:v>
      </x:c>
      <x:c r="N579" s="14" t="str">
        <x:v>Bob Barrett</x:v>
      </x:c>
      <x:c r="O579" s="14" t="str">
        <x:v>nm0057073</x:v>
      </x:c>
      <x:c r="P579" s="14" t="str">
        <x:v>Giles Penistone</x:v>
      </x:c>
      <x:c r="Q579" s="15" t="n">
        <x:v>1</x:v>
      </x:c>
      <x:c r="R579" s="14" t="str">
        <x:v>2025</x:v>
      </x:c>
      <x:c r="S579" s="14" t="n">
        <x:v>2025</x:v>
      </x:c>
      <x:c r="T579" s="14" t="n">
        <x:v>2025</x:v>
      </x:c>
      <x:c r="U579" s="14" t="str">
        <x:v>Explicit source first year retained</x:v>
      </x:c>
      <x:c r="V579" s="14" t="str">
        <x:v>Earliest supplied year is 2025.</x:v>
      </x:c>
      <x:c r="W579" s="14"/>
      <x:c r="X579" s="14" t="str">
        <x:v>Included</x:v>
      </x:c>
      <x:c r="Y579" s="14"/>
      <x:c r="Z579" s="14" t="str">
        <x:v>Sister Boniface Mysteries.docx</x:v>
      </x:c>
      <x:c r="AA579" s="14" t="str">
        <x:v>HYPERLINK is not implemented. linkLocation=https://www.imdb.com/title/tt15407098/fullcredits/,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BritBox UK</x:v>
      </x:c>
      <x:c r="AI579" s="14" t="str">
        <x:v>UK original 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uk original commission.</x:v>
      </x:c>
      <x:c r="AM5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9" s="14" t="str">
        <x:v>No qualifying BBC relationship</x:v>
      </x:c>
      <x:c r="AO579" s="14" t="str">
        <x:v>No</x:v>
      </x:c>
      <x:c r="AP579" s="14" t="str">
        <x:v>Out of scope</x:v>
      </x:c>
      <x:c r="AQ579" s="14" t="str">
        <x:v>No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38</x:v>
      </x:c>
      <x:c r="BP579" s="14" t="str">
        <x:v>Maximum supplied eligible IMDb cast-credit total; annual episode total not independently verified.</x:v>
      </x:c>
      <x:c r="BQ579" s="14" t="str">
        <x:v>Medium</x:v>
      </x:c>
      <x:c r="BR579" s="15" t="n">
        <x:v>1</x:v>
      </x:c>
      <x:c r="BS579" s="16" t="n">
        <x:v>0.02631578947368421</x:v>
      </x:c>
      <x:c r="BT579" s="14" t="str">
        <x:v>One episode</x:v>
      </x:c>
      <x:c r="BU579" s="14" t="str">
        <x:v>Medium</x:v>
      </x:c>
      <x:c r="BV579" s="14" t="str">
        <x:v>Derived from the supplied IMDb episode count and documented production-total proxy.</x:v>
      </x:c>
      <x:c r="BW579" s="14" t="str">
        <x:v>Unable to determine</x:v>
      </x:c>
      <x:c r="BX579" s="14" t="str">
        <x:v>Cast-list and episode data do not establish narrative prominence.</x:v>
      </x:c>
      <x:c r="BY579" s="14" t="str">
        <x:v>Supplied IMDb cast-list workbook</x:v>
      </x:c>
      <x:c r="BZ579" s="14" t="str">
        <x:v>HYPERLINK is not implemented. linkLocation=https://www.imdb.com/title/tt15407098/fullcredits/,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tt15407098|nm0730394|sister laurence</x:v>
      </x:c>
      <x:c r="B580" s="14" t="str">
        <x:v>05</x:v>
      </x:c>
      <x:c r="C580" s="14" t="str">
        <x:v>2022_IMDb_Cast_Lists_Batch_05(1).xlsx</x:v>
      </x:c>
      <x:c r="D580" s="14" t="str">
        <x:v>Sister Boniface Mysteries</x:v>
      </x:c>
      <x:c r="E580" s="14" t="n">
        <x:v>104</x:v>
      </x:c>
      <x:c r="F580" s="14" t="str">
        <x:v>Sister Boniface Mysteries</x:v>
      </x:c>
      <x:c r="G580" s="14" t="str">
        <x:v>tt15407098</x:v>
      </x:c>
      <x:c r="H580" s="14" t="n">
        <x:v>2022</x:v>
      </x:c>
      <x:c r="I580" s="14" t="n">
        <x:v>2025</x:v>
      </x:c>
      <x:c r="J580" s="14" t="str">
        <x:v>Earlier-Production Carry-In Cohort</x:v>
      </x:c>
      <x:c r="K580" s="14" t="n">
        <x:v>2022</x:v>
      </x:c>
      <x:c r="L580" s="14" t="str">
        <x:v>Used in 2025 annual analysis</x:v>
      </x:c>
      <x:c r="M580" s="15" t="n">
        <x:v>97</x:v>
      </x:c>
      <x:c r="N580" s="14" t="str">
        <x:v>Kate Robbins</x:v>
      </x:c>
      <x:c r="O580" s="14" t="str">
        <x:v>nm0730394</x:v>
      </x:c>
      <x:c r="P580" s="14" t="str">
        <x:v>Sister Laurence</x:v>
      </x:c>
      <x:c r="Q580" s="15" t="n">
        <x:v>1</x:v>
      </x:c>
      <x:c r="R580" s="14" t="str">
        <x:v>2025</x:v>
      </x:c>
      <x:c r="S580" s="14" t="n">
        <x:v>2025</x:v>
      </x:c>
      <x:c r="T580" s="14" t="n">
        <x:v>2025</x:v>
      </x:c>
      <x:c r="U580" s="14" t="str">
        <x:v>Explicit source first year retained</x:v>
      </x:c>
      <x:c r="V580" s="14" t="str">
        <x:v>Earliest supplied year is 2025.</x:v>
      </x:c>
      <x:c r="W580" s="14"/>
      <x:c r="X580" s="14" t="str">
        <x:v>Included</x:v>
      </x:c>
      <x:c r="Y580" s="14"/>
      <x:c r="Z580" s="14" t="str">
        <x:v>Sister Boniface Mysteries.docx</x:v>
      </x:c>
      <x:c r="AA580" s="14" t="str">
        <x:v>HYPERLINK is not implemented. linkLocation=https://www.imdb.com/title/tt15407098/fullcredits/,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BritBox UK</x:v>
      </x:c>
      <x:c r="AI580" s="14" t="str">
        <x:v>UK original 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uk original commission.</x:v>
      </x:c>
      <x:c r="AM5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0" s="14" t="str">
        <x:v>No qualifying BBC relationship</x:v>
      </x:c>
      <x:c r="AO580" s="14" t="str">
        <x:v>No</x:v>
      </x:c>
      <x:c r="AP580" s="14" t="str">
        <x:v>Out of scope</x:v>
      </x:c>
      <x:c r="AQ580" s="14" t="str">
        <x:v>No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38</x:v>
      </x:c>
      <x:c r="BP580" s="14" t="str">
        <x:v>Maximum supplied eligible IMDb cast-credit total; annual episode total not independently verified.</x:v>
      </x:c>
      <x:c r="BQ580" s="14" t="str">
        <x:v>Medium</x:v>
      </x:c>
      <x:c r="BR580" s="15" t="n">
        <x:v>1</x:v>
      </x:c>
      <x:c r="BS580" s="16" t="n">
        <x:v>0.02631578947368421</x:v>
      </x:c>
      <x:c r="BT580" s="14" t="str">
        <x:v>One episode</x:v>
      </x:c>
      <x:c r="BU580" s="14" t="str">
        <x:v>Medium</x:v>
      </x:c>
      <x:c r="BV580" s="14" t="str">
        <x:v>Derived from the supplied IMDb episode count and documented production-total proxy.</x:v>
      </x:c>
      <x:c r="BW580" s="14" t="str">
        <x:v>Unable to determine</x:v>
      </x:c>
      <x:c r="BX580" s="14" t="str">
        <x:v>Cast-list and episode data do not establish narrative prominence.</x:v>
      </x:c>
      <x:c r="BY580" s="14" t="str">
        <x:v>Supplied IMDb cast-list workbook</x:v>
      </x:c>
      <x:c r="BZ580" s="14" t="str">
        <x:v>HYPERLINK is not implemented. linkLocation=https://www.imdb.com/title/tt15407098/fullcredits/,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tt15407098|nm2678436|malcolm everett</x:v>
      </x:c>
      <x:c r="B581" s="14" t="str">
        <x:v>05</x:v>
      </x:c>
      <x:c r="C581" s="14" t="str">
        <x:v>2022_IMDb_Cast_Lists_Batch_05(1).xlsx</x:v>
      </x:c>
      <x:c r="D581" s="14" t="str">
        <x:v>Sister Boniface Mysteries</x:v>
      </x:c>
      <x:c r="E581" s="14" t="n">
        <x:v>105</x:v>
      </x:c>
      <x:c r="F581" s="14" t="str">
        <x:v>Sister Boniface Mysteries</x:v>
      </x:c>
      <x:c r="G581" s="14" t="str">
        <x:v>tt15407098</x:v>
      </x:c>
      <x:c r="H581" s="14" t="n">
        <x:v>2022</x:v>
      </x:c>
      <x:c r="I581" s="14" t="n">
        <x:v>2025</x:v>
      </x:c>
      <x:c r="J581" s="14" t="str">
        <x:v>Earlier-Production Carry-In Cohort</x:v>
      </x:c>
      <x:c r="K581" s="14" t="n">
        <x:v>2022</x:v>
      </x:c>
      <x:c r="L581" s="14" t="str">
        <x:v>Used in 2025 annual analysis</x:v>
      </x:c>
      <x:c r="M581" s="15" t="n">
        <x:v>98</x:v>
      </x:c>
      <x:c r="N581" s="14" t="str">
        <x:v>Joe Tracini</x:v>
      </x:c>
      <x:c r="O581" s="14" t="str">
        <x:v>nm2678436</x:v>
      </x:c>
      <x:c r="P581" s="14" t="str">
        <x:v>Malcolm Everett</x:v>
      </x:c>
      <x:c r="Q581" s="15" t="n">
        <x:v>1</x:v>
      </x:c>
      <x:c r="R581" s="14" t="str">
        <x:v>2025</x:v>
      </x:c>
      <x:c r="S581" s="14" t="n">
        <x:v>2025</x:v>
      </x:c>
      <x:c r="T581" s="14" t="n">
        <x:v>2025</x:v>
      </x:c>
      <x:c r="U581" s="14" t="str">
        <x:v>Explicit source first year retained</x:v>
      </x:c>
      <x:c r="V581" s="14" t="str">
        <x:v>Earliest supplied year is 2025.</x:v>
      </x:c>
      <x:c r="W581" s="14"/>
      <x:c r="X581" s="14" t="str">
        <x:v>Included</x:v>
      </x:c>
      <x:c r="Y581" s="14"/>
      <x:c r="Z581" s="14" t="str">
        <x:v>Sister Boniface Mysteries.docx</x:v>
      </x:c>
      <x:c r="AA581" s="14" t="str">
        <x:v>HYPERLINK is not implemented. linkLocation=https://www.imdb.com/title/tt15407098/fullcredits/,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BritBox UK</x:v>
      </x:c>
      <x:c r="AI581" s="14" t="str">
        <x:v>UK original 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uk original commission.</x:v>
      </x:c>
      <x:c r="AM5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1" s="14" t="str">
        <x:v>No qualifying BBC relationship</x:v>
      </x:c>
      <x:c r="AO581" s="14" t="str">
        <x:v>No</x:v>
      </x:c>
      <x:c r="AP581" s="14" t="str">
        <x:v>Out of scope</x:v>
      </x:c>
      <x:c r="AQ581" s="14" t="str">
        <x:v>No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38</x:v>
      </x:c>
      <x:c r="BP581" s="14" t="str">
        <x:v>Maximum supplied eligible IMDb cast-credit total; annual episode total not independently verified.</x:v>
      </x:c>
      <x:c r="BQ581" s="14" t="str">
        <x:v>Medium</x:v>
      </x:c>
      <x:c r="BR581" s="15" t="n">
        <x:v>1</x:v>
      </x:c>
      <x:c r="BS581" s="16" t="n">
        <x:v>0.02631578947368421</x:v>
      </x:c>
      <x:c r="BT581" s="14" t="str">
        <x:v>One episode</x:v>
      </x:c>
      <x:c r="BU581" s="14" t="str">
        <x:v>Medium</x:v>
      </x:c>
      <x:c r="BV581" s="14" t="str">
        <x:v>Derived from the supplied IMDb episode count and documented production-total proxy.</x:v>
      </x:c>
      <x:c r="BW581" s="14" t="str">
        <x:v>Unable to determine</x:v>
      </x:c>
      <x:c r="BX581" s="14" t="str">
        <x:v>Cast-list and episode data do not establish narrative prominence.</x:v>
      </x:c>
      <x:c r="BY581" s="14" t="str">
        <x:v>Supplied IMDb cast-list workbook</x:v>
      </x:c>
      <x:c r="BZ581" s="14" t="str">
        <x:v>HYPERLINK is not implemented. linkLocation=https://www.imdb.com/title/tt15407098/fullcredits/,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tt15407098|nm1721608|daisy dunn</x:v>
      </x:c>
      <x:c r="B582" s="14" t="str">
        <x:v>05</x:v>
      </x:c>
      <x:c r="C582" s="14" t="str">
        <x:v>2022_IMDb_Cast_Lists_Batch_05(1).xlsx</x:v>
      </x:c>
      <x:c r="D582" s="14" t="str">
        <x:v>Sister Boniface Mysteries</x:v>
      </x:c>
      <x:c r="E582" s="14" t="n">
        <x:v>106</x:v>
      </x:c>
      <x:c r="F582" s="14" t="str">
        <x:v>Sister Boniface Mysteries</x:v>
      </x:c>
      <x:c r="G582" s="14" t="str">
        <x:v>tt15407098</x:v>
      </x:c>
      <x:c r="H582" s="14" t="n">
        <x:v>2022</x:v>
      </x:c>
      <x:c r="I582" s="14" t="n">
        <x:v>2025</x:v>
      </x:c>
      <x:c r="J582" s="14" t="str">
        <x:v>Earlier-Production Carry-In Cohort</x:v>
      </x:c>
      <x:c r="K582" s="14" t="n">
        <x:v>2022</x:v>
      </x:c>
      <x:c r="L582" s="14" t="str">
        <x:v>Used in 2025 annual analysis</x:v>
      </x:c>
      <x:c r="M582" s="15" t="n">
        <x:v>99</x:v>
      </x:c>
      <x:c r="N582" s="14" t="str">
        <x:v>Amy Murphy</x:v>
      </x:c>
      <x:c r="O582" s="14" t="str">
        <x:v>nm1721608</x:v>
      </x:c>
      <x:c r="P582" s="14" t="str">
        <x:v>Daisy Dunn</x:v>
      </x:c>
      <x:c r="Q582" s="15" t="n">
        <x:v>1</x:v>
      </x:c>
      <x:c r="R582" s="14" t="str">
        <x:v>2025</x:v>
      </x:c>
      <x:c r="S582" s="14" t="n">
        <x:v>2025</x:v>
      </x:c>
      <x:c r="T582" s="14" t="n">
        <x:v>2025</x:v>
      </x:c>
      <x:c r="U582" s="14" t="str">
        <x:v>Explicit source first year retained</x:v>
      </x:c>
      <x:c r="V582" s="14" t="str">
        <x:v>Earliest supplied year is 2025.</x:v>
      </x:c>
      <x:c r="W582" s="14"/>
      <x:c r="X582" s="14" t="str">
        <x:v>Included</x:v>
      </x:c>
      <x:c r="Y582" s="14"/>
      <x:c r="Z582" s="14" t="str">
        <x:v>Sister Boniface Mysteries.docx</x:v>
      </x:c>
      <x:c r="AA582" s="14" t="str">
        <x:v>HYPERLINK is not implemented. linkLocation=https://www.imdb.com/title/tt15407098/fullcredits/,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BritBox UK</x:v>
      </x:c>
      <x:c r="AI582" s="14" t="str">
        <x:v>UK original 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uk original commission.</x:v>
      </x:c>
      <x:c r="AM5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2" s="14" t="str">
        <x:v>No qualifying BBC relationship</x:v>
      </x:c>
      <x:c r="AO582" s="14" t="str">
        <x:v>No</x:v>
      </x:c>
      <x:c r="AP582" s="14" t="str">
        <x:v>Out of scope</x:v>
      </x:c>
      <x:c r="AQ582" s="14" t="str">
        <x:v>No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38</x:v>
      </x:c>
      <x:c r="BP582" s="14" t="str">
        <x:v>Maximum supplied eligible IMDb cast-credit total; annual episode total not independently verified.</x:v>
      </x:c>
      <x:c r="BQ582" s="14" t="str">
        <x:v>Medium</x:v>
      </x:c>
      <x:c r="BR582" s="15" t="n">
        <x:v>1</x:v>
      </x:c>
      <x:c r="BS582" s="16" t="n">
        <x:v>0.02631578947368421</x:v>
      </x:c>
      <x:c r="BT582" s="14" t="str">
        <x:v>One episode</x:v>
      </x:c>
      <x:c r="BU582" s="14" t="str">
        <x:v>Medium</x:v>
      </x:c>
      <x:c r="BV582" s="14" t="str">
        <x:v>Derived from the supplied IMDb episode count and documented production-total proxy.</x:v>
      </x:c>
      <x:c r="BW582" s="14" t="str">
        <x:v>Unable to determine</x:v>
      </x:c>
      <x:c r="BX582" s="14" t="str">
        <x:v>Cast-list and episode data do not establish narrative prominence.</x:v>
      </x:c>
      <x:c r="BY582" s="14" t="str">
        <x:v>Supplied IMDb cast-list workbook</x:v>
      </x:c>
      <x:c r="BZ582" s="14" t="str">
        <x:v>HYPERLINK is not implemented. linkLocation=https://www.imdb.com/title/tt15407098/fullcredits/,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tt15407098|nm0448053|angus mcintyre</x:v>
      </x:c>
      <x:c r="B583" s="14" t="str">
        <x:v>05</x:v>
      </x:c>
      <x:c r="C583" s="14" t="str">
        <x:v>2022_IMDb_Cast_Lists_Batch_05(1).xlsx</x:v>
      </x:c>
      <x:c r="D583" s="14" t="str">
        <x:v>Sister Boniface Mysteries</x:v>
      </x:c>
      <x:c r="E583" s="14" t="n">
        <x:v>126</x:v>
      </x:c>
      <x:c r="F583" s="14" t="str">
        <x:v>Sister Boniface Mysteries</x:v>
      </x:c>
      <x:c r="G583" s="14" t="str">
        <x:v>tt15407098</x:v>
      </x:c>
      <x:c r="H583" s="14" t="n">
        <x:v>2022</x:v>
      </x:c>
      <x:c r="I583" s="14" t="n">
        <x:v>2025</x:v>
      </x:c>
      <x:c r="J583" s="14" t="str">
        <x:v>Earlier-Production Carry-In Cohort</x:v>
      </x:c>
      <x:c r="K583" s="14" t="n">
        <x:v>2022</x:v>
      </x:c>
      <x:c r="L583" s="14" t="str">
        <x:v>Used in 2025 annual analysis</x:v>
      </x:c>
      <x:c r="M583" s="15" t="n">
        <x:v>119</x:v>
      </x:c>
      <x:c r="N583" s="14" t="str">
        <x:v>Gordon Kennedy</x:v>
      </x:c>
      <x:c r="O583" s="14" t="str">
        <x:v>nm0448053</x:v>
      </x:c>
      <x:c r="P583" s="14" t="str">
        <x:v>Angus McIntyre</x:v>
      </x:c>
      <x:c r="Q583" s="15" t="n">
        <x:v>1</x:v>
      </x:c>
      <x:c r="R583" s="14" t="str">
        <x:v>2025</x:v>
      </x:c>
      <x:c r="S583" s="14" t="n">
        <x:v>2025</x:v>
      </x:c>
      <x:c r="T583" s="14" t="n">
        <x:v>2025</x:v>
      </x:c>
      <x:c r="U583" s="14" t="str">
        <x:v>Explicit source first year retained</x:v>
      </x:c>
      <x:c r="V583" s="14" t="str">
        <x:v>Earliest supplied year is 2025.</x:v>
      </x:c>
      <x:c r="W583" s="14"/>
      <x:c r="X583" s="14" t="str">
        <x:v>Included</x:v>
      </x:c>
      <x:c r="Y583" s="14"/>
      <x:c r="Z583" s="14" t="str">
        <x:v>Sister Boniface Mysteries.docx</x:v>
      </x:c>
      <x:c r="AA583" s="14" t="str">
        <x:v>HYPERLINK is not implemented. linkLocation=https://www.imdb.com/title/tt15407098/fullcredits/,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BritBox UK</x:v>
      </x:c>
      <x:c r="AI583" s="14" t="str">
        <x:v>UK original 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uk original commission.</x:v>
      </x:c>
      <x:c r="AM5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3" s="14" t="str">
        <x:v>No qualifying BBC relationship</x:v>
      </x:c>
      <x:c r="AO583" s="14" t="str">
        <x:v>No</x:v>
      </x:c>
      <x:c r="AP583" s="14" t="str">
        <x:v>Out of scope</x:v>
      </x:c>
      <x:c r="AQ583" s="14" t="str">
        <x:v>No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38</x:v>
      </x:c>
      <x:c r="BP583" s="14" t="str">
        <x:v>Maximum supplied eligible IMDb cast-credit total; annual episode total not independently verified.</x:v>
      </x:c>
      <x:c r="BQ583" s="14" t="str">
        <x:v>Medium</x:v>
      </x:c>
      <x:c r="BR583" s="15" t="n">
        <x:v>1</x:v>
      </x:c>
      <x:c r="BS583" s="16" t="n">
        <x:v>0.02631578947368421</x:v>
      </x:c>
      <x:c r="BT583" s="14" t="str">
        <x:v>One episode</x:v>
      </x:c>
      <x:c r="BU583" s="14" t="str">
        <x:v>Medium</x:v>
      </x:c>
      <x:c r="BV583" s="14" t="str">
        <x:v>Derived from the supplied IMDb episode count and documented production-total proxy.</x:v>
      </x:c>
      <x:c r="BW583" s="14" t="str">
        <x:v>Unable to determine</x:v>
      </x:c>
      <x:c r="BX583" s="14" t="str">
        <x:v>Cast-list and episode data do not establish narrative prominence.</x:v>
      </x:c>
      <x:c r="BY583" s="14" t="str">
        <x:v>Supplied IMDb cast-list workbook</x:v>
      </x:c>
      <x:c r="BZ583" s="14" t="str">
        <x:v>HYPERLINK is not implemented. linkLocation=https://www.imdb.com/title/tt15407098/fullcredits/,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tt15407098|nm0180504|len shepherd</x:v>
      </x:c>
      <x:c r="B584" s="14" t="str">
        <x:v>05</x:v>
      </x:c>
      <x:c r="C584" s="14" t="str">
        <x:v>2022_IMDb_Cast_Lists_Batch_05(1).xlsx</x:v>
      </x:c>
      <x:c r="D584" s="14" t="str">
        <x:v>Sister Boniface Mysteries</x:v>
      </x:c>
      <x:c r="E584" s="14" t="n">
        <x:v>127</x:v>
      </x:c>
      <x:c r="F584" s="14" t="str">
        <x:v>Sister Boniface Mysteries</x:v>
      </x:c>
      <x:c r="G584" s="14" t="str">
        <x:v>tt15407098</x:v>
      </x:c>
      <x:c r="H584" s="14" t="n">
        <x:v>2022</x:v>
      </x:c>
      <x:c r="I584" s="14" t="n">
        <x:v>2025</x:v>
      </x:c>
      <x:c r="J584" s="14" t="str">
        <x:v>Earlier-Production Carry-In Cohort</x:v>
      </x:c>
      <x:c r="K584" s="14" t="n">
        <x:v>2022</x:v>
      </x:c>
      <x:c r="L584" s="14" t="str">
        <x:v>Used in 2025 annual analysis</x:v>
      </x:c>
      <x:c r="M584" s="15" t="n">
        <x:v>120</x:v>
      </x:c>
      <x:c r="N584" s="14" t="str">
        <x:v>Phil Cornwell</x:v>
      </x:c>
      <x:c r="O584" s="14" t="str">
        <x:v>nm0180504</x:v>
      </x:c>
      <x:c r="P584" s="14" t="str">
        <x:v>Len Shepherd</x:v>
      </x:c>
      <x:c r="Q584" s="15" t="n">
        <x:v>1</x:v>
      </x:c>
      <x:c r="R584" s="14" t="str">
        <x:v>2025</x:v>
      </x:c>
      <x:c r="S584" s="14" t="n">
        <x:v>2025</x:v>
      </x:c>
      <x:c r="T584" s="14" t="n">
        <x:v>2025</x:v>
      </x:c>
      <x:c r="U584" s="14" t="str">
        <x:v>Explicit source first year retained</x:v>
      </x:c>
      <x:c r="V584" s="14" t="str">
        <x:v>Earliest supplied year is 2025.</x:v>
      </x:c>
      <x:c r="W584" s="14"/>
      <x:c r="X584" s="14" t="str">
        <x:v>Included</x:v>
      </x:c>
      <x:c r="Y584" s="14"/>
      <x:c r="Z584" s="14" t="str">
        <x:v>Sister Boniface Mysteries.docx</x:v>
      </x:c>
      <x:c r="AA584" s="14" t="str">
        <x:v>HYPERLINK is not implemented. linkLocation=https://www.imdb.com/title/tt15407098/fullcredits/,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BritBox UK</x:v>
      </x:c>
      <x:c r="AI584" s="14" t="str">
        <x:v>UK original 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uk original commission.</x:v>
      </x:c>
      <x:c r="AM5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4" s="14" t="str">
        <x:v>No qualifying BBC relationship</x:v>
      </x:c>
      <x:c r="AO584" s="14" t="str">
        <x:v>No</x:v>
      </x:c>
      <x:c r="AP584" s="14" t="str">
        <x:v>Out of scope</x:v>
      </x:c>
      <x:c r="AQ584" s="14" t="str">
        <x:v>No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38</x:v>
      </x:c>
      <x:c r="BP584" s="14" t="str">
        <x:v>Maximum supplied eligible IMDb cast-credit total; annual episode total not independently verified.</x:v>
      </x:c>
      <x:c r="BQ584" s="14" t="str">
        <x:v>Medium</x:v>
      </x:c>
      <x:c r="BR584" s="15" t="n">
        <x:v>1</x:v>
      </x:c>
      <x:c r="BS584" s="16" t="n">
        <x:v>0.02631578947368421</x:v>
      </x:c>
      <x:c r="BT584" s="14" t="str">
        <x:v>One episode</x:v>
      </x:c>
      <x:c r="BU584" s="14" t="str">
        <x:v>Medium</x:v>
      </x:c>
      <x:c r="BV584" s="14" t="str">
        <x:v>Derived from the supplied IMDb episode count and documented production-total proxy.</x:v>
      </x:c>
      <x:c r="BW584" s="14" t="str">
        <x:v>Unable to determine</x:v>
      </x:c>
      <x:c r="BX584" s="14" t="str">
        <x:v>Cast-list and episode data do not establish narrative prominence.</x:v>
      </x:c>
      <x:c r="BY584" s="14" t="str">
        <x:v>Supplied IMDb cast-list workbook</x:v>
      </x:c>
      <x:c r="BZ584" s="14" t="str">
        <x:v>HYPERLINK is not implemented. linkLocation=https://www.imdb.com/title/tt15407098/fullcredits/,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tt15407098|nm3162285|dr. saatvik bose</x:v>
      </x:c>
      <x:c r="B585" s="14" t="str">
        <x:v>05</x:v>
      </x:c>
      <x:c r="C585" s="14" t="str">
        <x:v>2022_IMDb_Cast_Lists_Batch_05(1).xlsx</x:v>
      </x:c>
      <x:c r="D585" s="14" t="str">
        <x:v>Sister Boniface Mysteries</x:v>
      </x:c>
      <x:c r="E585" s="14" t="n">
        <x:v>139</x:v>
      </x:c>
      <x:c r="F585" s="14" t="str">
        <x:v>Sister Boniface Mysteries</x:v>
      </x:c>
      <x:c r="G585" s="14" t="str">
        <x:v>tt15407098</x:v>
      </x:c>
      <x:c r="H585" s="14" t="n">
        <x:v>2022</x:v>
      </x:c>
      <x:c r="I585" s="14" t="n">
        <x:v>2025</x:v>
      </x:c>
      <x:c r="J585" s="14" t="str">
        <x:v>Earlier-Production Carry-In Cohort</x:v>
      </x:c>
      <x:c r="K585" s="14" t="n">
        <x:v>2022</x:v>
      </x:c>
      <x:c r="L585" s="14" t="str">
        <x:v>Used in 2025 annual analysis</x:v>
      </x:c>
      <x:c r="M585" s="15" t="n">
        <x:v>132</x:v>
      </x:c>
      <x:c r="N585" s="14" t="str">
        <x:v>Jaz Singh Deol</x:v>
      </x:c>
      <x:c r="O585" s="14" t="str">
        <x:v>nm3162285</x:v>
      </x:c>
      <x:c r="P585" s="14" t="str">
        <x:v>Dr. Saatvik Bose</x:v>
      </x:c>
      <x:c r="Q585" s="15" t="n">
        <x:v>1</x:v>
      </x:c>
      <x:c r="R585" s="14" t="str">
        <x:v>2025</x:v>
      </x:c>
      <x:c r="S585" s="14" t="n">
        <x:v>2025</x:v>
      </x:c>
      <x:c r="T585" s="14" t="n">
        <x:v>2025</x:v>
      </x:c>
      <x:c r="U585" s="14" t="str">
        <x:v>Explicit source first year retained</x:v>
      </x:c>
      <x:c r="V585" s="14" t="str">
        <x:v>Earliest supplied year is 2025.</x:v>
      </x:c>
      <x:c r="W585" s="14"/>
      <x:c r="X585" s="14" t="str">
        <x:v>Included</x:v>
      </x:c>
      <x:c r="Y585" s="14"/>
      <x:c r="Z585" s="14" t="str">
        <x:v>Sister Boniface Mysteries.docx</x:v>
      </x:c>
      <x:c r="AA585" s="14" t="str">
        <x:v>HYPERLINK is not implemented. linkLocation=https://www.imdb.com/title/tt15407098/fullcredits/,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BritBox UK</x:v>
      </x:c>
      <x:c r="AI585" s="14" t="str">
        <x:v>UK original 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uk original commission.</x:v>
      </x:c>
      <x:c r="AM5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5" s="14" t="str">
        <x:v>No qualifying BBC relationship</x:v>
      </x:c>
      <x:c r="AO585" s="14" t="str">
        <x:v>No</x:v>
      </x:c>
      <x:c r="AP585" s="14" t="str">
        <x:v>Out of scope</x:v>
      </x:c>
      <x:c r="AQ585" s="14" t="str">
        <x:v>No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38</x:v>
      </x:c>
      <x:c r="BP585" s="14" t="str">
        <x:v>Maximum supplied eligible IMDb cast-credit total; annual episode total not independently verified.</x:v>
      </x:c>
      <x:c r="BQ585" s="14" t="str">
        <x:v>Medium</x:v>
      </x:c>
      <x:c r="BR585" s="15" t="n">
        <x:v>1</x:v>
      </x:c>
      <x:c r="BS585" s="16" t="n">
        <x:v>0.02631578947368421</x:v>
      </x:c>
      <x:c r="BT585" s="14" t="str">
        <x:v>One episode</x:v>
      </x:c>
      <x:c r="BU585" s="14" t="str">
        <x:v>Medium</x:v>
      </x:c>
      <x:c r="BV585" s="14" t="str">
        <x:v>Derived from the supplied IMDb episode count and documented production-total proxy.</x:v>
      </x:c>
      <x:c r="BW585" s="14" t="str">
        <x:v>Unable to determine</x:v>
      </x:c>
      <x:c r="BX585" s="14" t="str">
        <x:v>Cast-list and episode data do not establish narrative prominence.</x:v>
      </x:c>
      <x:c r="BY585" s="14" t="str">
        <x:v>Supplied IMDb cast-list workbook</x:v>
      </x:c>
      <x:c r="BZ585" s="14" t="str">
        <x:v>HYPERLINK is not implemented. linkLocation=https://www.imdb.com/title/tt15407098/fullcredits/,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tt15407098|nm0568118|cc horace winthorp</x:v>
      </x:c>
      <x:c r="B586" s="14" t="str">
        <x:v>05</x:v>
      </x:c>
      <x:c r="C586" s="14" t="str">
        <x:v>2022_IMDb_Cast_Lists_Batch_05(1).xlsx</x:v>
      </x:c>
      <x:c r="D586" s="14" t="str">
        <x:v>Sister Boniface Mysteries</x:v>
      </x:c>
      <x:c r="E586" s="14" t="n">
        <x:v>140</x:v>
      </x:c>
      <x:c r="F586" s="14" t="str">
        <x:v>Sister Boniface Mysteries</x:v>
      </x:c>
      <x:c r="G586" s="14" t="str">
        <x:v>tt15407098</x:v>
      </x:c>
      <x:c r="H586" s="14" t="n">
        <x:v>2022</x:v>
      </x:c>
      <x:c r="I586" s="14" t="n">
        <x:v>2025</x:v>
      </x:c>
      <x:c r="J586" s="14" t="str">
        <x:v>Earlier-Production Carry-In Cohort</x:v>
      </x:c>
      <x:c r="K586" s="14" t="n">
        <x:v>2022</x:v>
      </x:c>
      <x:c r="L586" s="14" t="str">
        <x:v>Used in 2025 annual analysis</x:v>
      </x:c>
      <x:c r="M586" s="15" t="n">
        <x:v>133</x:v>
      </x:c>
      <x:c r="N586" s="14" t="str">
        <x:v>Mark McDonnell</x:v>
      </x:c>
      <x:c r="O586" s="14" t="str">
        <x:v>nm0568118</x:v>
      </x:c>
      <x:c r="P586" s="14" t="str">
        <x:v>CC Horace Winthorp</x:v>
      </x:c>
      <x:c r="Q586" s="15" t="n">
        <x:v>1</x:v>
      </x:c>
      <x:c r="R586" s="14" t="str">
        <x:v>2025</x:v>
      </x:c>
      <x:c r="S586" s="14" t="n">
        <x:v>2025</x:v>
      </x:c>
      <x:c r="T586" s="14" t="n">
        <x:v>2025</x:v>
      </x:c>
      <x:c r="U586" s="14" t="str">
        <x:v>Explicit source first year retained</x:v>
      </x:c>
      <x:c r="V586" s="14" t="str">
        <x:v>Earliest supplied year is 2025.</x:v>
      </x:c>
      <x:c r="W586" s="14"/>
      <x:c r="X586" s="14" t="str">
        <x:v>Included</x:v>
      </x:c>
      <x:c r="Y586" s="14"/>
      <x:c r="Z586" s="14" t="str">
        <x:v>Sister Boniface Mysteries.docx</x:v>
      </x:c>
      <x:c r="AA586" s="14" t="str">
        <x:v>HYPERLINK is not implemented. linkLocation=https://www.imdb.com/title/tt15407098/fullcredits/,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BritBox UK</x:v>
      </x:c>
      <x:c r="AI586" s="14" t="str">
        <x:v>UK original 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uk original commission.</x:v>
      </x:c>
      <x:c r="AM5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6" s="14" t="str">
        <x:v>No qualifying BBC relationship</x:v>
      </x:c>
      <x:c r="AO586" s="14" t="str">
        <x:v>No</x:v>
      </x:c>
      <x:c r="AP586" s="14" t="str">
        <x:v>Out of scope</x:v>
      </x:c>
      <x:c r="AQ586" s="14" t="str">
        <x:v>No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38</x:v>
      </x:c>
      <x:c r="BP586" s="14" t="str">
        <x:v>Maximum supplied eligible IMDb cast-credit total; annual episode total not independently verified.</x:v>
      </x:c>
      <x:c r="BQ586" s="14" t="str">
        <x:v>Medium</x:v>
      </x:c>
      <x:c r="BR586" s="15" t="n">
        <x:v>1</x:v>
      </x:c>
      <x:c r="BS586" s="16" t="n">
        <x:v>0.02631578947368421</x:v>
      </x:c>
      <x:c r="BT586" s="14" t="str">
        <x:v>One episode</x:v>
      </x:c>
      <x:c r="BU586" s="14" t="str">
        <x:v>Medium</x:v>
      </x:c>
      <x:c r="BV586" s="14" t="str">
        <x:v>Derived from the supplied IMDb episode count and documented production-total proxy.</x:v>
      </x:c>
      <x:c r="BW586" s="14" t="str">
        <x:v>Unable to determine</x:v>
      </x:c>
      <x:c r="BX586" s="14" t="str">
        <x:v>Cast-list and episode data do not establish narrative prominence.</x:v>
      </x:c>
      <x:c r="BY586" s="14" t="str">
        <x:v>Supplied IMDb cast-list workbook</x:v>
      </x:c>
      <x:c r="BZ586" s="14" t="str">
        <x:v>HYPERLINK is not implemented. linkLocation=https://www.imdb.com/title/tt15407098/fullcredits/,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tt15407098|nm5751327|miles fletcher</x:v>
      </x:c>
      <x:c r="B587" s="14" t="str">
        <x:v>05</x:v>
      </x:c>
      <x:c r="C587" s="14" t="str">
        <x:v>2022_IMDb_Cast_Lists_Batch_05(1).xlsx</x:v>
      </x:c>
      <x:c r="D587" s="14" t="str">
        <x:v>Sister Boniface Mysteries</x:v>
      </x:c>
      <x:c r="E587" s="14" t="n">
        <x:v>154</x:v>
      </x:c>
      <x:c r="F587" s="14" t="str">
        <x:v>Sister Boniface Mysteries</x:v>
      </x:c>
      <x:c r="G587" s="14" t="str">
        <x:v>tt15407098</x:v>
      </x:c>
      <x:c r="H587" s="14" t="n">
        <x:v>2022</x:v>
      </x:c>
      <x:c r="I587" s="14" t="n">
        <x:v>2025</x:v>
      </x:c>
      <x:c r="J587" s="14" t="str">
        <x:v>Earlier-Production Carry-In Cohort</x:v>
      </x:c>
      <x:c r="K587" s="14" t="n">
        <x:v>2022</x:v>
      </x:c>
      <x:c r="L587" s="14" t="str">
        <x:v>Used in 2025 annual analysis</x:v>
      </x:c>
      <x:c r="M587" s="15" t="n">
        <x:v>147</x:v>
      </x:c>
      <x:c r="N587" s="14" t="str">
        <x:v>Oliver Dench</x:v>
      </x:c>
      <x:c r="O587" s="14" t="str">
        <x:v>nm5751327</x:v>
      </x:c>
      <x:c r="P587" s="14" t="str">
        <x:v>Miles Fletcher</x:v>
      </x:c>
      <x:c r="Q587" s="15" t="n">
        <x:v>1</x:v>
      </x:c>
      <x:c r="R587" s="14" t="str">
        <x:v>2025</x:v>
      </x:c>
      <x:c r="S587" s="14" t="n">
        <x:v>2025</x:v>
      </x:c>
      <x:c r="T587" s="14" t="n">
        <x:v>2025</x:v>
      </x:c>
      <x:c r="U587" s="14" t="str">
        <x:v>Explicit source first year retained</x:v>
      </x:c>
      <x:c r="V587" s="14" t="str">
        <x:v>Earliest supplied year is 2025.</x:v>
      </x:c>
      <x:c r="W587" s="14"/>
      <x:c r="X587" s="14" t="str">
        <x:v>Included</x:v>
      </x:c>
      <x:c r="Y587" s="14"/>
      <x:c r="Z587" s="14" t="str">
        <x:v>Sister Boniface Mysteries.docx</x:v>
      </x:c>
      <x:c r="AA587" s="14" t="str">
        <x:v>HYPERLINK is not implemented. linkLocation=https://www.imdb.com/title/tt15407098/fullcredits/,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BritBox UK</x:v>
      </x:c>
      <x:c r="AI587" s="14" t="str">
        <x:v>UK original 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uk original commission.</x:v>
      </x:c>
      <x:c r="AM5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7" s="14" t="str">
        <x:v>No qualifying BBC relationship</x:v>
      </x:c>
      <x:c r="AO587" s="14" t="str">
        <x:v>No</x:v>
      </x:c>
      <x:c r="AP587" s="14" t="str">
        <x:v>Out of scope</x:v>
      </x:c>
      <x:c r="AQ587" s="14" t="str">
        <x:v>No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38</x:v>
      </x:c>
      <x:c r="BP587" s="14" t="str">
        <x:v>Maximum supplied eligible IMDb cast-credit total; annual episode total not independently verified.</x:v>
      </x:c>
      <x:c r="BQ587" s="14" t="str">
        <x:v>Medium</x:v>
      </x:c>
      <x:c r="BR587" s="15" t="n">
        <x:v>1</x:v>
      </x:c>
      <x:c r="BS587" s="16" t="n">
        <x:v>0.02631578947368421</x:v>
      </x:c>
      <x:c r="BT587" s="14" t="str">
        <x:v>One episode</x:v>
      </x:c>
      <x:c r="BU587" s="14" t="str">
        <x:v>Medium</x:v>
      </x:c>
      <x:c r="BV587" s="14" t="str">
        <x:v>Derived from the supplied IMDb episode count and documented production-total proxy.</x:v>
      </x:c>
      <x:c r="BW587" s="14" t="str">
        <x:v>Unable to determine</x:v>
      </x:c>
      <x:c r="BX587" s="14" t="str">
        <x:v>Cast-list and episode data do not establish narrative prominence.</x:v>
      </x:c>
      <x:c r="BY587" s="14" t="str">
        <x:v>Supplied IMDb cast-list workbook</x:v>
      </x:c>
      <x:c r="BZ587" s="14" t="str">
        <x:v>HYPERLINK is not implemented. linkLocation=https://www.imdb.com/title/tt15407098/fullcredits/,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tt15407098|nm2497266|di jack stagg</x:v>
      </x:c>
      <x:c r="B588" s="14" t="str">
        <x:v>05</x:v>
      </x:c>
      <x:c r="C588" s="14" t="str">
        <x:v>2022_IMDb_Cast_Lists_Batch_05(1).xlsx</x:v>
      </x:c>
      <x:c r="D588" s="14" t="str">
        <x:v>Sister Boniface Mysteries</x:v>
      </x:c>
      <x:c r="E588" s="14" t="n">
        <x:v>155</x:v>
      </x:c>
      <x:c r="F588" s="14" t="str">
        <x:v>Sister Boniface Mysteries</x:v>
      </x:c>
      <x:c r="G588" s="14" t="str">
        <x:v>tt15407098</x:v>
      </x:c>
      <x:c r="H588" s="14" t="n">
        <x:v>2022</x:v>
      </x:c>
      <x:c r="I588" s="14" t="n">
        <x:v>2025</x:v>
      </x:c>
      <x:c r="J588" s="14" t="str">
        <x:v>Earlier-Production Carry-In Cohort</x:v>
      </x:c>
      <x:c r="K588" s="14" t="n">
        <x:v>2022</x:v>
      </x:c>
      <x:c r="L588" s="14" t="str">
        <x:v>Used in 2025 annual analysis</x:v>
      </x:c>
      <x:c r="M588" s="15" t="n">
        <x:v>148</x:v>
      </x:c>
      <x:c r="N588" s="14" t="str">
        <x:v>Jay Taylor</x:v>
      </x:c>
      <x:c r="O588" s="14" t="str">
        <x:v>nm2497266</x:v>
      </x:c>
      <x:c r="P588" s="14" t="str">
        <x:v>DI Jack Stagg</x:v>
      </x:c>
      <x:c r="Q588" s="15" t="n">
        <x:v>1</x:v>
      </x:c>
      <x:c r="R588" s="14" t="str">
        <x:v>2025</x:v>
      </x:c>
      <x:c r="S588" s="14" t="n">
        <x:v>2025</x:v>
      </x:c>
      <x:c r="T588" s="14" t="n">
        <x:v>2025</x:v>
      </x:c>
      <x:c r="U588" s="14" t="str">
        <x:v>Explicit source first year retained</x:v>
      </x:c>
      <x:c r="V588" s="14" t="str">
        <x:v>Earliest supplied year is 2025.</x:v>
      </x:c>
      <x:c r="W588" s="14"/>
      <x:c r="X588" s="14" t="str">
        <x:v>Included</x:v>
      </x:c>
      <x:c r="Y588" s="14"/>
      <x:c r="Z588" s="14" t="str">
        <x:v>Sister Boniface Mysteries.docx</x:v>
      </x:c>
      <x:c r="AA588" s="14" t="str">
        <x:v>HYPERLINK is not implemented. linkLocation=https://www.imdb.com/title/tt15407098/fullcredits/, friendlyName=Open source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BritBox UK</x:v>
      </x:c>
      <x:c r="AI588" s="14" t="str">
        <x:v>UK original 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uk original commission.</x:v>
      </x:c>
      <x:c r="AM5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8" s="14" t="str">
        <x:v>No qualifying BBC relationship</x:v>
      </x:c>
      <x:c r="AO588" s="14" t="str">
        <x:v>No</x:v>
      </x:c>
      <x:c r="AP588" s="14" t="str">
        <x:v>Out of scope</x:v>
      </x:c>
      <x:c r="AQ588" s="14" t="str">
        <x:v>No</x:v>
      </x:c>
      <x:c r="AR588" s="14" t="str">
        <x:v>Resolved from master register</x:v>
      </x:c>
      <x:c r="AS588" s="14" t="str">
        <x:v>No established-register match</x:v>
      </x:c>
      <x:c r="AT588" s="14"/>
      <x:c r="AU588" s="14"/>
      <x:c r="AV588" s="14" t="str">
        <x:v>No established apparent-disability match</x:v>
      </x:c>
      <x:c r="AW588" s="14"/>
      <x:c r="AX588" s="14" t="str">
        <x:v>No</x:v>
      </x:c>
      <x:c r="AY588" s="14" t="str">
        <x:v>Unmatched</x:v>
      </x:c>
      <x:c r="AZ588" s="14" t="str">
        <x:v>Final supplied register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38</x:v>
      </x:c>
      <x:c r="BP588" s="14" t="str">
        <x:v>Maximum supplied eligible IMDb cast-credit total; annual episode total not independently verified.</x:v>
      </x:c>
      <x:c r="BQ588" s="14" t="str">
        <x:v>Medium</x:v>
      </x:c>
      <x:c r="BR588" s="15" t="n">
        <x:v>1</x:v>
      </x:c>
      <x:c r="BS588" s="16" t="n">
        <x:v>0.02631578947368421</x:v>
      </x:c>
      <x:c r="BT588" s="14" t="str">
        <x:v>One episode</x:v>
      </x:c>
      <x:c r="BU588" s="14" t="str">
        <x:v>Medium</x:v>
      </x:c>
      <x:c r="BV588" s="14" t="str">
        <x:v>Derived from the supplied IMDb episode count and documented production-total proxy.</x:v>
      </x:c>
      <x:c r="BW588" s="14" t="str">
        <x:v>Unable to determine</x:v>
      </x:c>
      <x:c r="BX588" s="14" t="str">
        <x:v>Cast-list and episode data do not establish narrative prominence.</x:v>
      </x:c>
      <x:c r="BY588" s="14" t="str">
        <x:v>Supplied IMDb cast-list workbook</x:v>
      </x:c>
      <x:c r="BZ588" s="14" t="str">
        <x:v>HYPERLINK is not implemented. linkLocation=https://www.imdb.com/title/tt15407098/fullcredits/,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tt15407098|nm4309809|dc heather thorne</x:v>
      </x:c>
      <x:c r="B589" s="14" t="str">
        <x:v>05</x:v>
      </x:c>
      <x:c r="C589" s="14" t="str">
        <x:v>2022_IMDb_Cast_Lists_Batch_05(1).xlsx</x:v>
      </x:c>
      <x:c r="D589" s="14" t="str">
        <x:v>Sister Boniface Mysteries</x:v>
      </x:c>
      <x:c r="E589" s="14" t="n">
        <x:v>165</x:v>
      </x:c>
      <x:c r="F589" s="14" t="str">
        <x:v>Sister Boniface Mysteries</x:v>
      </x:c>
      <x:c r="G589" s="14" t="str">
        <x:v>tt15407098</x:v>
      </x:c>
      <x:c r="H589" s="14" t="n">
        <x:v>2022</x:v>
      </x:c>
      <x:c r="I589" s="14" t="n">
        <x:v>2025</x:v>
      </x:c>
      <x:c r="J589" s="14" t="str">
        <x:v>Earlier-Production Carry-In Cohort</x:v>
      </x:c>
      <x:c r="K589" s="14" t="n">
        <x:v>2022</x:v>
      </x:c>
      <x:c r="L589" s="14" t="str">
        <x:v>Used in 2025 annual analysis</x:v>
      </x:c>
      <x:c r="M589" s="15" t="n">
        <x:v>158</x:v>
      </x:c>
      <x:c r="N589" s="14" t="str">
        <x:v>Tamla Kari</x:v>
      </x:c>
      <x:c r="O589" s="14" t="str">
        <x:v>nm4309809</x:v>
      </x:c>
      <x:c r="P589" s="14" t="str">
        <x:v>DC Heather Thorne</x:v>
      </x:c>
      <x:c r="Q589" s="15" t="n">
        <x:v>1</x:v>
      </x:c>
      <x:c r="R589" s="14" t="str">
        <x:v>2025</x:v>
      </x:c>
      <x:c r="S589" s="14" t="n">
        <x:v>2025</x:v>
      </x:c>
      <x:c r="T589" s="14" t="n">
        <x:v>2025</x:v>
      </x:c>
      <x:c r="U589" s="14" t="str">
        <x:v>Explicit source first year retained</x:v>
      </x:c>
      <x:c r="V589" s="14" t="str">
        <x:v>Earliest supplied year is 2025.</x:v>
      </x:c>
      <x:c r="W589" s="14"/>
      <x:c r="X589" s="14" t="str">
        <x:v>Included</x:v>
      </x:c>
      <x:c r="Y589" s="14"/>
      <x:c r="Z589" s="14" t="str">
        <x:v>Sister Boniface Mysteries.docx</x:v>
      </x:c>
      <x:c r="AA589" s="14" t="str">
        <x:v>HYPERLINK is not implemented. linkLocation=https://www.imdb.com/title/tt15407098/fullcredits/,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BritBox UK</x:v>
      </x:c>
      <x:c r="AI589" s="14" t="str">
        <x:v>UK original 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uk original commission.</x:v>
      </x:c>
      <x:c r="AM5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9" s="14" t="str">
        <x:v>No qualifying BBC relationship</x:v>
      </x:c>
      <x:c r="AO589" s="14" t="str">
        <x:v>No</x:v>
      </x:c>
      <x:c r="AP589" s="14" t="str">
        <x:v>Out of scope</x:v>
      </x:c>
      <x:c r="AQ589" s="14" t="str">
        <x:v>No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38</x:v>
      </x:c>
      <x:c r="BP589" s="14" t="str">
        <x:v>Maximum supplied eligible IMDb cast-credit total; annual episode total not independently verified.</x:v>
      </x:c>
      <x:c r="BQ589" s="14" t="str">
        <x:v>Medium</x:v>
      </x:c>
      <x:c r="BR589" s="15" t="n">
        <x:v>1</x:v>
      </x:c>
      <x:c r="BS589" s="16" t="n">
        <x:v>0.02631578947368421</x:v>
      </x:c>
      <x:c r="BT589" s="14" t="str">
        <x:v>One episode</x:v>
      </x:c>
      <x:c r="BU589" s="14" t="str">
        <x:v>Medium</x:v>
      </x:c>
      <x:c r="BV589" s="14" t="str">
        <x:v>Derived from the supplied IMDb episode count and documented production-total proxy.</x:v>
      </x:c>
      <x:c r="BW589" s="14" t="str">
        <x:v>Unable to determine</x:v>
      </x:c>
      <x:c r="BX589" s="14" t="str">
        <x:v>Cast-list and episode data do not establish narrative prominence.</x:v>
      </x:c>
      <x:c r="BY589" s="14" t="str">
        <x:v>Supplied IMDb cast-list workbook</x:v>
      </x:c>
      <x:c r="BZ589" s="14" t="str">
        <x:v>HYPERLINK is not implemented. linkLocation=https://www.imdb.com/title/tt15407098/fullcredits/,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tt15407098|nm8013437|vivian ashbrook</x:v>
      </x:c>
      <x:c r="B590" s="14" t="str">
        <x:v>05</x:v>
      </x:c>
      <x:c r="C590" s="14" t="str">
        <x:v>2022_IMDb_Cast_Lists_Batch_05(1).xlsx</x:v>
      </x:c>
      <x:c r="D590" s="14" t="str">
        <x:v>Sister Boniface Mysteries</x:v>
      </x:c>
      <x:c r="E590" s="14" t="n">
        <x:v>166</x:v>
      </x:c>
      <x:c r="F590" s="14" t="str">
        <x:v>Sister Boniface Mysteries</x:v>
      </x:c>
      <x:c r="G590" s="14" t="str">
        <x:v>tt15407098</x:v>
      </x:c>
      <x:c r="H590" s="14" t="n">
        <x:v>2022</x:v>
      </x:c>
      <x:c r="I590" s="14" t="n">
        <x:v>2025</x:v>
      </x:c>
      <x:c r="J590" s="14" t="str">
        <x:v>Earlier-Production Carry-In Cohort</x:v>
      </x:c>
      <x:c r="K590" s="14" t="n">
        <x:v>2022</x:v>
      </x:c>
      <x:c r="L590" s="14" t="str">
        <x:v>Used in 2025 annual analysis</x:v>
      </x:c>
      <x:c r="M590" s="15" t="n">
        <x:v>159</x:v>
      </x:c>
      <x:c r="N590" s="14" t="str">
        <x:v>Sophie Ablett</x:v>
      </x:c>
      <x:c r="O590" s="14" t="str">
        <x:v>nm8013437</x:v>
      </x:c>
      <x:c r="P590" s="14" t="str">
        <x:v>Vivian Ashbrook</x:v>
      </x:c>
      <x:c r="Q590" s="15" t="n">
        <x:v>1</x:v>
      </x:c>
      <x:c r="R590" s="14" t="str">
        <x:v>2025</x:v>
      </x:c>
      <x:c r="S590" s="14" t="n">
        <x:v>2025</x:v>
      </x:c>
      <x:c r="T590" s="14" t="n">
        <x:v>2025</x:v>
      </x:c>
      <x:c r="U590" s="14" t="str">
        <x:v>Explicit source first year retained</x:v>
      </x:c>
      <x:c r="V590" s="14" t="str">
        <x:v>Earliest supplied year is 2025.</x:v>
      </x:c>
      <x:c r="W590" s="14"/>
      <x:c r="X590" s="14" t="str">
        <x:v>Included</x:v>
      </x:c>
      <x:c r="Y590" s="14"/>
      <x:c r="Z590" s="14" t="str">
        <x:v>Sister Boniface Mysteries.docx</x:v>
      </x:c>
      <x:c r="AA590" s="14" t="str">
        <x:v>HYPERLINK is not implemented. linkLocation=https://www.imdb.com/title/tt15407098/fullcredits/,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BritBox UK</x:v>
      </x:c>
      <x:c r="AI590" s="14" t="str">
        <x:v>UK original 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uk original commission.</x:v>
      </x:c>
      <x:c r="AM5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0" s="14" t="str">
        <x:v>No qualifying BBC relationship</x:v>
      </x:c>
      <x:c r="AO590" s="14" t="str">
        <x:v>No</x:v>
      </x:c>
      <x:c r="AP590" s="14" t="str">
        <x:v>Out of scope</x:v>
      </x:c>
      <x:c r="AQ590" s="14" t="str">
        <x:v>No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38</x:v>
      </x:c>
      <x:c r="BP590" s="14" t="str">
        <x:v>Maximum supplied eligible IMDb cast-credit total; annual episode total not independently verified.</x:v>
      </x:c>
      <x:c r="BQ590" s="14" t="str">
        <x:v>Medium</x:v>
      </x:c>
      <x:c r="BR590" s="15" t="n">
        <x:v>1</x:v>
      </x:c>
      <x:c r="BS590" s="16" t="n">
        <x:v>0.02631578947368421</x:v>
      </x:c>
      <x:c r="BT590" s="14" t="str">
        <x:v>One episode</x:v>
      </x:c>
      <x:c r="BU590" s="14" t="str">
        <x:v>Medium</x:v>
      </x:c>
      <x:c r="BV590" s="14" t="str">
        <x:v>Derived from the supplied IMDb episode count and documented production-total proxy.</x:v>
      </x:c>
      <x:c r="BW590" s="14" t="str">
        <x:v>Unable to determine</x:v>
      </x:c>
      <x:c r="BX590" s="14" t="str">
        <x:v>Cast-list and episode data do not establish narrative prominence.</x:v>
      </x:c>
      <x:c r="BY590" s="14" t="str">
        <x:v>Supplied IMDb cast-list workbook</x:v>
      </x:c>
      <x:c r="BZ590" s="14" t="str">
        <x:v>HYPERLINK is not implemented. linkLocation=https://www.imdb.com/title/tt15407098/fullcredits/,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tt15407098|nm1685971|dermot millington</x:v>
      </x:c>
      <x:c r="B591" s="14" t="str">
        <x:v>05</x:v>
      </x:c>
      <x:c r="C591" s="14" t="str">
        <x:v>2022_IMDb_Cast_Lists_Batch_05(1).xlsx</x:v>
      </x:c>
      <x:c r="D591" s="14" t="str">
        <x:v>Sister Boniface Mysteries</x:v>
      </x:c>
      <x:c r="E591" s="14" t="n">
        <x:v>177</x:v>
      </x:c>
      <x:c r="F591" s="14" t="str">
        <x:v>Sister Boniface Mysteries</x:v>
      </x:c>
      <x:c r="G591" s="14" t="str">
        <x:v>tt15407098</x:v>
      </x:c>
      <x:c r="H591" s="14" t="n">
        <x:v>2022</x:v>
      </x:c>
      <x:c r="I591" s="14" t="n">
        <x:v>2025</x:v>
      </x:c>
      <x:c r="J591" s="14" t="str">
        <x:v>Earlier-Production Carry-In Cohort</x:v>
      </x:c>
      <x:c r="K591" s="14" t="n">
        <x:v>2022</x:v>
      </x:c>
      <x:c r="L591" s="14" t="str">
        <x:v>Used in 2025 annual analysis</x:v>
      </x:c>
      <x:c r="M591" s="15" t="n">
        <x:v>170</x:v>
      </x:c>
      <x:c r="N591" s="14" t="str">
        <x:v>Joshua James</x:v>
      </x:c>
      <x:c r="O591" s="14" t="str">
        <x:v>nm1685971</x:v>
      </x:c>
      <x:c r="P591" s="14" t="str">
        <x:v>Dermot Millington</x:v>
      </x:c>
      <x:c r="Q591" s="15" t="n">
        <x:v>1</x:v>
      </x:c>
      <x:c r="R591" s="14" t="str">
        <x:v>2025</x:v>
      </x:c>
      <x:c r="S591" s="14" t="n">
        <x:v>2025</x:v>
      </x:c>
      <x:c r="T591" s="14" t="n">
        <x:v>2025</x:v>
      </x:c>
      <x:c r="U591" s="14" t="str">
        <x:v>Explicit source first year retained</x:v>
      </x:c>
      <x:c r="V591" s="14" t="str">
        <x:v>Earliest supplied year is 2025.</x:v>
      </x:c>
      <x:c r="W591" s="14"/>
      <x:c r="X591" s="14" t="str">
        <x:v>Included</x:v>
      </x:c>
      <x:c r="Y591" s="14"/>
      <x:c r="Z591" s="14" t="str">
        <x:v>Sister Boniface Mysteries.docx</x:v>
      </x:c>
      <x:c r="AA591" s="14" t="str">
        <x:v>HYPERLINK is not implemented. linkLocation=https://www.imdb.com/title/tt15407098/fullcredits/,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BritBox UK</x:v>
      </x:c>
      <x:c r="AI591" s="14" t="str">
        <x:v>UK original 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uk original commission.</x:v>
      </x:c>
      <x:c r="AM5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1" s="14" t="str">
        <x:v>No qualifying BBC relationship</x:v>
      </x:c>
      <x:c r="AO591" s="14" t="str">
        <x:v>No</x:v>
      </x:c>
      <x:c r="AP591" s="14" t="str">
        <x:v>Out of scope</x:v>
      </x:c>
      <x:c r="AQ591" s="14" t="str">
        <x:v>No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38</x:v>
      </x:c>
      <x:c r="BP591" s="14" t="str">
        <x:v>Maximum supplied eligible IMDb cast-credit total; annual episode total not independently verified.</x:v>
      </x:c>
      <x:c r="BQ591" s="14" t="str">
        <x:v>Medium</x:v>
      </x:c>
      <x:c r="BR591" s="15" t="n">
        <x:v>1</x:v>
      </x:c>
      <x:c r="BS591" s="16" t="n">
        <x:v>0.02631578947368421</x:v>
      </x:c>
      <x:c r="BT591" s="14" t="str">
        <x:v>One episode</x:v>
      </x:c>
      <x:c r="BU591" s="14" t="str">
        <x:v>Medium</x:v>
      </x:c>
      <x:c r="BV591" s="14" t="str">
        <x:v>Derived from the supplied IMDb episode count and documented production-total proxy.</x:v>
      </x:c>
      <x:c r="BW591" s="14" t="str">
        <x:v>Unable to determine</x:v>
      </x:c>
      <x:c r="BX591" s="14" t="str">
        <x:v>Cast-list and episode data do not establish narrative prominence.</x:v>
      </x:c>
      <x:c r="BY591" s="14" t="str">
        <x:v>Supplied IMDb cast-list workbook</x:v>
      </x:c>
      <x:c r="BZ591" s="14" t="str">
        <x:v>HYPERLINK is not implemented. linkLocation=https://www.imdb.com/title/tt15407098/fullcredits/,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tt15407098|nm9660102|charity gray</x:v>
      </x:c>
      <x:c r="B592" s="14" t="str">
        <x:v>05</x:v>
      </x:c>
      <x:c r="C592" s="14" t="str">
        <x:v>2022_IMDb_Cast_Lists_Batch_05(1).xlsx</x:v>
      </x:c>
      <x:c r="D592" s="14" t="str">
        <x:v>Sister Boniface Mysteries</x:v>
      </x:c>
      <x:c r="E592" s="14" t="n">
        <x:v>178</x:v>
      </x:c>
      <x:c r="F592" s="14" t="str">
        <x:v>Sister Boniface Mysteries</x:v>
      </x:c>
      <x:c r="G592" s="14" t="str">
        <x:v>tt15407098</x:v>
      </x:c>
      <x:c r="H592" s="14" t="n">
        <x:v>2022</x:v>
      </x:c>
      <x:c r="I592" s="14" t="n">
        <x:v>2025</x:v>
      </x:c>
      <x:c r="J592" s="14" t="str">
        <x:v>Earlier-Production Carry-In Cohort</x:v>
      </x:c>
      <x:c r="K592" s="14" t="n">
        <x:v>2022</x:v>
      </x:c>
      <x:c r="L592" s="14" t="str">
        <x:v>Used in 2025 annual analysis</x:v>
      </x:c>
      <x:c r="M592" s="15" t="n">
        <x:v>171</x:v>
      </x:c>
      <x:c r="N592" s="14" t="str">
        <x:v>Genesis Lynea</x:v>
      </x:c>
      <x:c r="O592" s="14" t="str">
        <x:v>nm9660102</x:v>
      </x:c>
      <x:c r="P592" s="14" t="str">
        <x:v>Charity Gray</x:v>
      </x:c>
      <x:c r="Q592" s="15" t="n">
        <x:v>1</x:v>
      </x:c>
      <x:c r="R592" s="14" t="str">
        <x:v>2025</x:v>
      </x:c>
      <x:c r="S592" s="14" t="n">
        <x:v>2025</x:v>
      </x:c>
      <x:c r="T592" s="14" t="n">
        <x:v>2025</x:v>
      </x:c>
      <x:c r="U592" s="14" t="str">
        <x:v>Explicit source first year retained</x:v>
      </x:c>
      <x:c r="V592" s="14" t="str">
        <x:v>Earliest supplied year is 2025.</x:v>
      </x:c>
      <x:c r="W592" s="14"/>
      <x:c r="X592" s="14" t="str">
        <x:v>Included</x:v>
      </x:c>
      <x:c r="Y592" s="14"/>
      <x:c r="Z592" s="14" t="str">
        <x:v>Sister Boniface Mysteries.docx</x:v>
      </x:c>
      <x:c r="AA592" s="14" t="str">
        <x:v>HYPERLINK is not implemented. linkLocation=https://www.imdb.com/title/tt15407098/fullcredits/,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BritBox UK</x:v>
      </x:c>
      <x:c r="AI592" s="14" t="str">
        <x:v>UK original 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uk original commission.</x:v>
      </x:c>
      <x:c r="AM5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2" s="14" t="str">
        <x:v>No qualifying BBC relationship</x:v>
      </x:c>
      <x:c r="AO592" s="14" t="str">
        <x:v>No</x:v>
      </x:c>
      <x:c r="AP592" s="14" t="str">
        <x:v>Out of scope</x:v>
      </x:c>
      <x:c r="AQ592" s="14" t="str">
        <x:v>No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38</x:v>
      </x:c>
      <x:c r="BP592" s="14" t="str">
        <x:v>Maximum supplied eligible IMDb cast-credit total; annual episode total not independently verified.</x:v>
      </x:c>
      <x:c r="BQ592" s="14" t="str">
        <x:v>Medium</x:v>
      </x:c>
      <x:c r="BR592" s="15" t="n">
        <x:v>1</x:v>
      </x:c>
      <x:c r="BS592" s="16" t="n">
        <x:v>0.02631578947368421</x:v>
      </x:c>
      <x:c r="BT592" s="14" t="str">
        <x:v>One episode</x:v>
      </x:c>
      <x:c r="BU592" s="14" t="str">
        <x:v>Medium</x:v>
      </x:c>
      <x:c r="BV592" s="14" t="str">
        <x:v>Derived from the supplied IMDb episode count and documented production-total proxy.</x:v>
      </x:c>
      <x:c r="BW592" s="14" t="str">
        <x:v>Unable to determine</x:v>
      </x:c>
      <x:c r="BX592" s="14" t="str">
        <x:v>Cast-list and episode data do not establish narrative prominence.</x:v>
      </x:c>
      <x:c r="BY592" s="14" t="str">
        <x:v>Supplied IMDb cast-list workbook</x:v>
      </x:c>
      <x:c r="BZ592" s="14" t="str">
        <x:v>HYPERLINK is not implemented. linkLocation=https://www.imdb.com/title/tt15407098/fullcredits/,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tt15407098|nm12493278|denise carver</x:v>
      </x:c>
      <x:c r="B593" s="14" t="str">
        <x:v>05</x:v>
      </x:c>
      <x:c r="C593" s="14" t="str">
        <x:v>2022_IMDb_Cast_Lists_Batch_05(1).xlsx</x:v>
      </x:c>
      <x:c r="D593" s="14" t="str">
        <x:v>Sister Boniface Mysteries</x:v>
      </x:c>
      <x:c r="E593" s="14" t="n">
        <x:v>179</x:v>
      </x:c>
      <x:c r="F593" s="14" t="str">
        <x:v>Sister Boniface Mysteries</x:v>
      </x:c>
      <x:c r="G593" s="14" t="str">
        <x:v>tt15407098</x:v>
      </x:c>
      <x:c r="H593" s="14" t="n">
        <x:v>2022</x:v>
      </x:c>
      <x:c r="I593" s="14" t="n">
        <x:v>2025</x:v>
      </x:c>
      <x:c r="J593" s="14" t="str">
        <x:v>Earlier-Production Carry-In Cohort</x:v>
      </x:c>
      <x:c r="K593" s="14" t="n">
        <x:v>2022</x:v>
      </x:c>
      <x:c r="L593" s="14" t="str">
        <x:v>Used in 2025 annual analysis</x:v>
      </x:c>
      <x:c r="M593" s="15" t="n">
        <x:v>172</x:v>
      </x:c>
      <x:c r="N593" s="14" t="str">
        <x:v>Keturah Chambers</x:v>
      </x:c>
      <x:c r="O593" s="14" t="str">
        <x:v>nm12493278</x:v>
      </x:c>
      <x:c r="P593" s="14" t="str">
        <x:v>Denise Carver</x:v>
      </x:c>
      <x:c r="Q593" s="15" t="n">
        <x:v>1</x:v>
      </x:c>
      <x:c r="R593" s="14" t="str">
        <x:v>2025</x:v>
      </x:c>
      <x:c r="S593" s="14" t="n">
        <x:v>2025</x:v>
      </x:c>
      <x:c r="T593" s="14" t="n">
        <x:v>2025</x:v>
      </x:c>
      <x:c r="U593" s="14" t="str">
        <x:v>Explicit source first year retained</x:v>
      </x:c>
      <x:c r="V593" s="14" t="str">
        <x:v>Earliest supplied year is 2025.</x:v>
      </x:c>
      <x:c r="W593" s="14"/>
      <x:c r="X593" s="14" t="str">
        <x:v>Included</x:v>
      </x:c>
      <x:c r="Y593" s="14"/>
      <x:c r="Z593" s="14" t="str">
        <x:v>Sister Boniface Mysteries.docx</x:v>
      </x:c>
      <x:c r="AA593" s="14" t="str">
        <x:v>HYPERLINK is not implemented. linkLocation=https://www.imdb.com/title/tt15407098/fullcredits/,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BritBox UK</x:v>
      </x:c>
      <x:c r="AI593" s="14" t="str">
        <x:v>UK original 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uk original commission.</x:v>
      </x:c>
      <x:c r="AM5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3" s="14" t="str">
        <x:v>No qualifying BBC relationship</x:v>
      </x:c>
      <x:c r="AO593" s="14" t="str">
        <x:v>No</x:v>
      </x:c>
      <x:c r="AP593" s="14" t="str">
        <x:v>Out of scope</x:v>
      </x:c>
      <x:c r="AQ593" s="14" t="str">
        <x:v>No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38</x:v>
      </x:c>
      <x:c r="BP593" s="14" t="str">
        <x:v>Maximum supplied eligible IMDb cast-credit total; annual episode total not independently verified.</x:v>
      </x:c>
      <x:c r="BQ593" s="14" t="str">
        <x:v>Medium</x:v>
      </x:c>
      <x:c r="BR593" s="15" t="n">
        <x:v>1</x:v>
      </x:c>
      <x:c r="BS593" s="16" t="n">
        <x:v>0.02631578947368421</x:v>
      </x:c>
      <x:c r="BT593" s="14" t="str">
        <x:v>One episode</x:v>
      </x:c>
      <x:c r="BU593" s="14" t="str">
        <x:v>Medium</x:v>
      </x:c>
      <x:c r="BV593" s="14" t="str">
        <x:v>Derived from the supplied IMDb episode count and documented production-total proxy.</x:v>
      </x:c>
      <x:c r="BW593" s="14" t="str">
        <x:v>Unable to determine</x:v>
      </x:c>
      <x:c r="BX593" s="14" t="str">
        <x:v>Cast-list and episode data do not establish narrative prominence.</x:v>
      </x:c>
      <x:c r="BY593" s="14" t="str">
        <x:v>Supplied IMDb cast-list workbook</x:v>
      </x:c>
      <x:c r="BZ593" s="14" t="str">
        <x:v>HYPERLINK is not implemented. linkLocation=https://www.imdb.com/title/tt15407098/fullcredits/,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tt15407098|nm14651844|pc rupert beagle</x:v>
      </x:c>
      <x:c r="B594" s="14" t="str">
        <x:v>05</x:v>
      </x:c>
      <x:c r="C594" s="14" t="str">
        <x:v>2022_IMDb_Cast_Lists_Batch_05(1).xlsx</x:v>
      </x:c>
      <x:c r="D594" s="14" t="str">
        <x:v>Sister Boniface Mysteries</x:v>
      </x:c>
      <x:c r="E594" s="14" t="n">
        <x:v>180</x:v>
      </x:c>
      <x:c r="F594" s="14" t="str">
        <x:v>Sister Boniface Mysteries</x:v>
      </x:c>
      <x:c r="G594" s="14" t="str">
        <x:v>tt15407098</x:v>
      </x:c>
      <x:c r="H594" s="14" t="n">
        <x:v>2022</x:v>
      </x:c>
      <x:c r="I594" s="14" t="n">
        <x:v>2025</x:v>
      </x:c>
      <x:c r="J594" s="14" t="str">
        <x:v>Earlier-Production Carry-In Cohort</x:v>
      </x:c>
      <x:c r="K594" s="14" t="n">
        <x:v>2022</x:v>
      </x:c>
      <x:c r="L594" s="14" t="str">
        <x:v>Used in 2025 annual analysis</x:v>
      </x:c>
      <x:c r="M594" s="15" t="n">
        <x:v>173</x:v>
      </x:c>
      <x:c r="N594" s="14" t="str">
        <x:v>Tyler-Jo Richardson</x:v>
      </x:c>
      <x:c r="O594" s="14" t="str">
        <x:v>nm14651844</x:v>
      </x:c>
      <x:c r="P594" s="14" t="str">
        <x:v>PC Rupert Beagle</x:v>
      </x:c>
      <x:c r="Q594" s="15" t="n">
        <x:v>1</x:v>
      </x:c>
      <x:c r="R594" s="14" t="str">
        <x:v>2025</x:v>
      </x:c>
      <x:c r="S594" s="14" t="n">
        <x:v>2025</x:v>
      </x:c>
      <x:c r="T594" s="14" t="n">
        <x:v>2025</x:v>
      </x:c>
      <x:c r="U594" s="14" t="str">
        <x:v>Explicit source first year retained</x:v>
      </x:c>
      <x:c r="V594" s="14" t="str">
        <x:v>Earliest supplied year is 2025.</x:v>
      </x:c>
      <x:c r="W594" s="14"/>
      <x:c r="X594" s="14" t="str">
        <x:v>Included</x:v>
      </x:c>
      <x:c r="Y594" s="14"/>
      <x:c r="Z594" s="14" t="str">
        <x:v>Sister Boniface Mysteries.docx</x:v>
      </x:c>
      <x:c r="AA594" s="14" t="str">
        <x:v>HYPERLINK is not implemented. linkLocation=https://www.imdb.com/title/tt15407098/fullcredits/,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BritBox UK</x:v>
      </x:c>
      <x:c r="AI594" s="14" t="str">
        <x:v>UK original 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uk original commission.</x:v>
      </x:c>
      <x:c r="AM5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4" s="14" t="str">
        <x:v>No qualifying BBC relationship</x:v>
      </x:c>
      <x:c r="AO594" s="14" t="str">
        <x:v>No</x:v>
      </x:c>
      <x:c r="AP594" s="14" t="str">
        <x:v>Out of scope</x:v>
      </x:c>
      <x:c r="AQ594" s="14" t="str">
        <x:v>No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38</x:v>
      </x:c>
      <x:c r="BP594" s="14" t="str">
        <x:v>Maximum supplied eligible IMDb cast-credit total; annual episode total not independently verified.</x:v>
      </x:c>
      <x:c r="BQ594" s="14" t="str">
        <x:v>Medium</x:v>
      </x:c>
      <x:c r="BR594" s="15" t="n">
        <x:v>1</x:v>
      </x:c>
      <x:c r="BS594" s="16" t="n">
        <x:v>0.02631578947368421</x:v>
      </x:c>
      <x:c r="BT594" s="14" t="str">
        <x:v>One episode</x:v>
      </x:c>
      <x:c r="BU594" s="14" t="str">
        <x:v>Medium</x:v>
      </x:c>
      <x:c r="BV594" s="14" t="str">
        <x:v>Derived from the supplied IMDb episode count and documented production-total proxy.</x:v>
      </x:c>
      <x:c r="BW594" s="14" t="str">
        <x:v>Unable to determine</x:v>
      </x:c>
      <x:c r="BX594" s="14" t="str">
        <x:v>Cast-list and episode data do not establish narrative prominence.</x:v>
      </x:c>
      <x:c r="BY594" s="14" t="str">
        <x:v>Supplied IMDb cast-list workbook</x:v>
      </x:c>
      <x:c r="BZ594" s="14" t="str">
        <x:v>HYPERLINK is not implemented. linkLocation=https://www.imdb.com/title/tt15407098/fullcredits/,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tt15407098|nm7656003|pamela millington</x:v>
      </x:c>
      <x:c r="B595" s="14" t="str">
        <x:v>05</x:v>
      </x:c>
      <x:c r="C595" s="14" t="str">
        <x:v>2022_IMDb_Cast_Lists_Batch_05(1).xlsx</x:v>
      </x:c>
      <x:c r="D595" s="14" t="str">
        <x:v>Sister Boniface Mysteries</x:v>
      </x:c>
      <x:c r="E595" s="14" t="n">
        <x:v>194</x:v>
      </x:c>
      <x:c r="F595" s="14" t="str">
        <x:v>Sister Boniface Mysteries</x:v>
      </x:c>
      <x:c r="G595" s="14" t="str">
        <x:v>tt15407098</x:v>
      </x:c>
      <x:c r="H595" s="14" t="n">
        <x:v>2022</x:v>
      </x:c>
      <x:c r="I595" s="14" t="n">
        <x:v>2025</x:v>
      </x:c>
      <x:c r="J595" s="14" t="str">
        <x:v>Earlier-Production Carry-In Cohort</x:v>
      </x:c>
      <x:c r="K595" s="14" t="n">
        <x:v>2022</x:v>
      </x:c>
      <x:c r="L595" s="14" t="str">
        <x:v>Used in 2025 annual analysis</x:v>
      </x:c>
      <x:c r="M595" s="15" t="n">
        <x:v>187</x:v>
      </x:c>
      <x:c r="N595" s="14" t="str">
        <x:v>Grace Molony</x:v>
      </x:c>
      <x:c r="O595" s="14" t="str">
        <x:v>nm7656003</x:v>
      </x:c>
      <x:c r="P595" s="14" t="str">
        <x:v>Pamela Millington</x:v>
      </x:c>
      <x:c r="Q595" s="15" t="n">
        <x:v>1</x:v>
      </x:c>
      <x:c r="R595" s="14" t="str">
        <x:v>2025</x:v>
      </x:c>
      <x:c r="S595" s="14" t="n">
        <x:v>2025</x:v>
      </x:c>
      <x:c r="T595" s="14" t="n">
        <x:v>2025</x:v>
      </x:c>
      <x:c r="U595" s="14" t="str">
        <x:v>Explicit source first year retained</x:v>
      </x:c>
      <x:c r="V595" s="14" t="str">
        <x:v>Earliest supplied year is 2025.</x:v>
      </x:c>
      <x:c r="W595" s="14"/>
      <x:c r="X595" s="14" t="str">
        <x:v>Included</x:v>
      </x:c>
      <x:c r="Y595" s="14"/>
      <x:c r="Z595" s="14" t="str">
        <x:v>Sister Boniface Mysteries.docx</x:v>
      </x:c>
      <x:c r="AA595" s="14" t="str">
        <x:v>HYPERLINK is not implemented. linkLocation=https://www.imdb.com/title/tt15407098/fullcredits/,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BritBox UK</x:v>
      </x:c>
      <x:c r="AI595" s="14" t="str">
        <x:v>UK original 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uk original commission.</x:v>
      </x:c>
      <x:c r="AM5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5" s="14" t="str">
        <x:v>No qualifying BBC relationship</x:v>
      </x:c>
      <x:c r="AO595" s="14" t="str">
        <x:v>No</x:v>
      </x:c>
      <x:c r="AP595" s="14" t="str">
        <x:v>Out of scope</x:v>
      </x:c>
      <x:c r="AQ595" s="14" t="str">
        <x:v>No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38</x:v>
      </x:c>
      <x:c r="BP595" s="14" t="str">
        <x:v>Maximum supplied eligible IMDb cast-credit total; annual episode total not independently verified.</x:v>
      </x:c>
      <x:c r="BQ595" s="14" t="str">
        <x:v>Medium</x:v>
      </x:c>
      <x:c r="BR595" s="15" t="n">
        <x:v>1</x:v>
      </x:c>
      <x:c r="BS595" s="16" t="n">
        <x:v>0.02631578947368421</x:v>
      </x:c>
      <x:c r="BT595" s="14" t="str">
        <x:v>One episode</x:v>
      </x:c>
      <x:c r="BU595" s="14" t="str">
        <x:v>Medium</x:v>
      </x:c>
      <x:c r="BV595" s="14" t="str">
        <x:v>Derived from the supplied IMDb episode count and documented production-total proxy.</x:v>
      </x:c>
      <x:c r="BW595" s="14" t="str">
        <x:v>Unable to determine</x:v>
      </x:c>
      <x:c r="BX595" s="14" t="str">
        <x:v>Cast-list and episode data do not establish narrative prominence.</x:v>
      </x:c>
      <x:c r="BY595" s="14" t="str">
        <x:v>Supplied IMDb cast-list workbook</x:v>
      </x:c>
      <x:c r="BZ595" s="14" t="str">
        <x:v>HYPERLINK is not implemented. linkLocation=https://www.imdb.com/title/tt15407098/fullcredits/,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tt15407098|nm9899789|callum mcintyre</x:v>
      </x:c>
      <x:c r="B596" s="14" t="str">
        <x:v>05</x:v>
      </x:c>
      <x:c r="C596" s="14" t="str">
        <x:v>2022_IMDb_Cast_Lists_Batch_05(1).xlsx</x:v>
      </x:c>
      <x:c r="D596" s="14" t="str">
        <x:v>Sister Boniface Mysteries</x:v>
      </x:c>
      <x:c r="E596" s="14" t="n">
        <x:v>195</x:v>
      </x:c>
      <x:c r="F596" s="14" t="str">
        <x:v>Sister Boniface Mysteries</x:v>
      </x:c>
      <x:c r="G596" s="14" t="str">
        <x:v>tt15407098</x:v>
      </x:c>
      <x:c r="H596" s="14" t="n">
        <x:v>2022</x:v>
      </x:c>
      <x:c r="I596" s="14" t="n">
        <x:v>2025</x:v>
      </x:c>
      <x:c r="J596" s="14" t="str">
        <x:v>Earlier-Production Carry-In Cohort</x:v>
      </x:c>
      <x:c r="K596" s="14" t="n">
        <x:v>2022</x:v>
      </x:c>
      <x:c r="L596" s="14" t="str">
        <x:v>Used in 2025 annual analysis</x:v>
      </x:c>
      <x:c r="M596" s="15" t="n">
        <x:v>188</x:v>
      </x:c>
      <x:c r="N596" s="14" t="str">
        <x:v>Calum Gulvin</x:v>
      </x:c>
      <x:c r="O596" s="14" t="str">
        <x:v>nm9899789</x:v>
      </x:c>
      <x:c r="P596" s="14" t="str">
        <x:v>Callum McIntyre</x:v>
      </x:c>
      <x:c r="Q596" s="15" t="n">
        <x:v>1</x:v>
      </x:c>
      <x:c r="R596" s="14" t="str">
        <x:v>2025</x:v>
      </x:c>
      <x:c r="S596" s="14" t="n">
        <x:v>2025</x:v>
      </x:c>
      <x:c r="T596" s="14" t="n">
        <x:v>2025</x:v>
      </x:c>
      <x:c r="U596" s="14" t="str">
        <x:v>Explicit source first year retained</x:v>
      </x:c>
      <x:c r="V596" s="14" t="str">
        <x:v>Earliest supplied year is 2025.</x:v>
      </x:c>
      <x:c r="W596" s="14"/>
      <x:c r="X596" s="14" t="str">
        <x:v>Included</x:v>
      </x:c>
      <x:c r="Y596" s="14"/>
      <x:c r="Z596" s="14" t="str">
        <x:v>Sister Boniface Mysteries.docx</x:v>
      </x:c>
      <x:c r="AA596" s="14" t="str">
        <x:v>HYPERLINK is not implemented. linkLocation=https://www.imdb.com/title/tt15407098/fullcredits/,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BritBox UK</x:v>
      </x:c>
      <x:c r="AI596" s="14" t="str">
        <x:v>UK original 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uk original commission.</x:v>
      </x:c>
      <x:c r="AM5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6" s="14" t="str">
        <x:v>No qualifying BBC relationship</x:v>
      </x:c>
      <x:c r="AO596" s="14" t="str">
        <x:v>No</x:v>
      </x:c>
      <x:c r="AP596" s="14" t="str">
        <x:v>Out of scope</x:v>
      </x:c>
      <x:c r="AQ596" s="14" t="str">
        <x:v>No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38</x:v>
      </x:c>
      <x:c r="BP596" s="14" t="str">
        <x:v>Maximum supplied eligible IMDb cast-credit total; annual episode total not independently verified.</x:v>
      </x:c>
      <x:c r="BQ596" s="14" t="str">
        <x:v>Medium</x:v>
      </x:c>
      <x:c r="BR596" s="15" t="n">
        <x:v>1</x:v>
      </x:c>
      <x:c r="BS596" s="16" t="n">
        <x:v>0.02631578947368421</x:v>
      </x:c>
      <x:c r="BT596" s="14" t="str">
        <x:v>One episode</x:v>
      </x:c>
      <x:c r="BU596" s="14" t="str">
        <x:v>Medium</x:v>
      </x:c>
      <x:c r="BV596" s="14" t="str">
        <x:v>Derived from the supplied IMDb episode count and documented production-total proxy.</x:v>
      </x:c>
      <x:c r="BW596" s="14" t="str">
        <x:v>Unable to determine</x:v>
      </x:c>
      <x:c r="BX596" s="14" t="str">
        <x:v>Cast-list and episode data do not establish narrative prominence.</x:v>
      </x:c>
      <x:c r="BY596" s="14" t="str">
        <x:v>Supplied IMDb cast-list workbook</x:v>
      </x:c>
      <x:c r="BZ596" s="14" t="str">
        <x:v>HYPERLINK is not implemented. linkLocation=https://www.imdb.com/title/tt15407098/fullcredits/,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tt15407098|nm0533174|john adams</x:v>
      </x:c>
      <x:c r="B597" s="14" t="str">
        <x:v>05</x:v>
      </x:c>
      <x:c r="C597" s="14" t="str">
        <x:v>2022_IMDb_Cast_Lists_Batch_05(1).xlsx</x:v>
      </x:c>
      <x:c r="D597" s="14" t="str">
        <x:v>Sister Boniface Mysteries</x:v>
      </x:c>
      <x:c r="E597" s="14" t="n">
        <x:v>203</x:v>
      </x:c>
      <x:c r="F597" s="14" t="str">
        <x:v>Sister Boniface Mysteries</x:v>
      </x:c>
      <x:c r="G597" s="14" t="str">
        <x:v>tt15407098</x:v>
      </x:c>
      <x:c r="H597" s="14" t="n">
        <x:v>2022</x:v>
      </x:c>
      <x:c r="I597" s="14" t="n">
        <x:v>2025</x:v>
      </x:c>
      <x:c r="J597" s="14" t="str">
        <x:v>Earlier-Production Carry-In Cohort</x:v>
      </x:c>
      <x:c r="K597" s="14" t="n">
        <x:v>2022</x:v>
      </x:c>
      <x:c r="L597" s="14" t="str">
        <x:v>Used in 2025 annual analysis</x:v>
      </x:c>
      <x:c r="M597" s="15" t="n">
        <x:v>196</x:v>
      </x:c>
      <x:c r="N597" s="14" t="str">
        <x:v>John Mackay</x:v>
      </x:c>
      <x:c r="O597" s="14" t="str">
        <x:v>nm0533174</x:v>
      </x:c>
      <x:c r="P597" s="14" t="str">
        <x:v>John Adams</x:v>
      </x:c>
      <x:c r="Q597" s="15" t="n">
        <x:v>1</x:v>
      </x:c>
      <x:c r="R597" s="14" t="str">
        <x:v>2025</x:v>
      </x:c>
      <x:c r="S597" s="14" t="n">
        <x:v>2025</x:v>
      </x:c>
      <x:c r="T597" s="14" t="n">
        <x:v>2025</x:v>
      </x:c>
      <x:c r="U597" s="14" t="str">
        <x:v>Explicit source first year retained</x:v>
      </x:c>
      <x:c r="V597" s="14" t="str">
        <x:v>Earliest supplied year is 2025.</x:v>
      </x:c>
      <x:c r="W597" s="14"/>
      <x:c r="X597" s="14" t="str">
        <x:v>Included</x:v>
      </x:c>
      <x:c r="Y597" s="14"/>
      <x:c r="Z597" s="14" t="str">
        <x:v>Sister Boniface Mysteries.docx</x:v>
      </x:c>
      <x:c r="AA597" s="14" t="str">
        <x:v>HYPERLINK is not implemented. linkLocation=https://www.imdb.com/title/tt15407098/fullcredits/,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BritBox UK</x:v>
      </x:c>
      <x:c r="AI597" s="14" t="str">
        <x:v>UK original 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uk original commission.</x:v>
      </x:c>
      <x:c r="AM5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7" s="14" t="str">
        <x:v>No qualifying BBC relationship</x:v>
      </x:c>
      <x:c r="AO597" s="14" t="str">
        <x:v>No</x:v>
      </x:c>
      <x:c r="AP597" s="14" t="str">
        <x:v>Out of scope</x:v>
      </x:c>
      <x:c r="AQ597" s="14" t="str">
        <x:v>No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38</x:v>
      </x:c>
      <x:c r="BP597" s="14" t="str">
        <x:v>Maximum supplied eligible IMDb cast-credit total; annual episode total not independently verified.</x:v>
      </x:c>
      <x:c r="BQ597" s="14" t="str">
        <x:v>Medium</x:v>
      </x:c>
      <x:c r="BR597" s="15" t="n">
        <x:v>1</x:v>
      </x:c>
      <x:c r="BS597" s="16" t="n">
        <x:v>0.02631578947368421</x:v>
      </x:c>
      <x:c r="BT597" s="14" t="str">
        <x:v>One episode</x:v>
      </x:c>
      <x:c r="BU597" s="14" t="str">
        <x:v>Medium</x:v>
      </x:c>
      <x:c r="BV597" s="14" t="str">
        <x:v>Derived from the supplied IMDb episode count and documented production-total proxy.</x:v>
      </x:c>
      <x:c r="BW597" s="14" t="str">
        <x:v>Unable to determine</x:v>
      </x:c>
      <x:c r="BX597" s="14" t="str">
        <x:v>Cast-list and episode data do not establish narrative prominence.</x:v>
      </x:c>
      <x:c r="BY597" s="14" t="str">
        <x:v>Supplied IMDb cast-list workbook</x:v>
      </x:c>
      <x:c r="BZ597" s="14" t="str">
        <x:v>HYPERLINK is not implemented. linkLocation=https://www.imdb.com/title/tt15407098/fullcredits/,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tt15407098|nm7084087|ronny panesar</x:v>
      </x:c>
      <x:c r="B598" s="14" t="str">
        <x:v>05</x:v>
      </x:c>
      <x:c r="C598" s="14" t="str">
        <x:v>2022_IMDb_Cast_Lists_Batch_05(1).xlsx</x:v>
      </x:c>
      <x:c r="D598" s="14" t="str">
        <x:v>Sister Boniface Mysteries</x:v>
      </x:c>
      <x:c r="E598" s="14" t="n">
        <x:v>204</x:v>
      </x:c>
      <x:c r="F598" s="14" t="str">
        <x:v>Sister Boniface Mysteries</x:v>
      </x:c>
      <x:c r="G598" s="14" t="str">
        <x:v>tt15407098</x:v>
      </x:c>
      <x:c r="H598" s="14" t="n">
        <x:v>2022</x:v>
      </x:c>
      <x:c r="I598" s="14" t="n">
        <x:v>2025</x:v>
      </x:c>
      <x:c r="J598" s="14" t="str">
        <x:v>Earlier-Production Carry-In Cohort</x:v>
      </x:c>
      <x:c r="K598" s="14" t="n">
        <x:v>2022</x:v>
      </x:c>
      <x:c r="L598" s="14" t="str">
        <x:v>Used in 2025 annual analysis</x:v>
      </x:c>
      <x:c r="M598" s="15" t="n">
        <x:v>197</x:v>
      </x:c>
      <x:c r="N598" s="14" t="str">
        <x:v>Alistair Toovey</x:v>
      </x:c>
      <x:c r="O598" s="14" t="str">
        <x:v>nm7084087</x:v>
      </x:c>
      <x:c r="P598" s="14" t="str">
        <x:v>Ronny Panesar</x:v>
      </x:c>
      <x:c r="Q598" s="15" t="n">
        <x:v>1</x:v>
      </x:c>
      <x:c r="R598" s="14" t="str">
        <x:v>2025</x:v>
      </x:c>
      <x:c r="S598" s="14" t="n">
        <x:v>2025</x:v>
      </x:c>
      <x:c r="T598" s="14" t="n">
        <x:v>2025</x:v>
      </x:c>
      <x:c r="U598" s="14" t="str">
        <x:v>Explicit source first year retained</x:v>
      </x:c>
      <x:c r="V598" s="14" t="str">
        <x:v>Earliest supplied year is 2025.</x:v>
      </x:c>
      <x:c r="W598" s="14"/>
      <x:c r="X598" s="14" t="str">
        <x:v>Included</x:v>
      </x:c>
      <x:c r="Y598" s="14"/>
      <x:c r="Z598" s="14" t="str">
        <x:v>Sister Boniface Mysteries.docx</x:v>
      </x:c>
      <x:c r="AA598" s="14" t="str">
        <x:v>HYPERLINK is not implemented. linkLocation=https://www.imdb.com/title/tt15407098/fullcredits/,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BritBox UK</x:v>
      </x:c>
      <x:c r="AI598" s="14" t="str">
        <x:v>UK original 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uk original commission.</x:v>
      </x:c>
      <x:c r="AM5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8" s="14" t="str">
        <x:v>No qualifying BBC relationship</x:v>
      </x:c>
      <x:c r="AO598" s="14" t="str">
        <x:v>No</x:v>
      </x:c>
      <x:c r="AP598" s="14" t="str">
        <x:v>Out of scope</x:v>
      </x:c>
      <x:c r="AQ598" s="14" t="str">
        <x:v>No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38</x:v>
      </x:c>
      <x:c r="BP598" s="14" t="str">
        <x:v>Maximum supplied eligible IMDb cast-credit total; annual episode total not independently verified.</x:v>
      </x:c>
      <x:c r="BQ598" s="14" t="str">
        <x:v>Medium</x:v>
      </x:c>
      <x:c r="BR598" s="15" t="n">
        <x:v>1</x:v>
      </x:c>
      <x:c r="BS598" s="16" t="n">
        <x:v>0.02631578947368421</x:v>
      </x:c>
      <x:c r="BT598" s="14" t="str">
        <x:v>One episode</x:v>
      </x:c>
      <x:c r="BU598" s="14" t="str">
        <x:v>Medium</x:v>
      </x:c>
      <x:c r="BV598" s="14" t="str">
        <x:v>Derived from the supplied IMDb episode count and documented production-total proxy.</x:v>
      </x:c>
      <x:c r="BW598" s="14" t="str">
        <x:v>Unable to determine</x:v>
      </x:c>
      <x:c r="BX598" s="14" t="str">
        <x:v>Cast-list and episode data do not establish narrative prominence.</x:v>
      </x:c>
      <x:c r="BY598" s="14" t="str">
        <x:v>Supplied IMDb cast-list workbook</x:v>
      </x:c>
      <x:c r="BZ598" s="14" t="str">
        <x:v>HYPERLINK is not implemented. linkLocation=https://www.imdb.com/title/tt15407098/fullcredits/,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tt15407098|nm6790651|jimmy adams</x:v>
      </x:c>
      <x:c r="B599" s="14" t="str">
        <x:v>05</x:v>
      </x:c>
      <x:c r="C599" s="14" t="str">
        <x:v>2022_IMDb_Cast_Lists_Batch_05(1).xlsx</x:v>
      </x:c>
      <x:c r="D599" s="14" t="str">
        <x:v>Sister Boniface Mysteries</x:v>
      </x:c>
      <x:c r="E599" s="14" t="n">
        <x:v>211</x:v>
      </x:c>
      <x:c r="F599" s="14" t="str">
        <x:v>Sister Boniface Mysteries</x:v>
      </x:c>
      <x:c r="G599" s="14" t="str">
        <x:v>tt15407098</x:v>
      </x:c>
      <x:c r="H599" s="14" t="n">
        <x:v>2022</x:v>
      </x:c>
      <x:c r="I599" s="14" t="n">
        <x:v>2025</x:v>
      </x:c>
      <x:c r="J599" s="14" t="str">
        <x:v>Earlier-Production Carry-In Cohort</x:v>
      </x:c>
      <x:c r="K599" s="14" t="n">
        <x:v>2022</x:v>
      </x:c>
      <x:c r="L599" s="14" t="str">
        <x:v>Used in 2025 annual analysis</x:v>
      </x:c>
      <x:c r="M599" s="15" t="n">
        <x:v>204</x:v>
      </x:c>
      <x:c r="N599" s="14" t="str">
        <x:v>Joseph Prowen</x:v>
      </x:c>
      <x:c r="O599" s="14" t="str">
        <x:v>nm6790651</x:v>
      </x:c>
      <x:c r="P599" s="14" t="str">
        <x:v>Jimmy Adams</x:v>
      </x:c>
      <x:c r="Q599" s="15" t="n">
        <x:v>1</x:v>
      </x:c>
      <x:c r="R599" s="14" t="str">
        <x:v>2025</x:v>
      </x:c>
      <x:c r="S599" s="14" t="n">
        <x:v>2025</x:v>
      </x:c>
      <x:c r="T599" s="14" t="n">
        <x:v>2025</x:v>
      </x:c>
      <x:c r="U599" s="14" t="str">
        <x:v>Explicit source first year retained</x:v>
      </x:c>
      <x:c r="V599" s="14" t="str">
        <x:v>Earliest supplied year is 2025.</x:v>
      </x:c>
      <x:c r="W599" s="14"/>
      <x:c r="X599" s="14" t="str">
        <x:v>Included</x:v>
      </x:c>
      <x:c r="Y599" s="14"/>
      <x:c r="Z599" s="14" t="str">
        <x:v>Sister Boniface Mysteries.docx</x:v>
      </x:c>
      <x:c r="AA599" s="14" t="str">
        <x:v>HYPERLINK is not implemented. linkLocation=https://www.imdb.com/title/tt15407098/fullcredits/,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BritBox UK</x:v>
      </x:c>
      <x:c r="AI599" s="14" t="str">
        <x:v>UK original 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uk original commission.</x:v>
      </x:c>
      <x:c r="AM5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9" s="14" t="str">
        <x:v>No qualifying BBC relationship</x:v>
      </x:c>
      <x:c r="AO599" s="14" t="str">
        <x:v>No</x:v>
      </x:c>
      <x:c r="AP599" s="14" t="str">
        <x:v>Out of scope</x:v>
      </x:c>
      <x:c r="AQ599" s="14" t="str">
        <x:v>No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38</x:v>
      </x:c>
      <x:c r="BP599" s="14" t="str">
        <x:v>Maximum supplied eligible IMDb cast-credit total; annual episode total not independently verified.</x:v>
      </x:c>
      <x:c r="BQ599" s="14" t="str">
        <x:v>Medium</x:v>
      </x:c>
      <x:c r="BR599" s="15" t="n">
        <x:v>1</x:v>
      </x:c>
      <x:c r="BS599" s="16" t="n">
        <x:v>0.02631578947368421</x:v>
      </x:c>
      <x:c r="BT599" s="14" t="str">
        <x:v>One episode</x:v>
      </x:c>
      <x:c r="BU599" s="14" t="str">
        <x:v>Medium</x:v>
      </x:c>
      <x:c r="BV599" s="14" t="str">
        <x:v>Derived from the supplied IMDb episode count and documented production-total proxy.</x:v>
      </x:c>
      <x:c r="BW599" s="14" t="str">
        <x:v>Unable to determine</x:v>
      </x:c>
      <x:c r="BX599" s="14" t="str">
        <x:v>Cast-list and episode data do not establish narrative prominence.</x:v>
      </x:c>
      <x:c r="BY599" s="14" t="str">
        <x:v>Supplied IMDb cast-list workbook</x:v>
      </x:c>
      <x:c r="BZ599" s="14" t="str">
        <x:v>HYPERLINK is not implemented. linkLocation=https://www.imdb.com/title/tt15407098/fullcredits/,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tt15407098|nm14122689|charlie sanderson</x:v>
      </x:c>
      <x:c r="B600" s="14" t="str">
        <x:v>05</x:v>
      </x:c>
      <x:c r="C600" s="14" t="str">
        <x:v>2022_IMDb_Cast_Lists_Batch_05(1).xlsx</x:v>
      </x:c>
      <x:c r="D600" s="14" t="str">
        <x:v>Sister Boniface Mysteries</x:v>
      </x:c>
      <x:c r="E600" s="14" t="n">
        <x:v>212</x:v>
      </x:c>
      <x:c r="F600" s="14" t="str">
        <x:v>Sister Boniface Mysteries</x:v>
      </x:c>
      <x:c r="G600" s="14" t="str">
        <x:v>tt15407098</x:v>
      </x:c>
      <x:c r="H600" s="14" t="n">
        <x:v>2022</x:v>
      </x:c>
      <x:c r="I600" s="14" t="n">
        <x:v>2025</x:v>
      </x:c>
      <x:c r="J600" s="14" t="str">
        <x:v>Earlier-Production Carry-In Cohort</x:v>
      </x:c>
      <x:c r="K600" s="14" t="n">
        <x:v>2022</x:v>
      </x:c>
      <x:c r="L600" s="14" t="str">
        <x:v>Used in 2025 annual analysis</x:v>
      </x:c>
      <x:c r="M600" s="15" t="n">
        <x:v>205</x:v>
      </x:c>
      <x:c r="N600" s="14" t="str">
        <x:v>Tommy Belshaw</x:v>
      </x:c>
      <x:c r="O600" s="14" t="str">
        <x:v>nm14122689</x:v>
      </x:c>
      <x:c r="P600" s="14" t="str">
        <x:v>Charlie Sanderson</x:v>
      </x:c>
      <x:c r="Q600" s="15" t="n">
        <x:v>1</x:v>
      </x:c>
      <x:c r="R600" s="14" t="str">
        <x:v>2025</x:v>
      </x:c>
      <x:c r="S600" s="14" t="n">
        <x:v>2025</x:v>
      </x:c>
      <x:c r="T600" s="14" t="n">
        <x:v>2025</x:v>
      </x:c>
      <x:c r="U600" s="14" t="str">
        <x:v>Explicit source first year retained</x:v>
      </x:c>
      <x:c r="V600" s="14" t="str">
        <x:v>Earliest supplied year is 2025.</x:v>
      </x:c>
      <x:c r="W600" s="14"/>
      <x:c r="X600" s="14" t="str">
        <x:v>Included</x:v>
      </x:c>
      <x:c r="Y600" s="14"/>
      <x:c r="Z600" s="14" t="str">
        <x:v>Sister Boniface Mysteries.docx</x:v>
      </x:c>
      <x:c r="AA600" s="14" t="str">
        <x:v>HYPERLINK is not implemented. linkLocation=https://www.imdb.com/title/tt15407098/fullcredits/, friendlyName=Open source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BritBox UK</x:v>
      </x:c>
      <x:c r="AI600" s="14" t="str">
        <x:v>UK original 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uk original commission.</x:v>
      </x:c>
      <x:c r="AM6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0" s="14" t="str">
        <x:v>No qualifying BBC relationship</x:v>
      </x:c>
      <x:c r="AO600" s="14" t="str">
        <x:v>No</x:v>
      </x:c>
      <x:c r="AP600" s="14" t="str">
        <x:v>Out of scope</x:v>
      </x:c>
      <x:c r="AQ600" s="14" t="str">
        <x:v>No</x:v>
      </x:c>
      <x:c r="AR600" s="14" t="str">
        <x:v>Resolved from master register</x:v>
      </x:c>
      <x:c r="AS600" s="14" t="str">
        <x:v>No established-register match</x:v>
      </x:c>
      <x:c r="AT600" s="14"/>
      <x:c r="AU600" s="14"/>
      <x:c r="AV600" s="14" t="str">
        <x:v>No established apparent-disability match</x:v>
      </x:c>
      <x:c r="AW600" s="14"/>
      <x:c r="AX600" s="14" t="str">
        <x:v>No</x:v>
      </x:c>
      <x:c r="AY600" s="14" t="str">
        <x:v>Unmatched</x:v>
      </x:c>
      <x:c r="AZ600" s="14" t="str">
        <x:v>Final supplied register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38</x:v>
      </x:c>
      <x:c r="BP600" s="14" t="str">
        <x:v>Maximum supplied eligible IMDb cast-credit total; annual episode total not independently verified.</x:v>
      </x:c>
      <x:c r="BQ600" s="14" t="str">
        <x:v>Medium</x:v>
      </x:c>
      <x:c r="BR600" s="15" t="n">
        <x:v>1</x:v>
      </x:c>
      <x:c r="BS600" s="16" t="n">
        <x:v>0.02631578947368421</x:v>
      </x:c>
      <x:c r="BT600" s="14" t="str">
        <x:v>One episode</x:v>
      </x:c>
      <x:c r="BU600" s="14" t="str">
        <x:v>Medium</x:v>
      </x:c>
      <x:c r="BV600" s="14" t="str">
        <x:v>Derived from the supplied IMDb episode count and documented production-total proxy.</x:v>
      </x:c>
      <x:c r="BW600" s="14" t="str">
        <x:v>Unable to determine</x:v>
      </x:c>
      <x:c r="BX600" s="14" t="str">
        <x:v>Cast-list and episode data do not establish narrative prominence.</x:v>
      </x:c>
      <x:c r="BY600" s="14" t="str">
        <x:v>Supplied IMDb cast-list workbook</x:v>
      </x:c>
      <x:c r="BZ600" s="14" t="str">
        <x:v>HYPERLINK is not implemented. linkLocation=https://www.imdb.com/title/tt15407098/fullcredits/,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tt15407098|nm0431521|lynn goodwin</x:v>
      </x:c>
      <x:c r="B601" s="14" t="str">
        <x:v>05</x:v>
      </x:c>
      <x:c r="C601" s="14" t="str">
        <x:v>2022_IMDb_Cast_Lists_Batch_05(1).xlsx</x:v>
      </x:c>
      <x:c r="D601" s="14" t="str">
        <x:v>Sister Boniface Mysteries</x:v>
      </x:c>
      <x:c r="E601" s="14" t="n">
        <x:v>219</x:v>
      </x:c>
      <x:c r="F601" s="14" t="str">
        <x:v>Sister Boniface Mysteries</x:v>
      </x:c>
      <x:c r="G601" s="14" t="str">
        <x:v>tt15407098</x:v>
      </x:c>
      <x:c r="H601" s="14" t="n">
        <x:v>2022</x:v>
      </x:c>
      <x:c r="I601" s="14" t="n">
        <x:v>2025</x:v>
      </x:c>
      <x:c r="J601" s="14" t="str">
        <x:v>Earlier-Production Carry-In Cohort</x:v>
      </x:c>
      <x:c r="K601" s="14" t="n">
        <x:v>2022</x:v>
      </x:c>
      <x:c r="L601" s="14" t="str">
        <x:v>Used in 2025 annual analysis</x:v>
      </x:c>
      <x:c r="M601" s="15" t="n">
        <x:v>212</x:v>
      </x:c>
      <x:c r="N601" s="14" t="str">
        <x:v>Emily Joyce</x:v>
      </x:c>
      <x:c r="O601" s="14" t="str">
        <x:v>nm0431521</x:v>
      </x:c>
      <x:c r="P601" s="14" t="str">
        <x:v>Lynn Goodwin</x:v>
      </x:c>
      <x:c r="Q601" s="15" t="n">
        <x:v>1</x:v>
      </x:c>
      <x:c r="R601" s="14" t="str">
        <x:v>2025</x:v>
      </x:c>
      <x:c r="S601" s="14" t="n">
        <x:v>2025</x:v>
      </x:c>
      <x:c r="T601" s="14" t="n">
        <x:v>2025</x:v>
      </x:c>
      <x:c r="U601" s="14" t="str">
        <x:v>Explicit source first year retained</x:v>
      </x:c>
      <x:c r="V601" s="14" t="str">
        <x:v>Earliest supplied year is 2025.</x:v>
      </x:c>
      <x:c r="W601" s="14"/>
      <x:c r="X601" s="14" t="str">
        <x:v>Included</x:v>
      </x:c>
      <x:c r="Y601" s="14"/>
      <x:c r="Z601" s="14" t="str">
        <x:v>Sister Boniface Mysteries.docx</x:v>
      </x:c>
      <x:c r="AA601" s="14" t="str">
        <x:v>HYPERLINK is not implemented. linkLocation=https://www.imdb.com/title/tt15407098/fullcredits/,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BritBox UK</x:v>
      </x:c>
      <x:c r="AI601" s="14" t="str">
        <x:v>UK original 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uk original commission.</x:v>
      </x:c>
      <x:c r="AM6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1" s="14" t="str">
        <x:v>No qualifying BBC relationship</x:v>
      </x:c>
      <x:c r="AO601" s="14" t="str">
        <x:v>No</x:v>
      </x:c>
      <x:c r="AP601" s="14" t="str">
        <x:v>Out of scope</x:v>
      </x:c>
      <x:c r="AQ601" s="14" t="str">
        <x:v>No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38</x:v>
      </x:c>
      <x:c r="BP601" s="14" t="str">
        <x:v>Maximum supplied eligible IMDb cast-credit total; annual episode total not independently verified.</x:v>
      </x:c>
      <x:c r="BQ601" s="14" t="str">
        <x:v>Medium</x:v>
      </x:c>
      <x:c r="BR601" s="15" t="n">
        <x:v>1</x:v>
      </x:c>
      <x:c r="BS601" s="16" t="n">
        <x:v>0.02631578947368421</x:v>
      </x:c>
      <x:c r="BT601" s="14" t="str">
        <x:v>One episode</x:v>
      </x:c>
      <x:c r="BU601" s="14" t="str">
        <x:v>Medium</x:v>
      </x:c>
      <x:c r="BV601" s="14" t="str">
        <x:v>Derived from the supplied IMDb episode count and documented production-total proxy.</x:v>
      </x:c>
      <x:c r="BW601" s="14" t="str">
        <x:v>Unable to determine</x:v>
      </x:c>
      <x:c r="BX601" s="14" t="str">
        <x:v>Cast-list and episode data do not establish narrative prominence.</x:v>
      </x:c>
      <x:c r="BY601" s="14" t="str">
        <x:v>Supplied IMDb cast-list workbook</x:v>
      </x:c>
      <x:c r="BZ601" s="14" t="str">
        <x:v>HYPERLINK is not implemented. linkLocation=https://www.imdb.com/title/tt15407098/fullcredits/,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tt15407098|nm0307122|martin hubbard</x:v>
      </x:c>
      <x:c r="B602" s="14" t="str">
        <x:v>05</x:v>
      </x:c>
      <x:c r="C602" s="14" t="str">
        <x:v>2022_IMDb_Cast_Lists_Batch_05(1).xlsx</x:v>
      </x:c>
      <x:c r="D602" s="14" t="str">
        <x:v>Sister Boniface Mysteries</x:v>
      </x:c>
      <x:c r="E602" s="14" t="n">
        <x:v>220</x:v>
      </x:c>
      <x:c r="F602" s="14" t="str">
        <x:v>Sister Boniface Mysteries</x:v>
      </x:c>
      <x:c r="G602" s="14" t="str">
        <x:v>tt15407098</x:v>
      </x:c>
      <x:c r="H602" s="14" t="n">
        <x:v>2022</x:v>
      </x:c>
      <x:c r="I602" s="14" t="n">
        <x:v>2025</x:v>
      </x:c>
      <x:c r="J602" s="14" t="str">
        <x:v>Earlier-Production Carry-In Cohort</x:v>
      </x:c>
      <x:c r="K602" s="14" t="n">
        <x:v>2022</x:v>
      </x:c>
      <x:c r="L602" s="14" t="str">
        <x:v>Used in 2025 annual analysis</x:v>
      </x:c>
      <x:c r="M602" s="15" t="n">
        <x:v>213</x:v>
      </x:c>
      <x:c r="N602" s="14" t="str">
        <x:v>Tony Gardner</x:v>
      </x:c>
      <x:c r="O602" s="14" t="str">
        <x:v>nm0307122</x:v>
      </x:c>
      <x:c r="P602" s="14" t="str">
        <x:v>Martin Hubbard</x:v>
      </x:c>
      <x:c r="Q602" s="15" t="n">
        <x:v>1</x:v>
      </x:c>
      <x:c r="R602" s="14" t="str">
        <x:v>2025</x:v>
      </x:c>
      <x:c r="S602" s="14" t="n">
        <x:v>2025</x:v>
      </x:c>
      <x:c r="T602" s="14" t="n">
        <x:v>2025</x:v>
      </x:c>
      <x:c r="U602" s="14" t="str">
        <x:v>Explicit source first year retained</x:v>
      </x:c>
      <x:c r="V602" s="14" t="str">
        <x:v>Earliest supplied year is 2025.</x:v>
      </x:c>
      <x:c r="W602" s="14"/>
      <x:c r="X602" s="14" t="str">
        <x:v>Included</x:v>
      </x:c>
      <x:c r="Y602" s="14"/>
      <x:c r="Z602" s="14" t="str">
        <x:v>Sister Boniface Mysteries.docx</x:v>
      </x:c>
      <x:c r="AA602" s="14" t="str">
        <x:v>HYPERLINK is not implemented. linkLocation=https://www.imdb.com/title/tt15407098/fullcredits/,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BritBox UK</x:v>
      </x:c>
      <x:c r="AI602" s="14" t="str">
        <x:v>UK original 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uk original commission.</x:v>
      </x:c>
      <x:c r="AM6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2" s="14" t="str">
        <x:v>No qualifying BBC relationship</x:v>
      </x:c>
      <x:c r="AO602" s="14" t="str">
        <x:v>No</x:v>
      </x:c>
      <x:c r="AP602" s="14" t="str">
        <x:v>Out of scope</x:v>
      </x:c>
      <x:c r="AQ602" s="14" t="str">
        <x:v>No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38</x:v>
      </x:c>
      <x:c r="BP602" s="14" t="str">
        <x:v>Maximum supplied eligible IMDb cast-credit total; annual episode total not independently verified.</x:v>
      </x:c>
      <x:c r="BQ602" s="14" t="str">
        <x:v>Medium</x:v>
      </x:c>
      <x:c r="BR602" s="15" t="n">
        <x:v>1</x:v>
      </x:c>
      <x:c r="BS602" s="16" t="n">
        <x:v>0.02631578947368421</x:v>
      </x:c>
      <x:c r="BT602" s="14" t="str">
        <x:v>One episode</x:v>
      </x:c>
      <x:c r="BU602" s="14" t="str">
        <x:v>Medium</x:v>
      </x:c>
      <x:c r="BV602" s="14" t="str">
        <x:v>Derived from the supplied IMDb episode count and documented production-total proxy.</x:v>
      </x:c>
      <x:c r="BW602" s="14" t="str">
        <x:v>Unable to determine</x:v>
      </x:c>
      <x:c r="BX602" s="14" t="str">
        <x:v>Cast-list and episode data do not establish narrative prominence.</x:v>
      </x:c>
      <x:c r="BY602" s="14" t="str">
        <x:v>Supplied IMDb cast-list workbook</x:v>
      </x:c>
      <x:c r="BZ602" s="14" t="str">
        <x:v>HYPERLINK is not implemented. linkLocation=https://www.imdb.com/title/tt15407098/fullcredits/,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tt15407098|nm13004602|maggie adams</x:v>
      </x:c>
      <x:c r="B603" s="14" t="str">
        <x:v>05</x:v>
      </x:c>
      <x:c r="C603" s="14" t="str">
        <x:v>2022_IMDb_Cast_Lists_Batch_05(1).xlsx</x:v>
      </x:c>
      <x:c r="D603" s="14" t="str">
        <x:v>Sister Boniface Mysteries</x:v>
      </x:c>
      <x:c r="E603" s="14" t="n">
        <x:v>221</x:v>
      </x:c>
      <x:c r="F603" s="14" t="str">
        <x:v>Sister Boniface Mysteries</x:v>
      </x:c>
      <x:c r="G603" s="14" t="str">
        <x:v>tt15407098</x:v>
      </x:c>
      <x:c r="H603" s="14" t="n">
        <x:v>2022</x:v>
      </x:c>
      <x:c r="I603" s="14" t="n">
        <x:v>2025</x:v>
      </x:c>
      <x:c r="J603" s="14" t="str">
        <x:v>Earlier-Production Carry-In Cohort</x:v>
      </x:c>
      <x:c r="K603" s="14" t="n">
        <x:v>2022</x:v>
      </x:c>
      <x:c r="L603" s="14" t="str">
        <x:v>Used in 2025 annual analysis</x:v>
      </x:c>
      <x:c r="M603" s="15" t="n">
        <x:v>214</x:v>
      </x:c>
      <x:c r="N603" s="14" t="str">
        <x:v>Alyth Ross</x:v>
      </x:c>
      <x:c r="O603" s="14" t="str">
        <x:v>nm13004602</x:v>
      </x:c>
      <x:c r="P603" s="14" t="str">
        <x:v>Maggie Adams</x:v>
      </x:c>
      <x:c r="Q603" s="15" t="n">
        <x:v>1</x:v>
      </x:c>
      <x:c r="R603" s="14" t="str">
        <x:v>2025</x:v>
      </x:c>
      <x:c r="S603" s="14" t="n">
        <x:v>2025</x:v>
      </x:c>
      <x:c r="T603" s="14" t="n">
        <x:v>2025</x:v>
      </x:c>
      <x:c r="U603" s="14" t="str">
        <x:v>Explicit source first year retained</x:v>
      </x:c>
      <x:c r="V603" s="14" t="str">
        <x:v>Earliest supplied year is 2025.</x:v>
      </x:c>
      <x:c r="W603" s="14"/>
      <x:c r="X603" s="14" t="str">
        <x:v>Included</x:v>
      </x:c>
      <x:c r="Y603" s="14"/>
      <x:c r="Z603" s="14" t="str">
        <x:v>Sister Boniface Mysteries.docx</x:v>
      </x:c>
      <x:c r="AA603" s="14" t="str">
        <x:v>HYPERLINK is not implemented. linkLocation=https://www.imdb.com/title/tt15407098/fullcredits/,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BritBox UK</x:v>
      </x:c>
      <x:c r="AI603" s="14" t="str">
        <x:v>UK original 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uk original commission.</x:v>
      </x:c>
      <x:c r="AM6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3" s="14" t="str">
        <x:v>No qualifying BBC relationship</x:v>
      </x:c>
      <x:c r="AO603" s="14" t="str">
        <x:v>No</x:v>
      </x:c>
      <x:c r="AP603" s="14" t="str">
        <x:v>Out of scope</x:v>
      </x:c>
      <x:c r="AQ603" s="14" t="str">
        <x:v>No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38</x:v>
      </x:c>
      <x:c r="BP603" s="14" t="str">
        <x:v>Maximum supplied eligible IMDb cast-credit total; annual episode total not independently verified.</x:v>
      </x:c>
      <x:c r="BQ603" s="14" t="str">
        <x:v>Medium</x:v>
      </x:c>
      <x:c r="BR603" s="15" t="n">
        <x:v>1</x:v>
      </x:c>
      <x:c r="BS603" s="16" t="n">
        <x:v>0.02631578947368421</x:v>
      </x:c>
      <x:c r="BT603" s="14" t="str">
        <x:v>One episode</x:v>
      </x:c>
      <x:c r="BU603" s="14" t="str">
        <x:v>Medium</x:v>
      </x:c>
      <x:c r="BV603" s="14" t="str">
        <x:v>Derived from the supplied IMDb episode count and documented production-total proxy.</x:v>
      </x:c>
      <x:c r="BW603" s="14" t="str">
        <x:v>Unable to determine</x:v>
      </x:c>
      <x:c r="BX603" s="14" t="str">
        <x:v>Cast-list and episode data do not establish narrative prominence.</x:v>
      </x:c>
      <x:c r="BY603" s="14" t="str">
        <x:v>Supplied IMDb cast-list workbook</x:v>
      </x:c>
      <x:c r="BZ603" s="14" t="str">
        <x:v>HYPERLINK is not implemented. linkLocation=https://www.imdb.com/title/tt15407098/fullcredits/,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tt15407098|nm2418097|sandra hubbard</x:v>
      </x:c>
      <x:c r="B604" s="14" t="str">
        <x:v>05</x:v>
      </x:c>
      <x:c r="C604" s="14" t="str">
        <x:v>2022_IMDb_Cast_Lists_Batch_05(1).xlsx</x:v>
      </x:c>
      <x:c r="D604" s="14" t="str">
        <x:v>Sister Boniface Mysteries</x:v>
      </x:c>
      <x:c r="E604" s="14" t="n">
        <x:v>228</x:v>
      </x:c>
      <x:c r="F604" s="14" t="str">
        <x:v>Sister Boniface Mysteries</x:v>
      </x:c>
      <x:c r="G604" s="14" t="str">
        <x:v>tt15407098</x:v>
      </x:c>
      <x:c r="H604" s="14" t="n">
        <x:v>2022</x:v>
      </x:c>
      <x:c r="I604" s="14" t="n">
        <x:v>2025</x:v>
      </x:c>
      <x:c r="J604" s="14" t="str">
        <x:v>Earlier-Production Carry-In Cohort</x:v>
      </x:c>
      <x:c r="K604" s="14" t="n">
        <x:v>2022</x:v>
      </x:c>
      <x:c r="L604" s="14" t="str">
        <x:v>Used in 2025 annual analysis</x:v>
      </x:c>
      <x:c r="M604" s="15" t="n">
        <x:v>221</x:v>
      </x:c>
      <x:c r="N604" s="14" t="str">
        <x:v>Anna Crilly</x:v>
      </x:c>
      <x:c r="O604" s="14" t="str">
        <x:v>nm2418097</x:v>
      </x:c>
      <x:c r="P604" s="14" t="str">
        <x:v>Sandra Hubbard</x:v>
      </x:c>
      <x:c r="Q604" s="15" t="n">
        <x:v>1</x:v>
      </x:c>
      <x:c r="R604" s="14" t="str">
        <x:v>2025</x:v>
      </x:c>
      <x:c r="S604" s="14" t="n">
        <x:v>2025</x:v>
      </x:c>
      <x:c r="T604" s="14" t="n">
        <x:v>2025</x:v>
      </x:c>
      <x:c r="U604" s="14" t="str">
        <x:v>Explicit source first year retained</x:v>
      </x:c>
      <x:c r="V604" s="14" t="str">
        <x:v>Earliest supplied year is 2025.</x:v>
      </x:c>
      <x:c r="W604" s="14"/>
      <x:c r="X604" s="14" t="str">
        <x:v>Included</x:v>
      </x:c>
      <x:c r="Y604" s="14"/>
      <x:c r="Z604" s="14" t="str">
        <x:v>Sister Boniface Mysteries.docx</x:v>
      </x:c>
      <x:c r="AA604" s="14" t="str">
        <x:v>HYPERLINK is not implemented. linkLocation=https://www.imdb.com/title/tt15407098/fullcredits/,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BritBox UK</x:v>
      </x:c>
      <x:c r="AI604" s="14" t="str">
        <x:v>UK original 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uk original commission.</x:v>
      </x:c>
      <x:c r="AM6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4" s="14" t="str">
        <x:v>No qualifying BBC relationship</x:v>
      </x:c>
      <x:c r="AO604" s="14" t="str">
        <x:v>No</x:v>
      </x:c>
      <x:c r="AP604" s="14" t="str">
        <x:v>Out of scope</x:v>
      </x:c>
      <x:c r="AQ604" s="14" t="str">
        <x:v>No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38</x:v>
      </x:c>
      <x:c r="BP604" s="14" t="str">
        <x:v>Maximum supplied eligible IMDb cast-credit total; annual episode total not independently verified.</x:v>
      </x:c>
      <x:c r="BQ604" s="14" t="str">
        <x:v>Medium</x:v>
      </x:c>
      <x:c r="BR604" s="15" t="n">
        <x:v>1</x:v>
      </x:c>
      <x:c r="BS604" s="16" t="n">
        <x:v>0.02631578947368421</x:v>
      </x:c>
      <x:c r="BT604" s="14" t="str">
        <x:v>One episode</x:v>
      </x:c>
      <x:c r="BU604" s="14" t="str">
        <x:v>Medium</x:v>
      </x:c>
      <x:c r="BV604" s="14" t="str">
        <x:v>Derived from the supplied IMDb episode count and documented production-total proxy.</x:v>
      </x:c>
      <x:c r="BW604" s="14" t="str">
        <x:v>Unable to determine</x:v>
      </x:c>
      <x:c r="BX604" s="14" t="str">
        <x:v>Cast-list and episode data do not establish narrative prominence.</x:v>
      </x:c>
      <x:c r="BY604" s="14" t="str">
        <x:v>Supplied IMDb cast-list workbook</x:v>
      </x:c>
      <x:c r="BZ604" s="14" t="str">
        <x:v>HYPERLINK is not implemented. linkLocation=https://www.imdb.com/title/tt15407098/fullcredits/,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tt15407098|nm14711001|jane double</x:v>
      </x:c>
      <x:c r="B605" s="14" t="str">
        <x:v>05</x:v>
      </x:c>
      <x:c r="C605" s="14" t="str">
        <x:v>2022_IMDb_Cast_Lists_Batch_05(1).xlsx</x:v>
      </x:c>
      <x:c r="D605" s="14" t="str">
        <x:v>Sister Boniface Mysteries</x:v>
      </x:c>
      <x:c r="E605" s="14" t="n">
        <x:v>229</x:v>
      </x:c>
      <x:c r="F605" s="14" t="str">
        <x:v>Sister Boniface Mysteries</x:v>
      </x:c>
      <x:c r="G605" s="14" t="str">
        <x:v>tt15407098</x:v>
      </x:c>
      <x:c r="H605" s="14" t="n">
        <x:v>2022</x:v>
      </x:c>
      <x:c r="I605" s="14" t="n">
        <x:v>2025</x:v>
      </x:c>
      <x:c r="J605" s="14" t="str">
        <x:v>Earlier-Production Carry-In Cohort</x:v>
      </x:c>
      <x:c r="K605" s="14" t="n">
        <x:v>2022</x:v>
      </x:c>
      <x:c r="L605" s="14" t="str">
        <x:v>Used in 2025 annual analysis</x:v>
      </x:c>
      <x:c r="M605" s="15" t="n">
        <x:v>222</x:v>
      </x:c>
      <x:c r="N605" s="14" t="str">
        <x:v>Anna Blackburn</x:v>
      </x:c>
      <x:c r="O605" s="14" t="str">
        <x:v>nm14711001</x:v>
      </x:c>
      <x:c r="P605" s="14" t="str">
        <x:v>Jane Double</x:v>
      </x:c>
      <x:c r="Q605" s="15" t="n">
        <x:v>1</x:v>
      </x:c>
      <x:c r="R605" s="14" t="str">
        <x:v>2025</x:v>
      </x:c>
      <x:c r="S605" s="14" t="n">
        <x:v>2025</x:v>
      </x:c>
      <x:c r="T605" s="14" t="n">
        <x:v>2025</x:v>
      </x:c>
      <x:c r="U605" s="14" t="str">
        <x:v>Explicit source first year retained</x:v>
      </x:c>
      <x:c r="V605" s="14" t="str">
        <x:v>Earliest supplied year is 2025.</x:v>
      </x:c>
      <x:c r="W605" s="14"/>
      <x:c r="X605" s="14" t="str">
        <x:v>Included</x:v>
      </x:c>
      <x:c r="Y605" s="14"/>
      <x:c r="Z605" s="14" t="str">
        <x:v>Sister Boniface Mysteries.docx</x:v>
      </x:c>
      <x:c r="AA605" s="14" t="str">
        <x:v>HYPERLINK is not implemented. linkLocation=https://www.imdb.com/title/tt15407098/fullcredits/,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BritBox UK</x:v>
      </x:c>
      <x:c r="AI605" s="14" t="str">
        <x:v>UK original 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uk original commission.</x:v>
      </x:c>
      <x:c r="AM6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5" s="14" t="str">
        <x:v>No qualifying BBC relationship</x:v>
      </x:c>
      <x:c r="AO605" s="14" t="str">
        <x:v>No</x:v>
      </x:c>
      <x:c r="AP605" s="14" t="str">
        <x:v>Out of scope</x:v>
      </x:c>
      <x:c r="AQ605" s="14" t="str">
        <x:v>No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38</x:v>
      </x:c>
      <x:c r="BP605" s="14" t="str">
        <x:v>Maximum supplied eligible IMDb cast-credit total; annual episode total not independently verified.</x:v>
      </x:c>
      <x:c r="BQ605" s="14" t="str">
        <x:v>Medium</x:v>
      </x:c>
      <x:c r="BR605" s="15" t="n">
        <x:v>1</x:v>
      </x:c>
      <x:c r="BS605" s="16" t="n">
        <x:v>0.02631578947368421</x:v>
      </x:c>
      <x:c r="BT605" s="14" t="str">
        <x:v>One episode</x:v>
      </x:c>
      <x:c r="BU605" s="14" t="str">
        <x:v>Medium</x:v>
      </x:c>
      <x:c r="BV605" s="14" t="str">
        <x:v>Derived from the supplied IMDb episode count and documented production-total proxy.</x:v>
      </x:c>
      <x:c r="BW605" s="14" t="str">
        <x:v>Unable to determine</x:v>
      </x:c>
      <x:c r="BX605" s="14" t="str">
        <x:v>Cast-list and episode data do not establish narrative prominence.</x:v>
      </x:c>
      <x:c r="BY605" s="14" t="str">
        <x:v>Supplied IMDb cast-list workbook</x:v>
      </x:c>
      <x:c r="BZ605" s="14" t="str">
        <x:v>HYPERLINK is not implemented. linkLocation=https://www.imdb.com/title/tt15407098/fullcredits/,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tt15407098|nm0068464|sister helena</x:v>
      </x:c>
      <x:c r="B606" s="14" t="str">
        <x:v>05</x:v>
      </x:c>
      <x:c r="C606" s="14" t="str">
        <x:v>2022_IMDb_Cast_Lists_Batch_05(1).xlsx</x:v>
      </x:c>
      <x:c r="D606" s="14" t="str">
        <x:v>Sister Boniface Mysteries</x:v>
      </x:c>
      <x:c r="E606" s="14" t="n">
        <x:v>235</x:v>
      </x:c>
      <x:c r="F606" s="14" t="str">
        <x:v>Sister Boniface Mysteries</x:v>
      </x:c>
      <x:c r="G606" s="14" t="str">
        <x:v>tt15407098</x:v>
      </x:c>
      <x:c r="H606" s="14" t="n">
        <x:v>2022</x:v>
      </x:c>
      <x:c r="I606" s="14" t="n">
        <x:v>2025</x:v>
      </x:c>
      <x:c r="J606" s="14" t="str">
        <x:v>Earlier-Production Carry-In Cohort</x:v>
      </x:c>
      <x:c r="K606" s="14" t="n">
        <x:v>2022</x:v>
      </x:c>
      <x:c r="L606" s="14" t="str">
        <x:v>Used in 2025 annual analysis</x:v>
      </x:c>
      <x:c r="M606" s="15" t="n">
        <x:v>228</x:v>
      </x:c>
      <x:c r="N606" s="14" t="str">
        <x:v>Rachel Bell</x:v>
      </x:c>
      <x:c r="O606" s="14" t="str">
        <x:v>nm0068464</x:v>
      </x:c>
      <x:c r="P606" s="14" t="str">
        <x:v>Sister Helena</x:v>
      </x:c>
      <x:c r="Q606" s="15" t="n">
        <x:v>1</x:v>
      </x:c>
      <x:c r="R606" s="14" t="str">
        <x:v>2025</x:v>
      </x:c>
      <x:c r="S606" s="14" t="n">
        <x:v>2025</x:v>
      </x:c>
      <x:c r="T606" s="14" t="n">
        <x:v>2025</x:v>
      </x:c>
      <x:c r="U606" s="14" t="str">
        <x:v>Explicit source first year retained</x:v>
      </x:c>
      <x:c r="V606" s="14" t="str">
        <x:v>Earliest supplied year is 2025.</x:v>
      </x:c>
      <x:c r="W606" s="14"/>
      <x:c r="X606" s="14" t="str">
        <x:v>Included</x:v>
      </x:c>
      <x:c r="Y606" s="14"/>
      <x:c r="Z606" s="14" t="str">
        <x:v>Sister Boniface Mysteries.docx</x:v>
      </x:c>
      <x:c r="AA606" s="14" t="str">
        <x:v>HYPERLINK is not implemented. linkLocation=https://www.imdb.com/title/tt15407098/fullcredits/,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BritBox UK</x:v>
      </x:c>
      <x:c r="AI606" s="14" t="str">
        <x:v>UK original 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uk original commission.</x:v>
      </x:c>
      <x:c r="AM60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6" s="14" t="str">
        <x:v>No qualifying BBC relationship</x:v>
      </x:c>
      <x:c r="AO606" s="14" t="str">
        <x:v>No</x:v>
      </x:c>
      <x:c r="AP606" s="14" t="str">
        <x:v>Out of scope</x:v>
      </x:c>
      <x:c r="AQ606" s="14" t="str">
        <x:v>No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38</x:v>
      </x:c>
      <x:c r="BP606" s="14" t="str">
        <x:v>Maximum supplied eligible IMDb cast-credit total; annual episode total not independently verified.</x:v>
      </x:c>
      <x:c r="BQ606" s="14" t="str">
        <x:v>Medium</x:v>
      </x:c>
      <x:c r="BR606" s="15" t="n">
        <x:v>1</x:v>
      </x:c>
      <x:c r="BS606" s="16" t="n">
        <x:v>0.02631578947368421</x:v>
      </x:c>
      <x:c r="BT606" s="14" t="str">
        <x:v>One episode</x:v>
      </x:c>
      <x:c r="BU606" s="14" t="str">
        <x:v>Medium</x:v>
      </x:c>
      <x:c r="BV606" s="14" t="str">
        <x:v>Derived from the supplied IMDb episode count and documented production-total proxy.</x:v>
      </x:c>
      <x:c r="BW606" s="14" t="str">
        <x:v>Unable to determine</x:v>
      </x:c>
      <x:c r="BX606" s="14" t="str">
        <x:v>Cast-list and episode data do not establish narrative prominence.</x:v>
      </x:c>
      <x:c r="BY606" s="14" t="str">
        <x:v>Supplied IMDb cast-list workbook</x:v>
      </x:c>
      <x:c r="BZ606" s="14" t="str">
        <x:v>HYPERLINK is not implemented. linkLocation=https://www.imdb.com/title/tt15407098/fullcredits/,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tt15407098|nm4569008|camilla double</x:v>
      </x:c>
      <x:c r="B607" s="14" t="str">
        <x:v>05</x:v>
      </x:c>
      <x:c r="C607" s="14" t="str">
        <x:v>2022_IMDb_Cast_Lists_Batch_05(1).xlsx</x:v>
      </x:c>
      <x:c r="D607" s="14" t="str">
        <x:v>Sister Boniface Mysteries</x:v>
      </x:c>
      <x:c r="E607" s="14" t="n">
        <x:v>236</x:v>
      </x:c>
      <x:c r="F607" s="14" t="str">
        <x:v>Sister Boniface Mysteries</x:v>
      </x:c>
      <x:c r="G607" s="14" t="str">
        <x:v>tt15407098</x:v>
      </x:c>
      <x:c r="H607" s="14" t="n">
        <x:v>2022</x:v>
      </x:c>
      <x:c r="I607" s="14" t="n">
        <x:v>2025</x:v>
      </x:c>
      <x:c r="J607" s="14" t="str">
        <x:v>Earlier-Production Carry-In Cohort</x:v>
      </x:c>
      <x:c r="K607" s="14" t="n">
        <x:v>2022</x:v>
      </x:c>
      <x:c r="L607" s="14" t="str">
        <x:v>Used in 2025 annual analysis</x:v>
      </x:c>
      <x:c r="M607" s="15" t="n">
        <x:v>229</x:v>
      </x:c>
      <x:c r="N607" s="14" t="str">
        <x:v>Kluane Saunders</x:v>
      </x:c>
      <x:c r="O607" s="14" t="str">
        <x:v>nm4569008</x:v>
      </x:c>
      <x:c r="P607" s="14" t="str">
        <x:v>Camilla Double</x:v>
      </x:c>
      <x:c r="Q607" s="15" t="n">
        <x:v>1</x:v>
      </x:c>
      <x:c r="R607" s="14" t="str">
        <x:v>2025</x:v>
      </x:c>
      <x:c r="S607" s="14" t="n">
        <x:v>2025</x:v>
      </x:c>
      <x:c r="T607" s="14" t="n">
        <x:v>2025</x:v>
      </x:c>
      <x:c r="U607" s="14" t="str">
        <x:v>Explicit source first year retained</x:v>
      </x:c>
      <x:c r="V607" s="14" t="str">
        <x:v>Earliest supplied year is 2025.</x:v>
      </x:c>
      <x:c r="W607" s="14"/>
      <x:c r="X607" s="14" t="str">
        <x:v>Included</x:v>
      </x:c>
      <x:c r="Y607" s="14"/>
      <x:c r="Z607" s="14" t="str">
        <x:v>Sister Boniface Mysteries.docx</x:v>
      </x:c>
      <x:c r="AA607" s="14" t="str">
        <x:v>HYPERLINK is not implemented. linkLocation=https://www.imdb.com/title/tt15407098/fullcredits/,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BritBox UK</x:v>
      </x:c>
      <x:c r="AI607" s="14" t="str">
        <x:v>UK original 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uk original commission.</x:v>
      </x:c>
      <x:c r="AM60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7" s="14" t="str">
        <x:v>No qualifying BBC relationship</x:v>
      </x:c>
      <x:c r="AO607" s="14" t="str">
        <x:v>No</x:v>
      </x:c>
      <x:c r="AP607" s="14" t="str">
        <x:v>Out of scope</x:v>
      </x:c>
      <x:c r="AQ607" s="14" t="str">
        <x:v>No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38</x:v>
      </x:c>
      <x:c r="BP607" s="14" t="str">
        <x:v>Maximum supplied eligible IMDb cast-credit total; annual episode total not independently verified.</x:v>
      </x:c>
      <x:c r="BQ607" s="14" t="str">
        <x:v>Medium</x:v>
      </x:c>
      <x:c r="BR607" s="15" t="n">
        <x:v>1</x:v>
      </x:c>
      <x:c r="BS607" s="16" t="n">
        <x:v>0.02631578947368421</x:v>
      </x:c>
      <x:c r="BT607" s="14" t="str">
        <x:v>One episode</x:v>
      </x:c>
      <x:c r="BU607" s="14" t="str">
        <x:v>Medium</x:v>
      </x:c>
      <x:c r="BV607" s="14" t="str">
        <x:v>Derived from the supplied IMDb episode count and documented production-total proxy.</x:v>
      </x:c>
      <x:c r="BW607" s="14" t="str">
        <x:v>Unable to determine</x:v>
      </x:c>
      <x:c r="BX607" s="14" t="str">
        <x:v>Cast-list and episode data do not establish narrative prominence.</x:v>
      </x:c>
      <x:c r="BY607" s="14" t="str">
        <x:v>Supplied IMDb cast-list workbook</x:v>
      </x:c>
      <x:c r="BZ607" s="14" t="str">
        <x:v>HYPERLINK is not implemented. linkLocation=https://www.imdb.com/title/tt15407098/fullcredits/,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tt15407098|nm9123082|clementine bell</x:v>
      </x:c>
      <x:c r="B608" s="14" t="str">
        <x:v>05</x:v>
      </x:c>
      <x:c r="C608" s="14" t="str">
        <x:v>2022_IMDb_Cast_Lists_Batch_05(1).xlsx</x:v>
      </x:c>
      <x:c r="D608" s="14" t="str">
        <x:v>Sister Boniface Mysteries</x:v>
      </x:c>
      <x:c r="E608" s="14" t="n">
        <x:v>237</x:v>
      </x:c>
      <x:c r="F608" s="14" t="str">
        <x:v>Sister Boniface Mysteries</x:v>
      </x:c>
      <x:c r="G608" s="14" t="str">
        <x:v>tt15407098</x:v>
      </x:c>
      <x:c r="H608" s="14" t="n">
        <x:v>2022</x:v>
      </x:c>
      <x:c r="I608" s="14" t="n">
        <x:v>2025</x:v>
      </x:c>
      <x:c r="J608" s="14" t="str">
        <x:v>Earlier-Production Carry-In Cohort</x:v>
      </x:c>
      <x:c r="K608" s="14" t="n">
        <x:v>2022</x:v>
      </x:c>
      <x:c r="L608" s="14" t="str">
        <x:v>Used in 2025 annual analysis</x:v>
      </x:c>
      <x:c r="M608" s="15" t="n">
        <x:v>230</x:v>
      </x:c>
      <x:c r="N608" s="14" t="str">
        <x:v>Kate Kordel</x:v>
      </x:c>
      <x:c r="O608" s="14" t="str">
        <x:v>nm9123082</x:v>
      </x:c>
      <x:c r="P608" s="14" t="str">
        <x:v>Clementine Bell</x:v>
      </x:c>
      <x:c r="Q608" s="15" t="n">
        <x:v>1</x:v>
      </x:c>
      <x:c r="R608" s="14" t="str">
        <x:v>2025</x:v>
      </x:c>
      <x:c r="S608" s="14" t="n">
        <x:v>2025</x:v>
      </x:c>
      <x:c r="T608" s="14" t="n">
        <x:v>2025</x:v>
      </x:c>
      <x:c r="U608" s="14" t="str">
        <x:v>Explicit source first year retained</x:v>
      </x:c>
      <x:c r="V608" s="14" t="str">
        <x:v>Earliest supplied year is 2025.</x:v>
      </x:c>
      <x:c r="W608" s="14"/>
      <x:c r="X608" s="14" t="str">
        <x:v>Included</x:v>
      </x:c>
      <x:c r="Y608" s="14"/>
      <x:c r="Z608" s="14" t="str">
        <x:v>Sister Boniface Mysteries.docx</x:v>
      </x:c>
      <x:c r="AA608" s="14" t="str">
        <x:v>HYPERLINK is not implemented. linkLocation=https://www.imdb.com/title/tt15407098/fullcredits/,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BritBox UK</x:v>
      </x:c>
      <x:c r="AI608" s="14" t="str">
        <x:v>UK original 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uk original commission.</x:v>
      </x:c>
      <x:c r="AM60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8" s="14" t="str">
        <x:v>No qualifying BBC relationship</x:v>
      </x:c>
      <x:c r="AO608" s="14" t="str">
        <x:v>No</x:v>
      </x:c>
      <x:c r="AP608" s="14" t="str">
        <x:v>Out of scope</x:v>
      </x:c>
      <x:c r="AQ608" s="14" t="str">
        <x:v>No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38</x:v>
      </x:c>
      <x:c r="BP608" s="14" t="str">
        <x:v>Maximum supplied eligible IMDb cast-credit total; annual episode total not independently verified.</x:v>
      </x:c>
      <x:c r="BQ608" s="14" t="str">
        <x:v>Medium</x:v>
      </x:c>
      <x:c r="BR608" s="15" t="n">
        <x:v>1</x:v>
      </x:c>
      <x:c r="BS608" s="16" t="n">
        <x:v>0.02631578947368421</x:v>
      </x:c>
      <x:c r="BT608" s="14" t="str">
        <x:v>One episode</x:v>
      </x:c>
      <x:c r="BU608" s="14" t="str">
        <x:v>Medium</x:v>
      </x:c>
      <x:c r="BV608" s="14" t="str">
        <x:v>Derived from the supplied IMDb episode count and documented production-total proxy.</x:v>
      </x:c>
      <x:c r="BW608" s="14" t="str">
        <x:v>Unable to determine</x:v>
      </x:c>
      <x:c r="BX608" s="14" t="str">
        <x:v>Cast-list and episode data do not establish narrative prominence.</x:v>
      </x:c>
      <x:c r="BY608" s="14" t="str">
        <x:v>Supplied IMDb cast-list workbook</x:v>
      </x:c>
      <x:c r="BZ608" s="14" t="str">
        <x:v>HYPERLINK is not implemented. linkLocation=https://www.imdb.com/title/tt15407098/fullcredits/,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tt15407098|nm2711324|solicitor</x:v>
      </x:c>
      <x:c r="B609" s="14" t="str">
        <x:v>05</x:v>
      </x:c>
      <x:c r="C609" s="14" t="str">
        <x:v>2022_IMDb_Cast_Lists_Batch_05(1).xlsx</x:v>
      </x:c>
      <x:c r="D609" s="14" t="str">
        <x:v>Sister Boniface Mysteries</x:v>
      </x:c>
      <x:c r="E609" s="14" t="n">
        <x:v>251</x:v>
      </x:c>
      <x:c r="F609" s="14" t="str">
        <x:v>Sister Boniface Mysteries</x:v>
      </x:c>
      <x:c r="G609" s="14" t="str">
        <x:v>tt15407098</x:v>
      </x:c>
      <x:c r="H609" s="14" t="n">
        <x:v>2022</x:v>
      </x:c>
      <x:c r="I609" s="14" t="n">
        <x:v>2025</x:v>
      </x:c>
      <x:c r="J609" s="14" t="str">
        <x:v>Earlier-Production Carry-In Cohort</x:v>
      </x:c>
      <x:c r="K609" s="14" t="n">
        <x:v>2022</x:v>
      </x:c>
      <x:c r="L609" s="14" t="str">
        <x:v>Used in 2025 annual analysis</x:v>
      </x:c>
      <x:c r="M609" s="15" t="n">
        <x:v>244</x:v>
      </x:c>
      <x:c r="N609" s="14" t="str">
        <x:v>Chris Wilson</x:v>
      </x:c>
      <x:c r="O609" s="14" t="str">
        <x:v>nm2711324</x:v>
      </x:c>
      <x:c r="P609" s="14" t="str">
        <x:v>Solicitor</x:v>
      </x:c>
      <x:c r="Q609" s="15" t="n">
        <x:v>1</x:v>
      </x:c>
      <x:c r="R609" s="14" t="str">
        <x:v>2025</x:v>
      </x:c>
      <x:c r="S609" s="14" t="n">
        <x:v>2025</x:v>
      </x:c>
      <x:c r="T609" s="14" t="n">
        <x:v>2025</x:v>
      </x:c>
      <x:c r="U609" s="14" t="str">
        <x:v>Explicit source first year retained</x:v>
      </x:c>
      <x:c r="V609" s="14" t="str">
        <x:v>Earliest supplied year is 2025.</x:v>
      </x:c>
      <x:c r="W609" s="14"/>
      <x:c r="X609" s="14" t="str">
        <x:v>Included</x:v>
      </x:c>
      <x:c r="Y609" s="14"/>
      <x:c r="Z609" s="14" t="str">
        <x:v>Sister Boniface Mysteries.docx</x:v>
      </x:c>
      <x:c r="AA609" s="14" t="str">
        <x:v>HYPERLINK is not implemented. linkLocation=https://www.imdb.com/title/tt15407098/fullcredits/,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BritBox UK</x:v>
      </x:c>
      <x:c r="AI609" s="14" t="str">
        <x:v>UK original 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uk original commission.</x:v>
      </x:c>
      <x:c r="AM60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9" s="14" t="str">
        <x:v>No qualifying BBC relationship</x:v>
      </x:c>
      <x:c r="AO609" s="14" t="str">
        <x:v>No</x:v>
      </x:c>
      <x:c r="AP609" s="14" t="str">
        <x:v>Out of scope</x:v>
      </x:c>
      <x:c r="AQ609" s="14" t="str">
        <x:v>No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38</x:v>
      </x:c>
      <x:c r="BP609" s="14" t="str">
        <x:v>Maximum supplied eligible IMDb cast-credit total; annual episode total not independently verified.</x:v>
      </x:c>
      <x:c r="BQ609" s="14" t="str">
        <x:v>Medium</x:v>
      </x:c>
      <x:c r="BR609" s="15" t="n">
        <x:v>1</x:v>
      </x:c>
      <x:c r="BS609" s="16" t="n">
        <x:v>0.02631578947368421</x:v>
      </x:c>
      <x:c r="BT609" s="14" t="str">
        <x:v>One episode</x:v>
      </x:c>
      <x:c r="BU609" s="14" t="str">
        <x:v>Medium</x:v>
      </x:c>
      <x:c r="BV609" s="14" t="str">
        <x:v>Derived from the supplied IMDb episode count and documented production-total proxy.</x:v>
      </x:c>
      <x:c r="BW609" s="14" t="str">
        <x:v>Unable to determine</x:v>
      </x:c>
      <x:c r="BX609" s="14" t="str">
        <x:v>Cast-list and episode data do not establish narrative prominence.</x:v>
      </x:c>
      <x:c r="BY609" s="14" t="str">
        <x:v>Supplied IMDb cast-list workbook</x:v>
      </x:c>
      <x:c r="BZ609" s="14" t="str">
        <x:v>HYPERLINK is not implemented. linkLocation=https://www.imdb.com/title/tt15407098/fullcredits/,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tt13069604|nm2692146|jen</x:v>
      </x:c>
      <x:c r="B610" s="14" t="str">
        <x:v>06</x:v>
      </x:c>
      <x:c r="C610" s="14" t="str">
        <x:v>2022_IMDb_Cast_Lists_Batch_06(1).xlsx</x:v>
      </x:c>
      <x:c r="D610" s="14" t="str">
        <x:v>The Ex-Wife</x:v>
      </x:c>
      <x:c r="E610" s="14" t="n">
        <x:v>13</x:v>
      </x:c>
      <x:c r="F610" s="14" t="str">
        <x:v>The Ex-Wife</x:v>
      </x:c>
      <x:c r="G610" s="14" t="str">
        <x:v>tt13069604</x:v>
      </x:c>
      <x:c r="H610" s="14" t="n">
        <x:v>2022</x:v>
      </x:c>
      <x:c r="I610" s="14" t="n">
        <x:v>2025</x:v>
      </x:c>
      <x:c r="J610" s="14" t="str">
        <x:v>Earlier-Production Carry-In Cohort</x:v>
      </x:c>
      <x:c r="K610" s="14" t="n">
        <x:v>2022</x:v>
      </x:c>
      <x:c r="L610" s="14" t="str">
        <x:v>Used in 2025 annual analysis</x:v>
      </x:c>
      <x:c r="M610" s="15" t="n">
        <x:v>6</x:v>
      </x:c>
      <x:c r="N610" s="14" t="str">
        <x:v>Katie McGrath</x:v>
      </x:c>
      <x:c r="O610" s="14" t="str">
        <x:v>nm2692146</x:v>
      </x:c>
      <x:c r="P610" s="14" t="str">
        <x:v>Jen</x:v>
      </x:c>
      <x:c r="Q610" s="15" t="n">
        <x:v>4</x:v>
      </x:c>
      <x:c r="R610" s="14" t="str">
        <x:v>2025</x:v>
      </x:c>
      <x:c r="S610" s="14" t="n">
        <x:v>2025</x:v>
      </x:c>
      <x:c r="T610" s="14" t="n">
        <x:v>2025</x:v>
      </x:c>
      <x:c r="U610" s="14" t="str">
        <x:v>Explicit source first year retained</x:v>
      </x:c>
      <x:c r="V610" s="14" t="str">
        <x:v>Earliest supplied year is 2025.</x:v>
      </x:c>
      <x:c r="W610" s="14"/>
      <x:c r="X610" s="14" t="str">
        <x:v>Included</x:v>
      </x:c>
      <x:c r="Y610" s="14"/>
      <x:c r="Z610" s="14" t="str">
        <x:v>The Ex-Wife.docx</x:v>
      </x:c>
      <x:c r="AA610" s="14" t="str">
        <x:v>HYPERLINK is not implemented. linkLocation=https://www.imdb.com/title/tt13069604/fullcredits/,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Paramount+ UK</x:v>
      </x:c>
      <x:c r="AI610" s="14" t="str">
        <x:v>UK original 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uk original commission.</x:v>
      </x:c>
      <x:c r="AM610" s="17" t="e">
        <x:f>HYPERLINK("https://en.wikipedia.org/wiki/The_Ex-Wife","Open source")</x:f>
        <x:v>HYPERLINK is not implemented. linkLocation=https://en.wikipedia.org/wiki/The_Ex-Wife, friendlyName=Open source</x:v>
      </x:c>
      <x:c r="AN610" s="14" t="str">
        <x:v>No qualifying BBC relationship</x:v>
      </x:c>
      <x:c r="AO610" s="14" t="str">
        <x:v>No</x:v>
      </x:c>
      <x:c r="AP610" s="14" t="str">
        <x:v>Out of scope</x:v>
      </x:c>
      <x:c r="AQ610" s="14" t="str">
        <x:v>No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8</x:v>
      </x:c>
      <x:c r="BP610" s="14" t="str">
        <x:v>Maximum supplied eligible IMDb cast-credit total; annual episode total not independently verified.</x:v>
      </x:c>
      <x:c r="BQ610" s="14" t="str">
        <x:v>Medium</x:v>
      </x:c>
      <x:c r="BR610" s="15" t="n">
        <x:v>4</x:v>
      </x:c>
      <x:c r="BS610" s="16" t="n">
        <x:v>0.5</x:v>
      </x:c>
      <x:c r="BT610" s="14" t="str">
        <x:v>Minority of episodes</x:v>
      </x:c>
      <x:c r="BU610" s="14" t="str">
        <x:v>Medium</x:v>
      </x:c>
      <x:c r="BV610" s="14" t="str">
        <x:v>Derived from the supplied IMDb episode count and documented production-total proxy.</x:v>
      </x:c>
      <x:c r="BW610" s="14" t="str">
        <x:v>Unable to determine</x:v>
      </x:c>
      <x:c r="BX610" s="14" t="str">
        <x:v>Cast-list and episode data do not establish narrative prominence.</x:v>
      </x:c>
      <x:c r="BY610" s="14" t="str">
        <x:v>Supplied IMDb cast-list workbook</x:v>
      </x:c>
      <x:c r="BZ610" s="14" t="str">
        <x:v>HYPERLINK is not implemented. linkLocation=https://www.imdb.com/title/tt13069604/fullcredits/,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tt13069604|nm13756613|emily</x:v>
      </x:c>
      <x:c r="B611" s="14" t="str">
        <x:v>06</x:v>
      </x:c>
      <x:c r="C611" s="14" t="str">
        <x:v>2022_IMDb_Cast_Lists_Batch_06(1).xlsx</x:v>
      </x:c>
      <x:c r="D611" s="14" t="str">
        <x:v>The Ex-Wife</x:v>
      </x:c>
      <x:c r="E611" s="14" t="n">
        <x:v>14</x:v>
      </x:c>
      <x:c r="F611" s="14" t="str">
        <x:v>The Ex-Wife</x:v>
      </x:c>
      <x:c r="G611" s="14" t="str">
        <x:v>tt13069604</x:v>
      </x:c>
      <x:c r="H611" s="14" t="n">
        <x:v>2022</x:v>
      </x:c>
      <x:c r="I611" s="14" t="n">
        <x:v>2025</x:v>
      </x:c>
      <x:c r="J611" s="14" t="str">
        <x:v>Earlier-Production Carry-In Cohort</x:v>
      </x:c>
      <x:c r="K611" s="14" t="n">
        <x:v>2022</x:v>
      </x:c>
      <x:c r="L611" s="14" t="str">
        <x:v>Used in 2025 annual analysis</x:v>
      </x:c>
      <x:c r="M611" s="15" t="n">
        <x:v>7</x:v>
      </x:c>
      <x:c r="N611" s="14" t="str">
        <x:v>Liberty Miller</x:v>
      </x:c>
      <x:c r="O611" s="14" t="str">
        <x:v>nm13756613</x:v>
      </x:c>
      <x:c r="P611" s="14" t="str">
        <x:v>Emily</x:v>
      </x:c>
      <x:c r="Q611" s="15" t="n">
        <x:v>4</x:v>
      </x:c>
      <x:c r="R611" s="14" t="str">
        <x:v>2025</x:v>
      </x:c>
      <x:c r="S611" s="14" t="n">
        <x:v>2025</x:v>
      </x:c>
      <x:c r="T611" s="14" t="n">
        <x:v>2025</x:v>
      </x:c>
      <x:c r="U611" s="14" t="str">
        <x:v>Explicit source first year retained</x:v>
      </x:c>
      <x:c r="V611" s="14" t="str">
        <x:v>Earliest supplied year is 2025.</x:v>
      </x:c>
      <x:c r="W611" s="14"/>
      <x:c r="X611" s="14" t="str">
        <x:v>Included</x:v>
      </x:c>
      <x:c r="Y611" s="14"/>
      <x:c r="Z611" s="14" t="str">
        <x:v>The Ex-Wife.docx</x:v>
      </x:c>
      <x:c r="AA611" s="14" t="str">
        <x:v>HYPERLINK is not implemented. linkLocation=https://www.imdb.com/title/tt13069604/fullcredits/,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Paramount+ UK</x:v>
      </x:c>
      <x:c r="AI611" s="14" t="str">
        <x:v>UK original 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uk original commission.</x:v>
      </x:c>
      <x:c r="AM611" s="17" t="e">
        <x:f>HYPERLINK("https://en.wikipedia.org/wiki/The_Ex-Wife","Open source")</x:f>
        <x:v>HYPERLINK is not implemented. linkLocation=https://en.wikipedia.org/wiki/The_Ex-Wife, friendlyName=Open source</x:v>
      </x:c>
      <x:c r="AN611" s="14" t="str">
        <x:v>No qualifying BBC relationship</x:v>
      </x:c>
      <x:c r="AO611" s="14" t="str">
        <x:v>No</x:v>
      </x:c>
      <x:c r="AP611" s="14" t="str">
        <x:v>Out of scope</x:v>
      </x:c>
      <x:c r="AQ611" s="14" t="str">
        <x:v>No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8</x:v>
      </x:c>
      <x:c r="BP611" s="14" t="str">
        <x:v>Maximum supplied eligible IMDb cast-credit total; annual episode total not independently verified.</x:v>
      </x:c>
      <x:c r="BQ611" s="14" t="str">
        <x:v>Medium</x:v>
      </x:c>
      <x:c r="BR611" s="15" t="n">
        <x:v>4</x:v>
      </x:c>
      <x:c r="BS611" s="16" t="n">
        <x:v>0.5</x:v>
      </x:c>
      <x:c r="BT611" s="14" t="str">
        <x:v>Minority of episodes</x:v>
      </x:c>
      <x:c r="BU611" s="14" t="str">
        <x:v>Medium</x:v>
      </x:c>
      <x:c r="BV611" s="14" t="str">
        <x:v>Derived from the supplied IMDb episode count and documented production-total proxy.</x:v>
      </x:c>
      <x:c r="BW611" s="14" t="str">
        <x:v>Unable to determine</x:v>
      </x:c>
      <x:c r="BX611" s="14" t="str">
        <x:v>Cast-list and episode data do not establish narrative prominence.</x:v>
      </x:c>
      <x:c r="BY611" s="14" t="str">
        <x:v>Supplied IMDb cast-list workbook</x:v>
      </x:c>
      <x:c r="BZ611" s="14" t="str">
        <x:v>HYPERLINK is not implemented. linkLocation=https://www.imdb.com/title/tt13069604/fullcredits/,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tt13069604|nm0767947|maria</x:v>
      </x:c>
      <x:c r="B612" s="14" t="str">
        <x:v>06</x:v>
      </x:c>
      <x:c r="C612" s="14" t="str">
        <x:v>2022_IMDb_Cast_Lists_Batch_06(1).xlsx</x:v>
      </x:c>
      <x:c r="D612" s="14" t="str">
        <x:v>The Ex-Wife</x:v>
      </x:c>
      <x:c r="E612" s="14" t="n">
        <x:v>17</x:v>
      </x:c>
      <x:c r="F612" s="14" t="str">
        <x:v>The Ex-Wife</x:v>
      </x:c>
      <x:c r="G612" s="14" t="str">
        <x:v>tt13069604</x:v>
      </x:c>
      <x:c r="H612" s="14" t="n">
        <x:v>2022</x:v>
      </x:c>
      <x:c r="I612" s="14" t="n">
        <x:v>2025</x:v>
      </x:c>
      <x:c r="J612" s="14" t="str">
        <x:v>Earlier-Production Carry-In Cohort</x:v>
      </x:c>
      <x:c r="K612" s="14" t="n">
        <x:v>2022</x:v>
      </x:c>
      <x:c r="L612" s="14" t="str">
        <x:v>Used in 2025 annual analysis</x:v>
      </x:c>
      <x:c r="M612" s="15" t="n">
        <x:v>10</x:v>
      </x:c>
      <x:c r="N612" s="14" t="str">
        <x:v>Anna Savva</x:v>
      </x:c>
      <x:c r="O612" s="14" t="str">
        <x:v>nm0767947</x:v>
      </x:c>
      <x:c r="P612" s="14" t="str">
        <x:v>Maria</x:v>
      </x:c>
      <x:c r="Q612" s="15" t="n">
        <x:v>3</x:v>
      </x:c>
      <x:c r="R612" s="14" t="str">
        <x:v>2025</x:v>
      </x:c>
      <x:c r="S612" s="14" t="n">
        <x:v>2025</x:v>
      </x:c>
      <x:c r="T612" s="14" t="n">
        <x:v>2025</x:v>
      </x:c>
      <x:c r="U612" s="14" t="str">
        <x:v>Explicit source first year retained</x:v>
      </x:c>
      <x:c r="V612" s="14" t="str">
        <x:v>Earliest supplied year is 2025.</x:v>
      </x:c>
      <x:c r="W612" s="14"/>
      <x:c r="X612" s="14" t="str">
        <x:v>Included</x:v>
      </x:c>
      <x:c r="Y612" s="14"/>
      <x:c r="Z612" s="14" t="str">
        <x:v>The Ex-Wife.docx</x:v>
      </x:c>
      <x:c r="AA612" s="14" t="str">
        <x:v>HYPERLINK is not implemented. linkLocation=https://www.imdb.com/title/tt13069604/fullcredits/,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Paramount+ UK</x:v>
      </x:c>
      <x:c r="AI612" s="14" t="str">
        <x:v>UK original 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uk original commission.</x:v>
      </x:c>
      <x:c r="AM612" s="17" t="e">
        <x:f>HYPERLINK("https://en.wikipedia.org/wiki/The_Ex-Wife","Open source")</x:f>
        <x:v>HYPERLINK is not implemented. linkLocation=https://en.wikipedia.org/wiki/The_Ex-Wife, friendlyName=Open source</x:v>
      </x:c>
      <x:c r="AN612" s="14" t="str">
        <x:v>No qualifying BBC relationship</x:v>
      </x:c>
      <x:c r="AO612" s="14" t="str">
        <x:v>No</x:v>
      </x:c>
      <x:c r="AP612" s="14" t="str">
        <x:v>Out of scope</x:v>
      </x:c>
      <x:c r="AQ612" s="14" t="str">
        <x:v>No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8</x:v>
      </x:c>
      <x:c r="BP612" s="14" t="str">
        <x:v>Maximum supplied eligible IMDb cast-credit total; annual episode total not independently verified.</x:v>
      </x:c>
      <x:c r="BQ612" s="14" t="str">
        <x:v>Medium</x:v>
      </x:c>
      <x:c r="BR612" s="15" t="n">
        <x:v>3</x:v>
      </x:c>
      <x:c r="BS612" s="16" t="n">
        <x:v>0.375</x:v>
      </x:c>
      <x:c r="BT612" s="14" t="str">
        <x:v>Minority of episodes</x:v>
      </x:c>
      <x:c r="BU612" s="14" t="str">
        <x:v>Medium</x:v>
      </x:c>
      <x:c r="BV612" s="14" t="str">
        <x:v>Derived from the supplied IMDb episode count and documented production-total proxy.</x:v>
      </x:c>
      <x:c r="BW612" s="14" t="str">
        <x:v>Unable to determine</x:v>
      </x:c>
      <x:c r="BX612" s="14" t="str">
        <x:v>Cast-list and episode data do not establish narrative prominence.</x:v>
      </x:c>
      <x:c r="BY612" s="14" t="str">
        <x:v>Supplied IMDb cast-list workbook</x:v>
      </x:c>
      <x:c r="BZ612" s="14" t="str">
        <x:v>HYPERLINK is not implemented. linkLocation=https://www.imdb.com/title/tt13069604/fullcredits/,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tt13069604|nm4221889|connor</x:v>
      </x:c>
      <x:c r="B613" s="14" t="str">
        <x:v>06</x:v>
      </x:c>
      <x:c r="C613" s="14" t="str">
        <x:v>2022_IMDb_Cast_Lists_Batch_06(1).xlsx</x:v>
      </x:c>
      <x:c r="D613" s="14" t="str">
        <x:v>The Ex-Wife</x:v>
      </x:c>
      <x:c r="E613" s="14" t="n">
        <x:v>18</x:v>
      </x:c>
      <x:c r="F613" s="14" t="str">
        <x:v>The Ex-Wife</x:v>
      </x:c>
      <x:c r="G613" s="14" t="str">
        <x:v>tt13069604</x:v>
      </x:c>
      <x:c r="H613" s="14" t="n">
        <x:v>2022</x:v>
      </x:c>
      <x:c r="I613" s="14" t="n">
        <x:v>2025</x:v>
      </x:c>
      <x:c r="J613" s="14" t="str">
        <x:v>Earlier-Production Carry-In Cohort</x:v>
      </x:c>
      <x:c r="K613" s="14" t="n">
        <x:v>2022</x:v>
      </x:c>
      <x:c r="L613" s="14" t="str">
        <x:v>Used in 2025 annual analysis</x:v>
      </x:c>
      <x:c r="M613" s="15" t="n">
        <x:v>11</x:v>
      </x:c>
      <x:c r="N613" s="14" t="str">
        <x:v>Jake Fairbrother</x:v>
      </x:c>
      <x:c r="O613" s="14" t="str">
        <x:v>nm4221889</x:v>
      </x:c>
      <x:c r="P613" s="14" t="str">
        <x:v>Connor</x:v>
      </x:c>
      <x:c r="Q613" s="15" t="n">
        <x:v>3</x:v>
      </x:c>
      <x:c r="R613" s="14" t="str">
        <x:v>2025</x:v>
      </x:c>
      <x:c r="S613" s="14" t="n">
        <x:v>2025</x:v>
      </x:c>
      <x:c r="T613" s="14" t="n">
        <x:v>2025</x:v>
      </x:c>
      <x:c r="U613" s="14" t="str">
        <x:v>Explicit source first year retained</x:v>
      </x:c>
      <x:c r="V613" s="14" t="str">
        <x:v>Earliest supplied year is 2025.</x:v>
      </x:c>
      <x:c r="W613" s="14"/>
      <x:c r="X613" s="14" t="str">
        <x:v>Included</x:v>
      </x:c>
      <x:c r="Y613" s="14"/>
      <x:c r="Z613" s="14" t="str">
        <x:v>The Ex-Wife.docx</x:v>
      </x:c>
      <x:c r="AA613" s="14" t="str">
        <x:v>HYPERLINK is not implemented. linkLocation=https://www.imdb.com/title/tt13069604/fullcredits/,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Paramount+ UK</x:v>
      </x:c>
      <x:c r="AI613" s="14" t="str">
        <x:v>UK original 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uk original commission.</x:v>
      </x:c>
      <x:c r="AM613" s="17" t="e">
        <x:f>HYPERLINK("https://en.wikipedia.org/wiki/The_Ex-Wife","Open source")</x:f>
        <x:v>HYPERLINK is not implemented. linkLocation=https://en.wikipedia.org/wiki/The_Ex-Wife, friendlyName=Open source</x:v>
      </x:c>
      <x:c r="AN613" s="14" t="str">
        <x:v>No qualifying BBC relationship</x:v>
      </x:c>
      <x:c r="AO613" s="14" t="str">
        <x:v>No</x:v>
      </x:c>
      <x:c r="AP613" s="14" t="str">
        <x:v>Out of scope</x:v>
      </x:c>
      <x:c r="AQ613" s="14" t="str">
        <x:v>No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8</x:v>
      </x:c>
      <x:c r="BP613" s="14" t="str">
        <x:v>Maximum supplied eligible IMDb cast-credit total; annual episode total not independently verified.</x:v>
      </x:c>
      <x:c r="BQ613" s="14" t="str">
        <x:v>Medium</x:v>
      </x:c>
      <x:c r="BR613" s="15" t="n">
        <x:v>3</x:v>
      </x:c>
      <x:c r="BS613" s="16" t="n">
        <x:v>0.375</x:v>
      </x:c>
      <x:c r="BT613" s="14" t="str">
        <x:v>Minority of episodes</x:v>
      </x:c>
      <x:c r="BU613" s="14" t="str">
        <x:v>Medium</x:v>
      </x:c>
      <x:c r="BV613" s="14" t="str">
        <x:v>Derived from the supplied IMDb episode count and documented production-total proxy.</x:v>
      </x:c>
      <x:c r="BW613" s="14" t="str">
        <x:v>Unable to determine</x:v>
      </x:c>
      <x:c r="BX613" s="14" t="str">
        <x:v>Cast-list and episode data do not establish narrative prominence.</x:v>
      </x:c>
      <x:c r="BY613" s="14" t="str">
        <x:v>Supplied IMDb cast-list workbook</x:v>
      </x:c>
      <x:c r="BZ613" s="14" t="str">
        <x:v>HYPERLINK is not implemented. linkLocation=https://www.imdb.com/title/tt13069604/fullcredits/,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tt13069604|nm4250266|police officer</x:v>
      </x:c>
      <x:c r="B614" s="14" t="str">
        <x:v>06</x:v>
      </x:c>
      <x:c r="C614" s="14" t="str">
        <x:v>2022_IMDb_Cast_Lists_Batch_06(1).xlsx</x:v>
      </x:c>
      <x:c r="D614" s="14" t="str">
        <x:v>The Ex-Wife</x:v>
      </x:c>
      <x:c r="E614" s="14" t="n">
        <x:v>23</x:v>
      </x:c>
      <x:c r="F614" s="14" t="str">
        <x:v>The Ex-Wife</x:v>
      </x:c>
      <x:c r="G614" s="14" t="str">
        <x:v>tt13069604</x:v>
      </x:c>
      <x:c r="H614" s="14" t="n">
        <x:v>2022</x:v>
      </x:c>
      <x:c r="I614" s="14" t="n">
        <x:v>2025</x:v>
      </x:c>
      <x:c r="J614" s="14" t="str">
        <x:v>Earlier-Production Carry-In Cohort</x:v>
      </x:c>
      <x:c r="K614" s="14" t="n">
        <x:v>2022</x:v>
      </x:c>
      <x:c r="L614" s="14" t="str">
        <x:v>Used in 2025 annual analysis</x:v>
      </x:c>
      <x:c r="M614" s="15" t="n">
        <x:v>16</x:v>
      </x:c>
      <x:c r="N614" s="14" t="str">
        <x:v>Elena Demetriou</x:v>
      </x:c>
      <x:c r="O614" s="14" t="str">
        <x:v>nm4250266</x:v>
      </x:c>
      <x:c r="P614" s="14" t="str">
        <x:v>Police Officer</x:v>
      </x:c>
      <x:c r="Q614" s="15" t="n">
        <x:v>2</x:v>
      </x:c>
      <x:c r="R614" s="14" t="str">
        <x:v>2025</x:v>
      </x:c>
      <x:c r="S614" s="14" t="n">
        <x:v>2025</x:v>
      </x:c>
      <x:c r="T614" s="14" t="n">
        <x:v>2025</x:v>
      </x:c>
      <x:c r="U614" s="14" t="str">
        <x:v>Explicit source first year retained</x:v>
      </x:c>
      <x:c r="V614" s="14" t="str">
        <x:v>Earliest supplied year is 2025.</x:v>
      </x:c>
      <x:c r="W614" s="14"/>
      <x:c r="X614" s="14" t="str">
        <x:v>Included</x:v>
      </x:c>
      <x:c r="Y614" s="14"/>
      <x:c r="Z614" s="14" t="str">
        <x:v>The Ex-Wife.docx</x:v>
      </x:c>
      <x:c r="AA614" s="14" t="str">
        <x:v>HYPERLINK is not implemented. linkLocation=https://www.imdb.com/title/tt13069604/fullcredits/,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Paramount+ UK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HYPERLINK("https://en.wikipedia.org/wiki/The_Ex-Wife","Open source")</x:f>
        <x:v>HYPERLINK is not implemented. linkLocation=https://en.wikipedia.org/wiki/The_Ex-Wife,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 t="n">
        <x:v>8</x:v>
      </x:c>
      <x:c r="BP614" s="14" t="str">
        <x:v>Maximum supplied eligible IMDb cast-credit total; annual episode total not independently verified.</x:v>
      </x:c>
      <x:c r="BQ614" s="14" t="str">
        <x:v>Medium</x:v>
      </x:c>
      <x:c r="BR614" s="15" t="n">
        <x:v>2</x:v>
      </x:c>
      <x:c r="BS614" s="16" t="n">
        <x:v>0.25</x:v>
      </x:c>
      <x:c r="BT614" s="14" t="str">
        <x:v>Minority of episodes</x:v>
      </x:c>
      <x:c r="BU614" s="14" t="str">
        <x:v>Medium</x:v>
      </x:c>
      <x:c r="BV614" s="14" t="str">
        <x:v>Derived from the supplied IMDb episode count and documented production-total proxy.</x:v>
      </x:c>
      <x:c r="BW614" s="14" t="str">
        <x:v>Unable to determine</x:v>
      </x:c>
      <x:c r="BX614" s="14" t="str">
        <x:v>Cast-list and episode data do not establish narrative prominence.</x:v>
      </x:c>
      <x:c r="BY614" s="14" t="str">
        <x:v>Supplied IMDb cast-list workbook</x:v>
      </x:c>
      <x:c r="BZ614" s="14" t="str">
        <x:v>HYPERLINK is not implemented. linkLocation=https://www.imdb.com/title/tt13069604/fullcredits/,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tt13069604|nm3695349|prison chaplain</x:v>
      </x:c>
      <x:c r="B615" s="14" t="str">
        <x:v>06</x:v>
      </x:c>
      <x:c r="C615" s="14" t="str">
        <x:v>2022_IMDb_Cast_Lists_Batch_06(1).xlsx</x:v>
      </x:c>
      <x:c r="D615" s="14" t="str">
        <x:v>The Ex-Wife</x:v>
      </x:c>
      <x:c r="E615" s="14" t="n">
        <x:v>26</x:v>
      </x:c>
      <x:c r="F615" s="14" t="str">
        <x:v>The Ex-Wife</x:v>
      </x:c>
      <x:c r="G615" s="14" t="str">
        <x:v>tt13069604</x:v>
      </x:c>
      <x:c r="H615" s="14" t="n">
        <x:v>2022</x:v>
      </x:c>
      <x:c r="I615" s="14" t="n">
        <x:v>2025</x:v>
      </x:c>
      <x:c r="J615" s="14" t="str">
        <x:v>Earlier-Production Carry-In Cohort</x:v>
      </x:c>
      <x:c r="K615" s="14" t="n">
        <x:v>2022</x:v>
      </x:c>
      <x:c r="L615" s="14" t="str">
        <x:v>Used in 2025 annual analysis</x:v>
      </x:c>
      <x:c r="M615" s="15" t="n">
        <x:v>19</x:v>
      </x:c>
      <x:c r="N615" s="14" t="str">
        <x:v>Anna Giagiozi</x:v>
      </x:c>
      <x:c r="O615" s="14" t="str">
        <x:v>nm3695349</x:v>
      </x:c>
      <x:c r="P615" s="14" t="str">
        <x:v>Prison Chaplain</x:v>
      </x:c>
      <x:c r="Q615" s="15" t="n">
        <x:v>1</x:v>
      </x:c>
      <x:c r="R615" s="14" t="str">
        <x:v>2025</x:v>
      </x:c>
      <x:c r="S615" s="14" t="n">
        <x:v>2025</x:v>
      </x:c>
      <x:c r="T615" s="14" t="n">
        <x:v>2025</x:v>
      </x:c>
      <x:c r="U615" s="14" t="str">
        <x:v>Explicit source first year retained</x:v>
      </x:c>
      <x:c r="V615" s="14" t="str">
        <x:v>Earliest supplied year is 2025.</x:v>
      </x:c>
      <x:c r="W615" s="14"/>
      <x:c r="X615" s="14" t="str">
        <x:v>Included</x:v>
      </x:c>
      <x:c r="Y615" s="14"/>
      <x:c r="Z615" s="14" t="str">
        <x:v>The Ex-Wife.docx</x:v>
      </x:c>
      <x:c r="AA615" s="14" t="str">
        <x:v>HYPERLINK is not implemented. linkLocation=https://www.imdb.com/title/tt13069604/fullcredits/,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Paramount+ UK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HYPERLINK("https://en.wikipedia.org/wiki/The_Ex-Wife","Open source")</x:f>
        <x:v>HYPERLINK is not implemented. linkLocation=https://en.wikipedia.org/wiki/The_Ex-Wife,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 t="n">
        <x:v>8</x:v>
      </x:c>
      <x:c r="BP615" s="14" t="str">
        <x:v>Maximum supplied eligible IMDb cast-credit total; annual episode total not independently verified.</x:v>
      </x:c>
      <x:c r="BQ615" s="14" t="str">
        <x:v>Medium</x:v>
      </x:c>
      <x:c r="BR615" s="15" t="n">
        <x:v>1</x:v>
      </x:c>
      <x:c r="BS615" s="16" t="n">
        <x:v>0.125</x:v>
      </x:c>
      <x:c r="BT615" s="14" t="str">
        <x:v>One episode</x:v>
      </x:c>
      <x:c r="BU615" s="14" t="str">
        <x:v>Medium</x:v>
      </x:c>
      <x:c r="BV615" s="14" t="str">
        <x:v>Derived from the supplied IMDb episode count and documented production-total proxy.</x:v>
      </x:c>
      <x:c r="BW615" s="14" t="str">
        <x:v>Unable to determine</x:v>
      </x:c>
      <x:c r="BX615" s="14" t="str">
        <x:v>Cast-list and episode data do not establish narrative prominence.</x:v>
      </x:c>
      <x:c r="BY615" s="14" t="str">
        <x:v>Supplied IMDb cast-list workbook</x:v>
      </x:c>
      <x:c r="BZ615" s="14" t="str">
        <x:v>HYPERLINK is not implemented. linkLocation=https://www.imdb.com/title/tt13069604/fullcredits/,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tt13069604|nm0824002|hospital doctor</x:v>
      </x:c>
      <x:c r="B616" s="14" t="str">
        <x:v>06</x:v>
      </x:c>
      <x:c r="C616" s="14" t="str">
        <x:v>2022_IMDb_Cast_Lists_Batch_06(1).xlsx</x:v>
      </x:c>
      <x:c r="D616" s="14" t="str">
        <x:v>The Ex-Wife</x:v>
      </x:c>
      <x:c r="E616" s="14" t="n">
        <x:v>28</x:v>
      </x:c>
      <x:c r="F616" s="14" t="str">
        <x:v>The Ex-Wife</x:v>
      </x:c>
      <x:c r="G616" s="14" t="str">
        <x:v>tt13069604</x:v>
      </x:c>
      <x:c r="H616" s="14" t="n">
        <x:v>2022</x:v>
      </x:c>
      <x:c r="I616" s="14" t="n">
        <x:v>2025</x:v>
      </x:c>
      <x:c r="J616" s="14" t="str">
        <x:v>Earlier-Production Carry-In Cohort</x:v>
      </x:c>
      <x:c r="K616" s="14" t="n">
        <x:v>2022</x:v>
      </x:c>
      <x:c r="L616" s="14" t="str">
        <x:v>Used in 2025 annual analysis</x:v>
      </x:c>
      <x:c r="M616" s="15" t="n">
        <x:v>21</x:v>
      </x:c>
      <x:c r="N616" s="14" t="str">
        <x:v>Sotos Stavrakis</x:v>
      </x:c>
      <x:c r="O616" s="14" t="str">
        <x:v>nm0824002</x:v>
      </x:c>
      <x:c r="P616" s="14" t="str">
        <x:v>Hospital Doctor</x:v>
      </x:c>
      <x:c r="Q616" s="15" t="n">
        <x:v>1</x:v>
      </x:c>
      <x:c r="R616" s="14" t="str">
        <x:v>2025</x:v>
      </x:c>
      <x:c r="S616" s="14" t="n">
        <x:v>2025</x:v>
      </x:c>
      <x:c r="T616" s="14" t="n">
        <x:v>2025</x:v>
      </x:c>
      <x:c r="U616" s="14" t="str">
        <x:v>Explicit source first year retained</x:v>
      </x:c>
      <x:c r="V616" s="14" t="str">
        <x:v>Earliest supplied year is 2025.</x:v>
      </x:c>
      <x:c r="W616" s="14"/>
      <x:c r="X616" s="14" t="str">
        <x:v>Included</x:v>
      </x:c>
      <x:c r="Y616" s="14"/>
      <x:c r="Z616" s="14" t="str">
        <x:v>The Ex-Wife.docx</x:v>
      </x:c>
      <x:c r="AA616" s="14" t="str">
        <x:v>HYPERLINK is not implemented. linkLocation=https://www.imdb.com/title/tt13069604/fullcredits/,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Paramount+ UK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HYPERLINK("https://en.wikipedia.org/wiki/The_Ex-Wife","Open source")</x:f>
        <x:v>HYPERLINK is not implemented. linkLocation=https://en.wikipedia.org/wiki/The_Ex-Wife,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 t="n">
        <x:v>8</x:v>
      </x:c>
      <x:c r="BP616" s="14" t="str">
        <x:v>Maximum supplied eligible IMDb cast-credit total; annual episode total not independently verified.</x:v>
      </x:c>
      <x:c r="BQ616" s="14" t="str">
        <x:v>Medium</x:v>
      </x:c>
      <x:c r="BR616" s="15" t="n">
        <x:v>1</x:v>
      </x:c>
      <x:c r="BS616" s="16" t="n">
        <x:v>0.125</x:v>
      </x:c>
      <x:c r="BT616" s="14" t="str">
        <x:v>One episode</x:v>
      </x:c>
      <x:c r="BU616" s="14" t="str">
        <x:v>Medium</x:v>
      </x:c>
      <x:c r="BV616" s="14" t="str">
        <x:v>Derived from the supplied IMDb episode count and documented production-total proxy.</x:v>
      </x:c>
      <x:c r="BW616" s="14" t="str">
        <x:v>Unable to determine</x:v>
      </x:c>
      <x:c r="BX616" s="14" t="str">
        <x:v>Cast-list and episode data do not establish narrative prominence.</x:v>
      </x:c>
      <x:c r="BY616" s="14" t="str">
        <x:v>Supplied IMDb cast-list workbook</x:v>
      </x:c>
      <x:c r="BZ616" s="14" t="str">
        <x:v>HYPERLINK is not implemented. linkLocation=https://www.imdb.com/title/tt13069604/fullcredits/,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tt13069604|nm17458128|lot attendant</x:v>
      </x:c>
      <x:c r="B617" s="14" t="str">
        <x:v>06</x:v>
      </x:c>
      <x:c r="C617" s="14" t="str">
        <x:v>2022_IMDb_Cast_Lists_Batch_06(1).xlsx</x:v>
      </x:c>
      <x:c r="D617" s="14" t="str">
        <x:v>The Ex-Wife</x:v>
      </x:c>
      <x:c r="E617" s="14" t="n">
        <x:v>29</x:v>
      </x:c>
      <x:c r="F617" s="14" t="str">
        <x:v>The Ex-Wife</x:v>
      </x:c>
      <x:c r="G617" s="14" t="str">
        <x:v>tt13069604</x:v>
      </x:c>
      <x:c r="H617" s="14" t="n">
        <x:v>2022</x:v>
      </x:c>
      <x:c r="I617" s="14" t="n">
        <x:v>2025</x:v>
      </x:c>
      <x:c r="J617" s="14" t="str">
        <x:v>Earlier-Production Carry-In Cohort</x:v>
      </x:c>
      <x:c r="K617" s="14" t="n">
        <x:v>2022</x:v>
      </x:c>
      <x:c r="L617" s="14" t="str">
        <x:v>Used in 2025 annual analysis</x:v>
      </x:c>
      <x:c r="M617" s="15" t="n">
        <x:v>22</x:v>
      </x:c>
      <x:c r="N617" s="14" t="str">
        <x:v>Andreas Tsakkistos</x:v>
      </x:c>
      <x:c r="O617" s="14" t="str">
        <x:v>nm17458128</x:v>
      </x:c>
      <x:c r="P617" s="14" t="str">
        <x:v>Lot Attendant</x:v>
      </x:c>
      <x:c r="Q617" s="15" t="n">
        <x:v>1</x:v>
      </x:c>
      <x:c r="R617" s="14" t="str">
        <x:v>2025</x:v>
      </x:c>
      <x:c r="S617" s="14" t="n">
        <x:v>2025</x:v>
      </x:c>
      <x:c r="T617" s="14" t="n">
        <x:v>2025</x:v>
      </x:c>
      <x:c r="U617" s="14" t="str">
        <x:v>Explicit source first year retained</x:v>
      </x:c>
      <x:c r="V617" s="14" t="str">
        <x:v>Earliest supplied year is 2025.</x:v>
      </x:c>
      <x:c r="W617" s="14"/>
      <x:c r="X617" s="14" t="str">
        <x:v>Included</x:v>
      </x:c>
      <x:c r="Y617" s="14"/>
      <x:c r="Z617" s="14" t="str">
        <x:v>The Ex-Wife.docx</x:v>
      </x:c>
      <x:c r="AA617" s="14" t="str">
        <x:v>HYPERLINK is not implemented. linkLocation=https://www.imdb.com/title/tt13069604/fullcredits/,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Paramount+ UK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HYPERLINK("https://en.wikipedia.org/wiki/The_Ex-Wife","Open source")</x:f>
        <x:v>HYPERLINK is not implemented. linkLocation=https://en.wikipedia.org/wiki/The_Ex-Wife,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 t="n">
        <x:v>8</x:v>
      </x:c>
      <x:c r="BP617" s="14" t="str">
        <x:v>Maximum supplied eligible IMDb cast-credit total; annual episode total not independently verified.</x:v>
      </x:c>
      <x:c r="BQ617" s="14" t="str">
        <x:v>Medium</x:v>
      </x:c>
      <x:c r="BR617" s="15" t="n">
        <x:v>1</x:v>
      </x:c>
      <x:c r="BS617" s="16" t="n">
        <x:v>0.125</x:v>
      </x:c>
      <x:c r="BT617" s="14" t="str">
        <x:v>One episode</x:v>
      </x:c>
      <x:c r="BU617" s="14" t="str">
        <x:v>Medium</x:v>
      </x:c>
      <x:c r="BV617" s="14" t="str">
        <x:v>Derived from the supplied IMDb episode count and documented production-total proxy.</x:v>
      </x:c>
      <x:c r="BW617" s="14" t="str">
        <x:v>Unable to determine</x:v>
      </x:c>
      <x:c r="BX617" s="14" t="str">
        <x:v>Cast-list and episode data do not establish narrative prominence.</x:v>
      </x:c>
      <x:c r="BY617" s="14" t="str">
        <x:v>Supplied IMDb cast-list workbook</x:v>
      </x:c>
      <x:c r="BZ617" s="14" t="str">
        <x:v>HYPERLINK is not implemented. linkLocation=https://www.imdb.com/title/tt13069604/fullcredits/,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tt13069604|nm2536735|petra</x:v>
      </x:c>
      <x:c r="B618" s="14" t="str">
        <x:v>06</x:v>
      </x:c>
      <x:c r="C618" s="14" t="str">
        <x:v>2022_IMDb_Cast_Lists_Batch_06(1).xlsx</x:v>
      </x:c>
      <x:c r="D618" s="14" t="str">
        <x:v>The Ex-Wife</x:v>
      </x:c>
      <x:c r="E618" s="14" t="n">
        <x:v>30</x:v>
      </x:c>
      <x:c r="F618" s="14" t="str">
        <x:v>The Ex-Wife</x:v>
      </x:c>
      <x:c r="G618" s="14" t="str">
        <x:v>tt13069604</x:v>
      </x:c>
      <x:c r="H618" s="14" t="n">
        <x:v>2022</x:v>
      </x:c>
      <x:c r="I618" s="14" t="n">
        <x:v>2025</x:v>
      </x:c>
      <x:c r="J618" s="14" t="str">
        <x:v>Earlier-Production Carry-In Cohort</x:v>
      </x:c>
      <x:c r="K618" s="14" t="n">
        <x:v>2022</x:v>
      </x:c>
      <x:c r="L618" s="14" t="str">
        <x:v>Used in 2025 annual analysis</x:v>
      </x:c>
      <x:c r="M618" s="15" t="n">
        <x:v>23</x:v>
      </x:c>
      <x:c r="N618" s="14" t="str">
        <x:v>Eleni Kaoula</x:v>
      </x:c>
      <x:c r="O618" s="14" t="str">
        <x:v>nm2536735</x:v>
      </x:c>
      <x:c r="P618" s="14" t="str">
        <x:v>Petra</x:v>
      </x:c>
      <x:c r="Q618" s="15" t="n">
        <x:v>1</x:v>
      </x:c>
      <x:c r="R618" s="14" t="str">
        <x:v>2025</x:v>
      </x:c>
      <x:c r="S618" s="14" t="n">
        <x:v>2025</x:v>
      </x:c>
      <x:c r="T618" s="14" t="n">
        <x:v>2025</x:v>
      </x:c>
      <x:c r="U618" s="14" t="str">
        <x:v>Explicit source first year retained</x:v>
      </x:c>
      <x:c r="V618" s="14" t="str">
        <x:v>Earliest supplied year is 2025.</x:v>
      </x:c>
      <x:c r="W618" s="14"/>
      <x:c r="X618" s="14" t="str">
        <x:v>Included</x:v>
      </x:c>
      <x:c r="Y618" s="14"/>
      <x:c r="Z618" s="14" t="str">
        <x:v>The Ex-Wife.docx</x:v>
      </x:c>
      <x:c r="AA618" s="14" t="str">
        <x:v>HYPERLINK is not implemented. linkLocation=https://www.imdb.com/title/tt13069604/fullcredits/,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Paramount+ UK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HYPERLINK("https://en.wikipedia.org/wiki/The_Ex-Wife","Open source")</x:f>
        <x:v>HYPERLINK is not implemented. linkLocation=https://en.wikipedia.org/wiki/The_Ex-Wife,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 t="n">
        <x:v>8</x:v>
      </x:c>
      <x:c r="BP618" s="14" t="str">
        <x:v>Maximum supplied eligible IMDb cast-credit total; annual episode total not independently verified.</x:v>
      </x:c>
      <x:c r="BQ618" s="14" t="str">
        <x:v>Medium</x:v>
      </x:c>
      <x:c r="BR618" s="15" t="n">
        <x:v>1</x:v>
      </x:c>
      <x:c r="BS618" s="16" t="n">
        <x:v>0.125</x:v>
      </x:c>
      <x:c r="BT618" s="14" t="str">
        <x:v>One episode</x:v>
      </x:c>
      <x:c r="BU618" s="14" t="str">
        <x:v>Medium</x:v>
      </x:c>
      <x:c r="BV618" s="14" t="str">
        <x:v>Derived from the supplied IMDb episode count and documented production-total proxy.</x:v>
      </x:c>
      <x:c r="BW618" s="14" t="str">
        <x:v>Unable to determine</x:v>
      </x:c>
      <x:c r="BX618" s="14" t="str">
        <x:v>Cast-list and episode data do not establish narrative prominence.</x:v>
      </x:c>
      <x:c r="BY618" s="14" t="str">
        <x:v>Supplied IMDb cast-list workbook</x:v>
      </x:c>
      <x:c r="BZ618" s="14" t="str">
        <x:v>HYPERLINK is not implemented. linkLocation=https://www.imdb.com/title/tt13069604/fullcredits/,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tt13069604|nm8709456|young man</x:v>
      </x:c>
      <x:c r="B619" s="14" t="str">
        <x:v>06</x:v>
      </x:c>
      <x:c r="C619" s="14" t="str">
        <x:v>2022_IMDb_Cast_Lists_Batch_06(1).xlsx</x:v>
      </x:c>
      <x:c r="D619" s="14" t="str">
        <x:v>The Ex-Wife</x:v>
      </x:c>
      <x:c r="E619" s="14" t="n">
        <x:v>31</x:v>
      </x:c>
      <x:c r="F619" s="14" t="str">
        <x:v>The Ex-Wife</x:v>
      </x:c>
      <x:c r="G619" s="14" t="str">
        <x:v>tt13069604</x:v>
      </x:c>
      <x:c r="H619" s="14" t="n">
        <x:v>2022</x:v>
      </x:c>
      <x:c r="I619" s="14" t="n">
        <x:v>2025</x:v>
      </x:c>
      <x:c r="J619" s="14" t="str">
        <x:v>Earlier-Production Carry-In Cohort</x:v>
      </x:c>
      <x:c r="K619" s="14" t="n">
        <x:v>2022</x:v>
      </x:c>
      <x:c r="L619" s="14" t="str">
        <x:v>Used in 2025 annual analysis</x:v>
      </x:c>
      <x:c r="M619" s="15" t="n">
        <x:v>24</x:v>
      </x:c>
      <x:c r="N619" s="14" t="str">
        <x:v>Constantinos Tsitsios</x:v>
      </x:c>
      <x:c r="O619" s="14" t="str">
        <x:v>nm8709456</x:v>
      </x:c>
      <x:c r="P619" s="14" t="str">
        <x:v>Young Man</x:v>
      </x:c>
      <x:c r="Q619" s="15" t="n">
        <x:v>1</x:v>
      </x:c>
      <x:c r="R619" s="14" t="str">
        <x:v>2025</x:v>
      </x:c>
      <x:c r="S619" s="14" t="n">
        <x:v>2025</x:v>
      </x:c>
      <x:c r="T619" s="14" t="n">
        <x:v>2025</x:v>
      </x:c>
      <x:c r="U619" s="14" t="str">
        <x:v>Explicit source first year retained</x:v>
      </x:c>
      <x:c r="V619" s="14" t="str">
        <x:v>Earliest supplied year is 2025.</x:v>
      </x:c>
      <x:c r="W619" s="14"/>
      <x:c r="X619" s="14" t="str">
        <x:v>Included</x:v>
      </x:c>
      <x:c r="Y619" s="14"/>
      <x:c r="Z619" s="14" t="str">
        <x:v>The Ex-Wife.docx</x:v>
      </x:c>
      <x:c r="AA619" s="14" t="str">
        <x:v>HYPERLINK is not implemented. linkLocation=https://www.imdb.com/title/tt13069604/fullcredits/,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Paramount+ UK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HYPERLINK("https://en.wikipedia.org/wiki/The_Ex-Wife","Open source")</x:f>
        <x:v>HYPERLINK is not implemented. linkLocation=https://en.wikipedia.org/wiki/The_Ex-Wife,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 t="n">
        <x:v>8</x:v>
      </x:c>
      <x:c r="BP619" s="14" t="str">
        <x:v>Maximum supplied eligible IMDb cast-credit total; annual episode total not independently verified.</x:v>
      </x:c>
      <x:c r="BQ619" s="14" t="str">
        <x:v>Medium</x:v>
      </x:c>
      <x:c r="BR619" s="15" t="n">
        <x:v>1</x:v>
      </x:c>
      <x:c r="BS619" s="16" t="n">
        <x:v>0.125</x:v>
      </x:c>
      <x:c r="BT619" s="14" t="str">
        <x:v>One episode</x:v>
      </x:c>
      <x:c r="BU619" s="14" t="str">
        <x:v>Medium</x:v>
      </x:c>
      <x:c r="BV619" s="14" t="str">
        <x:v>Derived from the supplied IMDb episode count and documented production-total proxy.</x:v>
      </x:c>
      <x:c r="BW619" s="14" t="str">
        <x:v>Unable to determine</x:v>
      </x:c>
      <x:c r="BX619" s="14" t="str">
        <x:v>Cast-list and episode data do not establish narrative prominence.</x:v>
      </x:c>
      <x:c r="BY619" s="14" t="str">
        <x:v>Supplied IMDb cast-list workbook</x:v>
      </x:c>
      <x:c r="BZ619" s="14" t="str">
        <x:v>HYPERLINK is not implemented. linkLocation=https://www.imdb.com/title/tt13069604/fullcredits/,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tt13069604|nm10448243|doctor</x:v>
      </x:c>
      <x:c r="B620" s="14" t="str">
        <x:v>06</x:v>
      </x:c>
      <x:c r="C620" s="14" t="str">
        <x:v>2022_IMDb_Cast_Lists_Batch_06(1).xlsx</x:v>
      </x:c>
      <x:c r="D620" s="14" t="str">
        <x:v>The Ex-Wife</x:v>
      </x:c>
      <x:c r="E620" s="14" t="n">
        <x:v>32</x:v>
      </x:c>
      <x:c r="F620" s="14" t="str">
        <x:v>The Ex-Wife</x:v>
      </x:c>
      <x:c r="G620" s="14" t="str">
        <x:v>tt13069604</x:v>
      </x:c>
      <x:c r="H620" s="14" t="n">
        <x:v>2022</x:v>
      </x:c>
      <x:c r="I620" s="14" t="n">
        <x:v>2025</x:v>
      </x:c>
      <x:c r="J620" s="14" t="str">
        <x:v>Earlier-Production Carry-In Cohort</x:v>
      </x:c>
      <x:c r="K620" s="14" t="n">
        <x:v>2022</x:v>
      </x:c>
      <x:c r="L620" s="14" t="str">
        <x:v>Used in 2025 annual analysis</x:v>
      </x:c>
      <x:c r="M620" s="15" t="n">
        <x:v>25</x:v>
      </x:c>
      <x:c r="N620" s="14" t="str">
        <x:v>Nayia Anastasiadou</x:v>
      </x:c>
      <x:c r="O620" s="14" t="str">
        <x:v>nm10448243</x:v>
      </x:c>
      <x:c r="P620" s="14" t="str">
        <x:v>Doctor</x:v>
      </x:c>
      <x:c r="Q620" s="15" t="n">
        <x:v>1</x:v>
      </x:c>
      <x:c r="R620" s="14" t="str">
        <x:v>2025</x:v>
      </x:c>
      <x:c r="S620" s="14" t="n">
        <x:v>2025</x:v>
      </x:c>
      <x:c r="T620" s="14" t="n">
        <x:v>2025</x:v>
      </x:c>
      <x:c r="U620" s="14" t="str">
        <x:v>Explicit source first year retained</x:v>
      </x:c>
      <x:c r="V620" s="14" t="str">
        <x:v>Earliest supplied year is 2025.</x:v>
      </x:c>
      <x:c r="W620" s="14"/>
      <x:c r="X620" s="14" t="str">
        <x:v>Included</x:v>
      </x:c>
      <x:c r="Y620" s="14"/>
      <x:c r="Z620" s="14" t="str">
        <x:v>The Ex-Wife.docx</x:v>
      </x:c>
      <x:c r="AA620" s="14" t="str">
        <x:v>HYPERLINK is not implemented. linkLocation=https://www.imdb.com/title/tt13069604/fullcredits/,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Paramount+ UK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HYPERLINK("https://en.wikipedia.org/wiki/The_Ex-Wife","Open source")</x:f>
        <x:v>HYPERLINK is not implemented. linkLocation=https://en.wikipedia.org/wiki/The_Ex-Wife,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 t="n">
        <x:v>8</x:v>
      </x:c>
      <x:c r="BP620" s="14" t="str">
        <x:v>Maximum supplied eligible IMDb cast-credit total; annual episode total not independently verified.</x:v>
      </x:c>
      <x:c r="BQ620" s="14" t="str">
        <x:v>Medium</x:v>
      </x:c>
      <x:c r="BR620" s="15" t="n">
        <x:v>1</x:v>
      </x:c>
      <x:c r="BS620" s="16" t="n">
        <x:v>0.125</x:v>
      </x:c>
      <x:c r="BT620" s="14" t="str">
        <x:v>One episode</x:v>
      </x:c>
      <x:c r="BU620" s="14" t="str">
        <x:v>Medium</x:v>
      </x:c>
      <x:c r="BV620" s="14" t="str">
        <x:v>Derived from the supplied IMDb episode count and documented production-total proxy.</x:v>
      </x:c>
      <x:c r="BW620" s="14" t="str">
        <x:v>Unable to determine</x:v>
      </x:c>
      <x:c r="BX620" s="14" t="str">
        <x:v>Cast-list and episode data do not establish narrative prominence.</x:v>
      </x:c>
      <x:c r="BY620" s="14" t="str">
        <x:v>Supplied IMDb cast-list workbook</x:v>
      </x:c>
      <x:c r="BZ620" s="14" t="str">
        <x:v>HYPERLINK is not implemented. linkLocation=https://www.imdb.com/title/tt13069604/fullcredits/,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tt13069604|nm17457658|pharmacy receptionist</x:v>
      </x:c>
      <x:c r="B621" s="14" t="str">
        <x:v>06</x:v>
      </x:c>
      <x:c r="C621" s="14" t="str">
        <x:v>2022_IMDb_Cast_Lists_Batch_06(1).xlsx</x:v>
      </x:c>
      <x:c r="D621" s="14" t="str">
        <x:v>The Ex-Wife</x:v>
      </x:c>
      <x:c r="E621" s="14" t="n">
        <x:v>34</x:v>
      </x:c>
      <x:c r="F621" s="14" t="str">
        <x:v>The Ex-Wife</x:v>
      </x:c>
      <x:c r="G621" s="14" t="str">
        <x:v>tt13069604</x:v>
      </x:c>
      <x:c r="H621" s="14" t="n">
        <x:v>2022</x:v>
      </x:c>
      <x:c r="I621" s="14" t="n">
        <x:v>2025</x:v>
      </x:c>
      <x:c r="J621" s="14" t="str">
        <x:v>Earlier-Production Carry-In Cohort</x:v>
      </x:c>
      <x:c r="K621" s="14" t="n">
        <x:v>2022</x:v>
      </x:c>
      <x:c r="L621" s="14" t="str">
        <x:v>Used in 2025 annual analysis</x:v>
      </x:c>
      <x:c r="M621" s="15" t="n">
        <x:v>27</x:v>
      </x:c>
      <x:c r="N621" s="14" t="str">
        <x:v>Ellie Tosounidou</x:v>
      </x:c>
      <x:c r="O621" s="14" t="str">
        <x:v>nm17457658</x:v>
      </x:c>
      <x:c r="P621" s="14" t="str">
        <x:v>Pharmacy Receptionist</x:v>
      </x:c>
      <x:c r="Q621" s="15" t="n">
        <x:v>1</x:v>
      </x:c>
      <x:c r="R621" s="14" t="str">
        <x:v>2025</x:v>
      </x:c>
      <x:c r="S621" s="14" t="n">
        <x:v>2025</x:v>
      </x:c>
      <x:c r="T621" s="14" t="n">
        <x:v>2025</x:v>
      </x:c>
      <x:c r="U621" s="14" t="str">
        <x:v>Explicit source first year retained</x:v>
      </x:c>
      <x:c r="V621" s="14" t="str">
        <x:v>Earliest supplied year is 2025.</x:v>
      </x:c>
      <x:c r="W621" s="14"/>
      <x:c r="X621" s="14" t="str">
        <x:v>Included</x:v>
      </x:c>
      <x:c r="Y621" s="14"/>
      <x:c r="Z621" s="14" t="str">
        <x:v>The Ex-Wife.docx</x:v>
      </x:c>
      <x:c r="AA621" s="14" t="str">
        <x:v>HYPERLINK is not implemented. linkLocation=https://www.imdb.com/title/tt13069604/fullcredits/,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Paramount+ UK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HYPERLINK("https://en.wikipedia.org/wiki/The_Ex-Wife","Open source")</x:f>
        <x:v>HYPERLINK is not implemented. linkLocation=https://en.wikipedia.org/wiki/The_Ex-Wife,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 t="n">
        <x:v>8</x:v>
      </x:c>
      <x:c r="BP621" s="14" t="str">
        <x:v>Maximum supplied eligible IMDb cast-credit total; annual episode total not independently verified.</x:v>
      </x:c>
      <x:c r="BQ621" s="14" t="str">
        <x:v>Medium</x:v>
      </x:c>
      <x:c r="BR621" s="15" t="n">
        <x:v>1</x:v>
      </x:c>
      <x:c r="BS621" s="16" t="n">
        <x:v>0.125</x:v>
      </x:c>
      <x:c r="BT621" s="14" t="str">
        <x:v>One episode</x:v>
      </x:c>
      <x:c r="BU621" s="14" t="str">
        <x:v>Medium</x:v>
      </x:c>
      <x:c r="BV621" s="14" t="str">
        <x:v>Derived from the supplied IMDb episode count and documented production-total proxy.</x:v>
      </x:c>
      <x:c r="BW621" s="14" t="str">
        <x:v>Unable to determine</x:v>
      </x:c>
      <x:c r="BX621" s="14" t="str">
        <x:v>Cast-list and episode data do not establish narrative prominence.</x:v>
      </x:c>
      <x:c r="BY621" s="14" t="str">
        <x:v>Supplied IMDb cast-list workbook</x:v>
      </x:c>
      <x:c r="BZ621" s="14" t="str">
        <x:v>HYPERLINK is not implemented. linkLocation=https://www.imdb.com/title/tt13069604/fullcredits/,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tt13069604|nm17460918|police captain</x:v>
      </x:c>
      <x:c r="B622" s="14" t="str">
        <x:v>06</x:v>
      </x:c>
      <x:c r="C622" s="14" t="str">
        <x:v>2022_IMDb_Cast_Lists_Batch_06(1).xlsx</x:v>
      </x:c>
      <x:c r="D622" s="14" t="str">
        <x:v>The Ex-Wife</x:v>
      </x:c>
      <x:c r="E622" s="14" t="n">
        <x:v>37</x:v>
      </x:c>
      <x:c r="F622" s="14" t="str">
        <x:v>The Ex-Wife</x:v>
      </x:c>
      <x:c r="G622" s="14" t="str">
        <x:v>tt13069604</x:v>
      </x:c>
      <x:c r="H622" s="14" t="n">
        <x:v>2022</x:v>
      </x:c>
      <x:c r="I622" s="14" t="n">
        <x:v>2025</x:v>
      </x:c>
      <x:c r="J622" s="14" t="str">
        <x:v>Earlier-Production Carry-In Cohort</x:v>
      </x:c>
      <x:c r="K622" s="14" t="n">
        <x:v>2022</x:v>
      </x:c>
      <x:c r="L622" s="14" t="str">
        <x:v>Used in 2025 annual analysis</x:v>
      </x:c>
      <x:c r="M622" s="15" t="n">
        <x:v>30</x:v>
      </x:c>
      <x:c r="N622" s="14" t="str">
        <x:v>Christopher Creco</x:v>
      </x:c>
      <x:c r="O622" s="14" t="str">
        <x:v>nm17460918</x:v>
      </x:c>
      <x:c r="P622" s="14" t="str">
        <x:v>Police Captain</x:v>
      </x:c>
      <x:c r="Q622" s="15" t="n">
        <x:v>1</x:v>
      </x:c>
      <x:c r="R622" s="14" t="str">
        <x:v>2025</x:v>
      </x:c>
      <x:c r="S622" s="14" t="n">
        <x:v>2025</x:v>
      </x:c>
      <x:c r="T622" s="14" t="n">
        <x:v>2025</x:v>
      </x:c>
      <x:c r="U622" s="14" t="str">
        <x:v>Explicit source first year retained</x:v>
      </x:c>
      <x:c r="V622" s="14" t="str">
        <x:v>Earliest supplied year is 2025.</x:v>
      </x:c>
      <x:c r="W622" s="14"/>
      <x:c r="X622" s="14" t="str">
        <x:v>Included</x:v>
      </x:c>
      <x:c r="Y622" s="14"/>
      <x:c r="Z622" s="14" t="str">
        <x:v>The Ex-Wife.docx</x:v>
      </x:c>
      <x:c r="AA622" s="14" t="str">
        <x:v>HYPERLINK is not implemented. linkLocation=https://www.imdb.com/title/tt13069604/fullcredits/,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Paramount+ UK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HYPERLINK("https://en.wikipedia.org/wiki/The_Ex-Wife","Open source")</x:f>
        <x:v>HYPERLINK is not implemented. linkLocation=https://en.wikipedia.org/wiki/The_Ex-Wife,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 t="n">
        <x:v>8</x:v>
      </x:c>
      <x:c r="BP622" s="14" t="str">
        <x:v>Maximum supplied eligible IMDb cast-credit total; annual episode total not independently verified.</x:v>
      </x:c>
      <x:c r="BQ622" s="14" t="str">
        <x:v>Medium</x:v>
      </x:c>
      <x:c r="BR622" s="15" t="n">
        <x:v>1</x:v>
      </x:c>
      <x:c r="BS622" s="16" t="n">
        <x:v>0.125</x:v>
      </x:c>
      <x:c r="BT622" s="14" t="str">
        <x:v>One episode</x:v>
      </x:c>
      <x:c r="BU622" s="14" t="str">
        <x:v>Medium</x:v>
      </x:c>
      <x:c r="BV622" s="14" t="str">
        <x:v>Derived from the supplied IMDb episode count and documented production-total proxy.</x:v>
      </x:c>
      <x:c r="BW622" s="14" t="str">
        <x:v>Unable to determine</x:v>
      </x:c>
      <x:c r="BX622" s="14" t="str">
        <x:v>Cast-list and episode data do not establish narrative prominence.</x:v>
      </x:c>
      <x:c r="BY622" s="14" t="str">
        <x:v>Supplied IMDb cast-list workbook</x:v>
      </x:c>
      <x:c r="BZ622" s="14" t="str">
        <x:v>HYPERLINK is not implemented. linkLocation=https://www.imdb.com/title/tt13069604/fullcredits/,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tt13069604|nm2166043|leo</x:v>
      </x:c>
      <x:c r="B623" s="14" t="str">
        <x:v>06</x:v>
      </x:c>
      <x:c r="C623" s="14" t="str">
        <x:v>2022_IMDb_Cast_Lists_Batch_06(1).xlsx</x:v>
      </x:c>
      <x:c r="D623" s="14" t="str">
        <x:v>The Ex-Wife</x:v>
      </x:c>
      <x:c r="E623" s="14" t="n">
        <x:v>42</x:v>
      </x:c>
      <x:c r="F623" s="14" t="str">
        <x:v>The Ex-Wife</x:v>
      </x:c>
      <x:c r="G623" s="14" t="str">
        <x:v>tt13069604</x:v>
      </x:c>
      <x:c r="H623" s="14" t="n">
        <x:v>2022</x:v>
      </x:c>
      <x:c r="I623" s="14" t="n">
        <x:v>2025</x:v>
      </x:c>
      <x:c r="J623" s="14" t="str">
        <x:v>Earlier-Production Carry-In Cohort</x:v>
      </x:c>
      <x:c r="K623" s="14" t="n">
        <x:v>2022</x:v>
      </x:c>
      <x:c r="L623" s="14" t="str">
        <x:v>Used in 2025 annual analysis</x:v>
      </x:c>
      <x:c r="M623" s="15" t="n">
        <x:v>35</x:v>
      </x:c>
      <x:c r="N623" s="14" t="str">
        <x:v>Andreas Tselepos</x:v>
      </x:c>
      <x:c r="O623" s="14" t="str">
        <x:v>nm2166043</x:v>
      </x:c>
      <x:c r="P623" s="14" t="str">
        <x:v>Leo</x:v>
      </x:c>
      <x:c r="Q623" s="15" t="n">
        <x:v>1</x:v>
      </x:c>
      <x:c r="R623" s="14" t="str">
        <x:v>2025</x:v>
      </x:c>
      <x:c r="S623" s="14" t="n">
        <x:v>2025</x:v>
      </x:c>
      <x:c r="T623" s="14" t="n">
        <x:v>2025</x:v>
      </x:c>
      <x:c r="U623" s="14" t="str">
        <x:v>Explicit source first year retained</x:v>
      </x:c>
      <x:c r="V623" s="14" t="str">
        <x:v>Earliest supplied year is 2025.</x:v>
      </x:c>
      <x:c r="W623" s="14"/>
      <x:c r="X623" s="14" t="str">
        <x:v>Included</x:v>
      </x:c>
      <x:c r="Y623" s="14"/>
      <x:c r="Z623" s="14" t="str">
        <x:v>The Ex-Wife.docx</x:v>
      </x:c>
      <x:c r="AA623" s="14" t="str">
        <x:v>HYPERLINK is not implemented. linkLocation=https://www.imdb.com/title/tt13069604/fullcredits/,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Paramount+ UK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HYPERLINK("https://en.wikipedia.org/wiki/The_Ex-Wife","Open source")</x:f>
        <x:v>HYPERLINK is not implemented. linkLocation=https://en.wikipedia.org/wiki/The_Ex-Wife,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 t="n">
        <x:v>8</x:v>
      </x:c>
      <x:c r="BP623" s="14" t="str">
        <x:v>Maximum supplied eligible IMDb cast-credit total; annual episode total not independently verified.</x:v>
      </x:c>
      <x:c r="BQ623" s="14" t="str">
        <x:v>Medium</x:v>
      </x:c>
      <x:c r="BR623" s="15" t="n">
        <x:v>1</x:v>
      </x:c>
      <x:c r="BS623" s="16" t="n">
        <x:v>0.125</x:v>
      </x:c>
      <x:c r="BT623" s="14" t="str">
        <x:v>One episode</x:v>
      </x:c>
      <x:c r="BU623" s="14" t="str">
        <x:v>Medium</x:v>
      </x:c>
      <x:c r="BV623" s="14" t="str">
        <x:v>Derived from the supplied IMDb episode count and documented production-total proxy.</x:v>
      </x:c>
      <x:c r="BW623" s="14" t="str">
        <x:v>Unable to determine</x:v>
      </x:c>
      <x:c r="BX623" s="14" t="str">
        <x:v>Cast-list and episode data do not establish narrative prominence.</x:v>
      </x:c>
      <x:c r="BY623" s="14" t="str">
        <x:v>Supplied IMDb cast-list workbook</x:v>
      </x:c>
      <x:c r="BZ623" s="14" t="str">
        <x:v>HYPERLINK is not implemented. linkLocation=https://www.imdb.com/title/tt13069604/fullcredits/,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tt13069604|nm0746101|border guard</x:v>
      </x:c>
      <x:c r="B624" s="14" t="str">
        <x:v>06</x:v>
      </x:c>
      <x:c r="C624" s="14" t="str">
        <x:v>2022_IMDb_Cast_Lists_Batch_06(1).xlsx</x:v>
      </x:c>
      <x:c r="D624" s="14" t="str">
        <x:v>The Ex-Wife</x:v>
      </x:c>
      <x:c r="E624" s="14" t="n">
        <x:v>45</x:v>
      </x:c>
      <x:c r="F624" s="14" t="str">
        <x:v>The Ex-Wife</x:v>
      </x:c>
      <x:c r="G624" s="14" t="str">
        <x:v>tt13069604</x:v>
      </x:c>
      <x:c r="H624" s="14" t="n">
        <x:v>2022</x:v>
      </x:c>
      <x:c r="I624" s="14" t="n">
        <x:v>2025</x:v>
      </x:c>
      <x:c r="J624" s="14" t="str">
        <x:v>Earlier-Production Carry-In Cohort</x:v>
      </x:c>
      <x:c r="K624" s="14" t="n">
        <x:v>2022</x:v>
      </x:c>
      <x:c r="L624" s="14" t="str">
        <x:v>Used in 2025 annual analysis</x:v>
      </x:c>
      <x:c r="M624" s="15" t="n">
        <x:v>38</x:v>
      </x:c>
      <x:c r="N624" s="14" t="str">
        <x:v>Jimmy Roussounis</x:v>
      </x:c>
      <x:c r="O624" s="14" t="str">
        <x:v>nm0746101</x:v>
      </x:c>
      <x:c r="P624" s="14" t="str">
        <x:v>Border Guard</x:v>
      </x:c>
      <x:c r="Q624" s="15" t="n">
        <x:v>1</x:v>
      </x:c>
      <x:c r="R624" s="14" t="str">
        <x:v>2025</x:v>
      </x:c>
      <x:c r="S624" s="14" t="n">
        <x:v>2025</x:v>
      </x:c>
      <x:c r="T624" s="14" t="n">
        <x:v>2025</x:v>
      </x:c>
      <x:c r="U624" s="14" t="str">
        <x:v>Explicit source first year retained</x:v>
      </x:c>
      <x:c r="V624" s="14" t="str">
        <x:v>Earliest supplied year is 2025.</x:v>
      </x:c>
      <x:c r="W624" s="14"/>
      <x:c r="X624" s="14" t="str">
        <x:v>Included</x:v>
      </x:c>
      <x:c r="Y624" s="14" t="str">
        <x:v>(as Jimmy Rousounis)</x:v>
      </x:c>
      <x:c r="Z624" s="14" t="str">
        <x:v>The Ex-Wife.docx</x:v>
      </x:c>
      <x:c r="AA624" s="14" t="str">
        <x:v>HYPERLINK is not implemented. linkLocation=https://www.imdb.com/title/tt13069604/fullcredits/,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Paramount+ UK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HYPERLINK("https://en.wikipedia.org/wiki/The_Ex-Wife","Open source")</x:f>
        <x:v>HYPERLINK is not implemented. linkLocation=https://en.wikipedia.org/wiki/The_Ex-Wife,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 t="n">
        <x:v>8</x:v>
      </x:c>
      <x:c r="BP624" s="14" t="str">
        <x:v>Maximum supplied eligible IMDb cast-credit total; annual episode total not independently verified.</x:v>
      </x:c>
      <x:c r="BQ624" s="14" t="str">
        <x:v>Medium</x:v>
      </x:c>
      <x:c r="BR624" s="15" t="n">
        <x:v>1</x:v>
      </x:c>
      <x:c r="BS624" s="16" t="n">
        <x:v>0.125</x:v>
      </x:c>
      <x:c r="BT624" s="14" t="str">
        <x:v>One episode</x:v>
      </x:c>
      <x:c r="BU624" s="14" t="str">
        <x:v>Medium</x:v>
      </x:c>
      <x:c r="BV624" s="14" t="str">
        <x:v>Derived from the supplied IMDb episode count and documented production-total proxy.</x:v>
      </x:c>
      <x:c r="BW624" s="14" t="str">
        <x:v>Unable to determine</x:v>
      </x:c>
      <x:c r="BX624" s="14" t="str">
        <x:v>Cast-list and episode data do not establish narrative prominence.</x:v>
      </x:c>
      <x:c r="BY624" s="14" t="str">
        <x:v>Supplied IMDb cast-list workbook</x:v>
      </x:c>
      <x:c r="BZ624" s="14" t="str">
        <x:v>HYPERLINK is not implemented. linkLocation=https://www.imdb.com/title/tt13069604/fullcredits/,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tt13069604|nm17457657|police officer</x:v>
      </x:c>
      <x:c r="B625" s="14" t="str">
        <x:v>06</x:v>
      </x:c>
      <x:c r="C625" s="14" t="str">
        <x:v>2022_IMDb_Cast_Lists_Batch_06(1).xlsx</x:v>
      </x:c>
      <x:c r="D625" s="14" t="str">
        <x:v>The Ex-Wife</x:v>
      </x:c>
      <x:c r="E625" s="14" t="n">
        <x:v>46</x:v>
      </x:c>
      <x:c r="F625" s="14" t="str">
        <x:v>The Ex-Wife</x:v>
      </x:c>
      <x:c r="G625" s="14" t="str">
        <x:v>tt13069604</x:v>
      </x:c>
      <x:c r="H625" s="14" t="n">
        <x:v>2022</x:v>
      </x:c>
      <x:c r="I625" s="14" t="n">
        <x:v>2025</x:v>
      </x:c>
      <x:c r="J625" s="14" t="str">
        <x:v>Earlier-Production Carry-In Cohort</x:v>
      </x:c>
      <x:c r="K625" s="14" t="n">
        <x:v>2022</x:v>
      </x:c>
      <x:c r="L625" s="14" t="str">
        <x:v>Used in 2025 annual analysis</x:v>
      </x:c>
      <x:c r="M625" s="15" t="n">
        <x:v>39</x:v>
      </x:c>
      <x:c r="N625" s="14" t="str">
        <x:v>Giorgis Kyriakou</x:v>
      </x:c>
      <x:c r="O625" s="14" t="str">
        <x:v>nm17457657</x:v>
      </x:c>
      <x:c r="P625" s="14" t="str">
        <x:v>Police Officer</x:v>
      </x:c>
      <x:c r="Q625" s="15" t="n">
        <x:v>1</x:v>
      </x:c>
      <x:c r="R625" s="14" t="str">
        <x:v>2025</x:v>
      </x:c>
      <x:c r="S625" s="14" t="n">
        <x:v>2025</x:v>
      </x:c>
      <x:c r="T625" s="14" t="n">
        <x:v>2025</x:v>
      </x:c>
      <x:c r="U625" s="14" t="str">
        <x:v>Explicit source first year retained</x:v>
      </x:c>
      <x:c r="V625" s="14" t="str">
        <x:v>Earliest supplied year is 2025.</x:v>
      </x:c>
      <x:c r="W625" s="14"/>
      <x:c r="X625" s="14" t="str">
        <x:v>Included</x:v>
      </x:c>
      <x:c r="Y625" s="14"/>
      <x:c r="Z625" s="14" t="str">
        <x:v>The Ex-Wife.docx</x:v>
      </x:c>
      <x:c r="AA625" s="14" t="str">
        <x:v>HYPERLINK is not implemented. linkLocation=https://www.imdb.com/title/tt13069604/fullcredits/,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Paramount+ UK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HYPERLINK("https://en.wikipedia.org/wiki/The_Ex-Wife","Open source")</x:f>
        <x:v>HYPERLINK is not implemented. linkLocation=https://en.wikipedia.org/wiki/The_Ex-Wife,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 t="n">
        <x:v>8</x:v>
      </x:c>
      <x:c r="BP625" s="14" t="str">
        <x:v>Maximum supplied eligible IMDb cast-credit total; annual episode total not independently verified.</x:v>
      </x:c>
      <x:c r="BQ625" s="14" t="str">
        <x:v>Medium</x:v>
      </x:c>
      <x:c r="BR625" s="15" t="n">
        <x:v>1</x:v>
      </x:c>
      <x:c r="BS625" s="16" t="n">
        <x:v>0.125</x:v>
      </x:c>
      <x:c r="BT625" s="14" t="str">
        <x:v>One episode</x:v>
      </x:c>
      <x:c r="BU625" s="14" t="str">
        <x:v>Medium</x:v>
      </x:c>
      <x:c r="BV625" s="14" t="str">
        <x:v>Derived from the supplied IMDb episode count and documented production-total proxy.</x:v>
      </x:c>
      <x:c r="BW625" s="14" t="str">
        <x:v>Unable to determine</x:v>
      </x:c>
      <x:c r="BX625" s="14" t="str">
        <x:v>Cast-list and episode data do not establish narrative prominence.</x:v>
      </x:c>
      <x:c r="BY625" s="14" t="str">
        <x:v>Supplied IMDb cast-list workbook</x:v>
      </x:c>
      <x:c r="BZ625" s="14" t="str">
        <x:v>HYPERLINK is not implemented. linkLocation=https://www.imdb.com/title/tt13069604/fullcredits/,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tt13069604|nm13316153|cafe customer</x:v>
      </x:c>
      <x:c r="B626" s="14" t="str">
        <x:v>06</x:v>
      </x:c>
      <x:c r="C626" s="14" t="str">
        <x:v>2022_IMDb_Cast_Lists_Batch_06(1).xlsx</x:v>
      </x:c>
      <x:c r="D626" s="14" t="str">
        <x:v>The Ex-Wife</x:v>
      </x:c>
      <x:c r="E626" s="14" t="n">
        <x:v>50</x:v>
      </x:c>
      <x:c r="F626" s="14" t="str">
        <x:v>The Ex-Wife</x:v>
      </x:c>
      <x:c r="G626" s="14" t="str">
        <x:v>tt13069604</x:v>
      </x:c>
      <x:c r="H626" s="14" t="n">
        <x:v>2022</x:v>
      </x:c>
      <x:c r="I626" s="14" t="n">
        <x:v>2025</x:v>
      </x:c>
      <x:c r="J626" s="14" t="str">
        <x:v>Earlier-Production Carry-In Cohort</x:v>
      </x:c>
      <x:c r="K626" s="14" t="n">
        <x:v>2022</x:v>
      </x:c>
      <x:c r="L626" s="14" t="str">
        <x:v>Used in 2025 annual analysis</x:v>
      </x:c>
      <x:c r="M626" s="15" t="n">
        <x:v>43</x:v>
      </x:c>
      <x:c r="N626" s="14" t="str">
        <x:v>Andreas Koutsoftas</x:v>
      </x:c>
      <x:c r="O626" s="14" t="str">
        <x:v>nm13316153</x:v>
      </x:c>
      <x:c r="P626" s="14" t="str">
        <x:v>Cafe Customer</x:v>
      </x:c>
      <x:c r="Q626" s="15" t="n">
        <x:v>1</x:v>
      </x:c>
      <x:c r="R626" s="14" t="str">
        <x:v>2025</x:v>
      </x:c>
      <x:c r="S626" s="14" t="n">
        <x:v>2025</x:v>
      </x:c>
      <x:c r="T626" s="14" t="n">
        <x:v>2025</x:v>
      </x:c>
      <x:c r="U626" s="14" t="str">
        <x:v>Explicit source first year retained</x:v>
      </x:c>
      <x:c r="V626" s="14" t="str">
        <x:v>Earliest supplied year is 2025.</x:v>
      </x:c>
      <x:c r="W626" s="14"/>
      <x:c r="X626" s="14" t="str">
        <x:v>Included</x:v>
      </x:c>
      <x:c r="Y626" s="14"/>
      <x:c r="Z626" s="14" t="str">
        <x:v>The Ex-Wife.docx</x:v>
      </x:c>
      <x:c r="AA626" s="14" t="str">
        <x:v>HYPERLINK is not implemented. linkLocation=https://www.imdb.com/title/tt13069604/fullcredits/,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Paramount+ UK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HYPERLINK("https://en.wikipedia.org/wiki/The_Ex-Wife","Open source")</x:f>
        <x:v>HYPERLINK is not implemented. linkLocation=https://en.wikipedia.org/wiki/The_Ex-Wife,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 t="n">
        <x:v>8</x:v>
      </x:c>
      <x:c r="BP626" s="14" t="str">
        <x:v>Maximum supplied eligible IMDb cast-credit total; annual episode total not independently verified.</x:v>
      </x:c>
      <x:c r="BQ626" s="14" t="str">
        <x:v>Medium</x:v>
      </x:c>
      <x:c r="BR626" s="15" t="n">
        <x:v>1</x:v>
      </x:c>
      <x:c r="BS626" s="16" t="n">
        <x:v>0.125</x:v>
      </x:c>
      <x:c r="BT626" s="14" t="str">
        <x:v>One episode</x:v>
      </x:c>
      <x:c r="BU626" s="14" t="str">
        <x:v>Medium</x:v>
      </x:c>
      <x:c r="BV626" s="14" t="str">
        <x:v>Derived from the supplied IMDb episode count and documented production-total proxy.</x:v>
      </x:c>
      <x:c r="BW626" s="14" t="str">
        <x:v>Unable to determine</x:v>
      </x:c>
      <x:c r="BX626" s="14" t="str">
        <x:v>Cast-list and episode data do not establish narrative prominence.</x:v>
      </x:c>
      <x:c r="BY626" s="14" t="str">
        <x:v>Supplied IMDb cast-list workbook</x:v>
      </x:c>
      <x:c r="BZ626" s="14" t="str">
        <x:v>HYPERLINK is not implemented. linkLocation=https://www.imdb.com/title/tt13069604/fullcredits/,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tt11958610|nm1693813|phil croxley</x:v>
      </x:c>
      <x:c r="B627" s="14" t="str">
        <x:v>08</x:v>
      </x:c>
      <x:c r="C627" s="14" t="str">
        <x:v>2022_IMDb_Cast_Lists_Batch_08(1).xlsx</x:v>
      </x:c>
      <x:c r="D627" s="14" t="str">
        <x:v>Trigger Point</x:v>
      </x:c>
      <x:c r="E627" s="14" t="n">
        <x:v>14</x:v>
      </x:c>
      <x:c r="F627" s="14" t="str">
        <x:v>Trigger Point</x:v>
      </x:c>
      <x:c r="G627" s="14" t="str">
        <x:v>tt11958610</x:v>
      </x:c>
      <x:c r="H627" s="14" t="n">
        <x:v>2022</x:v>
      </x:c>
      <x:c r="I627" s="14" t="n">
        <x:v>2025</x:v>
      </x:c>
      <x:c r="J627" s="14" t="str">
        <x:v>Earlier-Production Carry-In Cohort</x:v>
      </x:c>
      <x:c r="K627" s="14" t="n">
        <x:v>2022</x:v>
      </x:c>
      <x:c r="L627" s="14" t="str">
        <x:v>Used in 2025 annual analysis</x:v>
      </x:c>
      <x:c r="M627" s="15" t="n">
        <x:v>7</x:v>
      </x:c>
      <x:c r="N627" s="14" t="str">
        <x:v>Christopher Hatherall</x:v>
      </x:c>
      <x:c r="O627" s="14" t="str">
        <x:v>nm1693813</x:v>
      </x:c>
      <x:c r="P627" s="14" t="str">
        <x:v>Phil Croxley</x:v>
      </x:c>
      <x:c r="Q627" s="15" t="n">
        <x:v>12</x:v>
      </x:c>
      <x:c r="R627" s="14" t="str">
        <x:v>2025–2026</x:v>
      </x:c>
      <x:c r="S627" s="14" t="n">
        <x:v>2025</x:v>
      </x:c>
      <x:c r="T627" s="14" t="n">
        <x:v>2025</x:v>
      </x:c>
      <x:c r="U627" s="14" t="str">
        <x:v>Explicit source first year retained</x:v>
      </x:c>
      <x:c r="V627" s="14" t="str">
        <x:v>Earliest supplied year is 2025.</x:v>
      </x:c>
      <x:c r="W627" s="14"/>
      <x:c r="X627" s="14" t="str">
        <x:v>Included</x:v>
      </x:c>
      <x:c r="Y627" s="14"/>
      <x:c r="Z627" s="14" t="str">
        <x:v>Trigger Point.docx</x:v>
      </x:c>
      <x:c r="AA627" s="14" t="str">
        <x:v>HYPERLINK is not implemented. linkLocation=https://www.imdb.com/title/tt11958610/fullcredits/,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ITV / ITVX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HYPERLINK("https://en.wikipedia.org/wiki/Trigger_Point","Open source")</x:f>
        <x:v>HYPERLINK is not implemented. linkLocation=https://en.wikipedia.org/wiki/Trigger_Point,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 t="n">
        <x:v>24</x:v>
      </x:c>
      <x:c r="BP627" s="14" t="str">
        <x:v>Maximum supplied eligible IMDb cast-credit total; annual episode total not independently verified.</x:v>
      </x:c>
      <x:c r="BQ627" s="14" t="str">
        <x:v>Medium</x:v>
      </x:c>
      <x:c r="BR627" s="15" t="n">
        <x:v>12</x:v>
      </x:c>
      <x:c r="BS627" s="16" t="n">
        <x:v>0.5</x:v>
      </x:c>
      <x:c r="BT627" s="14" t="str">
        <x:v>Minority of episodes</x:v>
      </x:c>
      <x:c r="BU627" s="14" t="str">
        <x:v>Medium</x:v>
      </x:c>
      <x:c r="BV627" s="14" t="str">
        <x:v>Derived from the supplied IMDb episode count and documented production-total proxy.</x:v>
      </x:c>
      <x:c r="BW627" s="14" t="str">
        <x:v>Unable to determine</x:v>
      </x:c>
      <x:c r="BX627" s="14" t="str">
        <x:v>Cast-list and episode data do not establish narrative prominence.</x:v>
      </x:c>
      <x:c r="BY627" s="14" t="str">
        <x:v>Supplied IMDb cast-list workbook</x:v>
      </x:c>
      <x:c r="BZ627" s="14" t="str">
        <x:v>HYPERLINK is not implemented. linkLocation=https://www.imdb.com/title/tt11958610/fullcredits/,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tt11958610|nm0002076|steven wyles</x:v>
      </x:c>
      <x:c r="B628" s="14" t="str">
        <x:v>08</x:v>
      </x:c>
      <x:c r="C628" s="14" t="str">
        <x:v>2022_IMDb_Cast_Lists_Batch_08(1).xlsx</x:v>
      </x:c>
      <x:c r="D628" s="14" t="str">
        <x:v>Trigger Point</x:v>
      </x:c>
      <x:c r="E628" s="14" t="n">
        <x:v>20</x:v>
      </x:c>
      <x:c r="F628" s="14" t="str">
        <x:v>Trigger Point</x:v>
      </x:c>
      <x:c r="G628" s="14" t="str">
        <x:v>tt11958610</x:v>
      </x:c>
      <x:c r="H628" s="14" t="n">
        <x:v>2022</x:v>
      </x:c>
      <x:c r="I628" s="14" t="n">
        <x:v>2025</x:v>
      </x:c>
      <x:c r="J628" s="14" t="str">
        <x:v>Earlier-Production Carry-In Cohort</x:v>
      </x:c>
      <x:c r="K628" s="14" t="n">
        <x:v>2022</x:v>
      </x:c>
      <x:c r="L628" s="14" t="str">
        <x:v>Used in 2025 annual analysis</x:v>
      </x:c>
      <x:c r="M628" s="15" t="n">
        <x:v>13</x:v>
      </x:c>
      <x:c r="N628" s="14" t="str">
        <x:v>Jason Flemyng</x:v>
      </x:c>
      <x:c r="O628" s="14" t="str">
        <x:v>nm0002076</x:v>
      </x:c>
      <x:c r="P628" s="14" t="str">
        <x:v>Steven Wyles</x:v>
      </x:c>
      <x:c r="Q628" s="15" t="n">
        <x:v>6</x:v>
      </x:c>
      <x:c r="R628" s="14" t="str">
        <x:v>2025</x:v>
      </x:c>
      <x:c r="S628" s="14" t="n">
        <x:v>2025</x:v>
      </x:c>
      <x:c r="T628" s="14" t="n">
        <x:v>2025</x:v>
      </x:c>
      <x:c r="U628" s="14" t="str">
        <x:v>Explicit source first year retained</x:v>
      </x:c>
      <x:c r="V628" s="14" t="str">
        <x:v>Earliest supplied year is 2025.</x:v>
      </x:c>
      <x:c r="W628" s="14"/>
      <x:c r="X628" s="14" t="str">
        <x:v>Included</x:v>
      </x:c>
      <x:c r="Y628" s="14"/>
      <x:c r="Z628" s="14" t="str">
        <x:v>Trigger Point.docx</x:v>
      </x:c>
      <x:c r="AA628" s="14" t="str">
        <x:v>HYPERLINK is not implemented. linkLocation=https://www.imdb.com/title/tt11958610/fullcredits/,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ITV / ITVX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HYPERLINK("https://en.wikipedia.org/wiki/Trigger_Point","Open source")</x:f>
        <x:v>HYPERLINK is not implemented. linkLocation=https://en.wikipedia.org/wiki/Trigger_Point,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 t="n">
        <x:v>24</x:v>
      </x:c>
      <x:c r="BP628" s="14" t="str">
        <x:v>Maximum supplied eligible IMDb cast-credit total; annual episode total not independently verified.</x:v>
      </x:c>
      <x:c r="BQ628" s="14" t="str">
        <x:v>Medium</x:v>
      </x:c>
      <x:c r="BR628" s="15" t="n">
        <x:v>6</x:v>
      </x:c>
      <x:c r="BS628" s="16" t="n">
        <x:v>0.25</x:v>
      </x:c>
      <x:c r="BT628" s="14" t="str">
        <x:v>Minority of episodes</x:v>
      </x:c>
      <x:c r="BU628" s="14" t="str">
        <x:v>Medium</x:v>
      </x:c>
      <x:c r="BV628" s="14" t="str">
        <x:v>Derived from the supplied IMDb episode count and documented production-total proxy.</x:v>
      </x:c>
      <x:c r="BW628" s="14" t="str">
        <x:v>Unable to determine</x:v>
      </x:c>
      <x:c r="BX628" s="14" t="str">
        <x:v>Cast-list and episode data do not establish narrative prominence.</x:v>
      </x:c>
      <x:c r="BY628" s="14" t="str">
        <x:v>Supplied IMDb cast-list workbook</x:v>
      </x:c>
      <x:c r="BZ628" s="14" t="str">
        <x:v>HYPERLINK is not implemented. linkLocation=https://www.imdb.com/title/tt11958610/fullcredits/,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tt11958610|nm7030314|dc neil brenton</x:v>
      </x:c>
      <x:c r="B629" s="14" t="str">
        <x:v>08</x:v>
      </x:c>
      <x:c r="C629" s="14" t="str">
        <x:v>2022_IMDb_Cast_Lists_Batch_08(1).xlsx</x:v>
      </x:c>
      <x:c r="D629" s="14" t="str">
        <x:v>Trigger Point</x:v>
      </x:c>
      <x:c r="E629" s="14" t="n">
        <x:v>21</x:v>
      </x:c>
      <x:c r="F629" s="14" t="str">
        <x:v>Trigger Point</x:v>
      </x:c>
      <x:c r="G629" s="14" t="str">
        <x:v>tt11958610</x:v>
      </x:c>
      <x:c r="H629" s="14" t="n">
        <x:v>2022</x:v>
      </x:c>
      <x:c r="I629" s="14" t="n">
        <x:v>2025</x:v>
      </x:c>
      <x:c r="J629" s="14" t="str">
        <x:v>Earlier-Production Carry-In Cohort</x:v>
      </x:c>
      <x:c r="K629" s="14" t="n">
        <x:v>2022</x:v>
      </x:c>
      <x:c r="L629" s="14" t="str">
        <x:v>Used in 2025 annual analysis</x:v>
      </x:c>
      <x:c r="M629" s="15" t="n">
        <x:v>14</x:v>
      </x:c>
      <x:c r="N629" s="14" t="str">
        <x:v>Tom Glenister</x:v>
      </x:c>
      <x:c r="O629" s="14" t="str">
        <x:v>nm7030314</x:v>
      </x:c>
      <x:c r="P629" s="14" t="str">
        <x:v>DC Neil Brenton</x:v>
      </x:c>
      <x:c r="Q629" s="15" t="n">
        <x:v>6</x:v>
      </x:c>
      <x:c r="R629" s="14" t="str">
        <x:v>2025</x:v>
      </x:c>
      <x:c r="S629" s="14" t="n">
        <x:v>2025</x:v>
      </x:c>
      <x:c r="T629" s="14" t="n">
        <x:v>2025</x:v>
      </x:c>
      <x:c r="U629" s="14" t="str">
        <x:v>Explicit source first year retained</x:v>
      </x:c>
      <x:c r="V629" s="14" t="str">
        <x:v>Earliest supplied year is 2025.</x:v>
      </x:c>
      <x:c r="W629" s="14"/>
      <x:c r="X629" s="14" t="str">
        <x:v>Included</x:v>
      </x:c>
      <x:c r="Y629" s="14"/>
      <x:c r="Z629" s="14" t="str">
        <x:v>Trigger Point.docx</x:v>
      </x:c>
      <x:c r="AA629" s="14" t="str">
        <x:v>HYPERLINK is not implemented. linkLocation=https://www.imdb.com/title/tt11958610/fullcredits/,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ITV / ITVX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HYPERLINK("https://en.wikipedia.org/wiki/Trigger_Point","Open source")</x:f>
        <x:v>HYPERLINK is not implemented. linkLocation=https://en.wikipedia.org/wiki/Trigger_Point,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 t="n">
        <x:v>24</x:v>
      </x:c>
      <x:c r="BP629" s="14" t="str">
        <x:v>Maximum supplied eligible IMDb cast-credit total; annual episode total not independently verified.</x:v>
      </x:c>
      <x:c r="BQ629" s="14" t="str">
        <x:v>Medium</x:v>
      </x:c>
      <x:c r="BR629" s="15" t="n">
        <x:v>6</x:v>
      </x:c>
      <x:c r="BS629" s="16" t="n">
        <x:v>0.25</x:v>
      </x:c>
      <x:c r="BT629" s="14" t="str">
        <x:v>Minority of episodes</x:v>
      </x:c>
      <x:c r="BU629" s="14" t="str">
        <x:v>Medium</x:v>
      </x:c>
      <x:c r="BV629" s="14" t="str">
        <x:v>Derived from the supplied IMDb episode count and documented production-total proxy.</x:v>
      </x:c>
      <x:c r="BW629" s="14" t="str">
        <x:v>Unable to determine</x:v>
      </x:c>
      <x:c r="BX629" s="14" t="str">
        <x:v>Cast-list and episode data do not establish narrative prominence.</x:v>
      </x:c>
      <x:c r="BY629" s="14" t="str">
        <x:v>Supplied IMDb cast-list workbook</x:v>
      </x:c>
      <x:c r="BZ629" s="14" t="str">
        <x:v>HYPERLINK is not implemented. linkLocation=https://www.imdb.com/title/tt11958610/fullcredits/,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tt11958610|nm14465781|wren cheshire</x:v>
      </x:c>
      <x:c r="B630" s="14" t="str">
        <x:v>08</x:v>
      </x:c>
      <x:c r="C630" s="14" t="str">
        <x:v>2022_IMDb_Cast_Lists_Batch_08(1).xlsx</x:v>
      </x:c>
      <x:c r="D630" s="14" t="str">
        <x:v>Trigger Point</x:v>
      </x:c>
      <x:c r="E630" s="14" t="n">
        <x:v>37</x:v>
      </x:c>
      <x:c r="F630" s="14" t="str">
        <x:v>Trigger Point</x:v>
      </x:c>
      <x:c r="G630" s="14" t="str">
        <x:v>tt11958610</x:v>
      </x:c>
      <x:c r="H630" s="14" t="n">
        <x:v>2022</x:v>
      </x:c>
      <x:c r="I630" s="14" t="n">
        <x:v>2025</x:v>
      </x:c>
      <x:c r="J630" s="14" t="str">
        <x:v>Earlier-Production Carry-In Cohort</x:v>
      </x:c>
      <x:c r="K630" s="14" t="n">
        <x:v>2022</x:v>
      </x:c>
      <x:c r="L630" s="14" t="str">
        <x:v>Used in 2025 annual analysis</x:v>
      </x:c>
      <x:c r="M630" s="15" t="n">
        <x:v>30</x:v>
      </x:c>
      <x:c r="N630" s="14" t="str">
        <x:v>Maisie Ayres</x:v>
      </x:c>
      <x:c r="O630" s="14" t="str">
        <x:v>nm14465781</x:v>
      </x:c>
      <x:c r="P630" s="14" t="str">
        <x:v>Wren Cheshire</x:v>
      </x:c>
      <x:c r="Q630" s="15" t="n">
        <x:v>4</x:v>
      </x:c>
      <x:c r="R630" s="14" t="str">
        <x:v>2025</x:v>
      </x:c>
      <x:c r="S630" s="14" t="n">
        <x:v>2025</x:v>
      </x:c>
      <x:c r="T630" s="14" t="n">
        <x:v>2025</x:v>
      </x:c>
      <x:c r="U630" s="14" t="str">
        <x:v>Explicit source first year retained</x:v>
      </x:c>
      <x:c r="V630" s="14" t="str">
        <x:v>Earliest supplied year is 2025.</x:v>
      </x:c>
      <x:c r="W630" s="14"/>
      <x:c r="X630" s="14" t="str">
        <x:v>Included</x:v>
      </x:c>
      <x:c r="Y630" s="14"/>
      <x:c r="Z630" s="14" t="str">
        <x:v>Trigger Point.docx</x:v>
      </x:c>
      <x:c r="AA630" s="14" t="str">
        <x:v>HYPERLINK is not implemented. linkLocation=https://www.imdb.com/title/tt11958610/fullcredits/,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ITV / ITVX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HYPERLINK("https://en.wikipedia.org/wiki/Trigger_Point","Open source")</x:f>
        <x:v>HYPERLINK is not implemented. linkLocation=https://en.wikipedia.org/wiki/Trigger_Point,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 t="n">
        <x:v>24</x:v>
      </x:c>
      <x:c r="BP630" s="14" t="str">
        <x:v>Maximum supplied eligible IMDb cast-credit total; annual episode total not independently verified.</x:v>
      </x:c>
      <x:c r="BQ630" s="14" t="str">
        <x:v>Medium</x:v>
      </x:c>
      <x:c r="BR630" s="15" t="n">
        <x:v>4</x:v>
      </x:c>
      <x:c r="BS630" s="16" t="n">
        <x:v>0.16666666666666666</x:v>
      </x:c>
      <x:c r="BT630" s="14" t="str">
        <x:v>Minority of episodes</x:v>
      </x:c>
      <x:c r="BU630" s="14" t="str">
        <x:v>Medium</x:v>
      </x:c>
      <x:c r="BV630" s="14" t="str">
        <x:v>Derived from the supplied IMDb episode count and documented production-total proxy.</x:v>
      </x:c>
      <x:c r="BW630" s="14" t="str">
        <x:v>Unable to determine</x:v>
      </x:c>
      <x:c r="BX630" s="14" t="str">
        <x:v>Cast-list and episode data do not establish narrative prominence.</x:v>
      </x:c>
      <x:c r="BY630" s="14" t="str">
        <x:v>Supplied IMDb cast-list workbook</x:v>
      </x:c>
      <x:c r="BZ630" s="14" t="str">
        <x:v>HYPERLINK is not implemented. linkLocation=https://www.imdb.com/title/tt11958610/fullcredits/,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tt11958610|nm0407753|isaac wyles</x:v>
      </x:c>
      <x:c r="B631" s="14" t="str">
        <x:v>08</x:v>
      </x:c>
      <x:c r="C631" s="14" t="str">
        <x:v>2022_IMDb_Cast_Lists_Batch_08(1).xlsx</x:v>
      </x:c>
      <x:c r="D631" s="14" t="str">
        <x:v>Trigger Point</x:v>
      </x:c>
      <x:c r="E631" s="14" t="n">
        <x:v>39</x:v>
      </x:c>
      <x:c r="F631" s="14" t="str">
        <x:v>Trigger Point</x:v>
      </x:c>
      <x:c r="G631" s="14" t="str">
        <x:v>tt11958610</x:v>
      </x:c>
      <x:c r="H631" s="14" t="n">
        <x:v>2022</x:v>
      </x:c>
      <x:c r="I631" s="14" t="n">
        <x:v>2025</x:v>
      </x:c>
      <x:c r="J631" s="14" t="str">
        <x:v>Earlier-Production Carry-In Cohort</x:v>
      </x:c>
      <x:c r="K631" s="14" t="n">
        <x:v>2022</x:v>
      </x:c>
      <x:c r="L631" s="14" t="str">
        <x:v>Used in 2025 annual analysis</x:v>
      </x:c>
      <x:c r="M631" s="15" t="n">
        <x:v>32</x:v>
      </x:c>
      <x:c r="N631" s="14" t="str">
        <x:v>William Ilkley</x:v>
      </x:c>
      <x:c r="O631" s="14" t="str">
        <x:v>nm0407753</x:v>
      </x:c>
      <x:c r="P631" s="14" t="str">
        <x:v>Isaac Wyles</x:v>
      </x:c>
      <x:c r="Q631" s="15" t="n">
        <x:v>4</x:v>
      </x:c>
      <x:c r="R631" s="14" t="str">
        <x:v>2025</x:v>
      </x:c>
      <x:c r="S631" s="14" t="n">
        <x:v>2025</x:v>
      </x:c>
      <x:c r="T631" s="14" t="n">
        <x:v>2025</x:v>
      </x:c>
      <x:c r="U631" s="14" t="str">
        <x:v>Explicit source first year retained</x:v>
      </x:c>
      <x:c r="V631" s="14" t="str">
        <x:v>Earliest supplied year is 2025.</x:v>
      </x:c>
      <x:c r="W631" s="14"/>
      <x:c r="X631" s="14" t="str">
        <x:v>Included</x:v>
      </x:c>
      <x:c r="Y631" s="14"/>
      <x:c r="Z631" s="14" t="str">
        <x:v>Trigger Point.docx</x:v>
      </x:c>
      <x:c r="AA631" s="14" t="str">
        <x:v>HYPERLINK is not implemented. linkLocation=https://www.imdb.com/title/tt11958610/fullcredits/,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ITV / ITVX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HYPERLINK("https://en.wikipedia.org/wiki/Trigger_Point","Open source")</x:f>
        <x:v>HYPERLINK is not implemented. linkLocation=https://en.wikipedia.org/wiki/Trigger_Point,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 t="n">
        <x:v>24</x:v>
      </x:c>
      <x:c r="BP631" s="14" t="str">
        <x:v>Maximum supplied eligible IMDb cast-credit total; annual episode total not independently verified.</x:v>
      </x:c>
      <x:c r="BQ631" s="14" t="str">
        <x:v>Medium</x:v>
      </x:c>
      <x:c r="BR631" s="15" t="n">
        <x:v>4</x:v>
      </x:c>
      <x:c r="BS631" s="16" t="n">
        <x:v>0.16666666666666666</x:v>
      </x:c>
      <x:c r="BT631" s="14" t="str">
        <x:v>Minority of episodes</x:v>
      </x:c>
      <x:c r="BU631" s="14" t="str">
        <x:v>Medium</x:v>
      </x:c>
      <x:c r="BV631" s="14" t="str">
        <x:v>Derived from the supplied IMDb episode count and documented production-total proxy.</x:v>
      </x:c>
      <x:c r="BW631" s="14" t="str">
        <x:v>Unable to determine</x:v>
      </x:c>
      <x:c r="BX631" s="14" t="str">
        <x:v>Cast-list and episode data do not establish narrative prominence.</x:v>
      </x:c>
      <x:c r="BY631" s="14" t="str">
        <x:v>Supplied IMDb cast-list workbook</x:v>
      </x:c>
      <x:c r="BZ631" s="14" t="str">
        <x:v>HYPERLINK is not implemented. linkLocation=https://www.imdb.com/title/tt11958610/fullcredits/,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tt11958610|nm11996253|jenny manning</x:v>
      </x:c>
      <x:c r="B632" s="14" t="str">
        <x:v>08</x:v>
      </x:c>
      <x:c r="C632" s="14" t="str">
        <x:v>2022_IMDb_Cast_Lists_Batch_08(1).xlsx</x:v>
      </x:c>
      <x:c r="D632" s="14" t="str">
        <x:v>Trigger Point</x:v>
      </x:c>
      <x:c r="E632" s="14" t="n">
        <x:v>41</x:v>
      </x:c>
      <x:c r="F632" s="14" t="str">
        <x:v>Trigger Point</x:v>
      </x:c>
      <x:c r="G632" s="14" t="str">
        <x:v>tt11958610</x:v>
      </x:c>
      <x:c r="H632" s="14" t="n">
        <x:v>2022</x:v>
      </x:c>
      <x:c r="I632" s="14" t="n">
        <x:v>2025</x:v>
      </x:c>
      <x:c r="J632" s="14" t="str">
        <x:v>Earlier-Production Carry-In Cohort</x:v>
      </x:c>
      <x:c r="K632" s="14" t="n">
        <x:v>2022</x:v>
      </x:c>
      <x:c r="L632" s="14" t="str">
        <x:v>Used in 2025 annual analysis</x:v>
      </x:c>
      <x:c r="M632" s="15" t="n">
        <x:v>34</x:v>
      </x:c>
      <x:c r="N632" s="14" t="str">
        <x:v>Katie Bernstein</x:v>
      </x:c>
      <x:c r="O632" s="14" t="str">
        <x:v>nm11996253</x:v>
      </x:c>
      <x:c r="P632" s="14" t="str">
        <x:v>Jenny Manning</x:v>
      </x:c>
      <x:c r="Q632" s="15" t="n">
        <x:v>3</x:v>
      </x:c>
      <x:c r="R632" s="14" t="str">
        <x:v>2025</x:v>
      </x:c>
      <x:c r="S632" s="14" t="n">
        <x:v>2025</x:v>
      </x:c>
      <x:c r="T632" s="14" t="n">
        <x:v>2025</x:v>
      </x:c>
      <x:c r="U632" s="14" t="str">
        <x:v>Explicit source first year retained</x:v>
      </x:c>
      <x:c r="V632" s="14" t="str">
        <x:v>Earliest supplied year is 2025.</x:v>
      </x:c>
      <x:c r="W632" s="14"/>
      <x:c r="X632" s="14" t="str">
        <x:v>Included</x:v>
      </x:c>
      <x:c r="Y632" s="14"/>
      <x:c r="Z632" s="14" t="str">
        <x:v>Trigger Point.docx</x:v>
      </x:c>
      <x:c r="AA632" s="14" t="str">
        <x:v>HYPERLINK is not implemented. linkLocation=https://www.imdb.com/title/tt11958610/fullcredits/,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ITV / ITVX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HYPERLINK("https://en.wikipedia.org/wiki/Trigger_Point","Open source")</x:f>
        <x:v>HYPERLINK is not implemented. linkLocation=https://en.wikipedia.org/wiki/Trigger_Point,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 t="n">
        <x:v>24</x:v>
      </x:c>
      <x:c r="BP632" s="14" t="str">
        <x:v>Maximum supplied eligible IMDb cast-credit total; annual episode total not independently verified.</x:v>
      </x:c>
      <x:c r="BQ632" s="14" t="str">
        <x:v>Medium</x:v>
      </x:c>
      <x:c r="BR632" s="15" t="n">
        <x:v>3</x:v>
      </x:c>
      <x:c r="BS632" s="16" t="n">
        <x:v>0.125</x:v>
      </x:c>
      <x:c r="BT632" s="14" t="str">
        <x:v>Minority of episodes</x:v>
      </x:c>
      <x:c r="BU632" s="14" t="str">
        <x:v>Medium</x:v>
      </x:c>
      <x:c r="BV632" s="14" t="str">
        <x:v>Derived from the supplied IMDb episode count and documented production-total proxy.</x:v>
      </x:c>
      <x:c r="BW632" s="14" t="str">
        <x:v>Unable to determine</x:v>
      </x:c>
      <x:c r="BX632" s="14" t="str">
        <x:v>Cast-list and episode data do not establish narrative prominence.</x:v>
      </x:c>
      <x:c r="BY632" s="14" t="str">
        <x:v>Supplied IMDb cast-list workbook</x:v>
      </x:c>
      <x:c r="BZ632" s="14" t="str">
        <x:v>HYPERLINK is not implemented. linkLocation=https://www.imdb.com/title/tt11958610/fullcredits/,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tt11958610|nm0113982|jo adeyemi</x:v>
      </x:c>
      <x:c r="B633" s="14" t="str">
        <x:v>08</x:v>
      </x:c>
      <x:c r="C633" s="14" t="str">
        <x:v>2022_IMDb_Cast_Lists_Batch_08(1).xlsx</x:v>
      </x:c>
      <x:c r="D633" s="14" t="str">
        <x:v>Trigger Point</x:v>
      </x:c>
      <x:c r="E633" s="14" t="n">
        <x:v>42</x:v>
      </x:c>
      <x:c r="F633" s="14" t="str">
        <x:v>Trigger Point</x:v>
      </x:c>
      <x:c r="G633" s="14" t="str">
        <x:v>tt11958610</x:v>
      </x:c>
      <x:c r="H633" s="14" t="n">
        <x:v>2022</x:v>
      </x:c>
      <x:c r="I633" s="14" t="n">
        <x:v>2025</x:v>
      </x:c>
      <x:c r="J633" s="14" t="str">
        <x:v>Earlier-Production Carry-In Cohort</x:v>
      </x:c>
      <x:c r="K633" s="14" t="n">
        <x:v>2022</x:v>
      </x:c>
      <x:c r="L633" s="14" t="str">
        <x:v>Used in 2025 annual analysis</x:v>
      </x:c>
      <x:c r="M633" s="15" t="n">
        <x:v>35</x:v>
      </x:c>
      <x:c r="N633" s="14" t="str">
        <x:v>Kaye Brown</x:v>
      </x:c>
      <x:c r="O633" s="14" t="str">
        <x:v>nm0113982</x:v>
      </x:c>
      <x:c r="P633" s="14" t="str">
        <x:v>Jo Adeyemi</x:v>
      </x:c>
      <x:c r="Q633" s="15" t="n">
        <x:v>3</x:v>
      </x:c>
      <x:c r="R633" s="14" t="str">
        <x:v>2025</x:v>
      </x:c>
      <x:c r="S633" s="14" t="n">
        <x:v>2025</x:v>
      </x:c>
      <x:c r="T633" s="14" t="n">
        <x:v>2025</x:v>
      </x:c>
      <x:c r="U633" s="14" t="str">
        <x:v>Explicit source first year retained</x:v>
      </x:c>
      <x:c r="V633" s="14" t="str">
        <x:v>Earliest supplied year is 2025.</x:v>
      </x:c>
      <x:c r="W633" s="14"/>
      <x:c r="X633" s="14" t="str">
        <x:v>Included</x:v>
      </x:c>
      <x:c r="Y633" s="14"/>
      <x:c r="Z633" s="14" t="str">
        <x:v>Trigger Point.docx</x:v>
      </x:c>
      <x:c r="AA633" s="14" t="str">
        <x:v>HYPERLINK is not implemented. linkLocation=https://www.imdb.com/title/tt11958610/fullcredits/,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ITV / ITVX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HYPERLINK("https://en.wikipedia.org/wiki/Trigger_Point","Open source")</x:f>
        <x:v>HYPERLINK is not implemented. linkLocation=https://en.wikipedia.org/wiki/Trigger_Point,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 t="n">
        <x:v>24</x:v>
      </x:c>
      <x:c r="BP633" s="14" t="str">
        <x:v>Maximum supplied eligible IMDb cast-credit total; annual episode total not independently verified.</x:v>
      </x:c>
      <x:c r="BQ633" s="14" t="str">
        <x:v>Medium</x:v>
      </x:c>
      <x:c r="BR633" s="15" t="n">
        <x:v>3</x:v>
      </x:c>
      <x:c r="BS633" s="16" t="n">
        <x:v>0.125</x:v>
      </x:c>
      <x:c r="BT633" s="14" t="str">
        <x:v>Minority of episodes</x:v>
      </x:c>
      <x:c r="BU633" s="14" t="str">
        <x:v>Medium</x:v>
      </x:c>
      <x:c r="BV633" s="14" t="str">
        <x:v>Derived from the supplied IMDb episode count and documented production-total proxy.</x:v>
      </x:c>
      <x:c r="BW633" s="14" t="str">
        <x:v>Unable to determine</x:v>
      </x:c>
      <x:c r="BX633" s="14" t="str">
        <x:v>Cast-list and episode data do not establish narrative prominence.</x:v>
      </x:c>
      <x:c r="BY633" s="14" t="str">
        <x:v>Supplied IMDb cast-list workbook</x:v>
      </x:c>
      <x:c r="BZ633" s="14" t="str">
        <x:v>HYPERLINK is not implemented. linkLocation=https://www.imdb.com/title/tt11958610/fullcredits/,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tt11958610|nm12104590|jessica tanbury</x:v>
      </x:c>
      <x:c r="B634" s="14" t="str">
        <x:v>08</x:v>
      </x:c>
      <x:c r="C634" s="14" t="str">
        <x:v>2022_IMDb_Cast_Lists_Batch_08(1).xlsx</x:v>
      </x:c>
      <x:c r="D634" s="14" t="str">
        <x:v>Trigger Point</x:v>
      </x:c>
      <x:c r="E634" s="14" t="n">
        <x:v>43</x:v>
      </x:c>
      <x:c r="F634" s="14" t="str">
        <x:v>Trigger Point</x:v>
      </x:c>
      <x:c r="G634" s="14" t="str">
        <x:v>tt11958610</x:v>
      </x:c>
      <x:c r="H634" s="14" t="n">
        <x:v>2022</x:v>
      </x:c>
      <x:c r="I634" s="14" t="n">
        <x:v>2025</x:v>
      </x:c>
      <x:c r="J634" s="14" t="str">
        <x:v>Earlier-Production Carry-In Cohort</x:v>
      </x:c>
      <x:c r="K634" s="14" t="n">
        <x:v>2022</x:v>
      </x:c>
      <x:c r="L634" s="14" t="str">
        <x:v>Used in 2025 annual analysis</x:v>
      </x:c>
      <x:c r="M634" s="15" t="n">
        <x:v>36</x:v>
      </x:c>
      <x:c r="N634" s="14" t="str">
        <x:v>Gabriella Fortuna</x:v>
      </x:c>
      <x:c r="O634" s="14" t="str">
        <x:v>nm12104590</x:v>
      </x:c>
      <x:c r="P634" s="14" t="str">
        <x:v>Jessica Tanbury</x:v>
      </x:c>
      <x:c r="Q634" s="15" t="n">
        <x:v>3</x:v>
      </x:c>
      <x:c r="R634" s="14" t="str">
        <x:v>2025</x:v>
      </x:c>
      <x:c r="S634" s="14" t="n">
        <x:v>2025</x:v>
      </x:c>
      <x:c r="T634" s="14" t="n">
        <x:v>2025</x:v>
      </x:c>
      <x:c r="U634" s="14" t="str">
        <x:v>Explicit source first year retained</x:v>
      </x:c>
      <x:c r="V634" s="14" t="str">
        <x:v>Earliest supplied year is 2025.</x:v>
      </x:c>
      <x:c r="W634" s="14"/>
      <x:c r="X634" s="14" t="str">
        <x:v>Included</x:v>
      </x:c>
      <x:c r="Y634" s="14"/>
      <x:c r="Z634" s="14" t="str">
        <x:v>Trigger Point.docx</x:v>
      </x:c>
      <x:c r="AA634" s="14" t="str">
        <x:v>HYPERLINK is not implemented. linkLocation=https://www.imdb.com/title/tt11958610/fullcredits/,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ITV / ITVX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HYPERLINK("https://en.wikipedia.org/wiki/Trigger_Point","Open source")</x:f>
        <x:v>HYPERLINK is not implemented. linkLocation=https://en.wikipedia.org/wiki/Trigger_Point,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 t="n">
        <x:v>24</x:v>
      </x:c>
      <x:c r="BP634" s="14" t="str">
        <x:v>Maximum supplied eligible IMDb cast-credit total; annual episode total not independently verified.</x:v>
      </x:c>
      <x:c r="BQ634" s="14" t="str">
        <x:v>Medium</x:v>
      </x:c>
      <x:c r="BR634" s="15" t="n">
        <x:v>3</x:v>
      </x:c>
      <x:c r="BS634" s="16" t="n">
        <x:v>0.125</x:v>
      </x:c>
      <x:c r="BT634" s="14" t="str">
        <x:v>Minority of episodes</x:v>
      </x:c>
      <x:c r="BU634" s="14" t="str">
        <x:v>Medium</x:v>
      </x:c>
      <x:c r="BV634" s="14" t="str">
        <x:v>Derived from the supplied IMDb episode count and documented production-total proxy.</x:v>
      </x:c>
      <x:c r="BW634" s="14" t="str">
        <x:v>Unable to determine</x:v>
      </x:c>
      <x:c r="BX634" s="14" t="str">
        <x:v>Cast-list and episode data do not establish narrative prominence.</x:v>
      </x:c>
      <x:c r="BY634" s="14" t="str">
        <x:v>Supplied IMDb cast-list workbook</x:v>
      </x:c>
      <x:c r="BZ634" s="14" t="str">
        <x:v>HYPERLINK is not implemented. linkLocation=https://www.imdb.com/title/tt11958610/fullcredits/,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tt11958610|nm4495529|rich manning</x:v>
      </x:c>
      <x:c r="B635" s="14" t="str">
        <x:v>08</x:v>
      </x:c>
      <x:c r="C635" s="14" t="str">
        <x:v>2022_IMDb_Cast_Lists_Batch_08(1).xlsx</x:v>
      </x:c>
      <x:c r="D635" s="14" t="str">
        <x:v>Trigger Point</x:v>
      </x:c>
      <x:c r="E635" s="14" t="n">
        <x:v>46</x:v>
      </x:c>
      <x:c r="F635" s="14" t="str">
        <x:v>Trigger Point</x:v>
      </x:c>
      <x:c r="G635" s="14" t="str">
        <x:v>tt11958610</x:v>
      </x:c>
      <x:c r="H635" s="14" t="n">
        <x:v>2022</x:v>
      </x:c>
      <x:c r="I635" s="14" t="n">
        <x:v>2025</x:v>
      </x:c>
      <x:c r="J635" s="14" t="str">
        <x:v>Earlier-Production Carry-In Cohort</x:v>
      </x:c>
      <x:c r="K635" s="14" t="n">
        <x:v>2022</x:v>
      </x:c>
      <x:c r="L635" s="14" t="str">
        <x:v>Used in 2025 annual analysis</x:v>
      </x:c>
      <x:c r="M635" s="15" t="n">
        <x:v>39</x:v>
      </x:c>
      <x:c r="N635" s="14" t="str">
        <x:v>Mark Rowley</x:v>
      </x:c>
      <x:c r="O635" s="14" t="str">
        <x:v>nm4495529</x:v>
      </x:c>
      <x:c r="P635" s="14" t="str">
        <x:v>Rich Manning</x:v>
      </x:c>
      <x:c r="Q635" s="15" t="n">
        <x:v>3</x:v>
      </x:c>
      <x:c r="R635" s="14" t="str">
        <x:v>2025</x:v>
      </x:c>
      <x:c r="S635" s="14" t="n">
        <x:v>2025</x:v>
      </x:c>
      <x:c r="T635" s="14" t="n">
        <x:v>2025</x:v>
      </x:c>
      <x:c r="U635" s="14" t="str">
        <x:v>Explicit source first year retained</x:v>
      </x:c>
      <x:c r="V635" s="14" t="str">
        <x:v>Earliest supplied year is 2025.</x:v>
      </x:c>
      <x:c r="W635" s="14"/>
      <x:c r="X635" s="14" t="str">
        <x:v>Included</x:v>
      </x:c>
      <x:c r="Y635" s="14"/>
      <x:c r="Z635" s="14" t="str">
        <x:v>Trigger Point.docx</x:v>
      </x:c>
      <x:c r="AA635" s="14" t="str">
        <x:v>HYPERLINK is not implemented. linkLocation=https://www.imdb.com/title/tt11958610/fullcredits/,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ITV / ITVX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HYPERLINK("https://en.wikipedia.org/wiki/Trigger_Point","Open source")</x:f>
        <x:v>HYPERLINK is not implemented. linkLocation=https://en.wikipedia.org/wiki/Trigger_Point,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 t="n">
        <x:v>24</x:v>
      </x:c>
      <x:c r="BP635" s="14" t="str">
        <x:v>Maximum supplied eligible IMDb cast-credit total; annual episode total not independently verified.</x:v>
      </x:c>
      <x:c r="BQ635" s="14" t="str">
        <x:v>Medium</x:v>
      </x:c>
      <x:c r="BR635" s="15" t="n">
        <x:v>3</x:v>
      </x:c>
      <x:c r="BS635" s="16" t="n">
        <x:v>0.125</x:v>
      </x:c>
      <x:c r="BT635" s="14" t="str">
        <x:v>Minority of episodes</x:v>
      </x:c>
      <x:c r="BU635" s="14" t="str">
        <x:v>Medium</x:v>
      </x:c>
      <x:c r="BV635" s="14" t="str">
        <x:v>Derived from the supplied IMDb episode count and documented production-total proxy.</x:v>
      </x:c>
      <x:c r="BW635" s="14" t="str">
        <x:v>Unable to determine</x:v>
      </x:c>
      <x:c r="BX635" s="14" t="str">
        <x:v>Cast-list and episode data do not establish narrative prominence.</x:v>
      </x:c>
      <x:c r="BY635" s="14" t="str">
        <x:v>Supplied IMDb cast-list workbook</x:v>
      </x:c>
      <x:c r="BZ635" s="14" t="str">
        <x:v>HYPERLINK is not implemented. linkLocation=https://www.imdb.com/title/tt11958610/fullcredits/,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tt11958610|nm0475336|ewan knox</x:v>
      </x:c>
      <x:c r="B636" s="14" t="str">
        <x:v>08</x:v>
      </x:c>
      <x:c r="C636" s="14" t="str">
        <x:v>2022_IMDb_Cast_Lists_Batch_08(1).xlsx</x:v>
      </x:c>
      <x:c r="D636" s="14" t="str">
        <x:v>Trigger Point</x:v>
      </x:c>
      <x:c r="E636" s="14" t="n">
        <x:v>47</x:v>
      </x:c>
      <x:c r="F636" s="14" t="str">
        <x:v>Trigger Point</x:v>
      </x:c>
      <x:c r="G636" s="14" t="str">
        <x:v>tt11958610</x:v>
      </x:c>
      <x:c r="H636" s="14" t="n">
        <x:v>2022</x:v>
      </x:c>
      <x:c r="I636" s="14" t="n">
        <x:v>2025</x:v>
      </x:c>
      <x:c r="J636" s="14" t="str">
        <x:v>Earlier-Production Carry-In Cohort</x:v>
      </x:c>
      <x:c r="K636" s="14" t="n">
        <x:v>2022</x:v>
      </x:c>
      <x:c r="L636" s="14" t="str">
        <x:v>Used in 2025 annual analysis</x:v>
      </x:c>
      <x:c r="M636" s="15" t="n">
        <x:v>40</x:v>
      </x:c>
      <x:c r="N636" s="14" t="str">
        <x:v>Simon Kunz</x:v>
      </x:c>
      <x:c r="O636" s="14" t="str">
        <x:v>nm0475336</x:v>
      </x:c>
      <x:c r="P636" s="14" t="str">
        <x:v>Ewan Knox</x:v>
      </x:c>
      <x:c r="Q636" s="15" t="n">
        <x:v>3</x:v>
      </x:c>
      <x:c r="R636" s="14" t="str">
        <x:v>2025</x:v>
      </x:c>
      <x:c r="S636" s="14" t="n">
        <x:v>2025</x:v>
      </x:c>
      <x:c r="T636" s="14" t="n">
        <x:v>2025</x:v>
      </x:c>
      <x:c r="U636" s="14" t="str">
        <x:v>Explicit source first year retained</x:v>
      </x:c>
      <x:c r="V636" s="14" t="str">
        <x:v>Earliest supplied year is 2025.</x:v>
      </x:c>
      <x:c r="W636" s="14"/>
      <x:c r="X636" s="14" t="str">
        <x:v>Included</x:v>
      </x:c>
      <x:c r="Y636" s="14"/>
      <x:c r="Z636" s="14" t="str">
        <x:v>Trigger Point.docx</x:v>
      </x:c>
      <x:c r="AA636" s="14" t="str">
        <x:v>HYPERLINK is not implemented. linkLocation=https://www.imdb.com/title/tt11958610/fullcredits/,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ITV / ITVX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HYPERLINK("https://en.wikipedia.org/wiki/Trigger_Point","Open source")</x:f>
        <x:v>HYPERLINK is not implemented. linkLocation=https://en.wikipedia.org/wiki/Trigger_Point,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 t="n">
        <x:v>24</x:v>
      </x:c>
      <x:c r="BP636" s="14" t="str">
        <x:v>Maximum supplied eligible IMDb cast-credit total; annual episode total not independently verified.</x:v>
      </x:c>
      <x:c r="BQ636" s="14" t="str">
        <x:v>Medium</x:v>
      </x:c>
      <x:c r="BR636" s="15" t="n">
        <x:v>3</x:v>
      </x:c>
      <x:c r="BS636" s="16" t="n">
        <x:v>0.125</x:v>
      </x:c>
      <x:c r="BT636" s="14" t="str">
        <x:v>Minority of episodes</x:v>
      </x:c>
      <x:c r="BU636" s="14" t="str">
        <x:v>Medium</x:v>
      </x:c>
      <x:c r="BV636" s="14" t="str">
        <x:v>Derived from the supplied IMDb episode count and documented production-total proxy.</x:v>
      </x:c>
      <x:c r="BW636" s="14" t="str">
        <x:v>Unable to determine</x:v>
      </x:c>
      <x:c r="BX636" s="14" t="str">
        <x:v>Cast-list and episode data do not establish narrative prominence.</x:v>
      </x:c>
      <x:c r="BY636" s="14" t="str">
        <x:v>Supplied IMDb cast-list workbook</x:v>
      </x:c>
      <x:c r="BZ636" s="14" t="str">
        <x:v>HYPERLINK is not implemented. linkLocation=https://www.imdb.com/title/tt11958610/fullcredits/,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tt11958610|nm7920959|elena calero</x:v>
      </x:c>
      <x:c r="B637" s="14" t="str">
        <x:v>08</x:v>
      </x:c>
      <x:c r="C637" s="14" t="str">
        <x:v>2022_IMDb_Cast_Lists_Batch_08(1).xlsx</x:v>
      </x:c>
      <x:c r="D637" s="14" t="str">
        <x:v>Trigger Point</x:v>
      </x:c>
      <x:c r="E637" s="14" t="n">
        <x:v>48</x:v>
      </x:c>
      <x:c r="F637" s="14" t="str">
        <x:v>Trigger Point</x:v>
      </x:c>
      <x:c r="G637" s="14" t="str">
        <x:v>tt11958610</x:v>
      </x:c>
      <x:c r="H637" s="14" t="n">
        <x:v>2022</x:v>
      </x:c>
      <x:c r="I637" s="14" t="n">
        <x:v>2025</x:v>
      </x:c>
      <x:c r="J637" s="14" t="str">
        <x:v>Earlier-Production Carry-In Cohort</x:v>
      </x:c>
      <x:c r="K637" s="14" t="n">
        <x:v>2022</x:v>
      </x:c>
      <x:c r="L637" s="14" t="str">
        <x:v>Used in 2025 annual analysis</x:v>
      </x:c>
      <x:c r="M637" s="15" t="n">
        <x:v>41</x:v>
      </x:c>
      <x:c r="N637" s="14" t="str">
        <x:v>Adela Leiro</x:v>
      </x:c>
      <x:c r="O637" s="14" t="str">
        <x:v>nm7920959</x:v>
      </x:c>
      <x:c r="P637" s="14" t="str">
        <x:v>Elena Calero</x:v>
      </x:c>
      <x:c r="Q637" s="15" t="n">
        <x:v>3</x:v>
      </x:c>
      <x:c r="R637" s="14" t="str">
        <x:v>2025</x:v>
      </x:c>
      <x:c r="S637" s="14" t="n">
        <x:v>2025</x:v>
      </x:c>
      <x:c r="T637" s="14" t="n">
        <x:v>2025</x:v>
      </x:c>
      <x:c r="U637" s="14" t="str">
        <x:v>Explicit source first year retained</x:v>
      </x:c>
      <x:c r="V637" s="14" t="str">
        <x:v>Earliest supplied year is 2025.</x:v>
      </x:c>
      <x:c r="W637" s="14"/>
      <x:c r="X637" s="14" t="str">
        <x:v>Included</x:v>
      </x:c>
      <x:c r="Y637" s="14"/>
      <x:c r="Z637" s="14" t="str">
        <x:v>Trigger Point.docx</x:v>
      </x:c>
      <x:c r="AA637" s="14" t="str">
        <x:v>HYPERLINK is not implemented. linkLocation=https://www.imdb.com/title/tt11958610/fullcredits/,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ITV / ITVX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HYPERLINK("https://en.wikipedia.org/wiki/Trigger_Point","Open source")</x:f>
        <x:v>HYPERLINK is not implemented. linkLocation=https://en.wikipedia.org/wiki/Trigger_Point,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 t="n">
        <x:v>24</x:v>
      </x:c>
      <x:c r="BP637" s="14" t="str">
        <x:v>Maximum supplied eligible IMDb cast-credit total; annual episode total not independently verified.</x:v>
      </x:c>
      <x:c r="BQ637" s="14" t="str">
        <x:v>Medium</x:v>
      </x:c>
      <x:c r="BR637" s="15" t="n">
        <x:v>3</x:v>
      </x:c>
      <x:c r="BS637" s="16" t="n">
        <x:v>0.125</x:v>
      </x:c>
      <x:c r="BT637" s="14" t="str">
        <x:v>Minority of episodes</x:v>
      </x:c>
      <x:c r="BU637" s="14" t="str">
        <x:v>Medium</x:v>
      </x:c>
      <x:c r="BV637" s="14" t="str">
        <x:v>Derived from the supplied IMDb episode count and documented production-total proxy.</x:v>
      </x:c>
      <x:c r="BW637" s="14" t="str">
        <x:v>Unable to determine</x:v>
      </x:c>
      <x:c r="BX637" s="14" t="str">
        <x:v>Cast-list and episode data do not establish narrative prominence.</x:v>
      </x:c>
      <x:c r="BY637" s="14" t="str">
        <x:v>Supplied IMDb cast-list workbook</x:v>
      </x:c>
      <x:c r="BZ637" s="14" t="str">
        <x:v>HYPERLINK is not implemented. linkLocation=https://www.imdb.com/title/tt11958610/fullcredits/,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tt11958610|nm0025099|anya wyles</x:v>
      </x:c>
      <x:c r="B638" s="14" t="str">
        <x:v>08</x:v>
      </x:c>
      <x:c r="C638" s="14" t="str">
        <x:v>2022_IMDb_Cast_Lists_Batch_08(1).xlsx</x:v>
      </x:c>
      <x:c r="D638" s="14" t="str">
        <x:v>Trigger Point</x:v>
      </x:c>
      <x:c r="E638" s="14" t="n">
        <x:v>51</x:v>
      </x:c>
      <x:c r="F638" s="14" t="str">
        <x:v>Trigger Point</x:v>
      </x:c>
      <x:c r="G638" s="14" t="str">
        <x:v>tt11958610</x:v>
      </x:c>
      <x:c r="H638" s="14" t="n">
        <x:v>2022</x:v>
      </x:c>
      <x:c r="I638" s="14" t="n">
        <x:v>2025</x:v>
      </x:c>
      <x:c r="J638" s="14" t="str">
        <x:v>Earlier-Production Carry-In Cohort</x:v>
      </x:c>
      <x:c r="K638" s="14" t="n">
        <x:v>2022</x:v>
      </x:c>
      <x:c r="L638" s="14" t="str">
        <x:v>Used in 2025 annual analysis</x:v>
      </x:c>
      <x:c r="M638" s="15" t="n">
        <x:v>44</x:v>
      </x:c>
      <x:c r="N638" s="14" t="str">
        <x:v>Emma Amos</x:v>
      </x:c>
      <x:c r="O638" s="14" t="str">
        <x:v>nm0025099</x:v>
      </x:c>
      <x:c r="P638" s="14" t="str">
        <x:v>Anya Wyles</x:v>
      </x:c>
      <x:c r="Q638" s="15" t="n">
        <x:v>2</x:v>
      </x:c>
      <x:c r="R638" s="14" t="str">
        <x:v>2025</x:v>
      </x:c>
      <x:c r="S638" s="14" t="n">
        <x:v>2025</x:v>
      </x:c>
      <x:c r="T638" s="14" t="n">
        <x:v>2025</x:v>
      </x:c>
      <x:c r="U638" s="14" t="str">
        <x:v>Explicit source first year retained</x:v>
      </x:c>
      <x:c r="V638" s="14" t="str">
        <x:v>Earliest supplied year is 2025.</x:v>
      </x:c>
      <x:c r="W638" s="14"/>
      <x:c r="X638" s="14" t="str">
        <x:v>Included</x:v>
      </x:c>
      <x:c r="Y638" s="14"/>
      <x:c r="Z638" s="14" t="str">
        <x:v>Trigger Point.docx</x:v>
      </x:c>
      <x:c r="AA638" s="14" t="str">
        <x:v>HYPERLINK is not implemented. linkLocation=https://www.imdb.com/title/tt11958610/fullcredits/,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ITV / ITVX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HYPERLINK("https://en.wikipedia.org/wiki/Trigger_Point","Open source")</x:f>
        <x:v>HYPERLINK is not implemented. linkLocation=https://en.wikipedia.org/wiki/Trigger_Point,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 t="n">
        <x:v>24</x:v>
      </x:c>
      <x:c r="BP638" s="14" t="str">
        <x:v>Maximum supplied eligible IMDb cast-credit total; annual episode total not independently verified.</x:v>
      </x:c>
      <x:c r="BQ638" s="14" t="str">
        <x:v>Medium</x:v>
      </x:c>
      <x:c r="BR638" s="15" t="n">
        <x:v>2</x:v>
      </x:c>
      <x:c r="BS638" s="16" t="n">
        <x:v>0.08333333333333333</x:v>
      </x:c>
      <x:c r="BT638" s="14" t="str">
        <x:v>Minority of episodes</x:v>
      </x:c>
      <x:c r="BU638" s="14" t="str">
        <x:v>Medium</x:v>
      </x:c>
      <x:c r="BV638" s="14" t="str">
        <x:v>Derived from the supplied IMDb episode count and documented production-total proxy.</x:v>
      </x:c>
      <x:c r="BW638" s="14" t="str">
        <x:v>Unable to determine</x:v>
      </x:c>
      <x:c r="BX638" s="14" t="str">
        <x:v>Cast-list and episode data do not establish narrative prominence.</x:v>
      </x:c>
      <x:c r="BY638" s="14" t="str">
        <x:v>Supplied IMDb cast-list workbook</x:v>
      </x:c>
      <x:c r="BZ638" s="14" t="str">
        <x:v>HYPERLINK is not implemented. linkLocation=https://www.imdb.com/title/tt11958610/fullcredits/,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tt11958610|nm0186424|anders larsson</x:v>
      </x:c>
      <x:c r="B639" s="14" t="str">
        <x:v>08</x:v>
      </x:c>
      <x:c r="C639" s="14" t="str">
        <x:v>2022_IMDb_Cast_Lists_Batch_08(1).xlsx</x:v>
      </x:c>
      <x:c r="D639" s="14" t="str">
        <x:v>Trigger Point</x:v>
      </x:c>
      <x:c r="E639" s="14" t="n">
        <x:v>54</x:v>
      </x:c>
      <x:c r="F639" s="14" t="str">
        <x:v>Trigger Point</x:v>
      </x:c>
      <x:c r="G639" s="14" t="str">
        <x:v>tt11958610</x:v>
      </x:c>
      <x:c r="H639" s="14" t="n">
        <x:v>2022</x:v>
      </x:c>
      <x:c r="I639" s="14" t="n">
        <x:v>2025</x:v>
      </x:c>
      <x:c r="J639" s="14" t="str">
        <x:v>Earlier-Production Carry-In Cohort</x:v>
      </x:c>
      <x:c r="K639" s="14" t="n">
        <x:v>2022</x:v>
      </x:c>
      <x:c r="L639" s="14" t="str">
        <x:v>Used in 2025 annual analysis</x:v>
      </x:c>
      <x:c r="M639" s="15" t="n">
        <x:v>47</x:v>
      </x:c>
      <x:c r="N639" s="14" t="str">
        <x:v>Sam Crane</x:v>
      </x:c>
      <x:c r="O639" s="14" t="str">
        <x:v>nm0186424</x:v>
      </x:c>
      <x:c r="P639" s="14" t="str">
        <x:v>Anders Larsson</x:v>
      </x:c>
      <x:c r="Q639" s="15" t="n">
        <x:v>2</x:v>
      </x:c>
      <x:c r="R639" s="14" t="str">
        <x:v>2025</x:v>
      </x:c>
      <x:c r="S639" s="14" t="n">
        <x:v>2025</x:v>
      </x:c>
      <x:c r="T639" s="14" t="n">
        <x:v>2025</x:v>
      </x:c>
      <x:c r="U639" s="14" t="str">
        <x:v>Explicit source first year retained</x:v>
      </x:c>
      <x:c r="V639" s="14" t="str">
        <x:v>Earliest supplied year is 2025.</x:v>
      </x:c>
      <x:c r="W639" s="14"/>
      <x:c r="X639" s="14" t="str">
        <x:v>Included</x:v>
      </x:c>
      <x:c r="Y639" s="14"/>
      <x:c r="Z639" s="14" t="str">
        <x:v>Trigger Point.docx</x:v>
      </x:c>
      <x:c r="AA639" s="14" t="str">
        <x:v>HYPERLINK is not implemented. linkLocation=https://www.imdb.com/title/tt11958610/fullcredits/,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ITV / ITVX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HYPERLINK("https://en.wikipedia.org/wiki/Trigger_Point","Open source")</x:f>
        <x:v>HYPERLINK is not implemented. linkLocation=https://en.wikipedia.org/wiki/Trigger_Point,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 t="n">
        <x:v>24</x:v>
      </x:c>
      <x:c r="BP639" s="14" t="str">
        <x:v>Maximum supplied eligible IMDb cast-credit total; annual episode total not independently verified.</x:v>
      </x:c>
      <x:c r="BQ639" s="14" t="str">
        <x:v>Medium</x:v>
      </x:c>
      <x:c r="BR639" s="15" t="n">
        <x:v>2</x:v>
      </x:c>
      <x:c r="BS639" s="16" t="n">
        <x:v>0.08333333333333333</x:v>
      </x:c>
      <x:c r="BT639" s="14" t="str">
        <x:v>Minority of episodes</x:v>
      </x:c>
      <x:c r="BU639" s="14" t="str">
        <x:v>Medium</x:v>
      </x:c>
      <x:c r="BV639" s="14" t="str">
        <x:v>Derived from the supplied IMDb episode count and documented production-total proxy.</x:v>
      </x:c>
      <x:c r="BW639" s="14" t="str">
        <x:v>Unable to determine</x:v>
      </x:c>
      <x:c r="BX639" s="14" t="str">
        <x:v>Cast-list and episode data do not establish narrative prominence.</x:v>
      </x:c>
      <x:c r="BY639" s="14" t="str">
        <x:v>Supplied IMDb cast-list workbook</x:v>
      </x:c>
      <x:c r="BZ639" s="14" t="str">
        <x:v>HYPERLINK is not implemented. linkLocation=https://www.imdb.com/title/tt11958610/fullcredits/,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tt11958610|nm0332449|ned cole</x:v>
      </x:c>
      <x:c r="B640" s="14" t="str">
        <x:v>08</x:v>
      </x:c>
      <x:c r="C640" s="14" t="str">
        <x:v>2022_IMDb_Cast_Lists_Batch_08(1).xlsx</x:v>
      </x:c>
      <x:c r="D640" s="14" t="str">
        <x:v>Trigger Point</x:v>
      </x:c>
      <x:c r="E640" s="14" t="n">
        <x:v>55</x:v>
      </x:c>
      <x:c r="F640" s="14" t="str">
        <x:v>Trigger Point</x:v>
      </x:c>
      <x:c r="G640" s="14" t="str">
        <x:v>tt11958610</x:v>
      </x:c>
      <x:c r="H640" s="14" t="n">
        <x:v>2022</x:v>
      </x:c>
      <x:c r="I640" s="14" t="n">
        <x:v>2025</x:v>
      </x:c>
      <x:c r="J640" s="14" t="str">
        <x:v>Earlier-Production Carry-In Cohort</x:v>
      </x:c>
      <x:c r="K640" s="14" t="n">
        <x:v>2022</x:v>
      </x:c>
      <x:c r="L640" s="14" t="str">
        <x:v>Used in 2025 annual analysis</x:v>
      </x:c>
      <x:c r="M640" s="15" t="n">
        <x:v>48</x:v>
      </x:c>
      <x:c r="N640" s="14" t="str">
        <x:v>Michael Gould</x:v>
      </x:c>
      <x:c r="O640" s="14" t="str">
        <x:v>nm0332449</x:v>
      </x:c>
      <x:c r="P640" s="14" t="str">
        <x:v>Ned Cole</x:v>
      </x:c>
      <x:c r="Q640" s="15" t="n">
        <x:v>2</x:v>
      </x:c>
      <x:c r="R640" s="14" t="str">
        <x:v>2025</x:v>
      </x:c>
      <x:c r="S640" s="14" t="n">
        <x:v>2025</x:v>
      </x:c>
      <x:c r="T640" s="14" t="n">
        <x:v>2025</x:v>
      </x:c>
      <x:c r="U640" s="14" t="str">
        <x:v>Explicit source first year retained</x:v>
      </x:c>
      <x:c r="V640" s="14" t="str">
        <x:v>Earliest supplied year is 2025.</x:v>
      </x:c>
      <x:c r="W640" s="14"/>
      <x:c r="X640" s="14" t="str">
        <x:v>Included</x:v>
      </x:c>
      <x:c r="Y640" s="14"/>
      <x:c r="Z640" s="14" t="str">
        <x:v>Trigger Point.docx</x:v>
      </x:c>
      <x:c r="AA640" s="14" t="str">
        <x:v>HYPERLINK is not implemented. linkLocation=https://www.imdb.com/title/tt11958610/fullcredits/,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HYPERLINK("https://en.wikipedia.org/wiki/Trigger_Point","Open source")</x:f>
        <x:v>HYPERLINK is not implemented. linkLocation=https://en.wikipedia.org/wiki/Trigger_Point,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24</x:v>
      </x:c>
      <x:c r="BP640" s="14" t="str">
        <x:v>Maximum supplied eligible IMDb cast-credit total; annual episode total not independently verified.</x:v>
      </x:c>
      <x:c r="BQ640" s="14" t="str">
        <x:v>Medium</x:v>
      </x:c>
      <x:c r="BR640" s="15" t="n">
        <x:v>2</x:v>
      </x:c>
      <x:c r="BS640" s="16" t="n">
        <x:v>0.08333333333333333</x:v>
      </x:c>
      <x:c r="BT640" s="14" t="str">
        <x:v>Minority of episodes</x:v>
      </x:c>
      <x:c r="BU640" s="14" t="str">
        <x:v>Medium</x:v>
      </x:c>
      <x:c r="BV640" s="14" t="str">
        <x:v>Derived from the supplied IMDb episode count and documented production-total proxy.</x:v>
      </x:c>
      <x:c r="BW640" s="14" t="str">
        <x:v>Unable to determine</x:v>
      </x:c>
      <x:c r="BX640" s="14" t="str">
        <x:v>Cast-list and episode data do not establish narrative prominence.</x:v>
      </x:c>
      <x:c r="BY640" s="14" t="str">
        <x:v>Supplied IMDb cast-list workbook</x:v>
      </x:c>
      <x:c r="BZ640" s="14" t="str">
        <x:v>HYPERLINK is not implemented. linkLocation=https://www.imdb.com/title/tt11958610/fullcredits/,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tt11958610|nm12469092|michael adeyemi</x:v>
      </x:c>
      <x:c r="B641" s="14" t="str">
        <x:v>08</x:v>
      </x:c>
      <x:c r="C641" s="14" t="str">
        <x:v>2022_IMDb_Cast_Lists_Batch_08(1).xlsx</x:v>
      </x:c>
      <x:c r="D641" s="14" t="str">
        <x:v>Trigger Point</x:v>
      </x:c>
      <x:c r="E641" s="14" t="n">
        <x:v>61</x:v>
      </x:c>
      <x:c r="F641" s="14" t="str">
        <x:v>Trigger Point</x:v>
      </x:c>
      <x:c r="G641" s="14" t="str">
        <x:v>tt11958610</x:v>
      </x:c>
      <x:c r="H641" s="14" t="n">
        <x:v>2022</x:v>
      </x:c>
      <x:c r="I641" s="14" t="n">
        <x:v>2025</x:v>
      </x:c>
      <x:c r="J641" s="14" t="str">
        <x:v>Earlier-Production Carry-In Cohort</x:v>
      </x:c>
      <x:c r="K641" s="14" t="n">
        <x:v>2022</x:v>
      </x:c>
      <x:c r="L641" s="14" t="str">
        <x:v>Used in 2025 annual analysis</x:v>
      </x:c>
      <x:c r="M641" s="15" t="n">
        <x:v>54</x:v>
      </x:c>
      <x:c r="N641" s="14" t="str">
        <x:v>Kofi Sampaney</x:v>
      </x:c>
      <x:c r="O641" s="14" t="str">
        <x:v>nm12469092</x:v>
      </x:c>
      <x:c r="P641" s="14" t="str">
        <x:v>Michael Adeyemi</x:v>
      </x:c>
      <x:c r="Q641" s="15" t="n">
        <x:v>2</x:v>
      </x:c>
      <x:c r="R641" s="14" t="str">
        <x:v>2025</x:v>
      </x:c>
      <x:c r="S641" s="14" t="n">
        <x:v>2025</x:v>
      </x:c>
      <x:c r="T641" s="14" t="n">
        <x:v>2025</x:v>
      </x:c>
      <x:c r="U641" s="14" t="str">
        <x:v>Explicit source first year retained</x:v>
      </x:c>
      <x:c r="V641" s="14" t="str">
        <x:v>Earliest supplied year is 2025.</x:v>
      </x:c>
      <x:c r="W641" s="14"/>
      <x:c r="X641" s="14" t="str">
        <x:v>Included</x:v>
      </x:c>
      <x:c r="Y641" s="14"/>
      <x:c r="Z641" s="14" t="str">
        <x:v>Trigger Point.docx</x:v>
      </x:c>
      <x:c r="AA641" s="14" t="str">
        <x:v>HYPERLINK is not implemented. linkLocation=https://www.imdb.com/title/tt11958610/fullcredits/,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HYPERLINK("https://en.wikipedia.org/wiki/Trigger_Point","Open source")</x:f>
        <x:v>HYPERLINK is not implemented. linkLocation=https://en.wikipedia.org/wiki/Trigger_Point,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24</x:v>
      </x:c>
      <x:c r="BP641" s="14" t="str">
        <x:v>Maximum supplied eligible IMDb cast-credit total; annual episode total not independently verified.</x:v>
      </x:c>
      <x:c r="BQ641" s="14" t="str">
        <x:v>Medium</x:v>
      </x:c>
      <x:c r="BR641" s="15" t="n">
        <x:v>2</x:v>
      </x:c>
      <x:c r="BS641" s="16" t="n">
        <x:v>0.08333333333333333</x:v>
      </x:c>
      <x:c r="BT641" s="14" t="str">
        <x:v>Minority of episodes</x:v>
      </x:c>
      <x:c r="BU641" s="14" t="str">
        <x:v>Medium</x:v>
      </x:c>
      <x:c r="BV641" s="14" t="str">
        <x:v>Derived from the supplied IMDb episode count and documented production-total proxy.</x:v>
      </x:c>
      <x:c r="BW641" s="14" t="str">
        <x:v>Unable to determine</x:v>
      </x:c>
      <x:c r="BX641" s="14" t="str">
        <x:v>Cast-list and episode data do not establish narrative prominence.</x:v>
      </x:c>
      <x:c r="BY641" s="14" t="str">
        <x:v>Supplied IMDb cast-list workbook</x:v>
      </x:c>
      <x:c r="BZ641" s="14" t="str">
        <x:v>HYPERLINK is not implemented. linkLocation=https://www.imdb.com/title/tt11958610/fullcredits/,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tt11958610|nm0020788|agnes raffner</x:v>
      </x:c>
      <x:c r="B642" s="14" t="str">
        <x:v>08</x:v>
      </x:c>
      <x:c r="C642" s="14" t="str">
        <x:v>2022_IMDb_Cast_Lists_Batch_08(1).xlsx</x:v>
      </x:c>
      <x:c r="D642" s="14" t="str">
        <x:v>Trigger Point</x:v>
      </x:c>
      <x:c r="E642" s="14" t="n">
        <x:v>72</x:v>
      </x:c>
      <x:c r="F642" s="14" t="str">
        <x:v>Trigger Point</x:v>
      </x:c>
      <x:c r="G642" s="14" t="str">
        <x:v>tt11958610</x:v>
      </x:c>
      <x:c r="H642" s="14" t="n">
        <x:v>2022</x:v>
      </x:c>
      <x:c r="I642" s="14" t="n">
        <x:v>2025</x:v>
      </x:c>
      <x:c r="J642" s="14" t="str">
        <x:v>Earlier-Production Carry-In Cohort</x:v>
      </x:c>
      <x:c r="K642" s="14" t="n">
        <x:v>2022</x:v>
      </x:c>
      <x:c r="L642" s="14" t="str">
        <x:v>Used in 2025 annual analysis</x:v>
      </x:c>
      <x:c r="M642" s="15" t="n">
        <x:v>65</x:v>
      </x:c>
      <x:c r="N642" s="14" t="str">
        <x:v>Lucy Allen</x:v>
      </x:c>
      <x:c r="O642" s="14" t="str">
        <x:v>nm0020788</x:v>
      </x:c>
      <x:c r="P642" s="14" t="str">
        <x:v>Agnes Raffner</x:v>
      </x:c>
      <x:c r="Q642" s="15" t="n">
        <x:v>1</x:v>
      </x:c>
      <x:c r="R642" s="14" t="str">
        <x:v>2025</x:v>
      </x:c>
      <x:c r="S642" s="14" t="n">
        <x:v>2025</x:v>
      </x:c>
      <x:c r="T642" s="14" t="n">
        <x:v>2025</x:v>
      </x:c>
      <x:c r="U642" s="14" t="str">
        <x:v>Explicit source first year retained</x:v>
      </x:c>
      <x:c r="V642" s="14" t="str">
        <x:v>Earliest supplied year is 2025.</x:v>
      </x:c>
      <x:c r="W642" s="14"/>
      <x:c r="X642" s="14" t="str">
        <x:v>Included</x:v>
      </x:c>
      <x:c r="Y642" s="14" t="str">
        <x:v>(as Lucy Elizabeth Allen)</x:v>
      </x:c>
      <x:c r="Z642" s="14" t="str">
        <x:v>Trigger Point.docx</x:v>
      </x:c>
      <x:c r="AA642" s="14" t="str">
        <x:v>HYPERLINK is not implemented. linkLocation=https://www.imdb.com/title/tt11958610/fullcredits/,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HYPERLINK("https://en.wikipedia.org/wiki/Trigger_Point","Open source")</x:f>
        <x:v>HYPERLINK is not implemented. linkLocation=https://en.wikipedia.org/wiki/Trigger_Point,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24</x:v>
      </x:c>
      <x:c r="BP642" s="14" t="str">
        <x:v>Maximum supplied eligible IMDb cast-credit total; annual episode total not independently verified.</x:v>
      </x:c>
      <x:c r="BQ642" s="14" t="str">
        <x:v>Medium</x:v>
      </x:c>
      <x:c r="BR642" s="15" t="n">
        <x:v>1</x:v>
      </x:c>
      <x:c r="BS642" s="16" t="n">
        <x:v>0.041666666666666664</x:v>
      </x:c>
      <x:c r="BT642" s="14" t="str">
        <x:v>One episode</x:v>
      </x:c>
      <x:c r="BU642" s="14" t="str">
        <x:v>Medium</x:v>
      </x:c>
      <x:c r="BV642" s="14" t="str">
        <x:v>Derived from the supplied IMDb episode count and documented production-total proxy.</x:v>
      </x:c>
      <x:c r="BW642" s="14" t="str">
        <x:v>Unable to determine</x:v>
      </x:c>
      <x:c r="BX642" s="14" t="str">
        <x:v>Cast-list and episode data do not establish narrative prominence.</x:v>
      </x:c>
      <x:c r="BY642" s="14" t="str">
        <x:v>Supplied IMDb cast-list workbook</x:v>
      </x:c>
      <x:c r="BZ642" s="14" t="str">
        <x:v>HYPERLINK is not implemented. linkLocation=https://www.imdb.com/title/tt11958610/fullcredits/,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tt11958610|nm6602684|site manager</x:v>
      </x:c>
      <x:c r="B643" s="14" t="str">
        <x:v>08</x:v>
      </x:c>
      <x:c r="C643" s="14" t="str">
        <x:v>2022_IMDb_Cast_Lists_Batch_08(1).xlsx</x:v>
      </x:c>
      <x:c r="D643" s="14" t="str">
        <x:v>Trigger Point</x:v>
      </x:c>
      <x:c r="E643" s="14" t="n">
        <x:v>79</x:v>
      </x:c>
      <x:c r="F643" s="14" t="str">
        <x:v>Trigger Point</x:v>
      </x:c>
      <x:c r="G643" s="14" t="str">
        <x:v>tt11958610</x:v>
      </x:c>
      <x:c r="H643" s="14" t="n">
        <x:v>2022</x:v>
      </x:c>
      <x:c r="I643" s="14" t="n">
        <x:v>2025</x:v>
      </x:c>
      <x:c r="J643" s="14" t="str">
        <x:v>Earlier-Production Carry-In Cohort</x:v>
      </x:c>
      <x:c r="K643" s="14" t="n">
        <x:v>2022</x:v>
      </x:c>
      <x:c r="L643" s="14" t="str">
        <x:v>Used in 2025 annual analysis</x:v>
      </x:c>
      <x:c r="M643" s="15" t="n">
        <x:v>72</x:v>
      </x:c>
      <x:c r="N643" s="14" t="str">
        <x:v>Jermaine Dominique</x:v>
      </x:c>
      <x:c r="O643" s="14" t="str">
        <x:v>nm6602684</x:v>
      </x:c>
      <x:c r="P643" s="14" t="str">
        <x:v>Site Manager</x:v>
      </x:c>
      <x:c r="Q643" s="15" t="n">
        <x:v>1</x:v>
      </x:c>
      <x:c r="R643" s="14" t="str">
        <x:v>2025</x:v>
      </x:c>
      <x:c r="S643" s="14" t="n">
        <x:v>2025</x:v>
      </x:c>
      <x:c r="T643" s="14" t="n">
        <x:v>2025</x:v>
      </x:c>
      <x:c r="U643" s="14" t="str">
        <x:v>Explicit source first year retained</x:v>
      </x:c>
      <x:c r="V643" s="14" t="str">
        <x:v>Earliest supplied year is 2025.</x:v>
      </x:c>
      <x:c r="W643" s="14"/>
      <x:c r="X643" s="14" t="str">
        <x:v>Included</x:v>
      </x:c>
      <x:c r="Y643" s="14"/>
      <x:c r="Z643" s="14" t="str">
        <x:v>Trigger Point.docx</x:v>
      </x:c>
      <x:c r="AA643" s="14" t="str">
        <x:v>HYPERLINK is not implemented. linkLocation=https://www.imdb.com/title/tt11958610/fullcredits/,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HYPERLINK("https://en.wikipedia.org/wiki/Trigger_Point","Open source")</x:f>
        <x:v>HYPERLINK is not implemented. linkLocation=https://en.wikipedia.org/wiki/Trigger_Point,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24</x:v>
      </x:c>
      <x:c r="BP643" s="14" t="str">
        <x:v>Maximum supplied eligible IMDb cast-credit total; annual episode total not independently verified.</x:v>
      </x:c>
      <x:c r="BQ643" s="14" t="str">
        <x:v>Medium</x:v>
      </x:c>
      <x:c r="BR643" s="15" t="n">
        <x:v>1</x:v>
      </x:c>
      <x:c r="BS643" s="16" t="n">
        <x:v>0.041666666666666664</x:v>
      </x:c>
      <x:c r="BT643" s="14" t="str">
        <x:v>One episode</x:v>
      </x:c>
      <x:c r="BU643" s="14" t="str">
        <x:v>Medium</x:v>
      </x:c>
      <x:c r="BV643" s="14" t="str">
        <x:v>Derived from the supplied IMDb episode count and documented production-total proxy.</x:v>
      </x:c>
      <x:c r="BW643" s="14" t="str">
        <x:v>Unable to determine</x:v>
      </x:c>
      <x:c r="BX643" s="14" t="str">
        <x:v>Cast-list and episode data do not establish narrative prominence.</x:v>
      </x:c>
      <x:c r="BY643" s="14" t="str">
        <x:v>Supplied IMDb cast-list workbook</x:v>
      </x:c>
      <x:c r="BZ643" s="14" t="str">
        <x:v>HYPERLINK is not implemented. linkLocation=https://www.imdb.com/title/tt11958610/fullcredits/,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tt11958610|nm12373136|peter howard</x:v>
      </x:c>
      <x:c r="B644" s="14" t="str">
        <x:v>08</x:v>
      </x:c>
      <x:c r="C644" s="14" t="str">
        <x:v>2022_IMDb_Cast_Lists_Batch_08(1).xlsx</x:v>
      </x:c>
      <x:c r="D644" s="14" t="str">
        <x:v>Trigger Point</x:v>
      </x:c>
      <x:c r="E644" s="14" t="n">
        <x:v>91</x:v>
      </x:c>
      <x:c r="F644" s="14" t="str">
        <x:v>Trigger Point</x:v>
      </x:c>
      <x:c r="G644" s="14" t="str">
        <x:v>tt11958610</x:v>
      </x:c>
      <x:c r="H644" s="14" t="n">
        <x:v>2022</x:v>
      </x:c>
      <x:c r="I644" s="14" t="n">
        <x:v>2025</x:v>
      </x:c>
      <x:c r="J644" s="14" t="str">
        <x:v>Earlier-Production Carry-In Cohort</x:v>
      </x:c>
      <x:c r="K644" s="14" t="n">
        <x:v>2022</x:v>
      </x:c>
      <x:c r="L644" s="14" t="str">
        <x:v>Used in 2025 annual analysis</x:v>
      </x:c>
      <x:c r="M644" s="15" t="n">
        <x:v>84</x:v>
      </x:c>
      <x:c r="N644" s="14" t="str">
        <x:v>John Joyce-O'Keeffe</x:v>
      </x:c>
      <x:c r="O644" s="14" t="str">
        <x:v>nm12373136</x:v>
      </x:c>
      <x:c r="P644" s="14" t="str">
        <x:v>Peter Howard</x:v>
      </x:c>
      <x:c r="Q644" s="15" t="n">
        <x:v>1</x:v>
      </x:c>
      <x:c r="R644" s="14" t="str">
        <x:v>2025</x:v>
      </x:c>
      <x:c r="S644" s="14" t="n">
        <x:v>2025</x:v>
      </x:c>
      <x:c r="T644" s="14" t="n">
        <x:v>2025</x:v>
      </x:c>
      <x:c r="U644" s="14" t="str">
        <x:v>Explicit source first year retained</x:v>
      </x:c>
      <x:c r="V644" s="14" t="str">
        <x:v>Earliest supplied year is 2025.</x:v>
      </x:c>
      <x:c r="W644" s="14"/>
      <x:c r="X644" s="14" t="str">
        <x:v>Included</x:v>
      </x:c>
      <x:c r="Y644" s="14"/>
      <x:c r="Z644" s="14" t="str">
        <x:v>Trigger Point.docx</x:v>
      </x:c>
      <x:c r="AA644" s="14" t="str">
        <x:v>HYPERLINK is not implemented. linkLocation=https://www.imdb.com/title/tt11958610/fullcredits/,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HYPERLINK("https://en.wikipedia.org/wiki/Trigger_Point","Open source")</x:f>
        <x:v>HYPERLINK is not implemented. linkLocation=https://en.wikipedia.org/wiki/Trigger_Point,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24</x:v>
      </x:c>
      <x:c r="BP644" s="14" t="str">
        <x:v>Maximum supplied eligible IMDb cast-credit total; annual episode total not independently verified.</x:v>
      </x:c>
      <x:c r="BQ644" s="14" t="str">
        <x:v>Medium</x:v>
      </x:c>
      <x:c r="BR644" s="15" t="n">
        <x:v>1</x:v>
      </x:c>
      <x:c r="BS644" s="16" t="n">
        <x:v>0.041666666666666664</x:v>
      </x:c>
      <x:c r="BT644" s="14" t="str">
        <x:v>One episode</x:v>
      </x:c>
      <x:c r="BU644" s="14" t="str">
        <x:v>Medium</x:v>
      </x:c>
      <x:c r="BV644" s="14" t="str">
        <x:v>Derived from the supplied IMDb episode count and documented production-total proxy.</x:v>
      </x:c>
      <x:c r="BW644" s="14" t="str">
        <x:v>Unable to determine</x:v>
      </x:c>
      <x:c r="BX644" s="14" t="str">
        <x:v>Cast-list and episode data do not establish narrative prominence.</x:v>
      </x:c>
      <x:c r="BY644" s="14" t="str">
        <x:v>Supplied IMDb cast-list workbook</x:v>
      </x:c>
      <x:c r="BZ644" s="14" t="str">
        <x:v>HYPERLINK is not implemented. linkLocation=https://www.imdb.com/title/tt11958610/fullcredits/,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tt11958610|nm1218766|dean west</x:v>
      </x:c>
      <x:c r="B645" s="14" t="str">
        <x:v>08</x:v>
      </x:c>
      <x:c r="C645" s="14" t="str">
        <x:v>2022_IMDb_Cast_Lists_Batch_08(1).xlsx</x:v>
      </x:c>
      <x:c r="D645" s="14" t="str">
        <x:v>Trigger Point</x:v>
      </x:c>
      <x:c r="E645" s="14" t="n">
        <x:v>97</x:v>
      </x:c>
      <x:c r="F645" s="14" t="str">
        <x:v>Trigger Point</x:v>
      </x:c>
      <x:c r="G645" s="14" t="str">
        <x:v>tt11958610</x:v>
      </x:c>
      <x:c r="H645" s="14" t="n">
        <x:v>2022</x:v>
      </x:c>
      <x:c r="I645" s="14" t="n">
        <x:v>2025</x:v>
      </x:c>
      <x:c r="J645" s="14" t="str">
        <x:v>Earlier-Production Carry-In Cohort</x:v>
      </x:c>
      <x:c r="K645" s="14" t="n">
        <x:v>2022</x:v>
      </x:c>
      <x:c r="L645" s="14" t="str">
        <x:v>Used in 2025 annual analysis</x:v>
      </x:c>
      <x:c r="M645" s="15" t="n">
        <x:v>90</x:v>
      </x:c>
      <x:c r="N645" s="14" t="str">
        <x:v>Stuart Packer</x:v>
      </x:c>
      <x:c r="O645" s="14" t="str">
        <x:v>nm1218766</x:v>
      </x:c>
      <x:c r="P645" s="14" t="str">
        <x:v>Dean West</x:v>
      </x:c>
      <x:c r="Q645" s="15" t="n">
        <x:v>1</x:v>
      </x:c>
      <x:c r="R645" s="14" t="str">
        <x:v>2025</x:v>
      </x:c>
      <x:c r="S645" s="14" t="n">
        <x:v>2025</x:v>
      </x:c>
      <x:c r="T645" s="14" t="n">
        <x:v>2025</x:v>
      </x:c>
      <x:c r="U645" s="14" t="str">
        <x:v>Explicit source first year retained</x:v>
      </x:c>
      <x:c r="V645" s="14" t="str">
        <x:v>Earliest supplied year is 2025.</x:v>
      </x:c>
      <x:c r="W645" s="14"/>
      <x:c r="X645" s="14" t="str">
        <x:v>Included</x:v>
      </x:c>
      <x:c r="Y645" s="14"/>
      <x:c r="Z645" s="14" t="str">
        <x:v>Trigger Point.docx</x:v>
      </x:c>
      <x:c r="AA645" s="14" t="str">
        <x:v>HYPERLINK is not implemented. linkLocation=https://www.imdb.com/title/tt11958610/fullcredits/,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HYPERLINK("https://en.wikipedia.org/wiki/Trigger_Point","Open source")</x:f>
        <x:v>HYPERLINK is not implemented. linkLocation=https://en.wikipedia.org/wiki/Trigger_Point,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24</x:v>
      </x:c>
      <x:c r="BP645" s="14" t="str">
        <x:v>Maximum supplied eligible IMDb cast-credit total; annual episode total not independently verified.</x:v>
      </x:c>
      <x:c r="BQ645" s="14" t="str">
        <x:v>Medium</x:v>
      </x:c>
      <x:c r="BR645" s="15" t="n">
        <x:v>1</x:v>
      </x:c>
      <x:c r="BS645" s="16" t="n">
        <x:v>0.041666666666666664</x:v>
      </x:c>
      <x:c r="BT645" s="14" t="str">
        <x:v>One episode</x:v>
      </x:c>
      <x:c r="BU645" s="14" t="str">
        <x:v>Medium</x:v>
      </x:c>
      <x:c r="BV645" s="14" t="str">
        <x:v>Derived from the supplied IMDb episode count and documented production-total proxy.</x:v>
      </x:c>
      <x:c r="BW645" s="14" t="str">
        <x:v>Unable to determine</x:v>
      </x:c>
      <x:c r="BX645" s="14" t="str">
        <x:v>Cast-list and episode data do not establish narrative prominence.</x:v>
      </x:c>
      <x:c r="BY645" s="14" t="str">
        <x:v>Supplied IMDb cast-list workbook</x:v>
      </x:c>
      <x:c r="BZ645" s="14" t="str">
        <x:v>HYPERLINK is not implemented. linkLocation=https://www.imdb.com/title/tt11958610/fullcredits/,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tt11958610|nm14118009|ctsfo 1</x:v>
      </x:c>
      <x:c r="B646" s="14" t="str">
        <x:v>08</x:v>
      </x:c>
      <x:c r="C646" s="14" t="str">
        <x:v>2022_IMDb_Cast_Lists_Batch_08(1).xlsx</x:v>
      </x:c>
      <x:c r="D646" s="14" t="str">
        <x:v>Trigger Point</x:v>
      </x:c>
      <x:c r="E646" s="14" t="n">
        <x:v>101</x:v>
      </x:c>
      <x:c r="F646" s="14" t="str">
        <x:v>Trigger Point</x:v>
      </x:c>
      <x:c r="G646" s="14" t="str">
        <x:v>tt11958610</x:v>
      </x:c>
      <x:c r="H646" s="14" t="n">
        <x:v>2022</x:v>
      </x:c>
      <x:c r="I646" s="14" t="n">
        <x:v>2025</x:v>
      </x:c>
      <x:c r="J646" s="14" t="str">
        <x:v>Earlier-Production Carry-In Cohort</x:v>
      </x:c>
      <x:c r="K646" s="14" t="n">
        <x:v>2022</x:v>
      </x:c>
      <x:c r="L646" s="14" t="str">
        <x:v>Used in 2025 annual analysis</x:v>
      </x:c>
      <x:c r="M646" s="15" t="n">
        <x:v>94</x:v>
      </x:c>
      <x:c r="N646" s="14" t="str">
        <x:v>Stanley Kayley</x:v>
      </x:c>
      <x:c r="O646" s="14" t="str">
        <x:v>nm14118009</x:v>
      </x:c>
      <x:c r="P646" s="14" t="str">
        <x:v>CTSFO 1</x:v>
      </x:c>
      <x:c r="Q646" s="15" t="n">
        <x:v>1</x:v>
      </x:c>
      <x:c r="R646" s="14" t="str">
        <x:v>2025</x:v>
      </x:c>
      <x:c r="S646" s="14" t="n">
        <x:v>2025</x:v>
      </x:c>
      <x:c r="T646" s="14" t="n">
        <x:v>2025</x:v>
      </x:c>
      <x:c r="U646" s="14" t="str">
        <x:v>Explicit source first year retained</x:v>
      </x:c>
      <x:c r="V646" s="14" t="str">
        <x:v>Earliest supplied year is 2025.</x:v>
      </x:c>
      <x:c r="W646" s="14"/>
      <x:c r="X646" s="14" t="str">
        <x:v>Included</x:v>
      </x:c>
      <x:c r="Y646" s="14"/>
      <x:c r="Z646" s="14" t="str">
        <x:v>Trigger Point.docx</x:v>
      </x:c>
      <x:c r="AA646" s="14" t="str">
        <x:v>HYPERLINK is not implemented. linkLocation=https://www.imdb.com/title/tt11958610/fullcredits/,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HYPERLINK("https://en.wikipedia.org/wiki/Trigger_Point","Open source")</x:f>
        <x:v>HYPERLINK is not implemented. linkLocation=https://en.wikipedia.org/wiki/Trigger_Point,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24</x:v>
      </x:c>
      <x:c r="BP646" s="14" t="str">
        <x:v>Maximum supplied eligible IMDb cast-credit total; annual episode total not independently verified.</x:v>
      </x:c>
      <x:c r="BQ646" s="14" t="str">
        <x:v>Medium</x:v>
      </x:c>
      <x:c r="BR646" s="15" t="n">
        <x:v>1</x:v>
      </x:c>
      <x:c r="BS646" s="16" t="n">
        <x:v>0.041666666666666664</x:v>
      </x:c>
      <x:c r="BT646" s="14" t="str">
        <x:v>One episode</x:v>
      </x:c>
      <x:c r="BU646" s="14" t="str">
        <x:v>Medium</x:v>
      </x:c>
      <x:c r="BV646" s="14" t="str">
        <x:v>Derived from the supplied IMDb episode count and documented production-total proxy.</x:v>
      </x:c>
      <x:c r="BW646" s="14" t="str">
        <x:v>Unable to determine</x:v>
      </x:c>
      <x:c r="BX646" s="14" t="str">
        <x:v>Cast-list and episode data do not establish narrative prominence.</x:v>
      </x:c>
      <x:c r="BY646" s="14" t="str">
        <x:v>Supplied IMDb cast-list workbook</x:v>
      </x:c>
      <x:c r="BZ646" s="14" t="str">
        <x:v>HYPERLINK is not implemented. linkLocation=https://www.imdb.com/title/tt11958610/fullcredits/,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tt11958610|nm0924144|maggie kelsey</x:v>
      </x:c>
      <x:c r="B647" s="14" t="str">
        <x:v>08</x:v>
      </x:c>
      <x:c r="C647" s="14" t="str">
        <x:v>2022_IMDb_Cast_Lists_Batch_08(1).xlsx</x:v>
      </x:c>
      <x:c r="D647" s="14" t="str">
        <x:v>Trigger Point</x:v>
      </x:c>
      <x:c r="E647" s="14" t="n">
        <x:v>112</x:v>
      </x:c>
      <x:c r="F647" s="14" t="str">
        <x:v>Trigger Point</x:v>
      </x:c>
      <x:c r="G647" s="14" t="str">
        <x:v>tt11958610</x:v>
      </x:c>
      <x:c r="H647" s="14" t="n">
        <x:v>2022</x:v>
      </x:c>
      <x:c r="I647" s="14" t="n">
        <x:v>2025</x:v>
      </x:c>
      <x:c r="J647" s="14" t="str">
        <x:v>Earlier-Production Carry-In Cohort</x:v>
      </x:c>
      <x:c r="K647" s="14" t="n">
        <x:v>2022</x:v>
      </x:c>
      <x:c r="L647" s="14" t="str">
        <x:v>Used in 2025 annual analysis</x:v>
      </x:c>
      <x:c r="M647" s="15" t="n">
        <x:v>105</x:v>
      </x:c>
      <x:c r="N647" s="14" t="str">
        <x:v>Jenny Whiffen</x:v>
      </x:c>
      <x:c r="O647" s="14" t="str">
        <x:v>nm0924144</x:v>
      </x:c>
      <x:c r="P647" s="14" t="str">
        <x:v>Maggie Kelsey</x:v>
      </x:c>
      <x:c r="Q647" s="15" t="n">
        <x:v>1</x:v>
      </x:c>
      <x:c r="R647" s="14" t="str">
        <x:v>2025</x:v>
      </x:c>
      <x:c r="S647" s="14" t="n">
        <x:v>2025</x:v>
      </x:c>
      <x:c r="T647" s="14" t="n">
        <x:v>2025</x:v>
      </x:c>
      <x:c r="U647" s="14" t="str">
        <x:v>Explicit source first year retained</x:v>
      </x:c>
      <x:c r="V647" s="14" t="str">
        <x:v>Earliest supplied year is 2025.</x:v>
      </x:c>
      <x:c r="W647" s="14"/>
      <x:c r="X647" s="14" t="str">
        <x:v>Included</x:v>
      </x:c>
      <x:c r="Y647" s="14"/>
      <x:c r="Z647" s="14" t="str">
        <x:v>Trigger Point.docx</x:v>
      </x:c>
      <x:c r="AA647" s="14" t="str">
        <x:v>HYPERLINK is not implemented. linkLocation=https://www.imdb.com/title/tt11958610/fullcredits/,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HYPERLINK("https://en.wikipedia.org/wiki/Trigger_Point","Open source")</x:f>
        <x:v>HYPERLINK is not implemented. linkLocation=https://en.wikipedia.org/wiki/Trigger_Point,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24</x:v>
      </x:c>
      <x:c r="BP647" s="14" t="str">
        <x:v>Maximum supplied eligible IMDb cast-credit total; annual episode total not independently verified.</x:v>
      </x:c>
      <x:c r="BQ647" s="14" t="str">
        <x:v>Medium</x:v>
      </x:c>
      <x:c r="BR647" s="15" t="n">
        <x:v>1</x:v>
      </x:c>
      <x:c r="BS647" s="16" t="n">
        <x:v>0.041666666666666664</x:v>
      </x:c>
      <x:c r="BT647" s="14" t="str">
        <x:v>One episode</x:v>
      </x:c>
      <x:c r="BU647" s="14" t="str">
        <x:v>Medium</x:v>
      </x:c>
      <x:c r="BV647" s="14" t="str">
        <x:v>Derived from the supplied IMDb episode count and documented production-total proxy.</x:v>
      </x:c>
      <x:c r="BW647" s="14" t="str">
        <x:v>Unable to determine</x:v>
      </x:c>
      <x:c r="BX647" s="14" t="str">
        <x:v>Cast-list and episode data do not establish narrative prominence.</x:v>
      </x:c>
      <x:c r="BY647" s="14" t="str">
        <x:v>Supplied IMDb cast-list workbook</x:v>
      </x:c>
      <x:c r="BZ647" s="14" t="str">
        <x:v>HYPERLINK is not implemented. linkLocation=https://www.imdb.com/title/tt11958610/fullcredits/,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tt11958610|nm17344183|tessa cullen</x:v>
      </x:c>
      <x:c r="B648" s="14" t="str">
        <x:v>08</x:v>
      </x:c>
      <x:c r="C648" s="14" t="str">
        <x:v>2022_IMDb_Cast_Lists_Batch_08(1).xlsx</x:v>
      </x:c>
      <x:c r="D648" s="14" t="str">
        <x:v>Trigger Point</x:v>
      </x:c>
      <x:c r="E648" s="14" t="n">
        <x:v>128</x:v>
      </x:c>
      <x:c r="F648" s="14" t="str">
        <x:v>Trigger Point</x:v>
      </x:c>
      <x:c r="G648" s="14" t="str">
        <x:v>tt11958610</x:v>
      </x:c>
      <x:c r="H648" s="14" t="n">
        <x:v>2022</x:v>
      </x:c>
      <x:c r="I648" s="14" t="n">
        <x:v>2025</x:v>
      </x:c>
      <x:c r="J648" s="14" t="str">
        <x:v>Earlier-Production Carry-In Cohort</x:v>
      </x:c>
      <x:c r="K648" s="14" t="n">
        <x:v>2022</x:v>
      </x:c>
      <x:c r="L648" s="14" t="str">
        <x:v>Used in 2025 annual analysis</x:v>
      </x:c>
      <x:c r="M648" s="15" t="n">
        <x:v>121</x:v>
      </x:c>
      <x:c r="N648" s="14" t="str">
        <x:v>Katie Higgins</x:v>
      </x:c>
      <x:c r="O648" s="14" t="str">
        <x:v>nm17344183</x:v>
      </x:c>
      <x:c r="P648" s="14" t="str">
        <x:v>Tessa Cullen</x:v>
      </x:c>
      <x:c r="Q648" s="15" t="n">
        <x:v>1</x:v>
      </x:c>
      <x:c r="R648" s="14" t="str">
        <x:v>2025</x:v>
      </x:c>
      <x:c r="S648" s="14" t="n">
        <x:v>2025</x:v>
      </x:c>
      <x:c r="T648" s="14" t="n">
        <x:v>2025</x:v>
      </x:c>
      <x:c r="U648" s="14" t="str">
        <x:v>Explicit source first year retained</x:v>
      </x:c>
      <x:c r="V648" s="14" t="str">
        <x:v>Earliest supplied year is 2025.</x:v>
      </x:c>
      <x:c r="W648" s="14"/>
      <x:c r="X648" s="14" t="str">
        <x:v>Included</x:v>
      </x:c>
      <x:c r="Y648" s="14"/>
      <x:c r="Z648" s="14" t="str">
        <x:v>Trigger Point.docx</x:v>
      </x:c>
      <x:c r="AA648" s="14" t="str">
        <x:v>HYPERLINK is not implemented. linkLocation=https://www.imdb.com/title/tt11958610/fullcredits/,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HYPERLINK("https://en.wikipedia.org/wiki/Trigger_Point","Open source")</x:f>
        <x:v>HYPERLINK is not implemented. linkLocation=https://en.wikipedia.org/wiki/Trigger_Point,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24</x:v>
      </x:c>
      <x:c r="BP648" s="14" t="str">
        <x:v>Maximum supplied eligible IMDb cast-credit total; annual episode total not independently verified.</x:v>
      </x:c>
      <x:c r="BQ648" s="14" t="str">
        <x:v>Medium</x:v>
      </x:c>
      <x:c r="BR648" s="15" t="n">
        <x:v>1</x:v>
      </x:c>
      <x:c r="BS648" s="16" t="n">
        <x:v>0.041666666666666664</x:v>
      </x:c>
      <x:c r="BT648" s="14" t="str">
        <x:v>One episode</x:v>
      </x:c>
      <x:c r="BU648" s="14" t="str">
        <x:v>Medium</x:v>
      </x:c>
      <x:c r="BV648" s="14" t="str">
        <x:v>Derived from the supplied IMDb episode count and documented production-total proxy.</x:v>
      </x:c>
      <x:c r="BW648" s="14" t="str">
        <x:v>Unable to determine</x:v>
      </x:c>
      <x:c r="BX648" s="14" t="str">
        <x:v>Cast-list and episode data do not establish narrative prominence.</x:v>
      </x:c>
      <x:c r="BY648" s="14" t="str">
        <x:v>Supplied IMDb cast-list workbook</x:v>
      </x:c>
      <x:c r="BZ648" s="14" t="str">
        <x:v>HYPERLINK is not implemented. linkLocation=https://www.imdb.com/title/tt11958610/fullcredits/,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tt11958610|nm4902054|met police officer</x:v>
      </x:c>
      <x:c r="B649" s="14" t="str">
        <x:v>08</x:v>
      </x:c>
      <x:c r="C649" s="14" t="str">
        <x:v>2022_IMDb_Cast_Lists_Batch_08(1).xlsx</x:v>
      </x:c>
      <x:c r="D649" s="14" t="str">
        <x:v>Trigger Point</x:v>
      </x:c>
      <x:c r="E649" s="14" t="n">
        <x:v>129</x:v>
      </x:c>
      <x:c r="F649" s="14" t="str">
        <x:v>Trigger Point</x:v>
      </x:c>
      <x:c r="G649" s="14" t="str">
        <x:v>tt11958610</x:v>
      </x:c>
      <x:c r="H649" s="14" t="n">
        <x:v>2022</x:v>
      </x:c>
      <x:c r="I649" s="14" t="n">
        <x:v>2025</x:v>
      </x:c>
      <x:c r="J649" s="14" t="str">
        <x:v>Earlier-Production Carry-In Cohort</x:v>
      </x:c>
      <x:c r="K649" s="14" t="n">
        <x:v>2022</x:v>
      </x:c>
      <x:c r="L649" s="14" t="str">
        <x:v>Used in 2025 annual analysis</x:v>
      </x:c>
      <x:c r="M649" s="15" t="n">
        <x:v>122</x:v>
      </x:c>
      <x:c r="N649" s="14" t="str">
        <x:v>Tina Tancak</x:v>
      </x:c>
      <x:c r="O649" s="14" t="str">
        <x:v>nm4902054</x:v>
      </x:c>
      <x:c r="P649" s="14" t="str">
        <x:v>Met Police Officer</x:v>
      </x:c>
      <x:c r="Q649" s="15" t="n">
        <x:v>1</x:v>
      </x:c>
      <x:c r="R649" s="14" t="str">
        <x:v>2025</x:v>
      </x:c>
      <x:c r="S649" s="14" t="n">
        <x:v>2025</x:v>
      </x:c>
      <x:c r="T649" s="14" t="n">
        <x:v>2025</x:v>
      </x:c>
      <x:c r="U649" s="14" t="str">
        <x:v>Explicit source first year retained</x:v>
      </x:c>
      <x:c r="V649" s="14" t="str">
        <x:v>Earliest supplied year is 2025.</x:v>
      </x:c>
      <x:c r="W649" s="14"/>
      <x:c r="X649" s="14" t="str">
        <x:v>Included</x:v>
      </x:c>
      <x:c r="Y649" s="14"/>
      <x:c r="Z649" s="14" t="str">
        <x:v>Trigger Point.docx</x:v>
      </x:c>
      <x:c r="AA649" s="14" t="str">
        <x:v>HYPERLINK is not implemented. linkLocation=https://www.imdb.com/title/tt11958610/fullcredits/,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HYPERLINK("https://en.wikipedia.org/wiki/Trigger_Point","Open source")</x:f>
        <x:v>HYPERLINK is not implemented. linkLocation=https://en.wikipedia.org/wiki/Trigger_Point,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24</x:v>
      </x:c>
      <x:c r="BP649" s="14" t="str">
        <x:v>Maximum supplied eligible IMDb cast-credit total; annual episode total not independently verified.</x:v>
      </x:c>
      <x:c r="BQ649" s="14" t="str">
        <x:v>Medium</x:v>
      </x:c>
      <x:c r="BR649" s="15" t="n">
        <x:v>1</x:v>
      </x:c>
      <x:c r="BS649" s="16" t="n">
        <x:v>0.041666666666666664</x:v>
      </x:c>
      <x:c r="BT649" s="14" t="str">
        <x:v>One episode</x:v>
      </x:c>
      <x:c r="BU649" s="14" t="str">
        <x:v>Medium</x:v>
      </x:c>
      <x:c r="BV649" s="14" t="str">
        <x:v>Derived from the supplied IMDb episode count and documented production-total proxy.</x:v>
      </x:c>
      <x:c r="BW649" s="14" t="str">
        <x:v>Unable to determine</x:v>
      </x:c>
      <x:c r="BX649" s="14" t="str">
        <x:v>Cast-list and episode data do not establish narrative prominence.</x:v>
      </x:c>
      <x:c r="BY649" s="14" t="str">
        <x:v>Supplied IMDb cast-list workbook</x:v>
      </x:c>
      <x:c r="BZ649" s="14" t="str">
        <x:v>HYPERLINK is not implemented. linkLocation=https://www.imdb.com/title/tt11958610/fullcredits/,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tt11639300|nm14676906|bruno</x:v>
      </x:c>
      <x:c r="B650" s="14" t="str">
        <x:v>02</x:v>
      </x:c>
      <x:c r="C650" s="14" t="str">
        <x:v>2021_IMDb_Cast_Lists_Batch_02(1).xlsx</x:v>
      </x:c>
      <x:c r="D650" s="14" t="str">
        <x:v>Grace</x:v>
      </x:c>
      <x:c r="E650" s="14" t="n">
        <x:v>19</x:v>
      </x:c>
      <x:c r="F650" s="14" t="str">
        <x:v>Grace</x:v>
      </x:c>
      <x:c r="G650" s="14" t="str">
        <x:v>tt11639300</x:v>
      </x:c>
      <x:c r="H650" s="14" t="n">
        <x:v>2021</x:v>
      </x:c>
      <x:c r="I650" s="14" t="n">
        <x:v>2025</x:v>
      </x:c>
      <x:c r="J650" s="14" t="str">
        <x:v>Earlier-Production Carry-In Cohort</x:v>
      </x:c>
      <x:c r="K650" s="14" t="n">
        <x:v>2021</x:v>
      </x:c>
      <x:c r="L650" s="14" t="str">
        <x:v>Used in 2025 annual analysis</x:v>
      </x:c>
      <x:c r="M650" s="15" t="n">
        <x:v>12</x:v>
      </x:c>
      <x:c r="N650" s="14" t="str">
        <x:v>Finn Guegan</x:v>
      </x:c>
      <x:c r="O650" s="14" t="str">
        <x:v>nm14676906</x:v>
      </x:c>
      <x:c r="P650" s="14" t="str">
        <x:v>Bruno</x:v>
      </x:c>
      <x:c r="Q650" s="15" t="n">
        <x:v>7</x:v>
      </x:c>
      <x:c r="R650" s="14" t="str">
        <x:v>2025–2026</x:v>
      </x:c>
      <x:c r="S650" s="14" t="n">
        <x:v>2025</x:v>
      </x:c>
      <x:c r="T650" s="14" t="n">
        <x:v>2025</x:v>
      </x:c>
      <x:c r="U650" s="14" t="str">
        <x:v>Post-2021 casting excluded</x:v>
      </x:c>
      <x:c r="V650" s="14" t="str">
        <x:v>Earliest supplied year is 2025, later than the 2021 study year.</x:v>
      </x:c>
      <x:c r="W650" s="14"/>
      <x:c r="X650" s="14" t="str">
        <x:v>Included</x:v>
      </x:c>
      <x:c r="Y650" s="14"/>
      <x:c r="Z650" s="14" t="str">
        <x:v>Grace.docx</x:v>
      </x:c>
      <x:c r="AA650" s="14" t="str">
        <x:v>HYPERLINK is not implemented. linkLocation=https://www.imdb.com/title/tt11639300/fullcredits/,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HYPERLINK("https://en.wikipedia.org/wiki/Grace","Open source")</x:f>
        <x:v>HYPERLINK is not implemented. linkLocation=https://en.wikipedia.org/wiki/Grace,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20</x:v>
      </x:c>
      <x:c r="BP650" s="14" t="str">
        <x:v>Maximum eligible IMDb cast-credit total (20), shared by 4 performer(s); not independently verified as a 2021-only episode total.</x:v>
      </x:c>
      <x:c r="BQ650" s="14" t="str">
        <x:v>Medium</x:v>
      </x:c>
      <x:c r="BR650" s="15" t="n">
        <x:v>7</x:v>
      </x:c>
      <x:c r="BS650" s="16" t="n">
        <x:v>0.35</x:v>
      </x:c>
      <x:c r="BT650" s="14" t="str">
        <x:v>Minority of episodes</x:v>
      </x:c>
      <x:c r="BU650" s="14" t="str">
        <x:v>Medium</x:v>
      </x:c>
      <x:c r="BV650" s="14" t="str">
        <x:v>Derived from supplied IMDb episode count and the documented production-total proxy.</x:v>
      </x:c>
      <x:c r="BW650" s="14" t="str">
        <x:v>Unable to determine</x:v>
      </x:c>
      <x:c r="BX650" s="14" t="str">
        <x:v>Supplied cast data establishes the credit and episode presence but does not establish narrative prominence.</x:v>
      </x:c>
      <x:c r="BY650" s="14" t="str">
        <x:v>Supplied IMDb cast-list workbook</x:v>
      </x:c>
      <x:c r="BZ650" s="14" t="str">
        <x:v>HYPERLINK is not implemented. linkLocation=https://www.imdb.com/title/tt11639300/fullcredits/,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tt11639300|nm10433982|dc vee wilde</x:v>
      </x:c>
      <x:c r="B651" s="14" t="str">
        <x:v>02</x:v>
      </x:c>
      <x:c r="C651" s="14" t="str">
        <x:v>2021_IMDb_Cast_Lists_Batch_02(1).xlsx</x:v>
      </x:c>
      <x:c r="D651" s="14" t="str">
        <x:v>Grace</x:v>
      </x:c>
      <x:c r="E651" s="14" t="n">
        <x:v>20</x:v>
      </x:c>
      <x:c r="F651" s="14" t="str">
        <x:v>Grace</x:v>
      </x:c>
      <x:c r="G651" s="14" t="str">
        <x:v>tt11639300</x:v>
      </x:c>
      <x:c r="H651" s="14" t="n">
        <x:v>2021</x:v>
      </x:c>
      <x:c r="I651" s="14" t="n">
        <x:v>2025</x:v>
      </x:c>
      <x:c r="J651" s="14" t="str">
        <x:v>Earlier-Production Carry-In Cohort</x:v>
      </x:c>
      <x:c r="K651" s="14" t="n">
        <x:v>2021</x:v>
      </x:c>
      <x:c r="L651" s="14" t="str">
        <x:v>Used in 2025 annual analysis</x:v>
      </x:c>
      <x:c r="M651" s="15" t="n">
        <x:v>13</x:v>
      </x:c>
      <x:c r="N651" s="14" t="str">
        <x:v>Juliette Motamed</x:v>
      </x:c>
      <x:c r="O651" s="14" t="str">
        <x:v>nm10433982</x:v>
      </x:c>
      <x:c r="P651" s="14" t="str">
        <x:v>DC Vee Wilde</x:v>
      </x:c>
      <x:c r="Q651" s="15" t="n">
        <x:v>7</x:v>
      </x:c>
      <x:c r="R651" s="14" t="str">
        <x:v>2025–2026</x:v>
      </x:c>
      <x:c r="S651" s="14" t="n">
        <x:v>2025</x:v>
      </x:c>
      <x:c r="T651" s="14" t="n">
        <x:v>2025</x:v>
      </x:c>
      <x:c r="U651" s="14" t="str">
        <x:v>Post-2021 casting excluded</x:v>
      </x:c>
      <x:c r="V651" s="14" t="str">
        <x:v>Earliest supplied year is 2025, later than the 2021 study year.</x:v>
      </x:c>
      <x:c r="W651" s="14"/>
      <x:c r="X651" s="14" t="str">
        <x:v>Included</x:v>
      </x:c>
      <x:c r="Y651" s="14"/>
      <x:c r="Z651" s="14" t="str">
        <x:v>Grace.docx</x:v>
      </x:c>
      <x:c r="AA651" s="14" t="str">
        <x:v>HYPERLINK is not implemented. linkLocation=https://www.imdb.com/title/tt11639300/fullcredits/,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HYPERLINK("https://en.wikipedia.org/wiki/Grace","Open source")</x:f>
        <x:v>HYPERLINK is not implemented. linkLocation=https://en.wikipedia.org/wiki/Grace,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20</x:v>
      </x:c>
      <x:c r="BP651" s="14" t="str">
        <x:v>Maximum eligible IMDb cast-credit total (20), shared by 4 performer(s); not independently verified as a 2021-only episode total.</x:v>
      </x:c>
      <x:c r="BQ651" s="14" t="str">
        <x:v>Medium</x:v>
      </x:c>
      <x:c r="BR651" s="15" t="n">
        <x:v>7</x:v>
      </x:c>
      <x:c r="BS651" s="16" t="n">
        <x:v>0.35</x:v>
      </x:c>
      <x:c r="BT651" s="14" t="str">
        <x:v>Minority of episodes</x:v>
      </x:c>
      <x:c r="BU651" s="14" t="str">
        <x:v>Medium</x:v>
      </x:c>
      <x:c r="BV651" s="14" t="str">
        <x:v>Derived from supplied IMDb episode count and the documented production-total proxy.</x:v>
      </x:c>
      <x:c r="BW651" s="14" t="str">
        <x:v>Unable to determine</x:v>
      </x:c>
      <x:c r="BX651" s="14" t="str">
        <x:v>Supplied cast data establishes the credit and episode presence but does not establish narrative prominence.</x:v>
      </x:c>
      <x:c r="BY651" s="14" t="str">
        <x:v>Supplied IMDb cast-list workbook</x:v>
      </x:c>
      <x:c r="BZ651" s="14" t="str">
        <x:v>HYPERLINK is not implemented. linkLocation=https://www.imdb.com/title/tt11639300/fullcredits/,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tt11639300|nm1111587|pc dave cripps</x:v>
      </x:c>
      <x:c r="B652" s="14" t="str">
        <x:v>02</x:v>
      </x:c>
      <x:c r="C652" s="14" t="str">
        <x:v>2021_IMDb_Cast_Lists_Batch_02(1).xlsx</x:v>
      </x:c>
      <x:c r="D652" s="14" t="str">
        <x:v>Grace</x:v>
      </x:c>
      <x:c r="E652" s="14" t="n">
        <x:v>25</x:v>
      </x:c>
      <x:c r="F652" s="14" t="str">
        <x:v>Grace</x:v>
      </x:c>
      <x:c r="G652" s="14" t="str">
        <x:v>tt11639300</x:v>
      </x:c>
      <x:c r="H652" s="14" t="n">
        <x:v>2021</x:v>
      </x:c>
      <x:c r="I652" s="14" t="n">
        <x:v>2025</x:v>
      </x:c>
      <x:c r="J652" s="14" t="str">
        <x:v>Earlier-Production Carry-In Cohort</x:v>
      </x:c>
      <x:c r="K652" s="14" t="n">
        <x:v>2021</x:v>
      </x:c>
      <x:c r="L652" s="14" t="str">
        <x:v>Used in 2025 annual analysis</x:v>
      </x:c>
      <x:c r="M652" s="15" t="n">
        <x:v>18</x:v>
      </x:c>
      <x:c r="N652" s="14" t="str">
        <x:v>Mark Flitton</x:v>
      </x:c>
      <x:c r="O652" s="14" t="str">
        <x:v>nm1111587</x:v>
      </x:c>
      <x:c r="P652" s="14" t="str">
        <x:v>PC Dave Cripps</x:v>
      </x:c>
      <x:c r="Q652" s="15" t="n">
        <x:v>3</x:v>
      </x:c>
      <x:c r="R652" s="14" t="str">
        <x:v>2025–2026</x:v>
      </x:c>
      <x:c r="S652" s="14" t="n">
        <x:v>2025</x:v>
      </x:c>
      <x:c r="T652" s="14" t="n">
        <x:v>2025</x:v>
      </x:c>
      <x:c r="U652" s="14" t="str">
        <x:v>Post-2021 casting excluded</x:v>
      </x:c>
      <x:c r="V652" s="14" t="str">
        <x:v>Earliest supplied year is 2025, later than the 2021 study year.</x:v>
      </x:c>
      <x:c r="W652" s="14"/>
      <x:c r="X652" s="14" t="str">
        <x:v>Included</x:v>
      </x:c>
      <x:c r="Y652" s="14"/>
      <x:c r="Z652" s="14" t="str">
        <x:v>Grace.docx</x:v>
      </x:c>
      <x:c r="AA652" s="14" t="str">
        <x:v>HYPERLINK is not implemented. linkLocation=https://www.imdb.com/title/tt11639300/fullcredits/,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HYPERLINK("https://en.wikipedia.org/wiki/Grace","Open source")</x:f>
        <x:v>HYPERLINK is not implemented. linkLocation=https://en.wikipedia.org/wiki/Grace,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20</x:v>
      </x:c>
      <x:c r="BP652" s="14" t="str">
        <x:v>Maximum eligible IMDb cast-credit total (20), shared by 4 performer(s); not independently verified as a 2021-only episode total.</x:v>
      </x:c>
      <x:c r="BQ652" s="14" t="str">
        <x:v>Medium</x:v>
      </x:c>
      <x:c r="BR652" s="15" t="n">
        <x:v>3</x:v>
      </x:c>
      <x:c r="BS652" s="16" t="n">
        <x:v>0.15</x:v>
      </x:c>
      <x:c r="BT652" s="14" t="str">
        <x:v>Minority of episodes</x:v>
      </x:c>
      <x:c r="BU652" s="14" t="str">
        <x:v>Medium</x:v>
      </x:c>
      <x:c r="BV652" s="14" t="str">
        <x:v>Derived from supplied IMDb episode count and the documented production-total proxy.</x:v>
      </x:c>
      <x:c r="BW652" s="14" t="str">
        <x:v>Unable to determine</x:v>
      </x:c>
      <x:c r="BX652" s="14" t="str">
        <x:v>Supplied cast data establishes the credit and episode presence but does not establish narrative prominence.</x:v>
      </x:c>
      <x:c r="BY652" s="14" t="str">
        <x:v>Supplied IMDb cast-list workbook</x:v>
      </x:c>
      <x:c r="BZ652" s="14" t="str">
        <x:v>HYPERLINK is not implemented. linkLocation=https://www.imdb.com/title/tt11639300/fullcredits/,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tt11639300|nm0397928|man on phone / fergus doyle</x:v>
      </x:c>
      <x:c r="B653" s="14" t="str">
        <x:v>02</x:v>
      </x:c>
      <x:c r="C653" s="14" t="str">
        <x:v>2021_IMDb_Cast_Lists_Batch_02(1).xlsx</x:v>
      </x:c>
      <x:c r="D653" s="14" t="str">
        <x:v>Grace</x:v>
      </x:c>
      <x:c r="E653" s="14" t="n">
        <x:v>28</x:v>
      </x:c>
      <x:c r="F653" s="14" t="str">
        <x:v>Grace</x:v>
      </x:c>
      <x:c r="G653" s="14" t="str">
        <x:v>tt11639300</x:v>
      </x:c>
      <x:c r="H653" s="14" t="n">
        <x:v>2021</x:v>
      </x:c>
      <x:c r="I653" s="14" t="n">
        <x:v>2025</x:v>
      </x:c>
      <x:c r="J653" s="14" t="str">
        <x:v>Earlier-Production Carry-In Cohort</x:v>
      </x:c>
      <x:c r="K653" s="14" t="n">
        <x:v>2021</x:v>
      </x:c>
      <x:c r="L653" s="14" t="str">
        <x:v>Used in 2025 annual analysis</x:v>
      </x:c>
      <x:c r="M653" s="15" t="n">
        <x:v>21</x:v>
      </x:c>
      <x:c r="N653" s="14" t="str">
        <x:v>Anthony Howell</x:v>
      </x:c>
      <x:c r="O653" s="14" t="str">
        <x:v>nm0397928</x:v>
      </x:c>
      <x:c r="P653" s="14" t="str">
        <x:v>Man on Phone / Fergus Doyle</x:v>
      </x:c>
      <x:c r="Q653" s="15" t="n">
        <x:v>2</x:v>
      </x:c>
      <x:c r="R653" s="14" t="str">
        <x:v>2025–2026</x:v>
      </x:c>
      <x:c r="S653" s="14" t="n">
        <x:v>2025</x:v>
      </x:c>
      <x:c r="T653" s="14" t="n">
        <x:v>2025</x:v>
      </x:c>
      <x:c r="U653" s="14" t="str">
        <x:v>Post-2021 casting excluded</x:v>
      </x:c>
      <x:c r="V653" s="14" t="str">
        <x:v>Earliest supplied year is 2025, later than the 2021 study year.</x:v>
      </x:c>
      <x:c r="W653" s="14"/>
      <x:c r="X653" s="14" t="str">
        <x:v>Included</x:v>
      </x:c>
      <x:c r="Y653" s="14"/>
      <x:c r="Z653" s="14" t="str">
        <x:v>Grace.docx</x:v>
      </x:c>
      <x:c r="AA653" s="14" t="str">
        <x:v>HYPERLINK is not implemented. linkLocation=https://www.imdb.com/title/tt11639300/fullcredits/,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HYPERLINK("https://en.wikipedia.org/wiki/Grace","Open source")</x:f>
        <x:v>HYPERLINK is not implemented. linkLocation=https://en.wikipedia.org/wiki/Grace,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No established-register match</x:v>
      </x:c>
      <x:c r="AT653" s="14"/>
      <x:c r="AU653" s="14"/>
      <x:c r="AV653" s="14" t="str">
        <x:v>No established apparent-disability match</x:v>
      </x:c>
      <x:c r="AW653" s="14"/>
      <x:c r="AX653" s="14" t="str">
        <x:v>No</x:v>
      </x:c>
      <x:c r="AY653" s="14" t="str">
        <x:v>Unmatched</x:v>
      </x:c>
      <x:c r="AZ653" s="14" t="str">
        <x:v>Final supplied register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20</x:v>
      </x:c>
      <x:c r="BP653" s="14" t="str">
        <x:v>Maximum eligible IMDb cast-credit total (20), shared by 4 performer(s); not independently verified as a 2021-only episode total.</x:v>
      </x:c>
      <x:c r="BQ653" s="14" t="str">
        <x:v>Medium</x:v>
      </x:c>
      <x:c r="BR653" s="15" t="n">
        <x:v>2</x:v>
      </x:c>
      <x:c r="BS653" s="16" t="n">
        <x:v>0.1</x:v>
      </x:c>
      <x:c r="BT653" s="14" t="str">
        <x:v>Minority of episodes</x:v>
      </x:c>
      <x:c r="BU653" s="14" t="str">
        <x:v>Medium</x:v>
      </x:c>
      <x:c r="BV653" s="14" t="str">
        <x:v>Derived from supplied IMDb episode count and the documented production-total proxy.</x:v>
      </x:c>
      <x:c r="BW653" s="14" t="str">
        <x:v>Unable to determine</x:v>
      </x:c>
      <x:c r="BX653" s="14" t="str">
        <x:v>Supplied cast data establishes the credit and episode presence but does not establish narrative prominence.</x:v>
      </x:c>
      <x:c r="BY653" s="14" t="str">
        <x:v>Supplied IMDb cast-list workbook</x:v>
      </x:c>
      <x:c r="BZ653" s="14" t="str">
        <x:v>HYPERLINK is not implemented. linkLocation=https://www.imdb.com/title/tt11639300/fullcredits/,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tt11639300|nm12039598|tribunal chair / prosecution lawyer</x:v>
      </x:c>
      <x:c r="B654" s="14" t="str">
        <x:v>02</x:v>
      </x:c>
      <x:c r="C654" s="14" t="str">
        <x:v>2021_IMDb_Cast_Lists_Batch_02(1).xlsx</x:v>
      </x:c>
      <x:c r="D654" s="14" t="str">
        <x:v>Grace</x:v>
      </x:c>
      <x:c r="E654" s="14" t="n">
        <x:v>34</x:v>
      </x:c>
      <x:c r="F654" s="14" t="str">
        <x:v>Grace</x:v>
      </x:c>
      <x:c r="G654" s="14" t="str">
        <x:v>tt11639300</x:v>
      </x:c>
      <x:c r="H654" s="14" t="n">
        <x:v>2021</x:v>
      </x:c>
      <x:c r="I654" s="14" t="n">
        <x:v>2025</x:v>
      </x:c>
      <x:c r="J654" s="14" t="str">
        <x:v>Earlier-Production Carry-In Cohort</x:v>
      </x:c>
      <x:c r="K654" s="14" t="n">
        <x:v>2021</x:v>
      </x:c>
      <x:c r="L654" s="14" t="str">
        <x:v>Used in 2025 annual analysis</x:v>
      </x:c>
      <x:c r="M654" s="15" t="n">
        <x:v>27</x:v>
      </x:c>
      <x:c r="N654" s="14" t="str">
        <x:v>Victoria Bolt</x:v>
      </x:c>
      <x:c r="O654" s="14" t="str">
        <x:v>nm12039598</x:v>
      </x:c>
      <x:c r="P654" s="14" t="str">
        <x:v>Tribunal Chair / Prosecution Lawyer</x:v>
      </x:c>
      <x:c r="Q654" s="15" t="n">
        <x:v>2</x:v>
      </x:c>
      <x:c r="R654" s="14" t="str">
        <x:v>2025–2026</x:v>
      </x:c>
      <x:c r="S654" s="14" t="n">
        <x:v>2025</x:v>
      </x:c>
      <x:c r="T654" s="14" t="n">
        <x:v>2025</x:v>
      </x:c>
      <x:c r="U654" s="14" t="str">
        <x:v>Post-2021 casting excluded</x:v>
      </x:c>
      <x:c r="V654" s="14" t="str">
        <x:v>Earliest supplied year is 2025, later than the 2021 study year.</x:v>
      </x:c>
      <x:c r="W654" s="14"/>
      <x:c r="X654" s="14" t="str">
        <x:v>Included</x:v>
      </x:c>
      <x:c r="Y654" s="14"/>
      <x:c r="Z654" s="14" t="str">
        <x:v>Grace.docx</x:v>
      </x:c>
      <x:c r="AA654" s="14" t="str">
        <x:v>HYPERLINK is not implemented. linkLocation=https://www.imdb.com/title/tt11639300/fullcredits/,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HYPERLINK("https://en.wikipedia.org/wiki/Grace","Open source")</x:f>
        <x:v>HYPERLINK is not implemented. linkLocation=https://en.wikipedia.org/wiki/Grace,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20</x:v>
      </x:c>
      <x:c r="BP654" s="14" t="str">
        <x:v>Maximum eligible IMDb cast-credit total (20), shared by 4 performer(s); not independently verified as a 2021-only episode total.</x:v>
      </x:c>
      <x:c r="BQ654" s="14" t="str">
        <x:v>Medium</x:v>
      </x:c>
      <x:c r="BR654" s="15" t="n">
        <x:v>2</x:v>
      </x:c>
      <x:c r="BS654" s="16" t="n">
        <x:v>0.1</x:v>
      </x:c>
      <x:c r="BT654" s="14" t="str">
        <x:v>Minority of episodes</x:v>
      </x:c>
      <x:c r="BU654" s="14" t="str">
        <x:v>Medium</x:v>
      </x:c>
      <x:c r="BV654" s="14" t="str">
        <x:v>Derived from supplied IMDb episode count and the documented production-total proxy.</x:v>
      </x:c>
      <x:c r="BW654" s="14" t="str">
        <x:v>Unable to determine</x:v>
      </x:c>
      <x:c r="BX654" s="14" t="str">
        <x:v>Supplied cast data establishes the credit and episode presence but does not establish narrative prominence.</x:v>
      </x:c>
      <x:c r="BY654" s="14" t="str">
        <x:v>Supplied IMDb cast-list workbook</x:v>
      </x:c>
      <x:c r="BZ654" s="14" t="str">
        <x:v>HYPERLINK is not implemented. linkLocation=https://www.imdb.com/title/tt11639300/fullcredits/,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tt11639300|nm2041238|hannah belling</x:v>
      </x:c>
      <x:c r="B655" s="14" t="str">
        <x:v>02</x:v>
      </x:c>
      <x:c r="C655" s="14" t="str">
        <x:v>2021_IMDb_Cast_Lists_Batch_02(1).xlsx</x:v>
      </x:c>
      <x:c r="D655" s="14" t="str">
        <x:v>Grace</x:v>
      </x:c>
      <x:c r="E655" s="14" t="n">
        <x:v>41</x:v>
      </x:c>
      <x:c r="F655" s="14" t="str">
        <x:v>Grace</x:v>
      </x:c>
      <x:c r="G655" s="14" t="str">
        <x:v>tt11639300</x:v>
      </x:c>
      <x:c r="H655" s="14" t="n">
        <x:v>2021</x:v>
      </x:c>
      <x:c r="I655" s="14" t="n">
        <x:v>2025</x:v>
      </x:c>
      <x:c r="J655" s="14" t="str">
        <x:v>Earlier-Production Carry-In Cohort</x:v>
      </x:c>
      <x:c r="K655" s="14" t="n">
        <x:v>2021</x:v>
      </x:c>
      <x:c r="L655" s="14" t="str">
        <x:v>Used in 2025 annual analysis</x:v>
      </x:c>
      <x:c r="M655" s="15" t="n">
        <x:v>34</x:v>
      </x:c>
      <x:c r="N655" s="14" t="str">
        <x:v>Lisa Diveney</x:v>
      </x:c>
      <x:c r="O655" s="14" t="str">
        <x:v>nm2041238</x:v>
      </x:c>
      <x:c r="P655" s="14" t="str">
        <x:v>Hannah Belling</x:v>
      </x:c>
      <x:c r="Q655" s="15" t="n">
        <x:v>1</x:v>
      </x:c>
      <x:c r="R655" s="14" t="str">
        <x:v>2025</x:v>
      </x:c>
      <x:c r="S655" s="14" t="n">
        <x:v>2025</x:v>
      </x:c>
      <x:c r="T655" s="14" t="n">
        <x:v>2025</x:v>
      </x:c>
      <x:c r="U655" s="14" t="str">
        <x:v>Post-2021 casting excluded</x:v>
      </x:c>
      <x:c r="V655" s="14" t="str">
        <x:v>Earliest supplied year is 2025, later than the 2021 study year.</x:v>
      </x:c>
      <x:c r="W655" s="14"/>
      <x:c r="X655" s="14" t="str">
        <x:v>Included</x:v>
      </x:c>
      <x:c r="Y655" s="14"/>
      <x:c r="Z655" s="14" t="str">
        <x:v>Grace.docx</x:v>
      </x:c>
      <x:c r="AA655" s="14" t="str">
        <x:v>HYPERLINK is not implemented. linkLocation=https://www.imdb.com/title/tt11639300/fullcredits/,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HYPERLINK("https://en.wikipedia.org/wiki/Grace","Open source")</x:f>
        <x:v>HYPERLINK is not implemented. linkLocation=https://en.wikipedia.org/wiki/Grace,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20</x:v>
      </x:c>
      <x:c r="BP655" s="14" t="str">
        <x:v>Maximum eligible IMDb cast-credit total (20), shared by 4 performer(s); not independently verified as a 2021-only episode total.</x:v>
      </x:c>
      <x:c r="BQ655" s="14" t="str">
        <x:v>Medium</x:v>
      </x:c>
      <x:c r="BR655" s="15" t="n">
        <x:v>1</x:v>
      </x:c>
      <x:c r="BS655" s="16" t="n">
        <x:v>0.05</x:v>
      </x:c>
      <x:c r="BT655" s="14" t="str">
        <x:v>One episode</x:v>
      </x:c>
      <x:c r="BU655" s="14" t="str">
        <x:v>Medium</x:v>
      </x:c>
      <x:c r="BV655" s="14" t="str">
        <x:v>Derived from supplied IMDb episode count and the documented production-total proxy.</x:v>
      </x:c>
      <x:c r="BW655" s="14" t="str">
        <x:v>Unable to determine</x:v>
      </x:c>
      <x:c r="BX655" s="14" t="str">
        <x:v>Supplied cast data establishes the credit and episode presence but does not establish narrative prominence.</x:v>
      </x:c>
      <x:c r="BY655" s="14" t="str">
        <x:v>Supplied IMDb cast-list workbook</x:v>
      </x:c>
      <x:c r="BZ655" s="14" t="str">
        <x:v>HYPERLINK is not implemented. linkLocation=https://www.imdb.com/title/tt11639300/fullcredits/,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tt11639300|nm2957851|emily harton</x:v>
      </x:c>
      <x:c r="B656" s="14" t="str">
        <x:v>02</x:v>
      </x:c>
      <x:c r="C656" s="14" t="str">
        <x:v>2021_IMDb_Cast_Lists_Batch_02(1).xlsx</x:v>
      </x:c>
      <x:c r="D656" s="14" t="str">
        <x:v>Grace</x:v>
      </x:c>
      <x:c r="E656" s="14" t="n">
        <x:v>42</x:v>
      </x:c>
      <x:c r="F656" s="14" t="str">
        <x:v>Grace</x:v>
      </x:c>
      <x:c r="G656" s="14" t="str">
        <x:v>tt11639300</x:v>
      </x:c>
      <x:c r="H656" s="14" t="n">
        <x:v>2021</x:v>
      </x:c>
      <x:c r="I656" s="14" t="n">
        <x:v>2025</x:v>
      </x:c>
      <x:c r="J656" s="14" t="str">
        <x:v>Earlier-Production Carry-In Cohort</x:v>
      </x:c>
      <x:c r="K656" s="14" t="n">
        <x:v>2021</x:v>
      </x:c>
      <x:c r="L656" s="14" t="str">
        <x:v>Used in 2025 annual analysis</x:v>
      </x:c>
      <x:c r="M656" s="15" t="n">
        <x:v>35</x:v>
      </x:c>
      <x:c r="N656" s="14" t="str">
        <x:v>Juliet Oldfield</x:v>
      </x:c>
      <x:c r="O656" s="14" t="str">
        <x:v>nm2957851</x:v>
      </x:c>
      <x:c r="P656" s="14" t="str">
        <x:v>Emily Harton</x:v>
      </x:c>
      <x:c r="Q656" s="15" t="n">
        <x:v>1</x:v>
      </x:c>
      <x:c r="R656" s="14" t="str">
        <x:v>2025</x:v>
      </x:c>
      <x:c r="S656" s="14" t="n">
        <x:v>2025</x:v>
      </x:c>
      <x:c r="T656" s="14" t="n">
        <x:v>2025</x:v>
      </x:c>
      <x:c r="U656" s="14" t="str">
        <x:v>Post-2021 casting excluded</x:v>
      </x:c>
      <x:c r="V656" s="14" t="str">
        <x:v>Earliest supplied year is 2025, later than the 2021 study year.</x:v>
      </x:c>
      <x:c r="W656" s="14"/>
      <x:c r="X656" s="14" t="str">
        <x:v>Included</x:v>
      </x:c>
      <x:c r="Y656" s="14"/>
      <x:c r="Z656" s="14" t="str">
        <x:v>Grace.docx</x:v>
      </x:c>
      <x:c r="AA656" s="14" t="str">
        <x:v>HYPERLINK is not implemented. linkLocation=https://www.imdb.com/title/tt11639300/fullcredits/,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HYPERLINK("https://en.wikipedia.org/wiki/Grace","Open source")</x:f>
        <x:v>HYPERLINK is not implemented. linkLocation=https://en.wikipedia.org/wiki/Grace,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20</x:v>
      </x:c>
      <x:c r="BP656" s="14" t="str">
        <x:v>Maximum eligible IMDb cast-credit total (20), shared by 4 performer(s); not independently verified as a 2021-only episode total.</x:v>
      </x:c>
      <x:c r="BQ656" s="14" t="str">
        <x:v>Medium</x:v>
      </x:c>
      <x:c r="BR656" s="15" t="n">
        <x:v>1</x:v>
      </x:c>
      <x:c r="BS656" s="16" t="n">
        <x:v>0.05</x:v>
      </x:c>
      <x:c r="BT656" s="14" t="str">
        <x:v>One episode</x:v>
      </x:c>
      <x:c r="BU656" s="14" t="str">
        <x:v>Medium</x:v>
      </x:c>
      <x:c r="BV656" s="14" t="str">
        <x:v>Derived from supplied IMDb episode count and the documented production-total proxy.</x:v>
      </x:c>
      <x:c r="BW656" s="14" t="str">
        <x:v>Unable to determine</x:v>
      </x:c>
      <x:c r="BX656" s="14" t="str">
        <x:v>Supplied cast data establishes the credit and episode presence but does not establish narrative prominence.</x:v>
      </x:c>
      <x:c r="BY656" s="14" t="str">
        <x:v>Supplied IMDb cast-list workbook</x:v>
      </x:c>
      <x:c r="BZ656" s="14" t="str">
        <x:v>HYPERLINK is not implemented. linkLocation=https://www.imdb.com/title/tt11639300/fullcredits/,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tt11639300|nm10650868|jasmine alson</x:v>
      </x:c>
      <x:c r="B657" s="14" t="str">
        <x:v>02</x:v>
      </x:c>
      <x:c r="C657" s="14" t="str">
        <x:v>2021_IMDb_Cast_Lists_Batch_02(1).xlsx</x:v>
      </x:c>
      <x:c r="D657" s="14" t="str">
        <x:v>Grace</x:v>
      </x:c>
      <x:c r="E657" s="14" t="n">
        <x:v>55</x:v>
      </x:c>
      <x:c r="F657" s="14" t="str">
        <x:v>Grace</x:v>
      </x:c>
      <x:c r="G657" s="14" t="str">
        <x:v>tt11639300</x:v>
      </x:c>
      <x:c r="H657" s="14" t="n">
        <x:v>2021</x:v>
      </x:c>
      <x:c r="I657" s="14" t="n">
        <x:v>2025</x:v>
      </x:c>
      <x:c r="J657" s="14" t="str">
        <x:v>Earlier-Production Carry-In Cohort</x:v>
      </x:c>
      <x:c r="K657" s="14" t="n">
        <x:v>2021</x:v>
      </x:c>
      <x:c r="L657" s="14" t="str">
        <x:v>Used in 2025 annual analysis</x:v>
      </x:c>
      <x:c r="M657" s="15" t="n">
        <x:v>48</x:v>
      </x:c>
      <x:c r="N657" s="14" t="str">
        <x:v>Shanay Neusum-James</x:v>
      </x:c>
      <x:c r="O657" s="14" t="str">
        <x:v>nm10650868</x:v>
      </x:c>
      <x:c r="P657" s="14" t="str">
        <x:v>Jasmine Alson</x:v>
      </x:c>
      <x:c r="Q657" s="15" t="n">
        <x:v>1</x:v>
      </x:c>
      <x:c r="R657" s="14" t="str">
        <x:v>2025</x:v>
      </x:c>
      <x:c r="S657" s="14" t="n">
        <x:v>2025</x:v>
      </x:c>
      <x:c r="T657" s="14" t="n">
        <x:v>2025</x:v>
      </x:c>
      <x:c r="U657" s="14" t="str">
        <x:v>Post-2021 casting excluded</x:v>
      </x:c>
      <x:c r="V657" s="14" t="str">
        <x:v>Earliest supplied year is 2025, later than the 2021 study year.</x:v>
      </x:c>
      <x:c r="W657" s="14"/>
      <x:c r="X657" s="14" t="str">
        <x:v>Included</x:v>
      </x:c>
      <x:c r="Y657" s="14"/>
      <x:c r="Z657" s="14" t="str">
        <x:v>Grace.docx</x:v>
      </x:c>
      <x:c r="AA657" s="14" t="str">
        <x:v>HYPERLINK is not implemented. linkLocation=https://www.imdb.com/title/tt11639300/fullcredits/,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HYPERLINK("https://en.wikipedia.org/wiki/Grace","Open source")</x:f>
        <x:v>HYPERLINK is not implemented. linkLocation=https://en.wikipedia.org/wiki/Grace,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20</x:v>
      </x:c>
      <x:c r="BP657" s="14" t="str">
        <x:v>Maximum eligible IMDb cast-credit total (20), shared by 4 performer(s); not independently verified as a 2021-only episode total.</x:v>
      </x:c>
      <x:c r="BQ657" s="14" t="str">
        <x:v>Medium</x:v>
      </x:c>
      <x:c r="BR657" s="15" t="n">
        <x:v>1</x:v>
      </x:c>
      <x:c r="BS657" s="16" t="n">
        <x:v>0.05</x:v>
      </x:c>
      <x:c r="BT657" s="14" t="str">
        <x:v>One episode</x:v>
      </x:c>
      <x:c r="BU657" s="14" t="str">
        <x:v>Medium</x:v>
      </x:c>
      <x:c r="BV657" s="14" t="str">
        <x:v>Derived from supplied IMDb episode count and the documented production-total proxy.</x:v>
      </x:c>
      <x:c r="BW657" s="14" t="str">
        <x:v>Unable to determine</x:v>
      </x:c>
      <x:c r="BX657" s="14" t="str">
        <x:v>Supplied cast data establishes the credit and episode presence but does not establish narrative prominence.</x:v>
      </x:c>
      <x:c r="BY657" s="14" t="str">
        <x:v>Supplied IMDb cast-list workbook</x:v>
      </x:c>
      <x:c r="BZ657" s="14" t="str">
        <x:v>HYPERLINK is not implemented. linkLocation=https://www.imdb.com/title/tt11639300/fullcredits/,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tt11639300|nm7725793|toby seward</x:v>
      </x:c>
      <x:c r="B658" s="14" t="str">
        <x:v>02</x:v>
      </x:c>
      <x:c r="C658" s="14" t="str">
        <x:v>2021_IMDb_Cast_Lists_Batch_02(1).xlsx</x:v>
      </x:c>
      <x:c r="D658" s="14" t="str">
        <x:v>Grace</x:v>
      </x:c>
      <x:c r="E658" s="14" t="n">
        <x:v>56</x:v>
      </x:c>
      <x:c r="F658" s="14" t="str">
        <x:v>Grace</x:v>
      </x:c>
      <x:c r="G658" s="14" t="str">
        <x:v>tt11639300</x:v>
      </x:c>
      <x:c r="H658" s="14" t="n">
        <x:v>2021</x:v>
      </x:c>
      <x:c r="I658" s="14" t="n">
        <x:v>2025</x:v>
      </x:c>
      <x:c r="J658" s="14" t="str">
        <x:v>Earlier-Production Carry-In Cohort</x:v>
      </x:c>
      <x:c r="K658" s="14" t="n">
        <x:v>2021</x:v>
      </x:c>
      <x:c r="L658" s="14" t="str">
        <x:v>Used in 2025 annual analysis</x:v>
      </x:c>
      <x:c r="M658" s="15" t="n">
        <x:v>49</x:v>
      </x:c>
      <x:c r="N658" s="14" t="str">
        <x:v>Ben Cutler</x:v>
      </x:c>
      <x:c r="O658" s="14" t="str">
        <x:v>nm7725793</x:v>
      </x:c>
      <x:c r="P658" s="14" t="str">
        <x:v>Toby Seward</x:v>
      </x:c>
      <x:c r="Q658" s="15" t="n">
        <x:v>1</x:v>
      </x:c>
      <x:c r="R658" s="14" t="str">
        <x:v>2025</x:v>
      </x:c>
      <x:c r="S658" s="14" t="n">
        <x:v>2025</x:v>
      </x:c>
      <x:c r="T658" s="14" t="n">
        <x:v>2025</x:v>
      </x:c>
      <x:c r="U658" s="14" t="str">
        <x:v>Post-2021 casting excluded</x:v>
      </x:c>
      <x:c r="V658" s="14" t="str">
        <x:v>Earliest supplied year is 2025, later than the 2021 study year.</x:v>
      </x:c>
      <x:c r="W658" s="14"/>
      <x:c r="X658" s="14" t="str">
        <x:v>Included</x:v>
      </x:c>
      <x:c r="Y658" s="14"/>
      <x:c r="Z658" s="14" t="str">
        <x:v>Grace.docx</x:v>
      </x:c>
      <x:c r="AA658" s="14" t="str">
        <x:v>HYPERLINK is not implemented. linkLocation=https://www.imdb.com/title/tt11639300/fullcredits/,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HYPERLINK("https://en.wikipedia.org/wiki/Grace","Open source")</x:f>
        <x:v>HYPERLINK is not implemented. linkLocation=https://en.wikipedia.org/wiki/Grace,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20</x:v>
      </x:c>
      <x:c r="BP658" s="14" t="str">
        <x:v>Maximum eligible IMDb cast-credit total (20), shared by 4 performer(s); not independently verified as a 2021-only episode total.</x:v>
      </x:c>
      <x:c r="BQ658" s="14" t="str">
        <x:v>Medium</x:v>
      </x:c>
      <x:c r="BR658" s="15" t="n">
        <x:v>1</x:v>
      </x:c>
      <x:c r="BS658" s="16" t="n">
        <x:v>0.05</x:v>
      </x:c>
      <x:c r="BT658" s="14" t="str">
        <x:v>One episode</x:v>
      </x:c>
      <x:c r="BU658" s="14" t="str">
        <x:v>Medium</x:v>
      </x:c>
      <x:c r="BV658" s="14" t="str">
        <x:v>Derived from supplied IMDb episode count and the documented production-total proxy.</x:v>
      </x:c>
      <x:c r="BW658" s="14" t="str">
        <x:v>Unable to determine</x:v>
      </x:c>
      <x:c r="BX658" s="14" t="str">
        <x:v>Supplied cast data establishes the credit and episode presence but does not establish narrative prominence.</x:v>
      </x:c>
      <x:c r="BY658" s="14" t="str">
        <x:v>Supplied IMDb cast-list workbook</x:v>
      </x:c>
      <x:c r="BZ658" s="14" t="str">
        <x:v>HYPERLINK is not implemented. linkLocation=https://www.imdb.com/title/tt11639300/fullcredits/,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tt11639300|nm1469291|charlotte seward</x:v>
      </x:c>
      <x:c r="B659" s="14" t="str">
        <x:v>02</x:v>
      </x:c>
      <x:c r="C659" s="14" t="str">
        <x:v>2021_IMDb_Cast_Lists_Batch_02(1).xlsx</x:v>
      </x:c>
      <x:c r="D659" s="14" t="str">
        <x:v>Grace</x:v>
      </x:c>
      <x:c r="E659" s="14" t="n">
        <x:v>66</x:v>
      </x:c>
      <x:c r="F659" s="14" t="str">
        <x:v>Grace</x:v>
      </x:c>
      <x:c r="G659" s="14" t="str">
        <x:v>tt11639300</x:v>
      </x:c>
      <x:c r="H659" s="14" t="n">
        <x:v>2021</x:v>
      </x:c>
      <x:c r="I659" s="14" t="n">
        <x:v>2025</x:v>
      </x:c>
      <x:c r="J659" s="14" t="str">
        <x:v>Earlier-Production Carry-In Cohort</x:v>
      </x:c>
      <x:c r="K659" s="14" t="n">
        <x:v>2021</x:v>
      </x:c>
      <x:c r="L659" s="14" t="str">
        <x:v>Used in 2025 annual analysis</x:v>
      </x:c>
      <x:c r="M659" s="15" t="n">
        <x:v>59</x:v>
      </x:c>
      <x:c r="N659" s="14" t="str">
        <x:v>Cat Simmons</x:v>
      </x:c>
      <x:c r="O659" s="14" t="str">
        <x:v>nm1469291</x:v>
      </x:c>
      <x:c r="P659" s="14" t="str">
        <x:v>Charlotte Seward</x:v>
      </x:c>
      <x:c r="Q659" s="15" t="n">
        <x:v>1</x:v>
      </x:c>
      <x:c r="R659" s="14" t="str">
        <x:v>2025</x:v>
      </x:c>
      <x:c r="S659" s="14" t="n">
        <x:v>2025</x:v>
      </x:c>
      <x:c r="T659" s="14" t="n">
        <x:v>2025</x:v>
      </x:c>
      <x:c r="U659" s="14" t="str">
        <x:v>Post-2021 casting excluded</x:v>
      </x:c>
      <x:c r="V659" s="14" t="str">
        <x:v>Earliest supplied year is 2025, later than the 2021 study year.</x:v>
      </x:c>
      <x:c r="W659" s="14"/>
      <x:c r="X659" s="14" t="str">
        <x:v>Included</x:v>
      </x:c>
      <x:c r="Y659" s="14"/>
      <x:c r="Z659" s="14" t="str">
        <x:v>Grace.docx</x:v>
      </x:c>
      <x:c r="AA659" s="14" t="str">
        <x:v>HYPERLINK is not implemented. linkLocation=https://www.imdb.com/title/tt11639300/fullcredits/,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HYPERLINK("https://en.wikipedia.org/wiki/Grace","Open source")</x:f>
        <x:v>HYPERLINK is not implemented. linkLocation=https://en.wikipedia.org/wiki/Grace,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20</x:v>
      </x:c>
      <x:c r="BP659" s="14" t="str">
        <x:v>Maximum eligible IMDb cast-credit total (20), shared by 4 performer(s); not independently verified as a 2021-only episode total.</x:v>
      </x:c>
      <x:c r="BQ659" s="14" t="str">
        <x:v>Medium</x:v>
      </x:c>
      <x:c r="BR659" s="15" t="n">
        <x:v>1</x:v>
      </x:c>
      <x:c r="BS659" s="16" t="n">
        <x:v>0.05</x:v>
      </x:c>
      <x:c r="BT659" s="14" t="str">
        <x:v>One episode</x:v>
      </x:c>
      <x:c r="BU659" s="14" t="str">
        <x:v>Medium</x:v>
      </x:c>
      <x:c r="BV659" s="14" t="str">
        <x:v>Derived from supplied IMDb episode count and the documented production-total proxy.</x:v>
      </x:c>
      <x:c r="BW659" s="14" t="str">
        <x:v>Unable to determine</x:v>
      </x:c>
      <x:c r="BX659" s="14" t="str">
        <x:v>Supplied cast data establishes the credit and episode presence but does not establish narrative prominence.</x:v>
      </x:c>
      <x:c r="BY659" s="14" t="str">
        <x:v>Supplied IMDb cast-list workbook</x:v>
      </x:c>
      <x:c r="BZ659" s="14" t="str">
        <x:v>HYPERLINK is not implemented. linkLocation=https://www.imdb.com/title/tt11639300/fullcredits/,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tt11639300|nm2467286|sara joshi</x:v>
      </x:c>
      <x:c r="B660" s="14" t="str">
        <x:v>02</x:v>
      </x:c>
      <x:c r="C660" s="14" t="str">
        <x:v>2021_IMDb_Cast_Lists_Batch_02(1).xlsx</x:v>
      </x:c>
      <x:c r="D660" s="14" t="str">
        <x:v>Grace</x:v>
      </x:c>
      <x:c r="E660" s="14" t="n">
        <x:v>67</x:v>
      </x:c>
      <x:c r="F660" s="14" t="str">
        <x:v>Grace</x:v>
      </x:c>
      <x:c r="G660" s="14" t="str">
        <x:v>tt11639300</x:v>
      </x:c>
      <x:c r="H660" s="14" t="n">
        <x:v>2021</x:v>
      </x:c>
      <x:c r="I660" s="14" t="n">
        <x:v>2025</x:v>
      </x:c>
      <x:c r="J660" s="14" t="str">
        <x:v>Earlier-Production Carry-In Cohort</x:v>
      </x:c>
      <x:c r="K660" s="14" t="n">
        <x:v>2021</x:v>
      </x:c>
      <x:c r="L660" s="14" t="str">
        <x:v>Used in 2025 annual analysis</x:v>
      </x:c>
      <x:c r="M660" s="15" t="n">
        <x:v>60</x:v>
      </x:c>
      <x:c r="N660" s="14" t="str">
        <x:v>Kiran Landa</x:v>
      </x:c>
      <x:c r="O660" s="14" t="str">
        <x:v>nm2467286</x:v>
      </x:c>
      <x:c r="P660" s="14" t="str">
        <x:v>Sara Joshi</x:v>
      </x:c>
      <x:c r="Q660" s="15" t="n">
        <x:v>1</x:v>
      </x:c>
      <x:c r="R660" s="14" t="str">
        <x:v>2025</x:v>
      </x:c>
      <x:c r="S660" s="14" t="n">
        <x:v>2025</x:v>
      </x:c>
      <x:c r="T660" s="14" t="n">
        <x:v>2025</x:v>
      </x:c>
      <x:c r="U660" s="14" t="str">
        <x:v>Post-2021 casting excluded</x:v>
      </x:c>
      <x:c r="V660" s="14" t="str">
        <x:v>Earliest supplied year is 2025, later than the 2021 study year.</x:v>
      </x:c>
      <x:c r="W660" s="14"/>
      <x:c r="X660" s="14" t="str">
        <x:v>Included</x:v>
      </x:c>
      <x:c r="Y660" s="14"/>
      <x:c r="Z660" s="14" t="str">
        <x:v>Grace.docx</x:v>
      </x:c>
      <x:c r="AA660" s="14" t="str">
        <x:v>HYPERLINK is not implemented. linkLocation=https://www.imdb.com/title/tt11639300/fullcredits/,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HYPERLINK("https://en.wikipedia.org/wiki/Grace","Open source")</x:f>
        <x:v>HYPERLINK is not implemented. linkLocation=https://en.wikipedia.org/wiki/Grace,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20</x:v>
      </x:c>
      <x:c r="BP660" s="14" t="str">
        <x:v>Maximum eligible IMDb cast-credit total (20), shared by 4 performer(s); not independently verified as a 2021-only episode total.</x:v>
      </x:c>
      <x:c r="BQ660" s="14" t="str">
        <x:v>Medium</x:v>
      </x:c>
      <x:c r="BR660" s="15" t="n">
        <x:v>1</x:v>
      </x:c>
      <x:c r="BS660" s="16" t="n">
        <x:v>0.05</x:v>
      </x:c>
      <x:c r="BT660" s="14" t="str">
        <x:v>One episode</x:v>
      </x:c>
      <x:c r="BU660" s="14" t="str">
        <x:v>Medium</x:v>
      </x:c>
      <x:c r="BV660" s="14" t="str">
        <x:v>Derived from supplied IMDb episode count and the documented production-total proxy.</x:v>
      </x:c>
      <x:c r="BW660" s="14" t="str">
        <x:v>Unable to determine</x:v>
      </x:c>
      <x:c r="BX660" s="14" t="str">
        <x:v>Supplied cast data establishes the credit and episode presence but does not establish narrative prominence.</x:v>
      </x:c>
      <x:c r="BY660" s="14" t="str">
        <x:v>Supplied IMDb cast-list workbook</x:v>
      </x:c>
      <x:c r="BZ660" s="14" t="str">
        <x:v>HYPERLINK is not implemented. linkLocation=https://www.imdb.com/title/tt11639300/fullcredits/,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tt11639300|nm6919812|daniel 'danny' starr</x:v>
      </x:c>
      <x:c r="B661" s="14" t="str">
        <x:v>02</x:v>
      </x:c>
      <x:c r="C661" s="14" t="str">
        <x:v>2021_IMDb_Cast_Lists_Batch_02(1).xlsx</x:v>
      </x:c>
      <x:c r="D661" s="14" t="str">
        <x:v>Grace</x:v>
      </x:c>
      <x:c r="E661" s="14" t="n">
        <x:v>75</x:v>
      </x:c>
      <x:c r="F661" s="14" t="str">
        <x:v>Grace</x:v>
      </x:c>
      <x:c r="G661" s="14" t="str">
        <x:v>tt11639300</x:v>
      </x:c>
      <x:c r="H661" s="14" t="n">
        <x:v>2021</x:v>
      </x:c>
      <x:c r="I661" s="14" t="n">
        <x:v>2025</x:v>
      </x:c>
      <x:c r="J661" s="14" t="str">
        <x:v>Earlier-Production Carry-In Cohort</x:v>
      </x:c>
      <x:c r="K661" s="14" t="n">
        <x:v>2021</x:v>
      </x:c>
      <x:c r="L661" s="14" t="str">
        <x:v>Used in 2025 annual analysis</x:v>
      </x:c>
      <x:c r="M661" s="15" t="n">
        <x:v>68</x:v>
      </x:c>
      <x:c r="N661" s="14" t="str">
        <x:v>Josef Davies</x:v>
      </x:c>
      <x:c r="O661" s="14" t="str">
        <x:v>nm6919812</x:v>
      </x:c>
      <x:c r="P661" s="14" t="str">
        <x:v>Daniel 'Danny' Starr</x:v>
      </x:c>
      <x:c r="Q661" s="15" t="n">
        <x:v>1</x:v>
      </x:c>
      <x:c r="R661" s="14" t="str">
        <x:v>2025</x:v>
      </x:c>
      <x:c r="S661" s="14" t="n">
        <x:v>2025</x:v>
      </x:c>
      <x:c r="T661" s="14" t="n">
        <x:v>2025</x:v>
      </x:c>
      <x:c r="U661" s="14" t="str">
        <x:v>Post-2021 casting excluded</x:v>
      </x:c>
      <x:c r="V661" s="14" t="str">
        <x:v>Earliest supplied year is 2025, later than the 2021 study year.</x:v>
      </x:c>
      <x:c r="W661" s="14"/>
      <x:c r="X661" s="14" t="str">
        <x:v>Included</x:v>
      </x:c>
      <x:c r="Y661" s="14"/>
      <x:c r="Z661" s="14" t="str">
        <x:v>Grace.docx</x:v>
      </x:c>
      <x:c r="AA661" s="14" t="str">
        <x:v>HYPERLINK is not implemented. linkLocation=https://www.imdb.com/title/tt11639300/fullcredits/,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HYPERLINK("https://en.wikipedia.org/wiki/Grace","Open source")</x:f>
        <x:v>HYPERLINK is not implemented. linkLocation=https://en.wikipedia.org/wiki/Grace,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20</x:v>
      </x:c>
      <x:c r="BP661" s="14" t="str">
        <x:v>Maximum eligible IMDb cast-credit total (20), shared by 4 performer(s); not independently verified as a 2021-only episode total.</x:v>
      </x:c>
      <x:c r="BQ661" s="14" t="str">
        <x:v>Medium</x:v>
      </x:c>
      <x:c r="BR661" s="15" t="n">
        <x:v>1</x:v>
      </x:c>
      <x:c r="BS661" s="16" t="n">
        <x:v>0.05</x:v>
      </x:c>
      <x:c r="BT661" s="14" t="str">
        <x:v>One episode</x:v>
      </x:c>
      <x:c r="BU661" s="14" t="str">
        <x:v>Medium</x:v>
      </x:c>
      <x:c r="BV661" s="14" t="str">
        <x:v>Derived from supplied IMDb episode count and the documented production-total proxy.</x:v>
      </x:c>
      <x:c r="BW661" s="14" t="str">
        <x:v>Unable to determine</x:v>
      </x:c>
      <x:c r="BX661" s="14" t="str">
        <x:v>Supplied cast data establishes the credit and episode presence but does not establish narrative prominence.</x:v>
      </x:c>
      <x:c r="BY661" s="14" t="str">
        <x:v>Supplied IMDb cast-list workbook</x:v>
      </x:c>
      <x:c r="BZ661" s="14" t="str">
        <x:v>HYPERLINK is not implemented. linkLocation=https://www.imdb.com/title/tt11639300/fullcredits/,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tt11639300|nm2906167|jarvis brookes</x:v>
      </x:c>
      <x:c r="B662" s="14" t="str">
        <x:v>02</x:v>
      </x:c>
      <x:c r="C662" s="14" t="str">
        <x:v>2021_IMDb_Cast_Lists_Batch_02(1).xlsx</x:v>
      </x:c>
      <x:c r="D662" s="14" t="str">
        <x:v>Grace</x:v>
      </x:c>
      <x:c r="E662" s="14" t="n">
        <x:v>76</x:v>
      </x:c>
      <x:c r="F662" s="14" t="str">
        <x:v>Grace</x:v>
      </x:c>
      <x:c r="G662" s="14" t="str">
        <x:v>tt11639300</x:v>
      </x:c>
      <x:c r="H662" s="14" t="n">
        <x:v>2021</x:v>
      </x:c>
      <x:c r="I662" s="14" t="n">
        <x:v>2025</x:v>
      </x:c>
      <x:c r="J662" s="14" t="str">
        <x:v>Earlier-Production Carry-In Cohort</x:v>
      </x:c>
      <x:c r="K662" s="14" t="n">
        <x:v>2021</x:v>
      </x:c>
      <x:c r="L662" s="14" t="str">
        <x:v>Used in 2025 annual analysis</x:v>
      </x:c>
      <x:c r="M662" s="15" t="n">
        <x:v>69</x:v>
      </x:c>
      <x:c r="N662" s="14" t="str">
        <x:v>Syrus Lowe</x:v>
      </x:c>
      <x:c r="O662" s="14" t="str">
        <x:v>nm2906167</x:v>
      </x:c>
      <x:c r="P662" s="14" t="str">
        <x:v>Jarvis Brookes</x:v>
      </x:c>
      <x:c r="Q662" s="15" t="n">
        <x:v>1</x:v>
      </x:c>
      <x:c r="R662" s="14" t="str">
        <x:v>2025</x:v>
      </x:c>
      <x:c r="S662" s="14" t="n">
        <x:v>2025</x:v>
      </x:c>
      <x:c r="T662" s="14" t="n">
        <x:v>2025</x:v>
      </x:c>
      <x:c r="U662" s="14" t="str">
        <x:v>Post-2021 casting excluded</x:v>
      </x:c>
      <x:c r="V662" s="14" t="str">
        <x:v>Earliest supplied year is 2025, later than the 2021 study year.</x:v>
      </x:c>
      <x:c r="W662" s="14"/>
      <x:c r="X662" s="14" t="str">
        <x:v>Included</x:v>
      </x:c>
      <x:c r="Y662" s="14"/>
      <x:c r="Z662" s="14" t="str">
        <x:v>Grace.docx</x:v>
      </x:c>
      <x:c r="AA662" s="14" t="str">
        <x:v>HYPERLINK is not implemented. linkLocation=https://www.imdb.com/title/tt11639300/fullcredits/,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HYPERLINK("https://en.wikipedia.org/wiki/Grace","Open source")</x:f>
        <x:v>HYPERLINK is not implemented. linkLocation=https://en.wikipedia.org/wiki/Grace,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20</x:v>
      </x:c>
      <x:c r="BP662" s="14" t="str">
        <x:v>Maximum eligible IMDb cast-credit total (20), shared by 4 performer(s); not independently verified as a 2021-only episode total.</x:v>
      </x:c>
      <x:c r="BQ662" s="14" t="str">
        <x:v>Medium</x:v>
      </x:c>
      <x:c r="BR662" s="15" t="n">
        <x:v>1</x:v>
      </x:c>
      <x:c r="BS662" s="16" t="n">
        <x:v>0.05</x:v>
      </x:c>
      <x:c r="BT662" s="14" t="str">
        <x:v>One episode</x:v>
      </x:c>
      <x:c r="BU662" s="14" t="str">
        <x:v>Medium</x:v>
      </x:c>
      <x:c r="BV662" s="14" t="str">
        <x:v>Derived from supplied IMDb episode count and the documented production-total proxy.</x:v>
      </x:c>
      <x:c r="BW662" s="14" t="str">
        <x:v>Unable to determine</x:v>
      </x:c>
      <x:c r="BX662" s="14" t="str">
        <x:v>Supplied cast data establishes the credit and episode presence but does not establish narrative prominence.</x:v>
      </x:c>
      <x:c r="BY662" s="14" t="str">
        <x:v>Supplied IMDb cast-list workbook</x:v>
      </x:c>
      <x:c r="BZ662" s="14" t="str">
        <x:v>HYPERLINK is not implemented. linkLocation=https://www.imdb.com/title/tt11639300/fullcredits/,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tt11639300|nm4711544|anya chandanasiri</x:v>
      </x:c>
      <x:c r="B663" s="14" t="str">
        <x:v>02</x:v>
      </x:c>
      <x:c r="C663" s="14" t="str">
        <x:v>2021_IMDb_Cast_Lists_Batch_02(1).xlsx</x:v>
      </x:c>
      <x:c r="D663" s="14" t="str">
        <x:v>Grace</x:v>
      </x:c>
      <x:c r="E663" s="14" t="n">
        <x:v>77</x:v>
      </x:c>
      <x:c r="F663" s="14" t="str">
        <x:v>Grace</x:v>
      </x:c>
      <x:c r="G663" s="14" t="str">
        <x:v>tt11639300</x:v>
      </x:c>
      <x:c r="H663" s="14" t="n">
        <x:v>2021</x:v>
      </x:c>
      <x:c r="I663" s="14" t="n">
        <x:v>2025</x:v>
      </x:c>
      <x:c r="J663" s="14" t="str">
        <x:v>Earlier-Production Carry-In Cohort</x:v>
      </x:c>
      <x:c r="K663" s="14" t="n">
        <x:v>2021</x:v>
      </x:c>
      <x:c r="L663" s="14" t="str">
        <x:v>Used in 2025 annual analysis</x:v>
      </x:c>
      <x:c r="M663" s="15" t="n">
        <x:v>70</x:v>
      </x:c>
      <x:c r="N663" s="14" t="str">
        <x:v>Mia Suda Selway</x:v>
      </x:c>
      <x:c r="O663" s="14" t="str">
        <x:v>nm4711544</x:v>
      </x:c>
      <x:c r="P663" s="14" t="str">
        <x:v>Anya Chandanasiri</x:v>
      </x:c>
      <x:c r="Q663" s="15" t="n">
        <x:v>1</x:v>
      </x:c>
      <x:c r="R663" s="14" t="str">
        <x:v>2025</x:v>
      </x:c>
      <x:c r="S663" s="14" t="n">
        <x:v>2025</x:v>
      </x:c>
      <x:c r="T663" s="14" t="n">
        <x:v>2025</x:v>
      </x:c>
      <x:c r="U663" s="14" t="str">
        <x:v>Post-2021 casting excluded</x:v>
      </x:c>
      <x:c r="V663" s="14" t="str">
        <x:v>Earliest supplied year is 2025, later than the 2021 study year.</x:v>
      </x:c>
      <x:c r="W663" s="14"/>
      <x:c r="X663" s="14" t="str">
        <x:v>Included</x:v>
      </x:c>
      <x:c r="Y663" s="14"/>
      <x:c r="Z663" s="14" t="str">
        <x:v>Grace.docx</x:v>
      </x:c>
      <x:c r="AA663" s="14" t="str">
        <x:v>HYPERLINK is not implemented. linkLocation=https://www.imdb.com/title/tt11639300/fullcredits/,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HYPERLINK("https://en.wikipedia.org/wiki/Grace","Open source")</x:f>
        <x:v>HYPERLINK is not implemented. linkLocation=https://en.wikipedia.org/wiki/Grace,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20</x:v>
      </x:c>
      <x:c r="BP663" s="14" t="str">
        <x:v>Maximum eligible IMDb cast-credit total (20), shared by 4 performer(s); not independently verified as a 2021-only episode total.</x:v>
      </x:c>
      <x:c r="BQ663" s="14" t="str">
        <x:v>Medium</x:v>
      </x:c>
      <x:c r="BR663" s="15" t="n">
        <x:v>1</x:v>
      </x:c>
      <x:c r="BS663" s="16" t="n">
        <x:v>0.05</x:v>
      </x:c>
      <x:c r="BT663" s="14" t="str">
        <x:v>One episode</x:v>
      </x:c>
      <x:c r="BU663" s="14" t="str">
        <x:v>Medium</x:v>
      </x:c>
      <x:c r="BV663" s="14" t="str">
        <x:v>Derived from supplied IMDb episode count and the documented production-total proxy.</x:v>
      </x:c>
      <x:c r="BW663" s="14" t="str">
        <x:v>Unable to determine</x:v>
      </x:c>
      <x:c r="BX663" s="14" t="str">
        <x:v>Supplied cast data establishes the credit and episode presence but does not establish narrative prominence.</x:v>
      </x:c>
      <x:c r="BY663" s="14" t="str">
        <x:v>Supplied IMDb cast-list workbook</x:v>
      </x:c>
      <x:c r="BZ663" s="14" t="str">
        <x:v>HYPERLINK is not implemented. linkLocation=https://www.imdb.com/title/tt11639300/fullcredits/,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tt11639300|nm5461751|seymour darling</x:v>
      </x:c>
      <x:c r="B664" s="14" t="str">
        <x:v>02</x:v>
      </x:c>
      <x:c r="C664" s="14" t="str">
        <x:v>2021_IMDb_Cast_Lists_Batch_02(1).xlsx</x:v>
      </x:c>
      <x:c r="D664" s="14" t="str">
        <x:v>Grace</x:v>
      </x:c>
      <x:c r="E664" s="14" t="n">
        <x:v>84</x:v>
      </x:c>
      <x:c r="F664" s="14" t="str">
        <x:v>Grace</x:v>
      </x:c>
      <x:c r="G664" s="14" t="str">
        <x:v>tt11639300</x:v>
      </x:c>
      <x:c r="H664" s="14" t="n">
        <x:v>2021</x:v>
      </x:c>
      <x:c r="I664" s="14" t="n">
        <x:v>2025</x:v>
      </x:c>
      <x:c r="J664" s="14" t="str">
        <x:v>Earlier-Production Carry-In Cohort</x:v>
      </x:c>
      <x:c r="K664" s="14" t="n">
        <x:v>2021</x:v>
      </x:c>
      <x:c r="L664" s="14" t="str">
        <x:v>Used in 2025 annual analysis</x:v>
      </x:c>
      <x:c r="M664" s="15" t="n">
        <x:v>77</x:v>
      </x:c>
      <x:c r="N664" s="14" t="str">
        <x:v>Joe Hughes</x:v>
      </x:c>
      <x:c r="O664" s="14" t="str">
        <x:v>nm5461751</x:v>
      </x:c>
      <x:c r="P664" s="14" t="str">
        <x:v>Seymour Darling</x:v>
      </x:c>
      <x:c r="Q664" s="15" t="n">
        <x:v>1</x:v>
      </x:c>
      <x:c r="R664" s="14" t="str">
        <x:v>2025</x:v>
      </x:c>
      <x:c r="S664" s="14" t="n">
        <x:v>2025</x:v>
      </x:c>
      <x:c r="T664" s="14" t="n">
        <x:v>2025</x:v>
      </x:c>
      <x:c r="U664" s="14" t="str">
        <x:v>Post-2021 casting excluded</x:v>
      </x:c>
      <x:c r="V664" s="14" t="str">
        <x:v>Earliest supplied year is 2025, later than the 2021 study year.</x:v>
      </x:c>
      <x:c r="W664" s="14"/>
      <x:c r="X664" s="14" t="str">
        <x:v>Included</x:v>
      </x:c>
      <x:c r="Y664" s="14"/>
      <x:c r="Z664" s="14" t="str">
        <x:v>Grace.docx</x:v>
      </x:c>
      <x:c r="AA664" s="14" t="str">
        <x:v>HYPERLINK is not implemented. linkLocation=https://www.imdb.com/title/tt11639300/fullcredits/,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HYPERLINK("https://en.wikipedia.org/wiki/Grace","Open source")</x:f>
        <x:v>HYPERLINK is not implemented. linkLocation=https://en.wikipedia.org/wiki/Grace,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20</x:v>
      </x:c>
      <x:c r="BP664" s="14" t="str">
        <x:v>Maximum eligible IMDb cast-credit total (20), shared by 4 performer(s); not independently verified as a 2021-only episode total.</x:v>
      </x:c>
      <x:c r="BQ664" s="14" t="str">
        <x:v>Medium</x:v>
      </x:c>
      <x:c r="BR664" s="15" t="n">
        <x:v>1</x:v>
      </x:c>
      <x:c r="BS664" s="16" t="n">
        <x:v>0.05</x:v>
      </x:c>
      <x:c r="BT664" s="14" t="str">
        <x:v>One episode</x:v>
      </x:c>
      <x:c r="BU664" s="14" t="str">
        <x:v>Medium</x:v>
      </x:c>
      <x:c r="BV664" s="14" t="str">
        <x:v>Derived from supplied IMDb episode count and the documented production-total proxy.</x:v>
      </x:c>
      <x:c r="BW664" s="14" t="str">
        <x:v>Unable to determine</x:v>
      </x:c>
      <x:c r="BX664" s="14" t="str">
        <x:v>Supplied cast data establishes the credit and episode presence but does not establish narrative prominence.</x:v>
      </x:c>
      <x:c r="BY664" s="14" t="str">
        <x:v>Supplied IMDb cast-list workbook</x:v>
      </x:c>
      <x:c r="BZ664" s="14" t="str">
        <x:v>HYPERLINK is not implemented. linkLocation=https://www.imdb.com/title/tt11639300/fullcredits/,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tt11639300|nm1682272|officer johnson</x:v>
      </x:c>
      <x:c r="B665" s="14" t="str">
        <x:v>02</x:v>
      </x:c>
      <x:c r="C665" s="14" t="str">
        <x:v>2021_IMDb_Cast_Lists_Batch_02(1).xlsx</x:v>
      </x:c>
      <x:c r="D665" s="14" t="str">
        <x:v>Grace</x:v>
      </x:c>
      <x:c r="E665" s="14" t="n">
        <x:v>85</x:v>
      </x:c>
      <x:c r="F665" s="14" t="str">
        <x:v>Grace</x:v>
      </x:c>
      <x:c r="G665" s="14" t="str">
        <x:v>tt11639300</x:v>
      </x:c>
      <x:c r="H665" s="14" t="n">
        <x:v>2021</x:v>
      </x:c>
      <x:c r="I665" s="14" t="n">
        <x:v>2025</x:v>
      </x:c>
      <x:c r="J665" s="14" t="str">
        <x:v>Earlier-Production Carry-In Cohort</x:v>
      </x:c>
      <x:c r="K665" s="14" t="n">
        <x:v>2021</x:v>
      </x:c>
      <x:c r="L665" s="14" t="str">
        <x:v>Used in 2025 annual analysis</x:v>
      </x:c>
      <x:c r="M665" s="15" t="n">
        <x:v>78</x:v>
      </x:c>
      <x:c r="N665" s="14" t="str">
        <x:v>Lace Akpojaro</x:v>
      </x:c>
      <x:c r="O665" s="14" t="str">
        <x:v>nm1682272</x:v>
      </x:c>
      <x:c r="P665" s="14" t="str">
        <x:v>Officer Johnson</x:v>
      </x:c>
      <x:c r="Q665" s="15" t="n">
        <x:v>1</x:v>
      </x:c>
      <x:c r="R665" s="14" t="str">
        <x:v>2025</x:v>
      </x:c>
      <x:c r="S665" s="14" t="n">
        <x:v>2025</x:v>
      </x:c>
      <x:c r="T665" s="14" t="n">
        <x:v>2025</x:v>
      </x:c>
      <x:c r="U665" s="14" t="str">
        <x:v>Post-2021 casting excluded</x:v>
      </x:c>
      <x:c r="V665" s="14" t="str">
        <x:v>Earliest supplied year is 2025, later than the 2021 study year.</x:v>
      </x:c>
      <x:c r="W665" s="14"/>
      <x:c r="X665" s="14" t="str">
        <x:v>Included</x:v>
      </x:c>
      <x:c r="Y665" s="14"/>
      <x:c r="Z665" s="14" t="str">
        <x:v>Grace.docx</x:v>
      </x:c>
      <x:c r="AA665" s="14" t="str">
        <x:v>HYPERLINK is not implemented. linkLocation=https://www.imdb.com/title/tt11639300/fullcredits/,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HYPERLINK("https://en.wikipedia.org/wiki/Grace","Open source")</x:f>
        <x:v>HYPERLINK is not implemented. linkLocation=https://en.wikipedia.org/wiki/Grace,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20</x:v>
      </x:c>
      <x:c r="BP665" s="14" t="str">
        <x:v>Maximum eligible IMDb cast-credit total (20), shared by 4 performer(s); not independently verified as a 2021-only episode total.</x:v>
      </x:c>
      <x:c r="BQ665" s="14" t="str">
        <x:v>Medium</x:v>
      </x:c>
      <x:c r="BR665" s="15" t="n">
        <x:v>1</x:v>
      </x:c>
      <x:c r="BS665" s="16" t="n">
        <x:v>0.05</x:v>
      </x:c>
      <x:c r="BT665" s="14" t="str">
        <x:v>One episode</x:v>
      </x:c>
      <x:c r="BU665" s="14" t="str">
        <x:v>Medium</x:v>
      </x:c>
      <x:c r="BV665" s="14" t="str">
        <x:v>Derived from supplied IMDb episode count and the documented production-total proxy.</x:v>
      </x:c>
      <x:c r="BW665" s="14" t="str">
        <x:v>Unable to determine</x:v>
      </x:c>
      <x:c r="BX665" s="14" t="str">
        <x:v>Supplied cast data establishes the credit and episode presence but does not establish narrative prominence.</x:v>
      </x:c>
      <x:c r="BY665" s="14" t="str">
        <x:v>Supplied IMDb cast-list workbook</x:v>
      </x:c>
      <x:c r="BZ665" s="14" t="str">
        <x:v>HYPERLINK is not implemented. linkLocation=https://www.imdb.com/title/tt11639300/fullcredits/,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tt11639300|nm17192834|hotel assistant</x:v>
      </x:c>
      <x:c r="B666" s="14" t="str">
        <x:v>02</x:v>
      </x:c>
      <x:c r="C666" s="14" t="str">
        <x:v>2021_IMDb_Cast_Lists_Batch_02(1).xlsx</x:v>
      </x:c>
      <x:c r="D666" s="14" t="str">
        <x:v>Grace</x:v>
      </x:c>
      <x:c r="E666" s="14" t="n">
        <x:v>86</x:v>
      </x:c>
      <x:c r="F666" s="14" t="str">
        <x:v>Grace</x:v>
      </x:c>
      <x:c r="G666" s="14" t="str">
        <x:v>tt11639300</x:v>
      </x:c>
      <x:c r="H666" s="14" t="n">
        <x:v>2021</x:v>
      </x:c>
      <x:c r="I666" s="14" t="n">
        <x:v>2025</x:v>
      </x:c>
      <x:c r="J666" s="14" t="str">
        <x:v>Earlier-Production Carry-In Cohort</x:v>
      </x:c>
      <x:c r="K666" s="14" t="n">
        <x:v>2021</x:v>
      </x:c>
      <x:c r="L666" s="14" t="str">
        <x:v>Used in 2025 annual analysis</x:v>
      </x:c>
      <x:c r="M666" s="15" t="n">
        <x:v>79</x:v>
      </x:c>
      <x:c r="N666" s="14" t="str">
        <x:v>Georgie Last</x:v>
      </x:c>
      <x:c r="O666" s="14" t="str">
        <x:v>nm17192834</x:v>
      </x:c>
      <x:c r="P666" s="14" t="str">
        <x:v>Hotel Assistant</x:v>
      </x:c>
      <x:c r="Q666" s="15" t="n">
        <x:v>1</x:v>
      </x:c>
      <x:c r="R666" s="14" t="str">
        <x:v>2025</x:v>
      </x:c>
      <x:c r="S666" s="14" t="n">
        <x:v>2025</x:v>
      </x:c>
      <x:c r="T666" s="14" t="n">
        <x:v>2025</x:v>
      </x:c>
      <x:c r="U666" s="14" t="str">
        <x:v>Post-2021 casting excluded</x:v>
      </x:c>
      <x:c r="V666" s="14" t="str">
        <x:v>Earliest supplied year is 2025, later than the 2021 study year.</x:v>
      </x:c>
      <x:c r="W666" s="14"/>
      <x:c r="X666" s="14" t="str">
        <x:v>Included</x:v>
      </x:c>
      <x:c r="Y666" s="14"/>
      <x:c r="Z666" s="14" t="str">
        <x:v>Grace.docx</x:v>
      </x:c>
      <x:c r="AA666" s="14" t="str">
        <x:v>HYPERLINK is not implemented. linkLocation=https://www.imdb.com/title/tt11639300/fullcredits/,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HYPERLINK("https://en.wikipedia.org/wiki/Grace","Open source")</x:f>
        <x:v>HYPERLINK is not implemented. linkLocation=https://en.wikipedia.org/wiki/Grace,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20</x:v>
      </x:c>
      <x:c r="BP666" s="14" t="str">
        <x:v>Maximum eligible IMDb cast-credit total (20), shared by 4 performer(s); not independently verified as a 2021-only episode total.</x:v>
      </x:c>
      <x:c r="BQ666" s="14" t="str">
        <x:v>Medium</x:v>
      </x:c>
      <x:c r="BR666" s="15" t="n">
        <x:v>1</x:v>
      </x:c>
      <x:c r="BS666" s="16" t="n">
        <x:v>0.05</x:v>
      </x:c>
      <x:c r="BT666" s="14" t="str">
        <x:v>One episode</x:v>
      </x:c>
      <x:c r="BU666" s="14" t="str">
        <x:v>Medium</x:v>
      </x:c>
      <x:c r="BV666" s="14" t="str">
        <x:v>Derived from supplied IMDb episode count and the documented production-total proxy.</x:v>
      </x:c>
      <x:c r="BW666" s="14" t="str">
        <x:v>Unable to determine</x:v>
      </x:c>
      <x:c r="BX666" s="14" t="str">
        <x:v>Supplied cast data establishes the credit and episode presence but does not establish narrative prominence.</x:v>
      </x:c>
      <x:c r="BY666" s="14" t="str">
        <x:v>Supplied IMDb cast-list workbook</x:v>
      </x:c>
      <x:c r="BZ666" s="14" t="str">
        <x:v>HYPERLINK is not implemented. linkLocation=https://www.imdb.com/title/tt11639300/fullcredits/,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tt11639300|nm14580940|duty manager</x:v>
      </x:c>
      <x:c r="B667" s="14" t="str">
        <x:v>02</x:v>
      </x:c>
      <x:c r="C667" s="14" t="str">
        <x:v>2021_IMDb_Cast_Lists_Batch_02(1).xlsx</x:v>
      </x:c>
      <x:c r="D667" s="14" t="str">
        <x:v>Grace</x:v>
      </x:c>
      <x:c r="E667" s="14" t="n">
        <x:v>94</x:v>
      </x:c>
      <x:c r="F667" s="14" t="str">
        <x:v>Grace</x:v>
      </x:c>
      <x:c r="G667" s="14" t="str">
        <x:v>tt11639300</x:v>
      </x:c>
      <x:c r="H667" s="14" t="n">
        <x:v>2021</x:v>
      </x:c>
      <x:c r="I667" s="14" t="n">
        <x:v>2025</x:v>
      </x:c>
      <x:c r="J667" s="14" t="str">
        <x:v>Earlier-Production Carry-In Cohort</x:v>
      </x:c>
      <x:c r="K667" s="14" t="n">
        <x:v>2021</x:v>
      </x:c>
      <x:c r="L667" s="14" t="str">
        <x:v>Used in 2025 annual analysis</x:v>
      </x:c>
      <x:c r="M667" s="15" t="n">
        <x:v>87</x:v>
      </x:c>
      <x:c r="N667" s="14" t="str">
        <x:v>Lexi Austin-Jones</x:v>
      </x:c>
      <x:c r="O667" s="14" t="str">
        <x:v>nm14580940</x:v>
      </x:c>
      <x:c r="P667" s="14" t="str">
        <x:v>Duty Manager</x:v>
      </x:c>
      <x:c r="Q667" s="15" t="n">
        <x:v>1</x:v>
      </x:c>
      <x:c r="R667" s="14" t="str">
        <x:v>2025</x:v>
      </x:c>
      <x:c r="S667" s="14" t="n">
        <x:v>2025</x:v>
      </x:c>
      <x:c r="T667" s="14" t="n">
        <x:v>2025</x:v>
      </x:c>
      <x:c r="U667" s="14" t="str">
        <x:v>Post-2021 casting excluded</x:v>
      </x:c>
      <x:c r="V667" s="14" t="str">
        <x:v>Earliest supplied year is 2025, later than the 2021 study year.</x:v>
      </x:c>
      <x:c r="W667" s="14"/>
      <x:c r="X667" s="14" t="str">
        <x:v>Included</x:v>
      </x:c>
      <x:c r="Y667" s="14"/>
      <x:c r="Z667" s="14" t="str">
        <x:v>Grace.docx</x:v>
      </x:c>
      <x:c r="AA667" s="14" t="str">
        <x:v>HYPERLINK is not implemented. linkLocation=https://www.imdb.com/title/tt11639300/fullcredits/,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HYPERLINK("https://en.wikipedia.org/wiki/Grace","Open source")</x:f>
        <x:v>HYPERLINK is not implemented. linkLocation=https://en.wikipedia.org/wiki/Grace,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20</x:v>
      </x:c>
      <x:c r="BP667" s="14" t="str">
        <x:v>Maximum eligible IMDb cast-credit total (20), shared by 4 performer(s); not independently verified as a 2021-only episode total.</x:v>
      </x:c>
      <x:c r="BQ667" s="14" t="str">
        <x:v>Medium</x:v>
      </x:c>
      <x:c r="BR667" s="15" t="n">
        <x:v>1</x:v>
      </x:c>
      <x:c r="BS667" s="16" t="n">
        <x:v>0.05</x:v>
      </x:c>
      <x:c r="BT667" s="14" t="str">
        <x:v>One episode</x:v>
      </x:c>
      <x:c r="BU667" s="14" t="str">
        <x:v>Medium</x:v>
      </x:c>
      <x:c r="BV667" s="14" t="str">
        <x:v>Derived from supplied IMDb episode count and the documented production-total proxy.</x:v>
      </x:c>
      <x:c r="BW667" s="14" t="str">
        <x:v>Unable to determine</x:v>
      </x:c>
      <x:c r="BX667" s="14" t="str">
        <x:v>Supplied cast data establishes the credit and episode presence but does not establish narrative prominence.</x:v>
      </x:c>
      <x:c r="BY667" s="14" t="str">
        <x:v>Supplied IMDb cast-list workbook</x:v>
      </x:c>
      <x:c r="BZ667" s="14" t="str">
        <x:v>HYPERLINK is not implemented. linkLocation=https://www.imdb.com/title/tt11639300/fullcredits/,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tt11639300|nm0233215|terrence maxwell</x:v>
      </x:c>
      <x:c r="B668" s="14" t="str">
        <x:v>02</x:v>
      </x:c>
      <x:c r="C668" s="14" t="str">
        <x:v>2021_IMDb_Cast_Lists_Batch_02(1).xlsx</x:v>
      </x:c>
      <x:c r="D668" s="14" t="str">
        <x:v>Grace</x:v>
      </x:c>
      <x:c r="E668" s="14" t="n">
        <x:v>104</x:v>
      </x:c>
      <x:c r="F668" s="14" t="str">
        <x:v>Grace</x:v>
      </x:c>
      <x:c r="G668" s="14" t="str">
        <x:v>tt11639300</x:v>
      </x:c>
      <x:c r="H668" s="14" t="n">
        <x:v>2021</x:v>
      </x:c>
      <x:c r="I668" s="14" t="n">
        <x:v>2025</x:v>
      </x:c>
      <x:c r="J668" s="14" t="str">
        <x:v>Earlier-Production Carry-In Cohort</x:v>
      </x:c>
      <x:c r="K668" s="14" t="n">
        <x:v>2021</x:v>
      </x:c>
      <x:c r="L668" s="14" t="str">
        <x:v>Used in 2025 annual analysis</x:v>
      </x:c>
      <x:c r="M668" s="15" t="n">
        <x:v>97</x:v>
      </x:c>
      <x:c r="N668" s="14" t="str">
        <x:v>Shaun Dooley</x:v>
      </x:c>
      <x:c r="O668" s="14" t="str">
        <x:v>nm0233215</x:v>
      </x:c>
      <x:c r="P668" s="14" t="str">
        <x:v>Terrence Maxwell</x:v>
      </x:c>
      <x:c r="Q668" s="15" t="n">
        <x:v>1</x:v>
      </x:c>
      <x:c r="R668" s="14" t="str">
        <x:v>2025</x:v>
      </x:c>
      <x:c r="S668" s="14" t="n">
        <x:v>2025</x:v>
      </x:c>
      <x:c r="T668" s="14" t="n">
        <x:v>2025</x:v>
      </x:c>
      <x:c r="U668" s="14" t="str">
        <x:v>Post-2021 casting excluded</x:v>
      </x:c>
      <x:c r="V668" s="14" t="str">
        <x:v>Earliest supplied year is 2025, later than the 2021 study year.</x:v>
      </x:c>
      <x:c r="W668" s="14"/>
      <x:c r="X668" s="14" t="str">
        <x:v>Included</x:v>
      </x:c>
      <x:c r="Y668" s="14"/>
      <x:c r="Z668" s="14" t="str">
        <x:v>Grace.docx</x:v>
      </x:c>
      <x:c r="AA668" s="14" t="str">
        <x:v>HYPERLINK is not implemented. linkLocation=https://www.imdb.com/title/tt11639300/fullcredits/,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HYPERLINK("https://en.wikipedia.org/wiki/Grace","Open source")</x:f>
        <x:v>HYPERLINK is not implemented. linkLocation=https://en.wikipedia.org/wiki/Grace,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20</x:v>
      </x:c>
      <x:c r="BP668" s="14" t="str">
        <x:v>Maximum eligible IMDb cast-credit total (20), shared by 4 performer(s); not independently verified as a 2021-only episode total.</x:v>
      </x:c>
      <x:c r="BQ668" s="14" t="str">
        <x:v>Medium</x:v>
      </x:c>
      <x:c r="BR668" s="15" t="n">
        <x:v>1</x:v>
      </x:c>
      <x:c r="BS668" s="16" t="n">
        <x:v>0.05</x:v>
      </x:c>
      <x:c r="BT668" s="14" t="str">
        <x:v>One episode</x:v>
      </x:c>
      <x:c r="BU668" s="14" t="str">
        <x:v>Medium</x:v>
      </x:c>
      <x:c r="BV668" s="14" t="str">
        <x:v>Derived from supplied IMDb episode count and the documented production-total proxy.</x:v>
      </x:c>
      <x:c r="BW668" s="14" t="str">
        <x:v>Unable to determine</x:v>
      </x:c>
      <x:c r="BX668" s="14" t="str">
        <x:v>Supplied cast data establishes the credit and episode presence but does not establish narrative prominence.</x:v>
      </x:c>
      <x:c r="BY668" s="14" t="str">
        <x:v>Supplied IMDb cast-list workbook</x:v>
      </x:c>
      <x:c r="BZ668" s="14" t="str">
        <x:v>HYPERLINK is not implemented. linkLocation=https://www.imdb.com/title/tt11639300/fullcredits/,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tt11639300|nm12783562|driton</x:v>
      </x:c>
      <x:c r="B669" s="14" t="str">
        <x:v>02</x:v>
      </x:c>
      <x:c r="C669" s="14" t="str">
        <x:v>2021_IMDb_Cast_Lists_Batch_02(1).xlsx</x:v>
      </x:c>
      <x:c r="D669" s="14" t="str">
        <x:v>Grace</x:v>
      </x:c>
      <x:c r="E669" s="14" t="n">
        <x:v>105</x:v>
      </x:c>
      <x:c r="F669" s="14" t="str">
        <x:v>Grace</x:v>
      </x:c>
      <x:c r="G669" s="14" t="str">
        <x:v>tt11639300</x:v>
      </x:c>
      <x:c r="H669" s="14" t="n">
        <x:v>2021</x:v>
      </x:c>
      <x:c r="I669" s="14" t="n">
        <x:v>2025</x:v>
      </x:c>
      <x:c r="J669" s="14" t="str">
        <x:v>Earlier-Production Carry-In Cohort</x:v>
      </x:c>
      <x:c r="K669" s="14" t="n">
        <x:v>2021</x:v>
      </x:c>
      <x:c r="L669" s="14" t="str">
        <x:v>Used in 2025 annual analysis</x:v>
      </x:c>
      <x:c r="M669" s="15" t="n">
        <x:v>98</x:v>
      </x:c>
      <x:c r="N669" s="14" t="str">
        <x:v>Arthur Aliiev</x:v>
      </x:c>
      <x:c r="O669" s="14" t="str">
        <x:v>nm12783562</x:v>
      </x:c>
      <x:c r="P669" s="14" t="str">
        <x:v>Driton</x:v>
      </x:c>
      <x:c r="Q669" s="15" t="n">
        <x:v>1</x:v>
      </x:c>
      <x:c r="R669" s="14" t="str">
        <x:v>2025</x:v>
      </x:c>
      <x:c r="S669" s="14" t="n">
        <x:v>2025</x:v>
      </x:c>
      <x:c r="T669" s="14" t="n">
        <x:v>2025</x:v>
      </x:c>
      <x:c r="U669" s="14" t="str">
        <x:v>Post-2021 casting excluded</x:v>
      </x:c>
      <x:c r="V669" s="14" t="str">
        <x:v>Earliest supplied year is 2025, later than the 2021 study year.</x:v>
      </x:c>
      <x:c r="W669" s="14"/>
      <x:c r="X669" s="14" t="str">
        <x:v>Included</x:v>
      </x:c>
      <x:c r="Y669" s="14"/>
      <x:c r="Z669" s="14" t="str">
        <x:v>Grace.docx</x:v>
      </x:c>
      <x:c r="AA669" s="14" t="str">
        <x:v>HYPERLINK is not implemented. linkLocation=https://www.imdb.com/title/tt11639300/fullcredits/,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HYPERLINK("https://en.wikipedia.org/wiki/Grace","Open source")</x:f>
        <x:v>HYPERLINK is not implemented. linkLocation=https://en.wikipedia.org/wiki/Grace,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20</x:v>
      </x:c>
      <x:c r="BP669" s="14" t="str">
        <x:v>Maximum eligible IMDb cast-credit total (20), shared by 4 performer(s); not independently verified as a 2021-only episode total.</x:v>
      </x:c>
      <x:c r="BQ669" s="14" t="str">
        <x:v>Medium</x:v>
      </x:c>
      <x:c r="BR669" s="15" t="n">
        <x:v>1</x:v>
      </x:c>
      <x:c r="BS669" s="16" t="n">
        <x:v>0.05</x:v>
      </x:c>
      <x:c r="BT669" s="14" t="str">
        <x:v>One episode</x:v>
      </x:c>
      <x:c r="BU669" s="14" t="str">
        <x:v>Medium</x:v>
      </x:c>
      <x:c r="BV669" s="14" t="str">
        <x:v>Derived from supplied IMDb episode count and the documented production-total proxy.</x:v>
      </x:c>
      <x:c r="BW669" s="14" t="str">
        <x:v>Unable to determine</x:v>
      </x:c>
      <x:c r="BX669" s="14" t="str">
        <x:v>Supplied cast data establishes the credit and episode presence but does not establish narrative prominence.</x:v>
      </x:c>
      <x:c r="BY669" s="14" t="str">
        <x:v>Supplied IMDb cast-list workbook</x:v>
      </x:c>
      <x:c r="BZ669" s="14" t="str">
        <x:v>HYPERLINK is not implemented. linkLocation=https://www.imdb.com/title/tt11639300/fullcredits/,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tt11639300|nm6373079|dren</x:v>
      </x:c>
      <x:c r="B670" s="14" t="str">
        <x:v>02</x:v>
      </x:c>
      <x:c r="C670" s="14" t="str">
        <x:v>2021_IMDb_Cast_Lists_Batch_02(1).xlsx</x:v>
      </x:c>
      <x:c r="D670" s="14" t="str">
        <x:v>Grace</x:v>
      </x:c>
      <x:c r="E670" s="14" t="n">
        <x:v>116</x:v>
      </x:c>
      <x:c r="F670" s="14" t="str">
        <x:v>Grace</x:v>
      </x:c>
      <x:c r="G670" s="14" t="str">
        <x:v>tt11639300</x:v>
      </x:c>
      <x:c r="H670" s="14" t="n">
        <x:v>2021</x:v>
      </x:c>
      <x:c r="I670" s="14" t="n">
        <x:v>2025</x:v>
      </x:c>
      <x:c r="J670" s="14" t="str">
        <x:v>Earlier-Production Carry-In Cohort</x:v>
      </x:c>
      <x:c r="K670" s="14" t="n">
        <x:v>2021</x:v>
      </x:c>
      <x:c r="L670" s="14" t="str">
        <x:v>Used in 2025 annual analysis</x:v>
      </x:c>
      <x:c r="M670" s="15" t="n">
        <x:v>109</x:v>
      </x:c>
      <x:c r="N670" s="14" t="str">
        <x:v>Madalina Bellariu Ion</x:v>
      </x:c>
      <x:c r="O670" s="14" t="str">
        <x:v>nm6373079</x:v>
      </x:c>
      <x:c r="P670" s="14" t="str">
        <x:v>Dren</x:v>
      </x:c>
      <x:c r="Q670" s="15" t="n">
        <x:v>1</x:v>
      </x:c>
      <x:c r="R670" s="14" t="str">
        <x:v>2025</x:v>
      </x:c>
      <x:c r="S670" s="14" t="n">
        <x:v>2025</x:v>
      </x:c>
      <x:c r="T670" s="14" t="n">
        <x:v>2025</x:v>
      </x:c>
      <x:c r="U670" s="14" t="str">
        <x:v>Post-2021 casting excluded</x:v>
      </x:c>
      <x:c r="V670" s="14" t="str">
        <x:v>Earliest supplied year is 2025, later than the 2021 study year.</x:v>
      </x:c>
      <x:c r="W670" s="14"/>
      <x:c r="X670" s="14" t="str">
        <x:v>Included</x:v>
      </x:c>
      <x:c r="Y670" s="14" t="str">
        <x:v>(as Madalina Bellariu)</x:v>
      </x:c>
      <x:c r="Z670" s="14" t="str">
        <x:v>Grace.docx</x:v>
      </x:c>
      <x:c r="AA670" s="14" t="str">
        <x:v>HYPERLINK is not implemented. linkLocation=https://www.imdb.com/title/tt11639300/fullcredits/,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HYPERLINK("https://en.wikipedia.org/wiki/Grace","Open source")</x:f>
        <x:v>HYPERLINK is not implemented. linkLocation=https://en.wikipedia.org/wiki/Grace,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20</x:v>
      </x:c>
      <x:c r="BP670" s="14" t="str">
        <x:v>Maximum eligible IMDb cast-credit total (20), shared by 4 performer(s); not independently verified as a 2021-only episode total.</x:v>
      </x:c>
      <x:c r="BQ670" s="14" t="str">
        <x:v>Medium</x:v>
      </x:c>
      <x:c r="BR670" s="15" t="n">
        <x:v>1</x:v>
      </x:c>
      <x:c r="BS670" s="16" t="n">
        <x:v>0.05</x:v>
      </x:c>
      <x:c r="BT670" s="14" t="str">
        <x:v>One episode</x:v>
      </x:c>
      <x:c r="BU670" s="14" t="str">
        <x:v>Medium</x:v>
      </x:c>
      <x:c r="BV670" s="14" t="str">
        <x:v>Derived from supplied IMDb episode count and the documented production-total proxy.</x:v>
      </x:c>
      <x:c r="BW670" s="14" t="str">
        <x:v>Unable to determine</x:v>
      </x:c>
      <x:c r="BX670" s="14" t="str">
        <x:v>Supplied cast data establishes the credit and episode presence but does not establish narrative prominence.</x:v>
      </x:c>
      <x:c r="BY670" s="14" t="str">
        <x:v>Supplied IMDb cast-list workbook</x:v>
      </x:c>
      <x:c r="BZ670" s="14" t="str">
        <x:v>HYPERLINK is not implemented. linkLocation=https://www.imdb.com/title/tt11639300/fullcredits/,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tt11639300|nm0344237|chief constable</x:v>
      </x:c>
      <x:c r="B671" s="14" t="str">
        <x:v>02</x:v>
      </x:c>
      <x:c r="C671" s="14" t="str">
        <x:v>2021_IMDb_Cast_Lists_Batch_02(1).xlsx</x:v>
      </x:c>
      <x:c r="D671" s="14" t="str">
        <x:v>Grace</x:v>
      </x:c>
      <x:c r="E671" s="14" t="n">
        <x:v>117</x:v>
      </x:c>
      <x:c r="F671" s="14" t="str">
        <x:v>Grace</x:v>
      </x:c>
      <x:c r="G671" s="14" t="str">
        <x:v>tt11639300</x:v>
      </x:c>
      <x:c r="H671" s="14" t="n">
        <x:v>2021</x:v>
      </x:c>
      <x:c r="I671" s="14" t="n">
        <x:v>2025</x:v>
      </x:c>
      <x:c r="J671" s="14" t="str">
        <x:v>Earlier-Production Carry-In Cohort</x:v>
      </x:c>
      <x:c r="K671" s="14" t="n">
        <x:v>2021</x:v>
      </x:c>
      <x:c r="L671" s="14" t="str">
        <x:v>Used in 2025 annual analysis</x:v>
      </x:c>
      <x:c r="M671" s="15" t="n">
        <x:v>110</x:v>
      </x:c>
      <x:c r="N671" s="14" t="str">
        <x:v>Caroline Gruber</x:v>
      </x:c>
      <x:c r="O671" s="14" t="str">
        <x:v>nm0344237</x:v>
      </x:c>
      <x:c r="P671" s="14" t="str">
        <x:v>Chief Constable</x:v>
      </x:c>
      <x:c r="Q671" s="15" t="n">
        <x:v>1</x:v>
      </x:c>
      <x:c r="R671" s="14" t="str">
        <x:v>2025</x:v>
      </x:c>
      <x:c r="S671" s="14" t="n">
        <x:v>2025</x:v>
      </x:c>
      <x:c r="T671" s="14" t="n">
        <x:v>2025</x:v>
      </x:c>
      <x:c r="U671" s="14" t="str">
        <x:v>Post-2021 casting excluded</x:v>
      </x:c>
      <x:c r="V671" s="14" t="str">
        <x:v>Earliest supplied year is 2025, later than the 2021 study year.</x:v>
      </x:c>
      <x:c r="W671" s="14"/>
      <x:c r="X671" s="14" t="str">
        <x:v>Included</x:v>
      </x:c>
      <x:c r="Y671" s="14"/>
      <x:c r="Z671" s="14" t="str">
        <x:v>Grace.docx</x:v>
      </x:c>
      <x:c r="AA671" s="14" t="str">
        <x:v>HYPERLINK is not implemented. linkLocation=https://www.imdb.com/title/tt11639300/fullcredits/,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HYPERLINK("https://en.wikipedia.org/wiki/Grace","Open source")</x:f>
        <x:v>HYPERLINK is not implemented. linkLocation=https://en.wikipedia.org/wiki/Grace,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20</x:v>
      </x:c>
      <x:c r="BP671" s="14" t="str">
        <x:v>Maximum eligible IMDb cast-credit total (20), shared by 4 performer(s); not independently verified as a 2021-only episode total.</x:v>
      </x:c>
      <x:c r="BQ671" s="14" t="str">
        <x:v>Medium</x:v>
      </x:c>
      <x:c r="BR671" s="15" t="n">
        <x:v>1</x:v>
      </x:c>
      <x:c r="BS671" s="16" t="n">
        <x:v>0.05</x:v>
      </x:c>
      <x:c r="BT671" s="14" t="str">
        <x:v>One episode</x:v>
      </x:c>
      <x:c r="BU671" s="14" t="str">
        <x:v>Medium</x:v>
      </x:c>
      <x:c r="BV671" s="14" t="str">
        <x:v>Derived from supplied IMDb episode count and the documented production-total proxy.</x:v>
      </x:c>
      <x:c r="BW671" s="14" t="str">
        <x:v>Unable to determine</x:v>
      </x:c>
      <x:c r="BX671" s="14" t="str">
        <x:v>Supplied cast data establishes the credit and episode presence but does not establish narrative prominence.</x:v>
      </x:c>
      <x:c r="BY671" s="14" t="str">
        <x:v>Supplied IMDb cast-list workbook</x:v>
      </x:c>
      <x:c r="BZ671" s="14" t="str">
        <x:v>HYPERLINK is not implemented. linkLocation=https://www.imdb.com/title/tt11639300/fullcredits/,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tt11639300|nm11471405|wesley</x:v>
      </x:c>
      <x:c r="B672" s="14" t="str">
        <x:v>02</x:v>
      </x:c>
      <x:c r="C672" s="14" t="str">
        <x:v>2021_IMDb_Cast_Lists_Batch_02(1).xlsx</x:v>
      </x:c>
      <x:c r="D672" s="14" t="str">
        <x:v>Grace</x:v>
      </x:c>
      <x:c r="E672" s="14" t="n">
        <x:v>118</x:v>
      </x:c>
      <x:c r="F672" s="14" t="str">
        <x:v>Grace</x:v>
      </x:c>
      <x:c r="G672" s="14" t="str">
        <x:v>tt11639300</x:v>
      </x:c>
      <x:c r="H672" s="14" t="n">
        <x:v>2021</x:v>
      </x:c>
      <x:c r="I672" s="14" t="n">
        <x:v>2025</x:v>
      </x:c>
      <x:c r="J672" s="14" t="str">
        <x:v>Earlier-Production Carry-In Cohort</x:v>
      </x:c>
      <x:c r="K672" s="14" t="n">
        <x:v>2021</x:v>
      </x:c>
      <x:c r="L672" s="14" t="str">
        <x:v>Used in 2025 annual analysis</x:v>
      </x:c>
      <x:c r="M672" s="15" t="n">
        <x:v>111</x:v>
      </x:c>
      <x:c r="N672" s="14" t="str">
        <x:v>Jack Barker</x:v>
      </x:c>
      <x:c r="O672" s="14" t="str">
        <x:v>nm11471405</x:v>
      </x:c>
      <x:c r="P672" s="14" t="str">
        <x:v>Wesley</x:v>
      </x:c>
      <x:c r="Q672" s="15" t="n">
        <x:v>1</x:v>
      </x:c>
      <x:c r="R672" s="14" t="str">
        <x:v>2025</x:v>
      </x:c>
      <x:c r="S672" s="14" t="n">
        <x:v>2025</x:v>
      </x:c>
      <x:c r="T672" s="14" t="n">
        <x:v>2025</x:v>
      </x:c>
      <x:c r="U672" s="14" t="str">
        <x:v>Post-2021 casting excluded</x:v>
      </x:c>
      <x:c r="V672" s="14" t="str">
        <x:v>Earliest supplied year is 2025, later than the 2021 study year.</x:v>
      </x:c>
      <x:c r="W672" s="14"/>
      <x:c r="X672" s="14" t="str">
        <x:v>Included</x:v>
      </x:c>
      <x:c r="Y672" s="14"/>
      <x:c r="Z672" s="14" t="str">
        <x:v>Grace.docx</x:v>
      </x:c>
      <x:c r="AA672" s="14" t="str">
        <x:v>HYPERLINK is not implemented. linkLocation=https://www.imdb.com/title/tt11639300/fullcredits/,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ITV / ITVX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HYPERLINK("https://en.wikipedia.org/wiki/Grace","Open source")</x:f>
        <x:v>HYPERLINK is not implemented. linkLocation=https://en.wikipedia.org/wiki/Grace, friendlyName=Open source</x:v>
      </x:c>
      <x:c r="AN672" s="14" t="str">
        <x:v>No qualifying BBC relationship</x:v>
      </x:c>
      <x:c r="AO672" s="14" t="str">
        <x:v>No</x:v>
      </x:c>
      <x:c r="AP672" s="14" t="str">
        <x:v>Out of scope</x:v>
      </x:c>
      <x:c r="AQ672" s="14" t="str">
        <x:v>No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20</x:v>
      </x:c>
      <x:c r="BP672" s="14" t="str">
        <x:v>Maximum eligible IMDb cast-credit total (20), shared by 4 performer(s); not independently verified as a 2021-only episode total.</x:v>
      </x:c>
      <x:c r="BQ672" s="14" t="str">
        <x:v>Medium</x:v>
      </x:c>
      <x:c r="BR672" s="15" t="n">
        <x:v>1</x:v>
      </x:c>
      <x:c r="BS672" s="16" t="n">
        <x:v>0.05</x:v>
      </x:c>
      <x:c r="BT672" s="14" t="str">
        <x:v>One episode</x:v>
      </x:c>
      <x:c r="BU672" s="14" t="str">
        <x:v>Medium</x:v>
      </x:c>
      <x:c r="BV672" s="14" t="str">
        <x:v>Derived from supplied IMDb episode count and the documented production-total proxy.</x:v>
      </x:c>
      <x:c r="BW672" s="14" t="str">
        <x:v>Unable to determine</x:v>
      </x:c>
      <x:c r="BX672" s="14" t="str">
        <x:v>Supplied cast data establishes the credit and episode presence but does not establish narrative prominence.</x:v>
      </x:c>
      <x:c r="BY672" s="14" t="str">
        <x:v>Supplied IMDb cast-list workbook</x:v>
      </x:c>
      <x:c r="BZ672" s="14" t="str">
        <x:v>HYPERLINK is not implemented. linkLocation=https://www.imdb.com/title/tt11639300/fullcredits/,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tt11639300|nm1254152|barbara maxwell</x:v>
      </x:c>
      <x:c r="B673" s="14" t="str">
        <x:v>02</x:v>
      </x:c>
      <x:c r="C673" s="14" t="str">
        <x:v>2021_IMDb_Cast_Lists_Batch_02(1).xlsx</x:v>
      </x:c>
      <x:c r="D673" s="14" t="str">
        <x:v>Grace</x:v>
      </x:c>
      <x:c r="E673" s="14" t="n">
        <x:v>128</x:v>
      </x:c>
      <x:c r="F673" s="14" t="str">
        <x:v>Grace</x:v>
      </x:c>
      <x:c r="G673" s="14" t="str">
        <x:v>tt11639300</x:v>
      </x:c>
      <x:c r="H673" s="14" t="n">
        <x:v>2021</x:v>
      </x:c>
      <x:c r="I673" s="14" t="n">
        <x:v>2025</x:v>
      </x:c>
      <x:c r="J673" s="14" t="str">
        <x:v>Earlier-Production Carry-In Cohort</x:v>
      </x:c>
      <x:c r="K673" s="14" t="n">
        <x:v>2021</x:v>
      </x:c>
      <x:c r="L673" s="14" t="str">
        <x:v>Used in 2025 annual analysis</x:v>
      </x:c>
      <x:c r="M673" s="15" t="n">
        <x:v>121</x:v>
      </x:c>
      <x:c r="N673" s="14" t="str">
        <x:v>Catherine Walker</x:v>
      </x:c>
      <x:c r="O673" s="14" t="str">
        <x:v>nm1254152</x:v>
      </x:c>
      <x:c r="P673" s="14" t="str">
        <x:v>Barbara Maxwell</x:v>
      </x:c>
      <x:c r="Q673" s="15" t="n">
        <x:v>1</x:v>
      </x:c>
      <x:c r="R673" s="14" t="str">
        <x:v>2025</x:v>
      </x:c>
      <x:c r="S673" s="14" t="n">
        <x:v>2025</x:v>
      </x:c>
      <x:c r="T673" s="14" t="n">
        <x:v>2025</x:v>
      </x:c>
      <x:c r="U673" s="14" t="str">
        <x:v>Post-2021 casting excluded</x:v>
      </x:c>
      <x:c r="V673" s="14" t="str">
        <x:v>Earliest supplied year is 2025, later than the 2021 study year.</x:v>
      </x:c>
      <x:c r="W673" s="14"/>
      <x:c r="X673" s="14" t="str">
        <x:v>Included</x:v>
      </x:c>
      <x:c r="Y673" s="14"/>
      <x:c r="Z673" s="14" t="str">
        <x:v>Grace.docx</x:v>
      </x:c>
      <x:c r="AA673" s="14" t="str">
        <x:v>HYPERLINK is not implemented. linkLocation=https://www.imdb.com/title/tt11639300/fullcredits/,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ITV / ITVX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HYPERLINK("https://en.wikipedia.org/wiki/Grace","Open source")</x:f>
        <x:v>HYPERLINK is not implemented. linkLocation=https://en.wikipedia.org/wiki/Grace, friendlyName=Open source</x:v>
      </x:c>
      <x:c r="AN673" s="14" t="str">
        <x:v>No qualifying BBC relationship</x:v>
      </x:c>
      <x:c r="AO673" s="14" t="str">
        <x:v>No</x:v>
      </x:c>
      <x:c r="AP673" s="14" t="str">
        <x:v>Out of scope</x:v>
      </x:c>
      <x:c r="AQ673" s="14" t="str">
        <x:v>No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20</x:v>
      </x:c>
      <x:c r="BP673" s="14" t="str">
        <x:v>Maximum eligible IMDb cast-credit total (20), shared by 4 performer(s); not independently verified as a 2021-only episode total.</x:v>
      </x:c>
      <x:c r="BQ673" s="14" t="str">
        <x:v>Medium</x:v>
      </x:c>
      <x:c r="BR673" s="15" t="n">
        <x:v>1</x:v>
      </x:c>
      <x:c r="BS673" s="16" t="n">
        <x:v>0.05</x:v>
      </x:c>
      <x:c r="BT673" s="14" t="str">
        <x:v>One episode</x:v>
      </x:c>
      <x:c r="BU673" s="14" t="str">
        <x:v>Medium</x:v>
      </x:c>
      <x:c r="BV673" s="14" t="str">
        <x:v>Derived from supplied IMDb episode count and the documented production-total proxy.</x:v>
      </x:c>
      <x:c r="BW673" s="14" t="str">
        <x:v>Unable to determine</x:v>
      </x:c>
      <x:c r="BX673" s="14" t="str">
        <x:v>Supplied cast data establishes the credit and episode presence but does not establish narrative prominence.</x:v>
      </x:c>
      <x:c r="BY673" s="14" t="str">
        <x:v>Supplied IMDb cast-list workbook</x:v>
      </x:c>
      <x:c r="BZ673" s="14" t="str">
        <x:v>HYPERLINK is not implemented. linkLocation=https://www.imdb.com/title/tt11639300/fullcredits/,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tt11639300|nm8994060|georgina driver</x:v>
      </x:c>
      <x:c r="B674" s="14" t="str">
        <x:v>02</x:v>
      </x:c>
      <x:c r="C674" s="14" t="str">
        <x:v>2021_IMDb_Cast_Lists_Batch_02(1).xlsx</x:v>
      </x:c>
      <x:c r="D674" s="14" t="str">
        <x:v>Grace</x:v>
      </x:c>
      <x:c r="E674" s="14" t="n">
        <x:v>129</x:v>
      </x:c>
      <x:c r="F674" s="14" t="str">
        <x:v>Grace</x:v>
      </x:c>
      <x:c r="G674" s="14" t="str">
        <x:v>tt11639300</x:v>
      </x:c>
      <x:c r="H674" s="14" t="n">
        <x:v>2021</x:v>
      </x:c>
      <x:c r="I674" s="14" t="n">
        <x:v>2025</x:v>
      </x:c>
      <x:c r="J674" s="14" t="str">
        <x:v>Earlier-Production Carry-In Cohort</x:v>
      </x:c>
      <x:c r="K674" s="14" t="n">
        <x:v>2021</x:v>
      </x:c>
      <x:c r="L674" s="14" t="str">
        <x:v>Used in 2025 annual analysis</x:v>
      </x:c>
      <x:c r="M674" s="15" t="n">
        <x:v>122</x:v>
      </x:c>
      <x:c r="N674" s="14" t="str">
        <x:v>Sara Matin</x:v>
      </x:c>
      <x:c r="O674" s="14" t="str">
        <x:v>nm8994060</x:v>
      </x:c>
      <x:c r="P674" s="14" t="str">
        <x:v>Georgina Driver</x:v>
      </x:c>
      <x:c r="Q674" s="15" t="n">
        <x:v>1</x:v>
      </x:c>
      <x:c r="R674" s="14" t="str">
        <x:v>2025</x:v>
      </x:c>
      <x:c r="S674" s="14" t="n">
        <x:v>2025</x:v>
      </x:c>
      <x:c r="T674" s="14" t="n">
        <x:v>2025</x:v>
      </x:c>
      <x:c r="U674" s="14" t="str">
        <x:v>Post-2021 casting excluded</x:v>
      </x:c>
      <x:c r="V674" s="14" t="str">
        <x:v>Earliest supplied year is 2025, later than the 2021 study year.</x:v>
      </x:c>
      <x:c r="W674" s="14"/>
      <x:c r="X674" s="14" t="str">
        <x:v>Included</x:v>
      </x:c>
      <x:c r="Y674" s="14"/>
      <x:c r="Z674" s="14" t="str">
        <x:v>Grace.docx</x:v>
      </x:c>
      <x:c r="AA674" s="14" t="str">
        <x:v>HYPERLINK is not implemented. linkLocation=https://www.imdb.com/title/tt11639300/fullcredits/,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ITV / ITVX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HYPERLINK("https://en.wikipedia.org/wiki/Grace","Open source")</x:f>
        <x:v>HYPERLINK is not implemented. linkLocation=https://en.wikipedia.org/wiki/Grace, friendlyName=Open source</x:v>
      </x:c>
      <x:c r="AN674" s="14" t="str">
        <x:v>No qualifying BBC relationship</x:v>
      </x:c>
      <x:c r="AO674" s="14" t="str">
        <x:v>No</x:v>
      </x:c>
      <x:c r="AP674" s="14" t="str">
        <x:v>Out of scope</x:v>
      </x:c>
      <x:c r="AQ674" s="14" t="str">
        <x:v>No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20</x:v>
      </x:c>
      <x:c r="BP674" s="14" t="str">
        <x:v>Maximum eligible IMDb cast-credit total (20), shared by 4 performer(s); not independently verified as a 2021-only episode total.</x:v>
      </x:c>
      <x:c r="BQ674" s="14" t="str">
        <x:v>Medium</x:v>
      </x:c>
      <x:c r="BR674" s="15" t="n">
        <x:v>1</x:v>
      </x:c>
      <x:c r="BS674" s="16" t="n">
        <x:v>0.05</x:v>
      </x:c>
      <x:c r="BT674" s="14" t="str">
        <x:v>One episode</x:v>
      </x:c>
      <x:c r="BU674" s="14" t="str">
        <x:v>Medium</x:v>
      </x:c>
      <x:c r="BV674" s="14" t="str">
        <x:v>Derived from supplied IMDb episode count and the documented production-total proxy.</x:v>
      </x:c>
      <x:c r="BW674" s="14" t="str">
        <x:v>Unable to determine</x:v>
      </x:c>
      <x:c r="BX674" s="14" t="str">
        <x:v>Supplied cast data establishes the credit and episode presence but does not establish narrative prominence.</x:v>
      </x:c>
      <x:c r="BY674" s="14" t="str">
        <x:v>Supplied IMDb cast-list workbook</x:v>
      </x:c>
      <x:c r="BZ674" s="14" t="str">
        <x:v>HYPERLINK is not implemented. linkLocation=https://www.imdb.com/title/tt11639300/fullcredits/,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tt11639300|nm14863102|laura</x:v>
      </x:c>
      <x:c r="B675" s="14" t="str">
        <x:v>02</x:v>
      </x:c>
      <x:c r="C675" s="14" t="str">
        <x:v>2021_IMDb_Cast_Lists_Batch_02(1).xlsx</x:v>
      </x:c>
      <x:c r="D675" s="14" t="str">
        <x:v>Grace</x:v>
      </x:c>
      <x:c r="E675" s="14" t="n">
        <x:v>130</x:v>
      </x:c>
      <x:c r="F675" s="14" t="str">
        <x:v>Grace</x:v>
      </x:c>
      <x:c r="G675" s="14" t="str">
        <x:v>tt11639300</x:v>
      </x:c>
      <x:c r="H675" s="14" t="n">
        <x:v>2021</x:v>
      </x:c>
      <x:c r="I675" s="14" t="n">
        <x:v>2025</x:v>
      </x:c>
      <x:c r="J675" s="14" t="str">
        <x:v>Earlier-Production Carry-In Cohort</x:v>
      </x:c>
      <x:c r="K675" s="14" t="n">
        <x:v>2021</x:v>
      </x:c>
      <x:c r="L675" s="14" t="str">
        <x:v>Used in 2025 annual analysis</x:v>
      </x:c>
      <x:c r="M675" s="15" t="n">
        <x:v>123</x:v>
      </x:c>
      <x:c r="N675" s="14" t="str">
        <x:v>Isabelle Shuka</x:v>
      </x:c>
      <x:c r="O675" s="14" t="str">
        <x:v>nm14863102</x:v>
      </x:c>
      <x:c r="P675" s="14" t="str">
        <x:v>Laura</x:v>
      </x:c>
      <x:c r="Q675" s="15" t="n">
        <x:v>1</x:v>
      </x:c>
      <x:c r="R675" s="14" t="str">
        <x:v>2025</x:v>
      </x:c>
      <x:c r="S675" s="14" t="n">
        <x:v>2025</x:v>
      </x:c>
      <x:c r="T675" s="14" t="n">
        <x:v>2025</x:v>
      </x:c>
      <x:c r="U675" s="14" t="str">
        <x:v>Post-2021 casting excluded</x:v>
      </x:c>
      <x:c r="V675" s="14" t="str">
        <x:v>Earliest supplied year is 2025, later than the 2021 study year.</x:v>
      </x:c>
      <x:c r="W675" s="14"/>
      <x:c r="X675" s="14" t="str">
        <x:v>Included</x:v>
      </x:c>
      <x:c r="Y675" s="14"/>
      <x:c r="Z675" s="14" t="str">
        <x:v>Grace.docx</x:v>
      </x:c>
      <x:c r="AA675" s="14" t="str">
        <x:v>HYPERLINK is not implemented. linkLocation=https://www.imdb.com/title/tt11639300/fullcredits/,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ITV / ITVX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HYPERLINK("https://en.wikipedia.org/wiki/Grace","Open source")</x:f>
        <x:v>HYPERLINK is not implemented. linkLocation=https://en.wikipedia.org/wiki/Grace, friendlyName=Open source</x:v>
      </x:c>
      <x:c r="AN675" s="14" t="str">
        <x:v>No qualifying BBC relationship</x:v>
      </x:c>
      <x:c r="AO675" s="14" t="str">
        <x:v>No</x:v>
      </x:c>
      <x:c r="AP675" s="14" t="str">
        <x:v>Out of scope</x:v>
      </x:c>
      <x:c r="AQ675" s="14" t="str">
        <x:v>No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20</x:v>
      </x:c>
      <x:c r="BP675" s="14" t="str">
        <x:v>Maximum eligible IMDb cast-credit total (20), shared by 4 performer(s); not independently verified as a 2021-only episode total.</x:v>
      </x:c>
      <x:c r="BQ675" s="14" t="str">
        <x:v>Medium</x:v>
      </x:c>
      <x:c r="BR675" s="15" t="n">
        <x:v>1</x:v>
      </x:c>
      <x:c r="BS675" s="16" t="n">
        <x:v>0.05</x:v>
      </x:c>
      <x:c r="BT675" s="14" t="str">
        <x:v>One episode</x:v>
      </x:c>
      <x:c r="BU675" s="14" t="str">
        <x:v>Medium</x:v>
      </x:c>
      <x:c r="BV675" s="14" t="str">
        <x:v>Derived from supplied IMDb episode count and the documented production-total proxy.</x:v>
      </x:c>
      <x:c r="BW675" s="14" t="str">
        <x:v>Unable to determine</x:v>
      </x:c>
      <x:c r="BX675" s="14" t="str">
        <x:v>Supplied cast data establishes the credit and episode presence but does not establish narrative prominence.</x:v>
      </x:c>
      <x:c r="BY675" s="14" t="str">
        <x:v>Supplied IMDb cast-list workbook</x:v>
      </x:c>
      <x:c r="BZ675" s="14" t="str">
        <x:v>HYPERLINK is not implemented. linkLocation=https://www.imdb.com/title/tt11639300/fullcredits/,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tt11639300|nm1346211|kipp kavinda</x:v>
      </x:c>
      <x:c r="B676" s="14" t="str">
        <x:v>02</x:v>
      </x:c>
      <x:c r="C676" s="14" t="str">
        <x:v>2021_IMDb_Cast_Lists_Batch_02(1).xlsx</x:v>
      </x:c>
      <x:c r="D676" s="14" t="str">
        <x:v>Grace</x:v>
      </x:c>
      <x:c r="E676" s="14" t="n">
        <x:v>139</x:v>
      </x:c>
      <x:c r="F676" s="14" t="str">
        <x:v>Grace</x:v>
      </x:c>
      <x:c r="G676" s="14" t="str">
        <x:v>tt11639300</x:v>
      </x:c>
      <x:c r="H676" s="14" t="n">
        <x:v>2021</x:v>
      </x:c>
      <x:c r="I676" s="14" t="n">
        <x:v>2025</x:v>
      </x:c>
      <x:c r="J676" s="14" t="str">
        <x:v>Earlier-Production Carry-In Cohort</x:v>
      </x:c>
      <x:c r="K676" s="14" t="n">
        <x:v>2021</x:v>
      </x:c>
      <x:c r="L676" s="14" t="str">
        <x:v>Used in 2025 annual analysis</x:v>
      </x:c>
      <x:c r="M676" s="15" t="n">
        <x:v>132</x:v>
      </x:c>
      <x:c r="N676" s="14" t="str">
        <x:v>Abhin Galeya</x:v>
      </x:c>
      <x:c r="O676" s="14" t="str">
        <x:v>nm1346211</x:v>
      </x:c>
      <x:c r="P676" s="14" t="str">
        <x:v>Kipp Kavinda</x:v>
      </x:c>
      <x:c r="Q676" s="15" t="n">
        <x:v>1</x:v>
      </x:c>
      <x:c r="R676" s="14" t="str">
        <x:v>2025</x:v>
      </x:c>
      <x:c r="S676" s="14" t="n">
        <x:v>2025</x:v>
      </x:c>
      <x:c r="T676" s="14" t="n">
        <x:v>2025</x:v>
      </x:c>
      <x:c r="U676" s="14" t="str">
        <x:v>Post-2021 casting excluded</x:v>
      </x:c>
      <x:c r="V676" s="14" t="str">
        <x:v>Earliest supplied year is 2025, later than the 2021 study year.</x:v>
      </x:c>
      <x:c r="W676" s="14"/>
      <x:c r="X676" s="14" t="str">
        <x:v>Included</x:v>
      </x:c>
      <x:c r="Y676" s="14"/>
      <x:c r="Z676" s="14" t="str">
        <x:v>Grace.docx</x:v>
      </x:c>
      <x:c r="AA676" s="14" t="str">
        <x:v>HYPERLINK is not implemented. linkLocation=https://www.imdb.com/title/tt11639300/fullcredits/,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ITV / ITVX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HYPERLINK("https://en.wikipedia.org/wiki/Grace","Open source")</x:f>
        <x:v>HYPERLINK is not implemented. linkLocation=https://en.wikipedia.org/wiki/Grace, friendlyName=Open source</x:v>
      </x:c>
      <x:c r="AN676" s="14" t="str">
        <x:v>No qualifying BBC relationship</x:v>
      </x:c>
      <x:c r="AO676" s="14" t="str">
        <x:v>No</x:v>
      </x:c>
      <x:c r="AP676" s="14" t="str">
        <x:v>Out of scope</x:v>
      </x:c>
      <x:c r="AQ676" s="14" t="str">
        <x:v>No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20</x:v>
      </x:c>
      <x:c r="BP676" s="14" t="str">
        <x:v>Maximum eligible IMDb cast-credit total (20), shared by 4 performer(s); not independently verified as a 2021-only episode total.</x:v>
      </x:c>
      <x:c r="BQ676" s="14" t="str">
        <x:v>Medium</x:v>
      </x:c>
      <x:c r="BR676" s="15" t="n">
        <x:v>1</x:v>
      </x:c>
      <x:c r="BS676" s="16" t="n">
        <x:v>0.05</x:v>
      </x:c>
      <x:c r="BT676" s="14" t="str">
        <x:v>One episode</x:v>
      </x:c>
      <x:c r="BU676" s="14" t="str">
        <x:v>Medium</x:v>
      </x:c>
      <x:c r="BV676" s="14" t="str">
        <x:v>Derived from supplied IMDb episode count and the documented production-total proxy.</x:v>
      </x:c>
      <x:c r="BW676" s="14" t="str">
        <x:v>Unable to determine</x:v>
      </x:c>
      <x:c r="BX676" s="14" t="str">
        <x:v>Supplied cast data establishes the credit and episode presence but does not establish narrative prominence.</x:v>
      </x:c>
      <x:c r="BY676" s="14" t="str">
        <x:v>Supplied IMDb cast-list workbook</x:v>
      </x:c>
      <x:c r="BZ676" s="14" t="str">
        <x:v>HYPERLINK is not implemented. linkLocation=https://www.imdb.com/title/tt11639300/fullcredits/,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tt11639300|nm8013437|ellen maxwell</x:v>
      </x:c>
      <x:c r="B677" s="14" t="str">
        <x:v>02</x:v>
      </x:c>
      <x:c r="C677" s="14" t="str">
        <x:v>2021_IMDb_Cast_Lists_Batch_02(1).xlsx</x:v>
      </x:c>
      <x:c r="D677" s="14" t="str">
        <x:v>Grace</x:v>
      </x:c>
      <x:c r="E677" s="14" t="n">
        <x:v>140</x:v>
      </x:c>
      <x:c r="F677" s="14" t="str">
        <x:v>Grace</x:v>
      </x:c>
      <x:c r="G677" s="14" t="str">
        <x:v>tt11639300</x:v>
      </x:c>
      <x:c r="H677" s="14" t="n">
        <x:v>2021</x:v>
      </x:c>
      <x:c r="I677" s="14" t="n">
        <x:v>2025</x:v>
      </x:c>
      <x:c r="J677" s="14" t="str">
        <x:v>Earlier-Production Carry-In Cohort</x:v>
      </x:c>
      <x:c r="K677" s="14" t="n">
        <x:v>2021</x:v>
      </x:c>
      <x:c r="L677" s="14" t="str">
        <x:v>Used in 2025 annual analysis</x:v>
      </x:c>
      <x:c r="M677" s="15" t="n">
        <x:v>133</x:v>
      </x:c>
      <x:c r="N677" s="14" t="str">
        <x:v>Sophie Ablett</x:v>
      </x:c>
      <x:c r="O677" s="14" t="str">
        <x:v>nm8013437</x:v>
      </x:c>
      <x:c r="P677" s="14" t="str">
        <x:v>Ellen Maxwell</x:v>
      </x:c>
      <x:c r="Q677" s="15" t="n">
        <x:v>1</x:v>
      </x:c>
      <x:c r="R677" s="14" t="str">
        <x:v>2025</x:v>
      </x:c>
      <x:c r="S677" s="14" t="n">
        <x:v>2025</x:v>
      </x:c>
      <x:c r="T677" s="14" t="n">
        <x:v>2025</x:v>
      </x:c>
      <x:c r="U677" s="14" t="str">
        <x:v>Post-2021 casting excluded</x:v>
      </x:c>
      <x:c r="V677" s="14" t="str">
        <x:v>Earliest supplied year is 2025, later than the 2021 study year.</x:v>
      </x:c>
      <x:c r="W677" s="14"/>
      <x:c r="X677" s="14" t="str">
        <x:v>Included</x:v>
      </x:c>
      <x:c r="Y677" s="14"/>
      <x:c r="Z677" s="14" t="str">
        <x:v>Grace.docx</x:v>
      </x:c>
      <x:c r="AA677" s="14" t="str">
        <x:v>HYPERLINK is not implemented. linkLocation=https://www.imdb.com/title/tt11639300/fullcredits/,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ITV / ITVX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HYPERLINK("https://en.wikipedia.org/wiki/Grace","Open source")</x:f>
        <x:v>HYPERLINK is not implemented. linkLocation=https://en.wikipedia.org/wiki/Grace, friendlyName=Open source</x:v>
      </x:c>
      <x:c r="AN677" s="14" t="str">
        <x:v>No qualifying BBC relationship</x:v>
      </x:c>
      <x:c r="AO677" s="14" t="str">
        <x:v>No</x:v>
      </x:c>
      <x:c r="AP677" s="14" t="str">
        <x:v>Out of scope</x:v>
      </x:c>
      <x:c r="AQ677" s="14" t="str">
        <x:v>No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20</x:v>
      </x:c>
      <x:c r="BP677" s="14" t="str">
        <x:v>Maximum eligible IMDb cast-credit total (20), shared by 4 performer(s); not independently verified as a 2021-only episode total.</x:v>
      </x:c>
      <x:c r="BQ677" s="14" t="str">
        <x:v>Medium</x:v>
      </x:c>
      <x:c r="BR677" s="15" t="n">
        <x:v>1</x:v>
      </x:c>
      <x:c r="BS677" s="16" t="n">
        <x:v>0.05</x:v>
      </x:c>
      <x:c r="BT677" s="14" t="str">
        <x:v>One episode</x:v>
      </x:c>
      <x:c r="BU677" s="14" t="str">
        <x:v>Medium</x:v>
      </x:c>
      <x:c r="BV677" s="14" t="str">
        <x:v>Derived from supplied IMDb episode count and the documented production-total proxy.</x:v>
      </x:c>
      <x:c r="BW677" s="14" t="str">
        <x:v>Unable to determine</x:v>
      </x:c>
      <x:c r="BX677" s="14" t="str">
        <x:v>Supplied cast data establishes the credit and episode presence but does not establish narrative prominence.</x:v>
      </x:c>
      <x:c r="BY677" s="14" t="str">
        <x:v>Supplied IMDb cast-list workbook</x:v>
      </x:c>
      <x:c r="BZ677" s="14" t="str">
        <x:v>HYPERLINK is not implemented. linkLocation=https://www.imdb.com/title/tt11639300/fullcredits/,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tt11639300|nm1873687|meg magellan</x:v>
      </x:c>
      <x:c r="B678" s="14" t="str">
        <x:v>02</x:v>
      </x:c>
      <x:c r="C678" s="14" t="str">
        <x:v>2021_IMDb_Cast_Lists_Batch_02(1).xlsx</x:v>
      </x:c>
      <x:c r="D678" s="14" t="str">
        <x:v>Grace</x:v>
      </x:c>
      <x:c r="E678" s="14" t="n">
        <x:v>147</x:v>
      </x:c>
      <x:c r="F678" s="14" t="str">
        <x:v>Grace</x:v>
      </x:c>
      <x:c r="G678" s="14" t="str">
        <x:v>tt11639300</x:v>
      </x:c>
      <x:c r="H678" s="14" t="n">
        <x:v>2021</x:v>
      </x:c>
      <x:c r="I678" s="14" t="n">
        <x:v>2025</x:v>
      </x:c>
      <x:c r="J678" s="14" t="str">
        <x:v>Earlier-Production Carry-In Cohort</x:v>
      </x:c>
      <x:c r="K678" s="14" t="n">
        <x:v>2021</x:v>
      </x:c>
      <x:c r="L678" s="14" t="str">
        <x:v>Used in 2025 annual analysis</x:v>
      </x:c>
      <x:c r="M678" s="15" t="n">
        <x:v>140</x:v>
      </x:c>
      <x:c r="N678" s="14" t="str">
        <x:v>Georgina Rich</x:v>
      </x:c>
      <x:c r="O678" s="14" t="str">
        <x:v>nm1873687</x:v>
      </x:c>
      <x:c r="P678" s="14" t="str">
        <x:v>Meg Magellan</x:v>
      </x:c>
      <x:c r="Q678" s="15" t="n">
        <x:v>1</x:v>
      </x:c>
      <x:c r="R678" s="14" t="str">
        <x:v>2025</x:v>
      </x:c>
      <x:c r="S678" s="14" t="n">
        <x:v>2025</x:v>
      </x:c>
      <x:c r="T678" s="14" t="n">
        <x:v>2025</x:v>
      </x:c>
      <x:c r="U678" s="14" t="str">
        <x:v>Post-2021 casting excluded</x:v>
      </x:c>
      <x:c r="V678" s="14" t="str">
        <x:v>Earliest supplied year is 2025, later than the 2021 study year.</x:v>
      </x:c>
      <x:c r="W678" s="14"/>
      <x:c r="X678" s="14" t="str">
        <x:v>Included</x:v>
      </x:c>
      <x:c r="Y678" s="14"/>
      <x:c r="Z678" s="14" t="str">
        <x:v>Grace.docx</x:v>
      </x:c>
      <x:c r="AA678" s="14" t="str">
        <x:v>HYPERLINK is not implemented. linkLocation=https://www.imdb.com/title/tt11639300/fullcredits/,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ITV / ITVX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HYPERLINK("https://en.wikipedia.org/wiki/Grace","Open source")</x:f>
        <x:v>HYPERLINK is not implemented. linkLocation=https://en.wikipedia.org/wiki/Grace, friendlyName=Open source</x:v>
      </x:c>
      <x:c r="AN678" s="14" t="str">
        <x:v>No qualifying BBC relationship</x:v>
      </x:c>
      <x:c r="AO678" s="14" t="str">
        <x:v>No</x:v>
      </x:c>
      <x:c r="AP678" s="14" t="str">
        <x:v>Out of scope</x:v>
      </x:c>
      <x:c r="AQ678" s="14" t="str">
        <x:v>No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20</x:v>
      </x:c>
      <x:c r="BP678" s="14" t="str">
        <x:v>Maximum eligible IMDb cast-credit total (20), shared by 4 performer(s); not independently verified as a 2021-only episode total.</x:v>
      </x:c>
      <x:c r="BQ678" s="14" t="str">
        <x:v>Medium</x:v>
      </x:c>
      <x:c r="BR678" s="15" t="n">
        <x:v>1</x:v>
      </x:c>
      <x:c r="BS678" s="16" t="n">
        <x:v>0.05</x:v>
      </x:c>
      <x:c r="BT678" s="14" t="str">
        <x:v>One episode</x:v>
      </x:c>
      <x:c r="BU678" s="14" t="str">
        <x:v>Medium</x:v>
      </x:c>
      <x:c r="BV678" s="14" t="str">
        <x:v>Derived from supplied IMDb episode count and the documented production-total proxy.</x:v>
      </x:c>
      <x:c r="BW678" s="14" t="str">
        <x:v>Unable to determine</x:v>
      </x:c>
      <x:c r="BX678" s="14" t="str">
        <x:v>Supplied cast data establishes the credit and episode presence but does not establish narrative prominence.</x:v>
      </x:c>
      <x:c r="BY678" s="14" t="str">
        <x:v>Supplied IMDb cast-list workbook</x:v>
      </x:c>
      <x:c r="BZ678" s="14" t="str">
        <x:v>HYPERLINK is not implemented. linkLocation=https://www.imdb.com/title/tt11639300/fullcredits/,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tt11639300|nm1859822|dr. zara kavinda</x:v>
      </x:c>
      <x:c r="B679" s="14" t="str">
        <x:v>02</x:v>
      </x:c>
      <x:c r="C679" s="14" t="str">
        <x:v>2021_IMDb_Cast_Lists_Batch_02(1).xlsx</x:v>
      </x:c>
      <x:c r="D679" s="14" t="str">
        <x:v>Grace</x:v>
      </x:c>
      <x:c r="E679" s="14" t="n">
        <x:v>148</x:v>
      </x:c>
      <x:c r="F679" s="14" t="str">
        <x:v>Grace</x:v>
      </x:c>
      <x:c r="G679" s="14" t="str">
        <x:v>tt11639300</x:v>
      </x:c>
      <x:c r="H679" s="14" t="n">
        <x:v>2021</x:v>
      </x:c>
      <x:c r="I679" s="14" t="n">
        <x:v>2025</x:v>
      </x:c>
      <x:c r="J679" s="14" t="str">
        <x:v>Earlier-Production Carry-In Cohort</x:v>
      </x:c>
      <x:c r="K679" s="14" t="n">
        <x:v>2021</x:v>
      </x:c>
      <x:c r="L679" s="14" t="str">
        <x:v>Used in 2025 annual analysis</x:v>
      </x:c>
      <x:c r="M679" s="15" t="n">
        <x:v>141</x:v>
      </x:c>
      <x:c r="N679" s="14" t="str">
        <x:v>Maya Sondhi</x:v>
      </x:c>
      <x:c r="O679" s="14" t="str">
        <x:v>nm1859822</x:v>
      </x:c>
      <x:c r="P679" s="14" t="str">
        <x:v>Dr. Zara Kavinda</x:v>
      </x:c>
      <x:c r="Q679" s="15" t="n">
        <x:v>1</x:v>
      </x:c>
      <x:c r="R679" s="14" t="str">
        <x:v>2025</x:v>
      </x:c>
      <x:c r="S679" s="14" t="n">
        <x:v>2025</x:v>
      </x:c>
      <x:c r="T679" s="14" t="n">
        <x:v>2025</x:v>
      </x:c>
      <x:c r="U679" s="14" t="str">
        <x:v>Post-2021 casting excluded</x:v>
      </x:c>
      <x:c r="V679" s="14" t="str">
        <x:v>Earliest supplied year is 2025, later than the 2021 study year.</x:v>
      </x:c>
      <x:c r="W679" s="14"/>
      <x:c r="X679" s="14" t="str">
        <x:v>Included</x:v>
      </x:c>
      <x:c r="Y679" s="14"/>
      <x:c r="Z679" s="14" t="str">
        <x:v>Grace.docx</x:v>
      </x:c>
      <x:c r="AA679" s="14" t="str">
        <x:v>HYPERLINK is not implemented. linkLocation=https://www.imdb.com/title/tt11639300/fullcredits/,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ITV / ITVX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HYPERLINK("https://en.wikipedia.org/wiki/Grace","Open source")</x:f>
        <x:v>HYPERLINK is not implemented. linkLocation=https://en.wikipedia.org/wiki/Grace, friendlyName=Open source</x:v>
      </x:c>
      <x:c r="AN679" s="14" t="str">
        <x:v>No qualifying BBC relationship</x:v>
      </x:c>
      <x:c r="AO679" s="14" t="str">
        <x:v>No</x:v>
      </x:c>
      <x:c r="AP679" s="14" t="str">
        <x:v>Out of scope</x:v>
      </x:c>
      <x:c r="AQ679" s="14" t="str">
        <x:v>No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20</x:v>
      </x:c>
      <x:c r="BP679" s="14" t="str">
        <x:v>Maximum eligible IMDb cast-credit total (20), shared by 4 performer(s); not independently verified as a 2021-only episode total.</x:v>
      </x:c>
      <x:c r="BQ679" s="14" t="str">
        <x:v>Medium</x:v>
      </x:c>
      <x:c r="BR679" s="15" t="n">
        <x:v>1</x:v>
      </x:c>
      <x:c r="BS679" s="16" t="n">
        <x:v>0.05</x:v>
      </x:c>
      <x:c r="BT679" s="14" t="str">
        <x:v>One episode</x:v>
      </x:c>
      <x:c r="BU679" s="14" t="str">
        <x:v>Medium</x:v>
      </x:c>
      <x:c r="BV679" s="14" t="str">
        <x:v>Derived from supplied IMDb episode count and the documented production-total proxy.</x:v>
      </x:c>
      <x:c r="BW679" s="14" t="str">
        <x:v>Unable to determine</x:v>
      </x:c>
      <x:c r="BX679" s="14" t="str">
        <x:v>Supplied cast data establishes the credit and episode presence but does not establish narrative prominence.</x:v>
      </x:c>
      <x:c r="BY679" s="14" t="str">
        <x:v>Supplied IMDb cast-list workbook</x:v>
      </x:c>
      <x:c r="BZ679" s="14" t="str">
        <x:v>HYPERLINK is not implemented. linkLocation=https://www.imdb.com/title/tt11639300/fullcredits/,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tt11639300|nm10412349|laura magellan</x:v>
      </x:c>
      <x:c r="B680" s="14" t="str">
        <x:v>02</x:v>
      </x:c>
      <x:c r="C680" s="14" t="str">
        <x:v>2021_IMDb_Cast_Lists_Batch_02(1).xlsx</x:v>
      </x:c>
      <x:c r="D680" s="14" t="str">
        <x:v>Grace</x:v>
      </x:c>
      <x:c r="E680" s="14" t="n">
        <x:v>155</x:v>
      </x:c>
      <x:c r="F680" s="14" t="str">
        <x:v>Grace</x:v>
      </x:c>
      <x:c r="G680" s="14" t="str">
        <x:v>tt11639300</x:v>
      </x:c>
      <x:c r="H680" s="14" t="n">
        <x:v>2021</x:v>
      </x:c>
      <x:c r="I680" s="14" t="n">
        <x:v>2025</x:v>
      </x:c>
      <x:c r="J680" s="14" t="str">
        <x:v>Earlier-Production Carry-In Cohort</x:v>
      </x:c>
      <x:c r="K680" s="14" t="n">
        <x:v>2021</x:v>
      </x:c>
      <x:c r="L680" s="14" t="str">
        <x:v>Used in 2025 annual analysis</x:v>
      </x:c>
      <x:c r="M680" s="15" t="n">
        <x:v>148</x:v>
      </x:c>
      <x:c r="N680" s="14" t="str">
        <x:v>Iona Anderson</x:v>
      </x:c>
      <x:c r="O680" s="14" t="str">
        <x:v>nm10412349</x:v>
      </x:c>
      <x:c r="P680" s="14" t="str">
        <x:v>Laura Magellan</x:v>
      </x:c>
      <x:c r="Q680" s="15" t="n">
        <x:v>1</x:v>
      </x:c>
      <x:c r="R680" s="14" t="str">
        <x:v>2025</x:v>
      </x:c>
      <x:c r="S680" s="14" t="n">
        <x:v>2025</x:v>
      </x:c>
      <x:c r="T680" s="14" t="n">
        <x:v>2025</x:v>
      </x:c>
      <x:c r="U680" s="14" t="str">
        <x:v>Post-2021 casting excluded</x:v>
      </x:c>
      <x:c r="V680" s="14" t="str">
        <x:v>Earliest supplied year is 2025, later than the 2021 study year.</x:v>
      </x:c>
      <x:c r="W680" s="14"/>
      <x:c r="X680" s="14" t="str">
        <x:v>Included</x:v>
      </x:c>
      <x:c r="Y680" s="14"/>
      <x:c r="Z680" s="14" t="str">
        <x:v>Grace.docx</x:v>
      </x:c>
      <x:c r="AA680" s="14" t="str">
        <x:v>HYPERLINK is not implemented. linkLocation=https://www.imdb.com/title/tt11639300/fullcredits/,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ITV / ITVX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HYPERLINK("https://en.wikipedia.org/wiki/Grace","Open source")</x:f>
        <x:v>HYPERLINK is not implemented. linkLocation=https://en.wikipedia.org/wiki/Grace, friendlyName=Open source</x:v>
      </x:c>
      <x:c r="AN680" s="14" t="str">
        <x:v>No qualifying BBC relationship</x:v>
      </x:c>
      <x:c r="AO680" s="14" t="str">
        <x:v>No</x:v>
      </x:c>
      <x:c r="AP680" s="14" t="str">
        <x:v>Out of scope</x:v>
      </x:c>
      <x:c r="AQ680" s="14" t="str">
        <x:v>No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20</x:v>
      </x:c>
      <x:c r="BP680" s="14" t="str">
        <x:v>Maximum eligible IMDb cast-credit total (20), shared by 4 performer(s); not independently verified as a 2021-only episode total.</x:v>
      </x:c>
      <x:c r="BQ680" s="14" t="str">
        <x:v>Medium</x:v>
      </x:c>
      <x:c r="BR680" s="15" t="n">
        <x:v>1</x:v>
      </x:c>
      <x:c r="BS680" s="16" t="n">
        <x:v>0.05</x:v>
      </x:c>
      <x:c r="BT680" s="14" t="str">
        <x:v>One episode</x:v>
      </x:c>
      <x:c r="BU680" s="14" t="str">
        <x:v>Medium</x:v>
      </x:c>
      <x:c r="BV680" s="14" t="str">
        <x:v>Derived from supplied IMDb episode count and the documented production-total proxy.</x:v>
      </x:c>
      <x:c r="BW680" s="14" t="str">
        <x:v>Unable to determine</x:v>
      </x:c>
      <x:c r="BX680" s="14" t="str">
        <x:v>Supplied cast data establishes the credit and episode presence but does not establish narrative prominence.</x:v>
      </x:c>
      <x:c r="BY680" s="14" t="str">
        <x:v>Supplied IMDb cast-list workbook</x:v>
      </x:c>
      <x:c r="BZ680" s="14" t="str">
        <x:v>HYPERLINK is not implemented. linkLocation=https://www.imdb.com/title/tt11639300/fullcredits/,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tt11639300|nm12286259|frank kavinda</x:v>
      </x:c>
      <x:c r="B681" s="14" t="str">
        <x:v>02</x:v>
      </x:c>
      <x:c r="C681" s="14" t="str">
        <x:v>2021_IMDb_Cast_Lists_Batch_02(1).xlsx</x:v>
      </x:c>
      <x:c r="D681" s="14" t="str">
        <x:v>Grace</x:v>
      </x:c>
      <x:c r="E681" s="14" t="n">
        <x:v>156</x:v>
      </x:c>
      <x:c r="F681" s="14" t="str">
        <x:v>Grace</x:v>
      </x:c>
      <x:c r="G681" s="14" t="str">
        <x:v>tt11639300</x:v>
      </x:c>
      <x:c r="H681" s="14" t="n">
        <x:v>2021</x:v>
      </x:c>
      <x:c r="I681" s="14" t="n">
        <x:v>2025</x:v>
      </x:c>
      <x:c r="J681" s="14" t="str">
        <x:v>Earlier-Production Carry-In Cohort</x:v>
      </x:c>
      <x:c r="K681" s="14" t="n">
        <x:v>2021</x:v>
      </x:c>
      <x:c r="L681" s="14" t="str">
        <x:v>Used in 2025 annual analysis</x:v>
      </x:c>
      <x:c r="M681" s="15" t="n">
        <x:v>149</x:v>
      </x:c>
      <x:c r="N681" s="14" t="str">
        <x:v>Tobias Jowett</x:v>
      </x:c>
      <x:c r="O681" s="14" t="str">
        <x:v>nm12286259</x:v>
      </x:c>
      <x:c r="P681" s="14" t="str">
        <x:v>Frank Kavinda</x:v>
      </x:c>
      <x:c r="Q681" s="15" t="n">
        <x:v>1</x:v>
      </x:c>
      <x:c r="R681" s="14" t="str">
        <x:v>2025</x:v>
      </x:c>
      <x:c r="S681" s="14" t="n">
        <x:v>2025</x:v>
      </x:c>
      <x:c r="T681" s="14" t="n">
        <x:v>2025</x:v>
      </x:c>
      <x:c r="U681" s="14" t="str">
        <x:v>Post-2021 casting excluded</x:v>
      </x:c>
      <x:c r="V681" s="14" t="str">
        <x:v>Earliest supplied year is 2025, later than the 2021 study year.</x:v>
      </x:c>
      <x:c r="W681" s="14"/>
      <x:c r="X681" s="14" t="str">
        <x:v>Included</x:v>
      </x:c>
      <x:c r="Y681" s="14"/>
      <x:c r="Z681" s="14" t="str">
        <x:v>Grace.docx</x:v>
      </x:c>
      <x:c r="AA681" s="14" t="str">
        <x:v>HYPERLINK is not implemented. linkLocation=https://www.imdb.com/title/tt11639300/fullcredits/,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ITV / ITVX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HYPERLINK("https://en.wikipedia.org/wiki/Grace","Open source")</x:f>
        <x:v>HYPERLINK is not implemented. linkLocation=https://en.wikipedia.org/wiki/Grace, friendlyName=Open source</x:v>
      </x:c>
      <x:c r="AN681" s="14" t="str">
        <x:v>No qualifying BBC relationship</x:v>
      </x:c>
      <x:c r="AO681" s="14" t="str">
        <x:v>No</x:v>
      </x:c>
      <x:c r="AP681" s="14" t="str">
        <x:v>Out of scope</x:v>
      </x:c>
      <x:c r="AQ681" s="14" t="str">
        <x:v>No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20</x:v>
      </x:c>
      <x:c r="BP681" s="14" t="str">
        <x:v>Maximum eligible IMDb cast-credit total (20), shared by 4 performer(s); not independently verified as a 2021-only episode total.</x:v>
      </x:c>
      <x:c r="BQ681" s="14" t="str">
        <x:v>Medium</x:v>
      </x:c>
      <x:c r="BR681" s="15" t="n">
        <x:v>1</x:v>
      </x:c>
      <x:c r="BS681" s="16" t="n">
        <x:v>0.05</x:v>
      </x:c>
      <x:c r="BT681" s="14" t="str">
        <x:v>One episode</x:v>
      </x:c>
      <x:c r="BU681" s="14" t="str">
        <x:v>Medium</x:v>
      </x:c>
      <x:c r="BV681" s="14" t="str">
        <x:v>Derived from supplied IMDb episode count and the documented production-total proxy.</x:v>
      </x:c>
      <x:c r="BW681" s="14" t="str">
        <x:v>Unable to determine</x:v>
      </x:c>
      <x:c r="BX681" s="14" t="str">
        <x:v>Supplied cast data establishes the credit and episode presence but does not establish narrative prominence.</x:v>
      </x:c>
      <x:c r="BY681" s="14" t="str">
        <x:v>Supplied IMDb cast-list workbook</x:v>
      </x:c>
      <x:c r="BZ681" s="14" t="str">
        <x:v>HYPERLINK is not implemented. linkLocation=https://www.imdb.com/title/tt11639300/fullcredits/,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tt11639300|nm9925112|dr. rita josif</x:v>
      </x:c>
      <x:c r="B682" s="14" t="str">
        <x:v>02</x:v>
      </x:c>
      <x:c r="C682" s="14" t="str">
        <x:v>2021_IMDb_Cast_Lists_Batch_02(1).xlsx</x:v>
      </x:c>
      <x:c r="D682" s="14" t="str">
        <x:v>Grace</x:v>
      </x:c>
      <x:c r="E682" s="14" t="n">
        <x:v>157</x:v>
      </x:c>
      <x:c r="F682" s="14" t="str">
        <x:v>Grace</x:v>
      </x:c>
      <x:c r="G682" s="14" t="str">
        <x:v>tt11639300</x:v>
      </x:c>
      <x:c r="H682" s="14" t="n">
        <x:v>2021</x:v>
      </x:c>
      <x:c r="I682" s="14" t="n">
        <x:v>2025</x:v>
      </x:c>
      <x:c r="J682" s="14" t="str">
        <x:v>Earlier-Production Carry-In Cohort</x:v>
      </x:c>
      <x:c r="K682" s="14" t="n">
        <x:v>2021</x:v>
      </x:c>
      <x:c r="L682" s="14" t="str">
        <x:v>Used in 2025 annual analysis</x:v>
      </x:c>
      <x:c r="M682" s="15" t="n">
        <x:v>150</x:v>
      </x:c>
      <x:c r="N682" s="14" t="str">
        <x:v>Rebecca Banatvala</x:v>
      </x:c>
      <x:c r="O682" s="14" t="str">
        <x:v>nm9925112</x:v>
      </x:c>
      <x:c r="P682" s="14" t="str">
        <x:v>Dr. Rita Josif</x:v>
      </x:c>
      <x:c r="Q682" s="15" t="n">
        <x:v>1</x:v>
      </x:c>
      <x:c r="R682" s="14" t="str">
        <x:v>2025</x:v>
      </x:c>
      <x:c r="S682" s="14" t="n">
        <x:v>2025</x:v>
      </x:c>
      <x:c r="T682" s="14" t="n">
        <x:v>2025</x:v>
      </x:c>
      <x:c r="U682" s="14" t="str">
        <x:v>Post-2021 casting excluded</x:v>
      </x:c>
      <x:c r="V682" s="14" t="str">
        <x:v>Earliest supplied year is 2025, later than the 2021 study year.</x:v>
      </x:c>
      <x:c r="W682" s="14"/>
      <x:c r="X682" s="14" t="str">
        <x:v>Included</x:v>
      </x:c>
      <x:c r="Y682" s="14"/>
      <x:c r="Z682" s="14" t="str">
        <x:v>Grace.docx</x:v>
      </x:c>
      <x:c r="AA682" s="14" t="str">
        <x:v>HYPERLINK is not implemented. linkLocation=https://www.imdb.com/title/tt11639300/fullcredits/,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ITV / ITVX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HYPERLINK("https://en.wikipedia.org/wiki/Grace","Open source")</x:f>
        <x:v>HYPERLINK is not implemented. linkLocation=https://en.wikipedia.org/wiki/Grace, friendlyName=Open source</x:v>
      </x:c>
      <x:c r="AN682" s="14" t="str">
        <x:v>No qualifying BBC relationship</x:v>
      </x:c>
      <x:c r="AO682" s="14" t="str">
        <x:v>No</x:v>
      </x:c>
      <x:c r="AP682" s="14" t="str">
        <x:v>Out of scope</x:v>
      </x:c>
      <x:c r="AQ682" s="14" t="str">
        <x:v>No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20</x:v>
      </x:c>
      <x:c r="BP682" s="14" t="str">
        <x:v>Maximum eligible IMDb cast-credit total (20), shared by 4 performer(s); not independently verified as a 2021-only episode total.</x:v>
      </x:c>
      <x:c r="BQ682" s="14" t="str">
        <x:v>Medium</x:v>
      </x:c>
      <x:c r="BR682" s="15" t="n">
        <x:v>1</x:v>
      </x:c>
      <x:c r="BS682" s="16" t="n">
        <x:v>0.05</x:v>
      </x:c>
      <x:c r="BT682" s="14" t="str">
        <x:v>One episode</x:v>
      </x:c>
      <x:c r="BU682" s="14" t="str">
        <x:v>Medium</x:v>
      </x:c>
      <x:c r="BV682" s="14" t="str">
        <x:v>Derived from supplied IMDb episode count and the documented production-total proxy.</x:v>
      </x:c>
      <x:c r="BW682" s="14" t="str">
        <x:v>Unable to determine</x:v>
      </x:c>
      <x:c r="BX682" s="14" t="str">
        <x:v>Supplied cast data establishes the credit and episode presence but does not establish narrative prominence.</x:v>
      </x:c>
      <x:c r="BY682" s="14" t="str">
        <x:v>Supplied IMDb cast-list workbook</x:v>
      </x:c>
      <x:c r="BZ682" s="14" t="str">
        <x:v>HYPERLINK is not implemented. linkLocation=https://www.imdb.com/title/tt11639300/fullcredits/,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tt11639300|nm2059560|stephen wolfe</x:v>
      </x:c>
      <x:c r="B683" s="14" t="str">
        <x:v>02</x:v>
      </x:c>
      <x:c r="C683" s="14" t="str">
        <x:v>2021_IMDb_Cast_Lists_Batch_02(1).xlsx</x:v>
      </x:c>
      <x:c r="D683" s="14" t="str">
        <x:v>Grace</x:v>
      </x:c>
      <x:c r="E683" s="14" t="n">
        <x:v>169</x:v>
      </x:c>
      <x:c r="F683" s="14" t="str">
        <x:v>Grace</x:v>
      </x:c>
      <x:c r="G683" s="14" t="str">
        <x:v>tt11639300</x:v>
      </x:c>
      <x:c r="H683" s="14" t="n">
        <x:v>2021</x:v>
      </x:c>
      <x:c r="I683" s="14" t="n">
        <x:v>2025</x:v>
      </x:c>
      <x:c r="J683" s="14" t="str">
        <x:v>Earlier-Production Carry-In Cohort</x:v>
      </x:c>
      <x:c r="K683" s="14" t="n">
        <x:v>2021</x:v>
      </x:c>
      <x:c r="L683" s="14" t="str">
        <x:v>Used in 2025 annual analysis</x:v>
      </x:c>
      <x:c r="M683" s="15" t="n">
        <x:v>162</x:v>
      </x:c>
      <x:c r="N683" s="14" t="str">
        <x:v>Sule Rimi</x:v>
      </x:c>
      <x:c r="O683" s="14" t="str">
        <x:v>nm2059560</x:v>
      </x:c>
      <x:c r="P683" s="14" t="str">
        <x:v>Stephen Wolfe</x:v>
      </x:c>
      <x:c r="Q683" s="15" t="n">
        <x:v>1</x:v>
      </x:c>
      <x:c r="R683" s="14" t="str">
        <x:v>2025</x:v>
      </x:c>
      <x:c r="S683" s="14" t="n">
        <x:v>2025</x:v>
      </x:c>
      <x:c r="T683" s="14" t="n">
        <x:v>2025</x:v>
      </x:c>
      <x:c r="U683" s="14" t="str">
        <x:v>Post-2021 casting excluded</x:v>
      </x:c>
      <x:c r="V683" s="14" t="str">
        <x:v>Earliest supplied year is 2025, later than the 2021 study year.</x:v>
      </x:c>
      <x:c r="W683" s="14"/>
      <x:c r="X683" s="14" t="str">
        <x:v>Included</x:v>
      </x:c>
      <x:c r="Y683" s="14"/>
      <x:c r="Z683" s="14" t="str">
        <x:v>Grace.docx</x:v>
      </x:c>
      <x:c r="AA683" s="14" t="str">
        <x:v>HYPERLINK is not implemented. linkLocation=https://www.imdb.com/title/tt11639300/fullcredits/,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ITV / ITVX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HYPERLINK("https://en.wikipedia.org/wiki/Grace","Open source")</x:f>
        <x:v>HYPERLINK is not implemented. linkLocation=https://en.wikipedia.org/wiki/Grace, friendlyName=Open source</x:v>
      </x:c>
      <x:c r="AN683" s="14" t="str">
        <x:v>No qualifying BBC relationship</x:v>
      </x:c>
      <x:c r="AO683" s="14" t="str">
        <x:v>No</x:v>
      </x:c>
      <x:c r="AP683" s="14" t="str">
        <x:v>Out of scope</x:v>
      </x:c>
      <x:c r="AQ683" s="14" t="str">
        <x:v>No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20</x:v>
      </x:c>
      <x:c r="BP683" s="14" t="str">
        <x:v>Maximum eligible IMDb cast-credit total (20), shared by 4 performer(s); not independently verified as a 2021-only episode total.</x:v>
      </x:c>
      <x:c r="BQ683" s="14" t="str">
        <x:v>Medium</x:v>
      </x:c>
      <x:c r="BR683" s="15" t="n">
        <x:v>1</x:v>
      </x:c>
      <x:c r="BS683" s="16" t="n">
        <x:v>0.05</x:v>
      </x:c>
      <x:c r="BT683" s="14" t="str">
        <x:v>One episode</x:v>
      </x:c>
      <x:c r="BU683" s="14" t="str">
        <x:v>Medium</x:v>
      </x:c>
      <x:c r="BV683" s="14" t="str">
        <x:v>Derived from supplied IMDb episode count and the documented production-total proxy.</x:v>
      </x:c>
      <x:c r="BW683" s="14" t="str">
        <x:v>Unable to determine</x:v>
      </x:c>
      <x:c r="BX683" s="14" t="str">
        <x:v>Supplied cast data establishes the credit and episode presence but does not establish narrative prominence.</x:v>
      </x:c>
      <x:c r="BY683" s="14" t="str">
        <x:v>Supplied IMDb cast-list workbook</x:v>
      </x:c>
      <x:c r="BZ683" s="14" t="str">
        <x:v>HYPERLINK is not implemented. linkLocation=https://www.imdb.com/title/tt11639300/fullcredits/,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tt11639300|nm0267622|alma starr</x:v>
      </x:c>
      <x:c r="B684" s="14" t="str">
        <x:v>02</x:v>
      </x:c>
      <x:c r="C684" s="14" t="str">
        <x:v>2021_IMDb_Cast_Lists_Batch_02(1).xlsx</x:v>
      </x:c>
      <x:c r="D684" s="14" t="str">
        <x:v>Grace</x:v>
      </x:c>
      <x:c r="E684" s="14" t="n">
        <x:v>179</x:v>
      </x:c>
      <x:c r="F684" s="14" t="str">
        <x:v>Grace</x:v>
      </x:c>
      <x:c r="G684" s="14" t="str">
        <x:v>tt11639300</x:v>
      </x:c>
      <x:c r="H684" s="14" t="n">
        <x:v>2021</x:v>
      </x:c>
      <x:c r="I684" s="14" t="n">
        <x:v>2025</x:v>
      </x:c>
      <x:c r="J684" s="14" t="str">
        <x:v>Earlier-Production Carry-In Cohort</x:v>
      </x:c>
      <x:c r="K684" s="14" t="n">
        <x:v>2021</x:v>
      </x:c>
      <x:c r="L684" s="14" t="str">
        <x:v>Used in 2025 annual analysis</x:v>
      </x:c>
      <x:c r="M684" s="15" t="n">
        <x:v>172</x:v>
      </x:c>
      <x:c r="N684" s="14" t="str">
        <x:v>Lynn Farleigh</x:v>
      </x:c>
      <x:c r="O684" s="14" t="str">
        <x:v>nm0267622</x:v>
      </x:c>
      <x:c r="P684" s="14" t="str">
        <x:v>Alma Starr</x:v>
      </x:c>
      <x:c r="Q684" s="15" t="n">
        <x:v>1</x:v>
      </x:c>
      <x:c r="R684" s="14" t="str">
        <x:v>2025</x:v>
      </x:c>
      <x:c r="S684" s="14" t="n">
        <x:v>2025</x:v>
      </x:c>
      <x:c r="T684" s="14" t="n">
        <x:v>2025</x:v>
      </x:c>
      <x:c r="U684" s="14" t="str">
        <x:v>Post-2021 casting excluded</x:v>
      </x:c>
      <x:c r="V684" s="14" t="str">
        <x:v>Earliest supplied year is 2025, later than the 2021 study year.</x:v>
      </x:c>
      <x:c r="W684" s="14"/>
      <x:c r="X684" s="14" t="str">
        <x:v>Included</x:v>
      </x:c>
      <x:c r="Y684" s="14"/>
      <x:c r="Z684" s="14" t="str">
        <x:v>Grace.docx</x:v>
      </x:c>
      <x:c r="AA684" s="14" t="str">
        <x:v>HYPERLINK is not implemented. linkLocation=https://www.imdb.com/title/tt11639300/fullcredits/,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ITV / ITVX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HYPERLINK("https://en.wikipedia.org/wiki/Grace","Open source")</x:f>
        <x:v>HYPERLINK is not implemented. linkLocation=https://en.wikipedia.org/wiki/Grace, friendlyName=Open source</x:v>
      </x:c>
      <x:c r="AN684" s="14" t="str">
        <x:v>No qualifying BBC relationship</x:v>
      </x:c>
      <x:c r="AO684" s="14" t="str">
        <x:v>No</x:v>
      </x:c>
      <x:c r="AP684" s="14" t="str">
        <x:v>Out of scope</x:v>
      </x:c>
      <x:c r="AQ684" s="14" t="str">
        <x:v>No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20</x:v>
      </x:c>
      <x:c r="BP684" s="14" t="str">
        <x:v>Maximum eligible IMDb cast-credit total (20), shared by 4 performer(s); not independently verified as a 2021-only episode total.</x:v>
      </x:c>
      <x:c r="BQ684" s="14" t="str">
        <x:v>Medium</x:v>
      </x:c>
      <x:c r="BR684" s="15" t="n">
        <x:v>1</x:v>
      </x:c>
      <x:c r="BS684" s="16" t="n">
        <x:v>0.05</x:v>
      </x:c>
      <x:c r="BT684" s="14" t="str">
        <x:v>One episode</x:v>
      </x:c>
      <x:c r="BU684" s="14" t="str">
        <x:v>Medium</x:v>
      </x:c>
      <x:c r="BV684" s="14" t="str">
        <x:v>Derived from supplied IMDb episode count and the documented production-total proxy.</x:v>
      </x:c>
      <x:c r="BW684" s="14" t="str">
        <x:v>Unable to determine</x:v>
      </x:c>
      <x:c r="BX684" s="14" t="str">
        <x:v>Supplied cast data establishes the credit and episode presence but does not establish narrative prominence.</x:v>
      </x:c>
      <x:c r="BY684" s="14" t="str">
        <x:v>Supplied IMDb cast-list workbook</x:v>
      </x:c>
      <x:c r="BZ684" s="14" t="str">
        <x:v>HYPERLINK is not implemented. linkLocation=https://www.imdb.com/title/tt11639300/fullcredits/,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tt11639300|nm0461409|corin belling</x:v>
      </x:c>
      <x:c r="B685" s="14" t="str">
        <x:v>02</x:v>
      </x:c>
      <x:c r="C685" s="14" t="str">
        <x:v>2021_IMDb_Cast_Lists_Batch_02(1).xlsx</x:v>
      </x:c>
      <x:c r="D685" s="14" t="str">
        <x:v>Grace</x:v>
      </x:c>
      <x:c r="E685" s="14" t="n">
        <x:v>191</x:v>
      </x:c>
      <x:c r="F685" s="14" t="str">
        <x:v>Grace</x:v>
      </x:c>
      <x:c r="G685" s="14" t="str">
        <x:v>tt11639300</x:v>
      </x:c>
      <x:c r="H685" s="14" t="n">
        <x:v>2021</x:v>
      </x:c>
      <x:c r="I685" s="14" t="n">
        <x:v>2025</x:v>
      </x:c>
      <x:c r="J685" s="14" t="str">
        <x:v>Earlier-Production Carry-In Cohort</x:v>
      </x:c>
      <x:c r="K685" s="14" t="n">
        <x:v>2021</x:v>
      </x:c>
      <x:c r="L685" s="14" t="str">
        <x:v>Used in 2025 annual analysis</x:v>
      </x:c>
      <x:c r="M685" s="15" t="n">
        <x:v>184</x:v>
      </x:c>
      <x:c r="N685" s="14" t="str">
        <x:v>Andrew Knott</x:v>
      </x:c>
      <x:c r="O685" s="14" t="str">
        <x:v>nm0461409</x:v>
      </x:c>
      <x:c r="P685" s="14" t="str">
        <x:v>Corin Belling</x:v>
      </x:c>
      <x:c r="Q685" s="15" t="n">
        <x:v>1</x:v>
      </x:c>
      <x:c r="R685" s="14" t="str">
        <x:v>2025</x:v>
      </x:c>
      <x:c r="S685" s="14" t="n">
        <x:v>2025</x:v>
      </x:c>
      <x:c r="T685" s="14" t="n">
        <x:v>2025</x:v>
      </x:c>
      <x:c r="U685" s="14" t="str">
        <x:v>Post-2021 casting excluded</x:v>
      </x:c>
      <x:c r="V685" s="14" t="str">
        <x:v>Earliest supplied year is 2025, later than the 2021 study year.</x:v>
      </x:c>
      <x:c r="W685" s="14"/>
      <x:c r="X685" s="14" t="str">
        <x:v>Included</x:v>
      </x:c>
      <x:c r="Y685" s="14"/>
      <x:c r="Z685" s="14" t="str">
        <x:v>Grace.docx</x:v>
      </x:c>
      <x:c r="AA685" s="14" t="str">
        <x:v>HYPERLINK is not implemented. linkLocation=https://www.imdb.com/title/tt11639300/fullcredits/,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ITV / ITVX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HYPERLINK("https://en.wikipedia.org/wiki/Grace","Open source")</x:f>
        <x:v>HYPERLINK is not implemented. linkLocation=https://en.wikipedia.org/wiki/Grace, friendlyName=Open source</x:v>
      </x:c>
      <x:c r="AN685" s="14" t="str">
        <x:v>No qualifying BBC relationship</x:v>
      </x:c>
      <x:c r="AO685" s="14" t="str">
        <x:v>No</x:v>
      </x:c>
      <x:c r="AP685" s="14" t="str">
        <x:v>Out of scope</x:v>
      </x:c>
      <x:c r="AQ685" s="14" t="str">
        <x:v>No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20</x:v>
      </x:c>
      <x:c r="BP685" s="14" t="str">
        <x:v>Maximum eligible IMDb cast-credit total (20), shared by 4 performer(s); not independently verified as a 2021-only episode total.</x:v>
      </x:c>
      <x:c r="BQ685" s="14" t="str">
        <x:v>Medium</x:v>
      </x:c>
      <x:c r="BR685" s="15" t="n">
        <x:v>1</x:v>
      </x:c>
      <x:c r="BS685" s="16" t="n">
        <x:v>0.05</x:v>
      </x:c>
      <x:c r="BT685" s="14" t="str">
        <x:v>One episode</x:v>
      </x:c>
      <x:c r="BU685" s="14" t="str">
        <x:v>Medium</x:v>
      </x:c>
      <x:c r="BV685" s="14" t="str">
        <x:v>Derived from supplied IMDb episode count and the documented production-total proxy.</x:v>
      </x:c>
      <x:c r="BW685" s="14" t="str">
        <x:v>Unable to determine</x:v>
      </x:c>
      <x:c r="BX685" s="14" t="str">
        <x:v>Supplied cast data establishes the credit and episode presence but does not establish narrative prominence.</x:v>
      </x:c>
      <x:c r="BY685" s="14" t="str">
        <x:v>Supplied IMDb cast-list workbook</x:v>
      </x:c>
      <x:c r="BZ685" s="14" t="str">
        <x:v>HYPERLINK is not implemented. linkLocation=https://www.imdb.com/title/tt11639300/fullcredits/,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tt11639300|nm11007815|kona</x:v>
      </x:c>
      <x:c r="B686" s="14" t="str">
        <x:v>02</x:v>
      </x:c>
      <x:c r="C686" s="14" t="str">
        <x:v>2021_IMDb_Cast_Lists_Batch_02(1).xlsx</x:v>
      </x:c>
      <x:c r="D686" s="14" t="str">
        <x:v>Grace</x:v>
      </x:c>
      <x:c r="E686" s="14" t="n">
        <x:v>192</x:v>
      </x:c>
      <x:c r="F686" s="14" t="str">
        <x:v>Grace</x:v>
      </x:c>
      <x:c r="G686" s="14" t="str">
        <x:v>tt11639300</x:v>
      </x:c>
      <x:c r="H686" s="14" t="n">
        <x:v>2021</x:v>
      </x:c>
      <x:c r="I686" s="14" t="n">
        <x:v>2025</x:v>
      </x:c>
      <x:c r="J686" s="14" t="str">
        <x:v>Earlier-Production Carry-In Cohort</x:v>
      </x:c>
      <x:c r="K686" s="14" t="n">
        <x:v>2021</x:v>
      </x:c>
      <x:c r="L686" s="14" t="str">
        <x:v>Used in 2025 annual analysis</x:v>
      </x:c>
      <x:c r="M686" s="15" t="n">
        <x:v>185</x:v>
      </x:c>
      <x:c r="N686" s="14" t="str">
        <x:v>Eddie Mannon</x:v>
      </x:c>
      <x:c r="O686" s="14" t="str">
        <x:v>nm11007815</x:v>
      </x:c>
      <x:c r="P686" s="14" t="str">
        <x:v>Kona</x:v>
      </x:c>
      <x:c r="Q686" s="15" t="n">
        <x:v>1</x:v>
      </x:c>
      <x:c r="R686" s="14" t="str">
        <x:v>2025</x:v>
      </x:c>
      <x:c r="S686" s="14" t="n">
        <x:v>2025</x:v>
      </x:c>
      <x:c r="T686" s="14" t="n">
        <x:v>2025</x:v>
      </x:c>
      <x:c r="U686" s="14" t="str">
        <x:v>Post-2021 casting excluded</x:v>
      </x:c>
      <x:c r="V686" s="14" t="str">
        <x:v>Earliest supplied year is 2025, later than the 2021 study year.</x:v>
      </x:c>
      <x:c r="W686" s="14"/>
      <x:c r="X686" s="14" t="str">
        <x:v>Included</x:v>
      </x:c>
      <x:c r="Y686" s="14"/>
      <x:c r="Z686" s="14" t="str">
        <x:v>Grace.docx</x:v>
      </x:c>
      <x:c r="AA686" s="14" t="str">
        <x:v>HYPERLINK is not implemented. linkLocation=https://www.imdb.com/title/tt11639300/fullcredits/,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ITV / ITVX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HYPERLINK("https://en.wikipedia.org/wiki/Grace","Open source")</x:f>
        <x:v>HYPERLINK is not implemented. linkLocation=https://en.wikipedia.org/wiki/Grace, friendlyName=Open source</x:v>
      </x:c>
      <x:c r="AN686" s="14" t="str">
        <x:v>No qualifying BBC relationship</x:v>
      </x:c>
      <x:c r="AO686" s="14" t="str">
        <x:v>No</x:v>
      </x:c>
      <x:c r="AP686" s="14" t="str">
        <x:v>Out of scope</x:v>
      </x:c>
      <x:c r="AQ686" s="14" t="str">
        <x:v>No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20</x:v>
      </x:c>
      <x:c r="BP686" s="14" t="str">
        <x:v>Maximum eligible IMDb cast-credit total (20), shared by 4 performer(s); not independently verified as a 2021-only episode total.</x:v>
      </x:c>
      <x:c r="BQ686" s="14" t="str">
        <x:v>Medium</x:v>
      </x:c>
      <x:c r="BR686" s="15" t="n">
        <x:v>1</x:v>
      </x:c>
      <x:c r="BS686" s="16" t="n">
        <x:v>0.05</x:v>
      </x:c>
      <x:c r="BT686" s="14" t="str">
        <x:v>One episode</x:v>
      </x:c>
      <x:c r="BU686" s="14" t="str">
        <x:v>Medium</x:v>
      </x:c>
      <x:c r="BV686" s="14" t="str">
        <x:v>Derived from supplied IMDb episode count and the documented production-total proxy.</x:v>
      </x:c>
      <x:c r="BW686" s="14" t="str">
        <x:v>Unable to determine</x:v>
      </x:c>
      <x:c r="BX686" s="14" t="str">
        <x:v>Supplied cast data establishes the credit and episode presence but does not establish narrative prominence.</x:v>
      </x:c>
      <x:c r="BY686" s="14" t="str">
        <x:v>Supplied IMDb cast-list workbook</x:v>
      </x:c>
      <x:c r="BZ686" s="14" t="str">
        <x:v>HYPERLINK is not implemented. linkLocation=https://www.imdb.com/title/tt11639300/fullcredits/,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tt11639300|nm6228755|jessica o'sullivan</x:v>
      </x:c>
      <x:c r="B687" s="14" t="str">
        <x:v>02</x:v>
      </x:c>
      <x:c r="C687" s="14" t="str">
        <x:v>2021_IMDb_Cast_Lists_Batch_02(1).xlsx</x:v>
      </x:c>
      <x:c r="D687" s="14" t="str">
        <x:v>Grace</x:v>
      </x:c>
      <x:c r="E687" s="14" t="n">
        <x:v>201</x:v>
      </x:c>
      <x:c r="F687" s="14" t="str">
        <x:v>Grace</x:v>
      </x:c>
      <x:c r="G687" s="14" t="str">
        <x:v>tt11639300</x:v>
      </x:c>
      <x:c r="H687" s="14" t="n">
        <x:v>2021</x:v>
      </x:c>
      <x:c r="I687" s="14" t="n">
        <x:v>2025</x:v>
      </x:c>
      <x:c r="J687" s="14" t="str">
        <x:v>Earlier-Production Carry-In Cohort</x:v>
      </x:c>
      <x:c r="K687" s="14" t="n">
        <x:v>2021</x:v>
      </x:c>
      <x:c r="L687" s="14" t="str">
        <x:v>Used in 2025 annual analysis</x:v>
      </x:c>
      <x:c r="M687" s="15" t="n">
        <x:v>194</x:v>
      </x:c>
      <x:c r="N687" s="14" t="str">
        <x:v>Naomi Yang</x:v>
      </x:c>
      <x:c r="O687" s="14" t="str">
        <x:v>nm6228755</x:v>
      </x:c>
      <x:c r="P687" s="14" t="str">
        <x:v>Jessica O'Sullivan</x:v>
      </x:c>
      <x:c r="Q687" s="15" t="n">
        <x:v>1</x:v>
      </x:c>
      <x:c r="R687" s="14" t="str">
        <x:v>2025</x:v>
      </x:c>
      <x:c r="S687" s="14" t="n">
        <x:v>2025</x:v>
      </x:c>
      <x:c r="T687" s="14" t="n">
        <x:v>2025</x:v>
      </x:c>
      <x:c r="U687" s="14" t="str">
        <x:v>Post-2021 casting excluded</x:v>
      </x:c>
      <x:c r="V687" s="14" t="str">
        <x:v>Earliest supplied year is 2025, later than the 2021 study year.</x:v>
      </x:c>
      <x:c r="W687" s="14"/>
      <x:c r="X687" s="14" t="str">
        <x:v>Included</x:v>
      </x:c>
      <x:c r="Y687" s="14"/>
      <x:c r="Z687" s="14" t="str">
        <x:v>Grace.docx</x:v>
      </x:c>
      <x:c r="AA687" s="14" t="str">
        <x:v>HYPERLINK is not implemented. linkLocation=https://www.imdb.com/title/tt11639300/fullcredits/,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ITV / ITVX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HYPERLINK("https://en.wikipedia.org/wiki/Grace","Open source")</x:f>
        <x:v>HYPERLINK is not implemented. linkLocation=https://en.wikipedia.org/wiki/Grace, friendlyName=Open source</x:v>
      </x:c>
      <x:c r="AN687" s="14" t="str">
        <x:v>No qualifying BBC relationship</x:v>
      </x:c>
      <x:c r="AO687" s="14" t="str">
        <x:v>No</x:v>
      </x:c>
      <x:c r="AP687" s="14" t="str">
        <x:v>Out of scope</x:v>
      </x:c>
      <x:c r="AQ687" s="14" t="str">
        <x:v>No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20</x:v>
      </x:c>
      <x:c r="BP687" s="14" t="str">
        <x:v>Maximum eligible IMDb cast-credit total (20), shared by 4 performer(s); not independently verified as a 2021-only episode total.</x:v>
      </x:c>
      <x:c r="BQ687" s="14" t="str">
        <x:v>Medium</x:v>
      </x:c>
      <x:c r="BR687" s="15" t="n">
        <x:v>1</x:v>
      </x:c>
      <x:c r="BS687" s="16" t="n">
        <x:v>0.05</x:v>
      </x:c>
      <x:c r="BT687" s="14" t="str">
        <x:v>One episode</x:v>
      </x:c>
      <x:c r="BU687" s="14" t="str">
        <x:v>Medium</x:v>
      </x:c>
      <x:c r="BV687" s="14" t="str">
        <x:v>Derived from supplied IMDb episode count and the documented production-total proxy.</x:v>
      </x:c>
      <x:c r="BW687" s="14" t="str">
        <x:v>Unable to determine</x:v>
      </x:c>
      <x:c r="BX687" s="14" t="str">
        <x:v>Supplied cast data establishes the credit and episode presence but does not establish narrative prominence.</x:v>
      </x:c>
      <x:c r="BY687" s="14" t="str">
        <x:v>Supplied IMDb cast-list workbook</x:v>
      </x:c>
      <x:c r="BZ687" s="14" t="str">
        <x:v>HYPERLINK is not implemented. linkLocation=https://www.imdb.com/title/tt11639300/fullcredits/,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tt11639300|nm3007817|allegra</x:v>
      </x:c>
      <x:c r="B688" s="14" t="str">
        <x:v>02</x:v>
      </x:c>
      <x:c r="C688" s="14" t="str">
        <x:v>2021_IMDb_Cast_Lists_Batch_02(1).xlsx</x:v>
      </x:c>
      <x:c r="D688" s="14" t="str">
        <x:v>Grace</x:v>
      </x:c>
      <x:c r="E688" s="14" t="n">
        <x:v>202</x:v>
      </x:c>
      <x:c r="F688" s="14" t="str">
        <x:v>Grace</x:v>
      </x:c>
      <x:c r="G688" s="14" t="str">
        <x:v>tt11639300</x:v>
      </x:c>
      <x:c r="H688" s="14" t="n">
        <x:v>2021</x:v>
      </x:c>
      <x:c r="I688" s="14" t="n">
        <x:v>2025</x:v>
      </x:c>
      <x:c r="J688" s="14" t="str">
        <x:v>Earlier-Production Carry-In Cohort</x:v>
      </x:c>
      <x:c r="K688" s="14" t="n">
        <x:v>2021</x:v>
      </x:c>
      <x:c r="L688" s="14" t="str">
        <x:v>Used in 2025 annual analysis</x:v>
      </x:c>
      <x:c r="M688" s="15" t="n">
        <x:v>195</x:v>
      </x:c>
      <x:c r="N688" s="14" t="str">
        <x:v>Maja Bloom</x:v>
      </x:c>
      <x:c r="O688" s="14" t="str">
        <x:v>nm3007817</x:v>
      </x:c>
      <x:c r="P688" s="14" t="str">
        <x:v>Allegra</x:v>
      </x:c>
      <x:c r="Q688" s="15" t="n">
        <x:v>1</x:v>
      </x:c>
      <x:c r="R688" s="14" t="str">
        <x:v>2025</x:v>
      </x:c>
      <x:c r="S688" s="14" t="n">
        <x:v>2025</x:v>
      </x:c>
      <x:c r="T688" s="14" t="n">
        <x:v>2025</x:v>
      </x:c>
      <x:c r="U688" s="14" t="str">
        <x:v>Post-2021 casting excluded</x:v>
      </x:c>
      <x:c r="V688" s="14" t="str">
        <x:v>Earliest supplied year is 2025, later than the 2021 study year.</x:v>
      </x:c>
      <x:c r="W688" s="14"/>
      <x:c r="X688" s="14" t="str">
        <x:v>Included</x:v>
      </x:c>
      <x:c r="Y688" s="14"/>
      <x:c r="Z688" s="14" t="str">
        <x:v>Grace.docx</x:v>
      </x:c>
      <x:c r="AA688" s="14" t="str">
        <x:v>HYPERLINK is not implemented. linkLocation=https://www.imdb.com/title/tt11639300/fullcredits/,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ITV / ITVX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HYPERLINK("https://en.wikipedia.org/wiki/Grace","Open source")</x:f>
        <x:v>HYPERLINK is not implemented. linkLocation=https://en.wikipedia.org/wiki/Grace, friendlyName=Open source</x:v>
      </x:c>
      <x:c r="AN688" s="14" t="str">
        <x:v>No qualifying BBC relationship</x:v>
      </x:c>
      <x:c r="AO688" s="14" t="str">
        <x:v>No</x:v>
      </x:c>
      <x:c r="AP688" s="14" t="str">
        <x:v>Out of scope</x:v>
      </x:c>
      <x:c r="AQ688" s="14" t="str">
        <x:v>No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20</x:v>
      </x:c>
      <x:c r="BP688" s="14" t="str">
        <x:v>Maximum eligible IMDb cast-credit total (20), shared by 4 performer(s); not independently verified as a 2021-only episode total.</x:v>
      </x:c>
      <x:c r="BQ688" s="14" t="str">
        <x:v>Medium</x:v>
      </x:c>
      <x:c r="BR688" s="15" t="n">
        <x:v>1</x:v>
      </x:c>
      <x:c r="BS688" s="16" t="n">
        <x:v>0.05</x:v>
      </x:c>
      <x:c r="BT688" s="14" t="str">
        <x:v>One episode</x:v>
      </x:c>
      <x:c r="BU688" s="14" t="str">
        <x:v>Medium</x:v>
      </x:c>
      <x:c r="BV688" s="14" t="str">
        <x:v>Derived from supplied IMDb episode count and the documented production-total proxy.</x:v>
      </x:c>
      <x:c r="BW688" s="14" t="str">
        <x:v>Unable to determine</x:v>
      </x:c>
      <x:c r="BX688" s="14" t="str">
        <x:v>Supplied cast data establishes the credit and episode presence but does not establish narrative prominence.</x:v>
      </x:c>
      <x:c r="BY688" s="14" t="str">
        <x:v>Supplied IMDb cast-list workbook</x:v>
      </x:c>
      <x:c r="BZ688" s="14" t="str">
        <x:v>HYPERLINK is not implemented. linkLocation=https://www.imdb.com/title/tt11639300/fullcredits/,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tt11639300|nm1555396|medical director</x:v>
      </x:c>
      <x:c r="B689" s="14" t="str">
        <x:v>02</x:v>
      </x:c>
      <x:c r="C689" s="14" t="str">
        <x:v>2021_IMDb_Cast_Lists_Batch_02(1).xlsx</x:v>
      </x:c>
      <x:c r="D689" s="14" t="str">
        <x:v>Grace</x:v>
      </x:c>
      <x:c r="E689" s="14" t="n">
        <x:v>203</x:v>
      </x:c>
      <x:c r="F689" s="14" t="str">
        <x:v>Grace</x:v>
      </x:c>
      <x:c r="G689" s="14" t="str">
        <x:v>tt11639300</x:v>
      </x:c>
      <x:c r="H689" s="14" t="n">
        <x:v>2021</x:v>
      </x:c>
      <x:c r="I689" s="14" t="n">
        <x:v>2025</x:v>
      </x:c>
      <x:c r="J689" s="14" t="str">
        <x:v>Earlier-Production Carry-In Cohort</x:v>
      </x:c>
      <x:c r="K689" s="14" t="n">
        <x:v>2021</x:v>
      </x:c>
      <x:c r="L689" s="14" t="str">
        <x:v>Used in 2025 annual analysis</x:v>
      </x:c>
      <x:c r="M689" s="15" t="n">
        <x:v>196</x:v>
      </x:c>
      <x:c r="N689" s="14" t="str">
        <x:v>Emma Dears</x:v>
      </x:c>
      <x:c r="O689" s="14" t="str">
        <x:v>nm1555396</x:v>
      </x:c>
      <x:c r="P689" s="14" t="str">
        <x:v>Medical Director</x:v>
      </x:c>
      <x:c r="Q689" s="15" t="n">
        <x:v>1</x:v>
      </x:c>
      <x:c r="R689" s="14" t="str">
        <x:v>2025</x:v>
      </x:c>
      <x:c r="S689" s="14" t="n">
        <x:v>2025</x:v>
      </x:c>
      <x:c r="T689" s="14" t="n">
        <x:v>2025</x:v>
      </x:c>
      <x:c r="U689" s="14" t="str">
        <x:v>Post-2021 casting excluded</x:v>
      </x:c>
      <x:c r="V689" s="14" t="str">
        <x:v>Earliest supplied year is 2025, later than the 2021 study year.</x:v>
      </x:c>
      <x:c r="W689" s="14"/>
      <x:c r="X689" s="14" t="str">
        <x:v>Included</x:v>
      </x:c>
      <x:c r="Y689" s="14"/>
      <x:c r="Z689" s="14" t="str">
        <x:v>Grace.docx</x:v>
      </x:c>
      <x:c r="AA689" s="14" t="str">
        <x:v>HYPERLINK is not implemented. linkLocation=https://www.imdb.com/title/tt11639300/fullcredits/,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ITV / ITVX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HYPERLINK("https://en.wikipedia.org/wiki/Grace","Open source")</x:f>
        <x:v>HYPERLINK is not implemented. linkLocation=https://en.wikipedia.org/wiki/Grace, friendlyName=Open source</x:v>
      </x:c>
      <x:c r="AN689" s="14" t="str">
        <x:v>No qualifying BBC relationship</x:v>
      </x:c>
      <x:c r="AO689" s="14" t="str">
        <x:v>No</x:v>
      </x:c>
      <x:c r="AP689" s="14" t="str">
        <x:v>Out of scope</x:v>
      </x:c>
      <x:c r="AQ689" s="14" t="str">
        <x:v>No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20</x:v>
      </x:c>
      <x:c r="BP689" s="14" t="str">
        <x:v>Maximum eligible IMDb cast-credit total (20), shared by 4 performer(s); not independently verified as a 2021-only episode total.</x:v>
      </x:c>
      <x:c r="BQ689" s="14" t="str">
        <x:v>Medium</x:v>
      </x:c>
      <x:c r="BR689" s="15" t="n">
        <x:v>1</x:v>
      </x:c>
      <x:c r="BS689" s="16" t="n">
        <x:v>0.05</x:v>
      </x:c>
      <x:c r="BT689" s="14" t="str">
        <x:v>One episode</x:v>
      </x:c>
      <x:c r="BU689" s="14" t="str">
        <x:v>Medium</x:v>
      </x:c>
      <x:c r="BV689" s="14" t="str">
        <x:v>Derived from supplied IMDb episode count and the documented production-total proxy.</x:v>
      </x:c>
      <x:c r="BW689" s="14" t="str">
        <x:v>Unable to determine</x:v>
      </x:c>
      <x:c r="BX689" s="14" t="str">
        <x:v>Supplied cast data establishes the credit and episode presence but does not establish narrative prominence.</x:v>
      </x:c>
      <x:c r="BY689" s="14" t="str">
        <x:v>Supplied IMDb cast-list workbook</x:v>
      </x:c>
      <x:c r="BZ689" s="14" t="str">
        <x:v>HYPERLINK is not implemented. linkLocation=https://www.imdb.com/title/tt11639300/fullcredits/,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tt11639300|nm3009594|noel ludlow</x:v>
      </x:c>
      <x:c r="B690" s="14" t="str">
        <x:v>02</x:v>
      </x:c>
      <x:c r="C690" s="14" t="str">
        <x:v>2021_IMDb_Cast_Lists_Batch_02(1).xlsx</x:v>
      </x:c>
      <x:c r="D690" s="14" t="str">
        <x:v>Grace</x:v>
      </x:c>
      <x:c r="E690" s="14" t="n">
        <x:v>217</x:v>
      </x:c>
      <x:c r="F690" s="14" t="str">
        <x:v>Grace</x:v>
      </x:c>
      <x:c r="G690" s="14" t="str">
        <x:v>tt11639300</x:v>
      </x:c>
      <x:c r="H690" s="14" t="n">
        <x:v>2021</x:v>
      </x:c>
      <x:c r="I690" s="14" t="n">
        <x:v>2025</x:v>
      </x:c>
      <x:c r="J690" s="14" t="str">
        <x:v>Earlier-Production Carry-In Cohort</x:v>
      </x:c>
      <x:c r="K690" s="14" t="n">
        <x:v>2021</x:v>
      </x:c>
      <x:c r="L690" s="14" t="str">
        <x:v>Used in 2025 annual analysis</x:v>
      </x:c>
      <x:c r="M690" s="15" t="n">
        <x:v>210</x:v>
      </x:c>
      <x:c r="N690" s="14" t="str">
        <x:v>Oaklee Pendergast</x:v>
      </x:c>
      <x:c r="O690" s="14" t="str">
        <x:v>nm3009594</x:v>
      </x:c>
      <x:c r="P690" s="14" t="str">
        <x:v>Noel Ludlow</x:v>
      </x:c>
      <x:c r="Q690" s="15" t="n">
        <x:v>1</x:v>
      </x:c>
      <x:c r="R690" s="14" t="str">
        <x:v>2025</x:v>
      </x:c>
      <x:c r="S690" s="14" t="n">
        <x:v>2025</x:v>
      </x:c>
      <x:c r="T690" s="14" t="n">
        <x:v>2025</x:v>
      </x:c>
      <x:c r="U690" s="14" t="str">
        <x:v>Post-2021 casting excluded</x:v>
      </x:c>
      <x:c r="V690" s="14" t="str">
        <x:v>Earliest supplied year is 2025, later than the 2021 study year.</x:v>
      </x:c>
      <x:c r="W690" s="14"/>
      <x:c r="X690" s="14" t="str">
        <x:v>Included</x:v>
      </x:c>
      <x:c r="Y690" s="14"/>
      <x:c r="Z690" s="14" t="str">
        <x:v>Grace.docx</x:v>
      </x:c>
      <x:c r="AA690" s="14" t="str">
        <x:v>HYPERLINK is not implemented. linkLocation=https://www.imdb.com/title/tt11639300/fullcredits/,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ITV / ITVX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HYPERLINK("https://en.wikipedia.org/wiki/Grace","Open source")</x:f>
        <x:v>HYPERLINK is not implemented. linkLocation=https://en.wikipedia.org/wiki/Grace, friendlyName=Open source</x:v>
      </x:c>
      <x:c r="AN690" s="14" t="str">
        <x:v>No qualifying BBC relationship</x:v>
      </x:c>
      <x:c r="AO690" s="14" t="str">
        <x:v>No</x:v>
      </x:c>
      <x:c r="AP690" s="14" t="str">
        <x:v>Out of scope</x:v>
      </x:c>
      <x:c r="AQ690" s="14" t="str">
        <x:v>No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20</x:v>
      </x:c>
      <x:c r="BP690" s="14" t="str">
        <x:v>Maximum eligible IMDb cast-credit total (20), shared by 4 performer(s); not independently verified as a 2021-only episode total.</x:v>
      </x:c>
      <x:c r="BQ690" s="14" t="str">
        <x:v>Medium</x:v>
      </x:c>
      <x:c r="BR690" s="15" t="n">
        <x:v>1</x:v>
      </x:c>
      <x:c r="BS690" s="16" t="n">
        <x:v>0.05</x:v>
      </x:c>
      <x:c r="BT690" s="14" t="str">
        <x:v>One episode</x:v>
      </x:c>
      <x:c r="BU690" s="14" t="str">
        <x:v>Medium</x:v>
      </x:c>
      <x:c r="BV690" s="14" t="str">
        <x:v>Derived from supplied IMDb episode count and the documented production-total proxy.</x:v>
      </x:c>
      <x:c r="BW690" s="14" t="str">
        <x:v>Unable to determine</x:v>
      </x:c>
      <x:c r="BX690" s="14" t="str">
        <x:v>Supplied cast data establishes the credit and episode presence but does not establish narrative prominence.</x:v>
      </x:c>
      <x:c r="BY690" s="14" t="str">
        <x:v>Supplied IMDb cast-list workbook</x:v>
      </x:c>
      <x:c r="BZ690" s="14" t="str">
        <x:v>HYPERLINK is not implemented. linkLocation=https://www.imdb.com/title/tt11639300/fullcredits/,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tt11639300|nm2167445|marcus o'sullivan</x:v>
      </x:c>
      <x:c r="B691" s="14" t="str">
        <x:v>02</x:v>
      </x:c>
      <x:c r="C691" s="14" t="str">
        <x:v>2021_IMDb_Cast_Lists_Batch_02(1).xlsx</x:v>
      </x:c>
      <x:c r="D691" s="14" t="str">
        <x:v>Grace</x:v>
      </x:c>
      <x:c r="E691" s="14" t="n">
        <x:v>218</x:v>
      </x:c>
      <x:c r="F691" s="14" t="str">
        <x:v>Grace</x:v>
      </x:c>
      <x:c r="G691" s="14" t="str">
        <x:v>tt11639300</x:v>
      </x:c>
      <x:c r="H691" s="14" t="n">
        <x:v>2021</x:v>
      </x:c>
      <x:c r="I691" s="14" t="n">
        <x:v>2025</x:v>
      </x:c>
      <x:c r="J691" s="14" t="str">
        <x:v>Earlier-Production Carry-In Cohort</x:v>
      </x:c>
      <x:c r="K691" s="14" t="n">
        <x:v>2021</x:v>
      </x:c>
      <x:c r="L691" s="14" t="str">
        <x:v>Used in 2025 annual analysis</x:v>
      </x:c>
      <x:c r="M691" s="15" t="n">
        <x:v>211</x:v>
      </x:c>
      <x:c r="N691" s="14" t="str">
        <x:v>Gethin Anthony</x:v>
      </x:c>
      <x:c r="O691" s="14" t="str">
        <x:v>nm2167445</x:v>
      </x:c>
      <x:c r="P691" s="14" t="str">
        <x:v>Marcus O'Sullivan</x:v>
      </x:c>
      <x:c r="Q691" s="15" t="n">
        <x:v>1</x:v>
      </x:c>
      <x:c r="R691" s="14" t="str">
        <x:v>2025</x:v>
      </x:c>
      <x:c r="S691" s="14" t="n">
        <x:v>2025</x:v>
      </x:c>
      <x:c r="T691" s="14" t="n">
        <x:v>2025</x:v>
      </x:c>
      <x:c r="U691" s="14" t="str">
        <x:v>Post-2021 casting excluded</x:v>
      </x:c>
      <x:c r="V691" s="14" t="str">
        <x:v>Earliest supplied year is 2025, later than the 2021 study year.</x:v>
      </x:c>
      <x:c r="W691" s="14"/>
      <x:c r="X691" s="14" t="str">
        <x:v>Included</x:v>
      </x:c>
      <x:c r="Y691" s="14"/>
      <x:c r="Z691" s="14" t="str">
        <x:v>Grace.docx</x:v>
      </x:c>
      <x:c r="AA691" s="14" t="str">
        <x:v>HYPERLINK is not implemented. linkLocation=https://www.imdb.com/title/tt11639300/fullcredits/, friendlyName=Open source</x:v>
      </x:c>
      <x:c r="AB691" s="14" t="str">
        <x:v>No established-register match</x:v>
      </x:c>
      <x:c r="AC691" s="14"/>
      <x:c r="AD691" s="14"/>
      <x:c r="AE691" s="14"/>
      <x:c r="AF691" s="14"/>
      <x:c r="AG691" s="14" t="str">
        <x:v>No qualifying conclusion recorded. Absence from the register is not evidence that the performer is not disabled.</x:v>
      </x:c>
      <x:c r="AH691" s="14" t="str">
        <x:v>ITV / ITVX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HYPERLINK("https://en.wikipedia.org/wiki/Grace","Open source")</x:f>
        <x:v>HYPERLINK is not implemented. linkLocation=https://en.wikipedia.org/wiki/Grace, friendlyName=Open source</x:v>
      </x:c>
      <x:c r="AN691" s="14" t="str">
        <x:v>No qualifying BBC relationship</x:v>
      </x:c>
      <x:c r="AO691" s="14" t="str">
        <x:v>No</x:v>
      </x:c>
      <x:c r="AP691" s="14" t="str">
        <x:v>Out of scope</x:v>
      </x:c>
      <x:c r="AQ691" s="14" t="str">
        <x:v>No</x:v>
      </x:c>
      <x:c r="AR691" s="14" t="str">
        <x:v>Resolved from master register</x:v>
      </x:c>
      <x:c r="AS691" s="14" t="str">
        <x:v>No established-register match</x:v>
      </x:c>
      <x:c r="AT691" s="14"/>
      <x:c r="AU691" s="14"/>
      <x:c r="AV691" s="14" t="str">
        <x:v>No established apparent-disability match</x:v>
      </x:c>
      <x:c r="AW691" s="14"/>
      <x:c r="AX691" s="14" t="str">
        <x:v>No</x:v>
      </x:c>
      <x:c r="AY691" s="14" t="str">
        <x:v>Unmatched</x:v>
      </x:c>
      <x:c r="AZ691" s="14" t="str">
        <x:v>Final supplied register</x:v>
      </x:c>
      <x:c r="BA691" s="14" t="str">
        <x:v>Absence from the register is not evidence that the performer is not disabled.</x:v>
      </x:c>
      <x:c r="BB691" s="14" t="str">
        <x:v>No established-register match</x:v>
      </x:c>
      <x:c r="BC691" s="14"/>
      <x:c r="BD691" s="14"/>
      <x:c r="BE691" s="14"/>
      <x:c r="BF691" s="14" t="str">
        <x:v>No established apparent-disability match</x:v>
      </x:c>
      <x:c r="BG691" s="14"/>
      <x:c r="BH691" s="14" t="str">
        <x:v>No</x:v>
      </x:c>
      <x:c r="BI691" s="14"/>
      <x:c r="BJ691" s="14"/>
      <x:c r="BK691" s="14"/>
      <x:c r="BL691" s="14" t="str">
        <x:v>Unmatched</x:v>
      </x:c>
      <x:c r="BM691" s="14" t="str">
        <x:v>Final supplied register</x:v>
      </x:c>
      <x:c r="BN691" s="14" t="str">
        <x:v>Absence from the register is not evidence that the performer is not disabled.</x:v>
      </x:c>
      <x:c r="BO691" s="14" t="n">
        <x:v>20</x:v>
      </x:c>
      <x:c r="BP691" s="14" t="str">
        <x:v>Maximum eligible IMDb cast-credit total (20), shared by 4 performer(s); not independently verified as a 2021-only episode total.</x:v>
      </x:c>
      <x:c r="BQ691" s="14" t="str">
        <x:v>Medium</x:v>
      </x:c>
      <x:c r="BR691" s="15" t="n">
        <x:v>1</x:v>
      </x:c>
      <x:c r="BS691" s="16" t="n">
        <x:v>0.05</x:v>
      </x:c>
      <x:c r="BT691" s="14" t="str">
        <x:v>One episode</x:v>
      </x:c>
      <x:c r="BU691" s="14" t="str">
        <x:v>Medium</x:v>
      </x:c>
      <x:c r="BV691" s="14" t="str">
        <x:v>Derived from supplied IMDb episode count and the documented production-total proxy.</x:v>
      </x:c>
      <x:c r="BW691" s="14" t="str">
        <x:v>Unable to determine</x:v>
      </x:c>
      <x:c r="BX691" s="14" t="str">
        <x:v>Supplied cast data establishes the credit and episode presence but does not establish narrative prominence.</x:v>
      </x:c>
      <x:c r="BY691" s="14" t="str">
        <x:v>Supplied IMDb cast-list workbook</x:v>
      </x:c>
      <x:c r="BZ691" s="14" t="str">
        <x:v>HYPERLINK is not implemented. linkLocation=https://www.imdb.com/title/tt11639300/fullcredits/,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tt11639300|nm3149086|maisy waller</x:v>
      </x:c>
      <x:c r="B692" s="14" t="str">
        <x:v>02</x:v>
      </x:c>
      <x:c r="C692" s="14" t="str">
        <x:v>2021_IMDb_Cast_Lists_Batch_02(1).xlsx</x:v>
      </x:c>
      <x:c r="D692" s="14" t="str">
        <x:v>Grace</x:v>
      </x:c>
      <x:c r="E692" s="14" t="n">
        <x:v>219</x:v>
      </x:c>
      <x:c r="F692" s="14" t="str">
        <x:v>Grace</x:v>
      </x:c>
      <x:c r="G692" s="14" t="str">
        <x:v>tt11639300</x:v>
      </x:c>
      <x:c r="H692" s="14" t="n">
        <x:v>2021</x:v>
      </x:c>
      <x:c r="I692" s="14" t="n">
        <x:v>2025</x:v>
      </x:c>
      <x:c r="J692" s="14" t="str">
        <x:v>Earlier-Production Carry-In Cohort</x:v>
      </x:c>
      <x:c r="K692" s="14" t="n">
        <x:v>2021</x:v>
      </x:c>
      <x:c r="L692" s="14" t="str">
        <x:v>Used in 2025 annual analysis</x:v>
      </x:c>
      <x:c r="M692" s="15" t="n">
        <x:v>212</x:v>
      </x:c>
      <x:c r="N692" s="14" t="str">
        <x:v>Julie Barclay</x:v>
      </x:c>
      <x:c r="O692" s="14" t="str">
        <x:v>nm3149086</x:v>
      </x:c>
      <x:c r="P692" s="14" t="str">
        <x:v>Maisy Waller</x:v>
      </x:c>
      <x:c r="Q692" s="15" t="n">
        <x:v>1</x:v>
      </x:c>
      <x:c r="R692" s="14" t="str">
        <x:v>2025</x:v>
      </x:c>
      <x:c r="S692" s="14" t="n">
        <x:v>2025</x:v>
      </x:c>
      <x:c r="T692" s="14" t="n">
        <x:v>2025</x:v>
      </x:c>
      <x:c r="U692" s="14" t="str">
        <x:v>Post-2021 casting excluded</x:v>
      </x:c>
      <x:c r="V692" s="14" t="str">
        <x:v>Earliest supplied year is 2025, later than the 2021 study year.</x:v>
      </x:c>
      <x:c r="W692" s="14"/>
      <x:c r="X692" s="14" t="str">
        <x:v>Included</x:v>
      </x:c>
      <x:c r="Y692" s="14"/>
      <x:c r="Z692" s="14" t="str">
        <x:v>Grace.docx</x:v>
      </x:c>
      <x:c r="AA692" s="14" t="str">
        <x:v>HYPERLINK is not implemented. linkLocation=https://www.imdb.com/title/tt11639300/fullcredits/,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ITV / ITVX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HYPERLINK("https://en.wikipedia.org/wiki/Grace","Open source")</x:f>
        <x:v>HYPERLINK is not implemented. linkLocation=https://en.wikipedia.org/wiki/Grace, friendlyName=Open source</x:v>
      </x:c>
      <x:c r="AN692" s="14" t="str">
        <x:v>No qualifying BBC relationship</x:v>
      </x:c>
      <x:c r="AO692" s="14" t="str">
        <x:v>No</x:v>
      </x:c>
      <x:c r="AP692" s="14" t="str">
        <x:v>Out of scope</x:v>
      </x:c>
      <x:c r="AQ692" s="14" t="str">
        <x:v>No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20</x:v>
      </x:c>
      <x:c r="BP692" s="14" t="str">
        <x:v>Maximum eligible IMDb cast-credit total (20), shared by 4 performer(s); not independently verified as a 2021-only episode total.</x:v>
      </x:c>
      <x:c r="BQ692" s="14" t="str">
        <x:v>Medium</x:v>
      </x:c>
      <x:c r="BR692" s="15" t="n">
        <x:v>1</x:v>
      </x:c>
      <x:c r="BS692" s="16" t="n">
        <x:v>0.05</x:v>
      </x:c>
      <x:c r="BT692" s="14" t="str">
        <x:v>One episode</x:v>
      </x:c>
      <x:c r="BU692" s="14" t="str">
        <x:v>Medium</x:v>
      </x:c>
      <x:c r="BV692" s="14" t="str">
        <x:v>Derived from supplied IMDb episode count and the documented production-total proxy.</x:v>
      </x:c>
      <x:c r="BW692" s="14" t="str">
        <x:v>Unable to determine</x:v>
      </x:c>
      <x:c r="BX692" s="14" t="str">
        <x:v>Supplied cast data establishes the credit and episode presence but does not establish narrative prominence.</x:v>
      </x:c>
      <x:c r="BY692" s="14" t="str">
        <x:v>Supplied IMDb cast-list workbook</x:v>
      </x:c>
      <x:c r="BZ692" s="14" t="str">
        <x:v>HYPERLINK is not implemented. linkLocation=https://www.imdb.com/title/tt11639300/fullcredits/,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tt11639300|nm1060758|head of surgery</x:v>
      </x:c>
      <x:c r="B693" s="14" t="str">
        <x:v>02</x:v>
      </x:c>
      <x:c r="C693" s="14" t="str">
        <x:v>2021_IMDb_Cast_Lists_Batch_02(1).xlsx</x:v>
      </x:c>
      <x:c r="D693" s="14" t="str">
        <x:v>Grace</x:v>
      </x:c>
      <x:c r="E693" s="14" t="n">
        <x:v>220</x:v>
      </x:c>
      <x:c r="F693" s="14" t="str">
        <x:v>Grace</x:v>
      </x:c>
      <x:c r="G693" s="14" t="str">
        <x:v>tt11639300</x:v>
      </x:c>
      <x:c r="H693" s="14" t="n">
        <x:v>2021</x:v>
      </x:c>
      <x:c r="I693" s="14" t="n">
        <x:v>2025</x:v>
      </x:c>
      <x:c r="J693" s="14" t="str">
        <x:v>Earlier-Production Carry-In Cohort</x:v>
      </x:c>
      <x:c r="K693" s="14" t="n">
        <x:v>2021</x:v>
      </x:c>
      <x:c r="L693" s="14" t="str">
        <x:v>Used in 2025 annual analysis</x:v>
      </x:c>
      <x:c r="M693" s="15" t="n">
        <x:v>213</x:v>
      </x:c>
      <x:c r="N693" s="14" t="str">
        <x:v>Emily Swain</x:v>
      </x:c>
      <x:c r="O693" s="14" t="str">
        <x:v>nm1060758</x:v>
      </x:c>
      <x:c r="P693" s="14" t="str">
        <x:v>Head of Surgery</x:v>
      </x:c>
      <x:c r="Q693" s="15" t="n">
        <x:v>1</x:v>
      </x:c>
      <x:c r="R693" s="14" t="str">
        <x:v>2025</x:v>
      </x:c>
      <x:c r="S693" s="14" t="n">
        <x:v>2025</x:v>
      </x:c>
      <x:c r="T693" s="14" t="n">
        <x:v>2025</x:v>
      </x:c>
      <x:c r="U693" s="14" t="str">
        <x:v>Post-2021 casting excluded</x:v>
      </x:c>
      <x:c r="V693" s="14" t="str">
        <x:v>Earliest supplied year is 2025, later than the 2021 study year.</x:v>
      </x:c>
      <x:c r="W693" s="14"/>
      <x:c r="X693" s="14" t="str">
        <x:v>Included</x:v>
      </x:c>
      <x:c r="Y693" s="14"/>
      <x:c r="Z693" s="14" t="str">
        <x:v>Grace.docx</x:v>
      </x:c>
      <x:c r="AA693" s="14" t="str">
        <x:v>HYPERLINK is not implemented. linkLocation=https://www.imdb.com/title/tt11639300/fullcredits/,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ITV / ITVX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HYPERLINK("https://en.wikipedia.org/wiki/Grace","Open source")</x:f>
        <x:v>HYPERLINK is not implemented. linkLocation=https://en.wikipedia.org/wiki/Grace, friendlyName=Open source</x:v>
      </x:c>
      <x:c r="AN693" s="14" t="str">
        <x:v>No qualifying BBC relationship</x:v>
      </x:c>
      <x:c r="AO693" s="14" t="str">
        <x:v>No</x:v>
      </x:c>
      <x:c r="AP693" s="14" t="str">
        <x:v>Out of scope</x:v>
      </x:c>
      <x:c r="AQ693" s="14" t="str">
        <x:v>No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20</x:v>
      </x:c>
      <x:c r="BP693" s="14" t="str">
        <x:v>Maximum eligible IMDb cast-credit total (20), shared by 4 performer(s); not independently verified as a 2021-only episode total.</x:v>
      </x:c>
      <x:c r="BQ693" s="14" t="str">
        <x:v>Medium</x:v>
      </x:c>
      <x:c r="BR693" s="15" t="n">
        <x:v>1</x:v>
      </x:c>
      <x:c r="BS693" s="16" t="n">
        <x:v>0.05</x:v>
      </x:c>
      <x:c r="BT693" s="14" t="str">
        <x:v>One episode</x:v>
      </x:c>
      <x:c r="BU693" s="14" t="str">
        <x:v>Medium</x:v>
      </x:c>
      <x:c r="BV693" s="14" t="str">
        <x:v>Derived from supplied IMDb episode count and the documented production-total proxy.</x:v>
      </x:c>
      <x:c r="BW693" s="14" t="str">
        <x:v>Unable to determine</x:v>
      </x:c>
      <x:c r="BX693" s="14" t="str">
        <x:v>Supplied cast data establishes the credit and episode presence but does not establish narrative prominence.</x:v>
      </x:c>
      <x:c r="BY693" s="14" t="str">
        <x:v>Supplied IMDb cast-list workbook</x:v>
      </x:c>
      <x:c r="BZ693" s="14" t="str">
        <x:v>HYPERLINK is not implemented. linkLocation=https://www.imdb.com/title/tt11639300/fullcredits/,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tt11639300|nm1475071|sam makerson</x:v>
      </x:c>
      <x:c r="B694" s="14" t="str">
        <x:v>02</x:v>
      </x:c>
      <x:c r="C694" s="14" t="str">
        <x:v>2021_IMDb_Cast_Lists_Batch_02(1).xlsx</x:v>
      </x:c>
      <x:c r="D694" s="14" t="str">
        <x:v>Grace</x:v>
      </x:c>
      <x:c r="E694" s="14" t="n">
        <x:v>231</x:v>
      </x:c>
      <x:c r="F694" s="14" t="str">
        <x:v>Grace</x:v>
      </x:c>
      <x:c r="G694" s="14" t="str">
        <x:v>tt11639300</x:v>
      </x:c>
      <x:c r="H694" s="14" t="n">
        <x:v>2021</x:v>
      </x:c>
      <x:c r="I694" s="14" t="n">
        <x:v>2025</x:v>
      </x:c>
      <x:c r="J694" s="14" t="str">
        <x:v>Earlier-Production Carry-In Cohort</x:v>
      </x:c>
      <x:c r="K694" s="14" t="n">
        <x:v>2021</x:v>
      </x:c>
      <x:c r="L694" s="14" t="str">
        <x:v>Used in 2025 annual analysis</x:v>
      </x:c>
      <x:c r="M694" s="15" t="n">
        <x:v>224</x:v>
      </x:c>
      <x:c r="N694" s="14" t="str">
        <x:v>Howard Saddler</x:v>
      </x:c>
      <x:c r="O694" s="14" t="str">
        <x:v>nm1475071</x:v>
      </x:c>
      <x:c r="P694" s="14" t="str">
        <x:v>Sam Makerson</x:v>
      </x:c>
      <x:c r="Q694" s="15" t="n">
        <x:v>1</x:v>
      </x:c>
      <x:c r="R694" s="14" t="str">
        <x:v>2025</x:v>
      </x:c>
      <x:c r="S694" s="14" t="n">
        <x:v>2025</x:v>
      </x:c>
      <x:c r="T694" s="14" t="n">
        <x:v>2025</x:v>
      </x:c>
      <x:c r="U694" s="14" t="str">
        <x:v>Post-2021 casting excluded</x:v>
      </x:c>
      <x:c r="V694" s="14" t="str">
        <x:v>Earliest supplied year is 2025, later than the 2021 study year.</x:v>
      </x:c>
      <x:c r="W694" s="14"/>
      <x:c r="X694" s="14" t="str">
        <x:v>Included</x:v>
      </x:c>
      <x:c r="Y694" s="14"/>
      <x:c r="Z694" s="14" t="str">
        <x:v>Grace.docx</x:v>
      </x:c>
      <x:c r="AA694" s="14" t="str">
        <x:v>HYPERLINK is not implemented. linkLocation=https://www.imdb.com/title/tt11639300/fullcredits/,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ITV / ITVX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HYPERLINK("https://en.wikipedia.org/wiki/Grace","Open source")</x:f>
        <x:v>HYPERLINK is not implemented. linkLocation=https://en.wikipedia.org/wiki/Grace, friendlyName=Open source</x:v>
      </x:c>
      <x:c r="AN694" s="14" t="str">
        <x:v>No qualifying BBC relationship</x:v>
      </x:c>
      <x:c r="AO694" s="14" t="str">
        <x:v>No</x:v>
      </x:c>
      <x:c r="AP694" s="14" t="str">
        <x:v>Out of scope</x:v>
      </x:c>
      <x:c r="AQ694" s="14" t="str">
        <x:v>No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20</x:v>
      </x:c>
      <x:c r="BP694" s="14" t="str">
        <x:v>Maximum eligible IMDb cast-credit total (20), shared by 4 performer(s); not independently verified as a 2021-only episode total.</x:v>
      </x:c>
      <x:c r="BQ694" s="14" t="str">
        <x:v>Medium</x:v>
      </x:c>
      <x:c r="BR694" s="15" t="n">
        <x:v>1</x:v>
      </x:c>
      <x:c r="BS694" s="16" t="n">
        <x:v>0.05</x:v>
      </x:c>
      <x:c r="BT694" s="14" t="str">
        <x:v>One episode</x:v>
      </x:c>
      <x:c r="BU694" s="14" t="str">
        <x:v>Medium</x:v>
      </x:c>
      <x:c r="BV694" s="14" t="str">
        <x:v>Derived from supplied IMDb episode count and the documented production-total proxy.</x:v>
      </x:c>
      <x:c r="BW694" s="14" t="str">
        <x:v>Unable to determine</x:v>
      </x:c>
      <x:c r="BX694" s="14" t="str">
        <x:v>Supplied cast data establishes the credit and episode presence but does not establish narrative prominence.</x:v>
      </x:c>
      <x:c r="BY694" s="14" t="str">
        <x:v>Supplied IMDb cast-list workbook</x:v>
      </x:c>
      <x:c r="BZ694" s="14" t="str">
        <x:v>HYPERLINK is not implemented. linkLocation=https://www.imdb.com/title/tt11639300/fullcredits/,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tt11639300|nm0047257|patrick morris</x:v>
      </x:c>
      <x:c r="B695" s="14" t="str">
        <x:v>02</x:v>
      </x:c>
      <x:c r="C695" s="14" t="str">
        <x:v>2021_IMDb_Cast_Lists_Batch_02(1).xlsx</x:v>
      </x:c>
      <x:c r="D695" s="14" t="str">
        <x:v>Grace</x:v>
      </x:c>
      <x:c r="E695" s="14" t="n">
        <x:v>232</x:v>
      </x:c>
      <x:c r="F695" s="14" t="str">
        <x:v>Grace</x:v>
      </x:c>
      <x:c r="G695" s="14" t="str">
        <x:v>tt11639300</x:v>
      </x:c>
      <x:c r="H695" s="14" t="n">
        <x:v>2021</x:v>
      </x:c>
      <x:c r="I695" s="14" t="n">
        <x:v>2025</x:v>
      </x:c>
      <x:c r="J695" s="14" t="str">
        <x:v>Earlier-Production Carry-In Cohort</x:v>
      </x:c>
      <x:c r="K695" s="14" t="n">
        <x:v>2021</x:v>
      </x:c>
      <x:c r="L695" s="14" t="str">
        <x:v>Used in 2025 annual analysis</x:v>
      </x:c>
      <x:c r="M695" s="15" t="n">
        <x:v>225</x:v>
      </x:c>
      <x:c r="N695" s="14" t="str">
        <x:v>Ewan Bailey</x:v>
      </x:c>
      <x:c r="O695" s="14" t="str">
        <x:v>nm0047257</x:v>
      </x:c>
      <x:c r="P695" s="14" t="str">
        <x:v>Patrick Morris</x:v>
      </x:c>
      <x:c r="Q695" s="15" t="n">
        <x:v>1</x:v>
      </x:c>
      <x:c r="R695" s="14" t="str">
        <x:v>2025</x:v>
      </x:c>
      <x:c r="S695" s="14" t="n">
        <x:v>2025</x:v>
      </x:c>
      <x:c r="T695" s="14" t="n">
        <x:v>2025</x:v>
      </x:c>
      <x:c r="U695" s="14" t="str">
        <x:v>Post-2021 casting excluded</x:v>
      </x:c>
      <x:c r="V695" s="14" t="str">
        <x:v>Earliest supplied year is 2025, later than the 2021 study year.</x:v>
      </x:c>
      <x:c r="W695" s="14"/>
      <x:c r="X695" s="14" t="str">
        <x:v>Included</x:v>
      </x:c>
      <x:c r="Y695" s="14"/>
      <x:c r="Z695" s="14" t="str">
        <x:v>Grace.docx</x:v>
      </x:c>
      <x:c r="AA695" s="14" t="str">
        <x:v>HYPERLINK is not implemented. linkLocation=https://www.imdb.com/title/tt11639300/fullcredits/, friendlyName=Open source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ITV / ITVX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HYPERLINK("https://en.wikipedia.org/wiki/Grace","Open source")</x:f>
        <x:v>HYPERLINK is not implemented. linkLocation=https://en.wikipedia.org/wiki/Grace, friendlyName=Open source</x:v>
      </x:c>
      <x:c r="AN695" s="14" t="str">
        <x:v>No qualifying BBC relationship</x:v>
      </x:c>
      <x:c r="AO695" s="14" t="str">
        <x:v>No</x:v>
      </x:c>
      <x:c r="AP695" s="14" t="str">
        <x:v>Out of scope</x:v>
      </x:c>
      <x:c r="AQ695" s="14" t="str">
        <x:v>No</x:v>
      </x:c>
      <x:c r="AR695" s="14" t="str">
        <x:v>Resolved from master register</x:v>
      </x:c>
      <x:c r="AS695" s="14" t="str">
        <x:v>No established-register match</x:v>
      </x:c>
      <x:c r="AT695" s="14"/>
      <x:c r="AU695" s="14"/>
      <x:c r="AV695" s="14" t="str">
        <x:v>No established apparent-disability match</x:v>
      </x:c>
      <x:c r="AW695" s="14"/>
      <x:c r="AX695" s="14" t="str">
        <x:v>No</x:v>
      </x:c>
      <x:c r="AY695" s="14" t="str">
        <x:v>Unmatched</x:v>
      </x:c>
      <x:c r="AZ695" s="14" t="str">
        <x:v>Final supplied register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20</x:v>
      </x:c>
      <x:c r="BP695" s="14" t="str">
        <x:v>Maximum eligible IMDb cast-credit total (20), shared by 4 performer(s); not independently verified as a 2021-only episode total.</x:v>
      </x:c>
      <x:c r="BQ695" s="14" t="str">
        <x:v>Medium</x:v>
      </x:c>
      <x:c r="BR695" s="15" t="n">
        <x:v>1</x:v>
      </x:c>
      <x:c r="BS695" s="16" t="n">
        <x:v>0.05</x:v>
      </x:c>
      <x:c r="BT695" s="14" t="str">
        <x:v>One episode</x:v>
      </x:c>
      <x:c r="BU695" s="14" t="str">
        <x:v>Medium</x:v>
      </x:c>
      <x:c r="BV695" s="14" t="str">
        <x:v>Derived from supplied IMDb episode count and the documented production-total proxy.</x:v>
      </x:c>
      <x:c r="BW695" s="14" t="str">
        <x:v>Unable to determine</x:v>
      </x:c>
      <x:c r="BX695" s="14" t="str">
        <x:v>Supplied cast data establishes the credit and episode presence but does not establish narrative prominence.</x:v>
      </x:c>
      <x:c r="BY695" s="14" t="str">
        <x:v>Supplied IMDb cast-list workbook</x:v>
      </x:c>
      <x:c r="BZ695" s="14" t="str">
        <x:v>HYPERLINK is not implemented. linkLocation=https://www.imdb.com/title/tt11639300/fullcredits/,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tt11639300|nm9217699|chloe o'sullivan</x:v>
      </x:c>
      <x:c r="B696" s="14" t="str">
        <x:v>02</x:v>
      </x:c>
      <x:c r="C696" s="14" t="str">
        <x:v>2021_IMDb_Cast_Lists_Batch_02(1).xlsx</x:v>
      </x:c>
      <x:c r="D696" s="14" t="str">
        <x:v>Grace</x:v>
      </x:c>
      <x:c r="E696" s="14" t="n">
        <x:v>233</x:v>
      </x:c>
      <x:c r="F696" s="14" t="str">
        <x:v>Grace</x:v>
      </x:c>
      <x:c r="G696" s="14" t="str">
        <x:v>tt11639300</x:v>
      </x:c>
      <x:c r="H696" s="14" t="n">
        <x:v>2021</x:v>
      </x:c>
      <x:c r="I696" s="14" t="n">
        <x:v>2025</x:v>
      </x:c>
      <x:c r="J696" s="14" t="str">
        <x:v>Earlier-Production Carry-In Cohort</x:v>
      </x:c>
      <x:c r="K696" s="14" t="n">
        <x:v>2021</x:v>
      </x:c>
      <x:c r="L696" s="14" t="str">
        <x:v>Used in 2025 annual analysis</x:v>
      </x:c>
      <x:c r="M696" s="15" t="n">
        <x:v>226</x:v>
      </x:c>
      <x:c r="N696" s="14" t="str">
        <x:v>Tazmyn-May Gebbett</x:v>
      </x:c>
      <x:c r="O696" s="14" t="str">
        <x:v>nm9217699</x:v>
      </x:c>
      <x:c r="P696" s="14" t="str">
        <x:v>Chloe O'Sullivan</x:v>
      </x:c>
      <x:c r="Q696" s="15" t="n">
        <x:v>1</x:v>
      </x:c>
      <x:c r="R696" s="14" t="str">
        <x:v>2025</x:v>
      </x:c>
      <x:c r="S696" s="14" t="n">
        <x:v>2025</x:v>
      </x:c>
      <x:c r="T696" s="14" t="n">
        <x:v>2025</x:v>
      </x:c>
      <x:c r="U696" s="14" t="str">
        <x:v>Post-2021 casting excluded</x:v>
      </x:c>
      <x:c r="V696" s="14" t="str">
        <x:v>Earliest supplied year is 2025, later than the 2021 study year.</x:v>
      </x:c>
      <x:c r="W696" s="14"/>
      <x:c r="X696" s="14" t="str">
        <x:v>Included</x:v>
      </x:c>
      <x:c r="Y696" s="14" t="str">
        <x:v>(as Tazmyn-Mei Gebbett)</x:v>
      </x:c>
      <x:c r="Z696" s="14" t="str">
        <x:v>Grace.docx</x:v>
      </x:c>
      <x:c r="AA696" s="14" t="str">
        <x:v>HYPERLINK is not implemented. linkLocation=https://www.imdb.com/title/tt11639300/fullcredits/,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ITV / ITVX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HYPERLINK("https://en.wikipedia.org/wiki/Grace","Open source")</x:f>
        <x:v>HYPERLINK is not implemented. linkLocation=https://en.wikipedia.org/wiki/Grace, friendlyName=Open source</x:v>
      </x:c>
      <x:c r="AN696" s="14" t="str">
        <x:v>No qualifying BBC relationship</x:v>
      </x:c>
      <x:c r="AO696" s="14" t="str">
        <x:v>No</x:v>
      </x:c>
      <x:c r="AP696" s="14" t="str">
        <x:v>Out of scope</x:v>
      </x:c>
      <x:c r="AQ696" s="14" t="str">
        <x:v>No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20</x:v>
      </x:c>
      <x:c r="BP696" s="14" t="str">
        <x:v>Maximum eligible IMDb cast-credit total (20), shared by 4 performer(s); not independently verified as a 2021-only episode total.</x:v>
      </x:c>
      <x:c r="BQ696" s="14" t="str">
        <x:v>Medium</x:v>
      </x:c>
      <x:c r="BR696" s="15" t="n">
        <x:v>1</x:v>
      </x:c>
      <x:c r="BS696" s="16" t="n">
        <x:v>0.05</x:v>
      </x:c>
      <x:c r="BT696" s="14" t="str">
        <x:v>One episode</x:v>
      </x:c>
      <x:c r="BU696" s="14" t="str">
        <x:v>Medium</x:v>
      </x:c>
      <x:c r="BV696" s="14" t="str">
        <x:v>Derived from supplied IMDb episode count and the documented production-total proxy.</x:v>
      </x:c>
      <x:c r="BW696" s="14" t="str">
        <x:v>Unable to determine</x:v>
      </x:c>
      <x:c r="BX696" s="14" t="str">
        <x:v>Supplied cast data establishes the credit and episode presence but does not establish narrative prominence.</x:v>
      </x:c>
      <x:c r="BY696" s="14" t="str">
        <x:v>Supplied IMDb cast-list workbook</x:v>
      </x:c>
      <x:c r="BZ696" s="14" t="str">
        <x:v>HYPERLINK is not implemented. linkLocation=https://www.imdb.com/title/tt11639300/fullcredits/,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tt11639300|nm12992479|bobby</x:v>
      </x:c>
      <x:c r="B697" s="14" t="str">
        <x:v>02</x:v>
      </x:c>
      <x:c r="C697" s="14" t="str">
        <x:v>2021_IMDb_Cast_Lists_Batch_02(1).xlsx</x:v>
      </x:c>
      <x:c r="D697" s="14" t="str">
        <x:v>Grace</x:v>
      </x:c>
      <x:c r="E697" s="14" t="n">
        <x:v>234</x:v>
      </x:c>
      <x:c r="F697" s="14" t="str">
        <x:v>Grace</x:v>
      </x:c>
      <x:c r="G697" s="14" t="str">
        <x:v>tt11639300</x:v>
      </x:c>
      <x:c r="H697" s="14" t="n">
        <x:v>2021</x:v>
      </x:c>
      <x:c r="I697" s="14" t="n">
        <x:v>2025</x:v>
      </x:c>
      <x:c r="J697" s="14" t="str">
        <x:v>Earlier-Production Carry-In Cohort</x:v>
      </x:c>
      <x:c r="K697" s="14" t="n">
        <x:v>2021</x:v>
      </x:c>
      <x:c r="L697" s="14" t="str">
        <x:v>Used in 2025 annual analysis</x:v>
      </x:c>
      <x:c r="M697" s="15" t="n">
        <x:v>227</x:v>
      </x:c>
      <x:c r="N697" s="14" t="str">
        <x:v>Jessica Whitehurst</x:v>
      </x:c>
      <x:c r="O697" s="14" t="str">
        <x:v>nm12992479</x:v>
      </x:c>
      <x:c r="P697" s="14" t="str">
        <x:v>Bobby</x:v>
      </x:c>
      <x:c r="Q697" s="15" t="n">
        <x:v>1</x:v>
      </x:c>
      <x:c r="R697" s="14" t="str">
        <x:v>2025</x:v>
      </x:c>
      <x:c r="S697" s="14" t="n">
        <x:v>2025</x:v>
      </x:c>
      <x:c r="T697" s="14" t="n">
        <x:v>2025</x:v>
      </x:c>
      <x:c r="U697" s="14" t="str">
        <x:v>Post-2021 casting excluded</x:v>
      </x:c>
      <x:c r="V697" s="14" t="str">
        <x:v>Earliest supplied year is 2025, later than the 2021 study year.</x:v>
      </x:c>
      <x:c r="W697" s="14"/>
      <x:c r="X697" s="14" t="str">
        <x:v>Included</x:v>
      </x:c>
      <x:c r="Y697" s="14"/>
      <x:c r="Z697" s="14" t="str">
        <x:v>Grace.docx</x:v>
      </x:c>
      <x:c r="AA697" s="14" t="str">
        <x:v>HYPERLINK is not implemented. linkLocation=https://www.imdb.com/title/tt11639300/fullcredits/,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ITV / ITVX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HYPERLINK("https://en.wikipedia.org/wiki/Grace","Open source")</x:f>
        <x:v>HYPERLINK is not implemented. linkLocation=https://en.wikipedia.org/wiki/Grace, friendlyName=Open source</x:v>
      </x:c>
      <x:c r="AN697" s="14" t="str">
        <x:v>No qualifying BBC relationship</x:v>
      </x:c>
      <x:c r="AO697" s="14" t="str">
        <x:v>No</x:v>
      </x:c>
      <x:c r="AP697" s="14" t="str">
        <x:v>Out of scope</x:v>
      </x:c>
      <x:c r="AQ697" s="14" t="str">
        <x:v>No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20</x:v>
      </x:c>
      <x:c r="BP697" s="14" t="str">
        <x:v>Maximum eligible IMDb cast-credit total (20), shared by 4 performer(s); not independently verified as a 2021-only episode total.</x:v>
      </x:c>
      <x:c r="BQ697" s="14" t="str">
        <x:v>Medium</x:v>
      </x:c>
      <x:c r="BR697" s="15" t="n">
        <x:v>1</x:v>
      </x:c>
      <x:c r="BS697" s="16" t="n">
        <x:v>0.05</x:v>
      </x:c>
      <x:c r="BT697" s="14" t="str">
        <x:v>One episode</x:v>
      </x:c>
      <x:c r="BU697" s="14" t="str">
        <x:v>Medium</x:v>
      </x:c>
      <x:c r="BV697" s="14" t="str">
        <x:v>Derived from supplied IMDb episode count and the documented production-total proxy.</x:v>
      </x:c>
      <x:c r="BW697" s="14" t="str">
        <x:v>Unable to determine</x:v>
      </x:c>
      <x:c r="BX697" s="14" t="str">
        <x:v>Supplied cast data establishes the credit and episode presence but does not establish narrative prominence.</x:v>
      </x:c>
      <x:c r="BY697" s="14" t="str">
        <x:v>Supplied IMDb cast-list workbook</x:v>
      </x:c>
      <x:c r="BZ697" s="14" t="str">
        <x:v>HYPERLINK is not implemented. linkLocation=https://www.imdb.com/title/tt11639300/fullcredits/,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tt11639300|nm8472159|lauren packham</x:v>
      </x:c>
      <x:c r="B698" s="14" t="str">
        <x:v>02</x:v>
      </x:c>
      <x:c r="C698" s="14" t="str">
        <x:v>2021_IMDb_Cast_Lists_Batch_02(1).xlsx</x:v>
      </x:c>
      <x:c r="D698" s="14" t="str">
        <x:v>Grace</x:v>
      </x:c>
      <x:c r="E698" s="14" t="n">
        <x:v>245</x:v>
      </x:c>
      <x:c r="F698" s="14" t="str">
        <x:v>Grace</x:v>
      </x:c>
      <x:c r="G698" s="14" t="str">
        <x:v>tt11639300</x:v>
      </x:c>
      <x:c r="H698" s="14" t="n">
        <x:v>2021</x:v>
      </x:c>
      <x:c r="I698" s="14" t="n">
        <x:v>2025</x:v>
      </x:c>
      <x:c r="J698" s="14" t="str">
        <x:v>Earlier-Production Carry-In Cohort</x:v>
      </x:c>
      <x:c r="K698" s="14" t="n">
        <x:v>2021</x:v>
      </x:c>
      <x:c r="L698" s="14" t="str">
        <x:v>Used in 2025 annual analysis</x:v>
      </x:c>
      <x:c r="M698" s="15" t="n">
        <x:v>238</x:v>
      </x:c>
      <x:c r="N698" s="14" t="str">
        <x:v>Loreece Harrison</x:v>
      </x:c>
      <x:c r="O698" s="14" t="str">
        <x:v>nm8472159</x:v>
      </x:c>
      <x:c r="P698" s="14" t="str">
        <x:v>Lauren Packham</x:v>
      </x:c>
      <x:c r="Q698" s="15" t="n">
        <x:v>1</x:v>
      </x:c>
      <x:c r="R698" s="14" t="str">
        <x:v>2025</x:v>
      </x:c>
      <x:c r="S698" s="14" t="n">
        <x:v>2025</x:v>
      </x:c>
      <x:c r="T698" s="14" t="n">
        <x:v>2025</x:v>
      </x:c>
      <x:c r="U698" s="14" t="str">
        <x:v>Post-2021 casting excluded</x:v>
      </x:c>
      <x:c r="V698" s="14" t="str">
        <x:v>Earliest supplied year is 2025, later than the 2021 study year.</x:v>
      </x:c>
      <x:c r="W698" s="14"/>
      <x:c r="X698" s="14" t="str">
        <x:v>Included</x:v>
      </x:c>
      <x:c r="Y698" s="14"/>
      <x:c r="Z698" s="14" t="str">
        <x:v>Grace.docx</x:v>
      </x:c>
      <x:c r="AA698" s="14" t="str">
        <x:v>HYPERLINK is not implemented. linkLocation=https://www.imdb.com/title/tt11639300/fullcredits/,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ITV / ITVX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HYPERLINK("https://en.wikipedia.org/wiki/Grace","Open source")</x:f>
        <x:v>HYPERLINK is not implemented. linkLocation=https://en.wikipedia.org/wiki/Grace,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20</x:v>
      </x:c>
      <x:c r="BP698" s="14" t="str">
        <x:v>Maximum eligible IMDb cast-credit total (20), shared by 4 performer(s); not independently verified as a 2021-only episode total.</x:v>
      </x:c>
      <x:c r="BQ698" s="14" t="str">
        <x:v>Medium</x:v>
      </x:c>
      <x:c r="BR698" s="15" t="n">
        <x:v>1</x:v>
      </x:c>
      <x:c r="BS698" s="16" t="n">
        <x:v>0.05</x:v>
      </x:c>
      <x:c r="BT698" s="14" t="str">
        <x:v>One episode</x:v>
      </x:c>
      <x:c r="BU698" s="14" t="str">
        <x:v>Medium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4" t="str">
        <x:v>HYPERLINK is not implemented. linkLocation=https://www.imdb.com/title/tt11639300/fullcredits/,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tt11639300|nm7224652|harold trout</x:v>
      </x:c>
      <x:c r="B699" s="14" t="str">
        <x:v>02</x:v>
      </x:c>
      <x:c r="C699" s="14" t="str">
        <x:v>2021_IMDb_Cast_Lists_Batch_02(1).xlsx</x:v>
      </x:c>
      <x:c r="D699" s="14" t="str">
        <x:v>Grace</x:v>
      </x:c>
      <x:c r="E699" s="14" t="n">
        <x:v>246</x:v>
      </x:c>
      <x:c r="F699" s="14" t="str">
        <x:v>Grace</x:v>
      </x:c>
      <x:c r="G699" s="14" t="str">
        <x:v>tt11639300</x:v>
      </x:c>
      <x:c r="H699" s="14" t="n">
        <x:v>2021</x:v>
      </x:c>
      <x:c r="I699" s="14" t="n">
        <x:v>2025</x:v>
      </x:c>
      <x:c r="J699" s="14" t="str">
        <x:v>Earlier-Production Carry-In Cohort</x:v>
      </x:c>
      <x:c r="K699" s="14" t="n">
        <x:v>2021</x:v>
      </x:c>
      <x:c r="L699" s="14" t="str">
        <x:v>Used in 2025 annual analysis</x:v>
      </x:c>
      <x:c r="M699" s="15" t="n">
        <x:v>239</x:v>
      </x:c>
      <x:c r="N699" s="14" t="str">
        <x:v>Bill Blackwood</x:v>
      </x:c>
      <x:c r="O699" s="14" t="str">
        <x:v>nm7224652</x:v>
      </x:c>
      <x:c r="P699" s="14" t="str">
        <x:v>Harold Trout</x:v>
      </x:c>
      <x:c r="Q699" s="15" t="n">
        <x:v>1</x:v>
      </x:c>
      <x:c r="R699" s="14" t="str">
        <x:v>2025</x:v>
      </x:c>
      <x:c r="S699" s="14" t="n">
        <x:v>2025</x:v>
      </x:c>
      <x:c r="T699" s="14" t="n">
        <x:v>2025</x:v>
      </x:c>
      <x:c r="U699" s="14" t="str">
        <x:v>Post-2021 casting excluded</x:v>
      </x:c>
      <x:c r="V699" s="14" t="str">
        <x:v>Earliest supplied year is 2025, later than the 2021 study year.</x:v>
      </x:c>
      <x:c r="W699" s="14"/>
      <x:c r="X699" s="14" t="str">
        <x:v>Included</x:v>
      </x:c>
      <x:c r="Y699" s="14"/>
      <x:c r="Z699" s="14" t="str">
        <x:v>Grace.docx</x:v>
      </x:c>
      <x:c r="AA699" s="14" t="str">
        <x:v>HYPERLINK is not implemented. linkLocation=https://www.imdb.com/title/tt11639300/fullcredits/, friendlyName=Open source</x:v>
      </x:c>
      <x:c r="AB699" s="14" t="str">
        <x:v>Existing established-register match</x:v>
      </x:c>
      <x:c r="AC699" s="14" t="str">
        <x:v>Physical disability</x:v>
      </x:c>
      <x:c r="AD699" s="14" t="str">
        <x:v>Existing register classification: Physical disability</x:v>
      </x:c>
      <x:c r="AE699" s="14" t="str">
        <x:v>Established_Disability_Category_Register V1.1.xlsx</x:v>
      </x:c>
      <x:c r="AF699" s="14"/>
      <x:c r="AG699" s="14" t="str">
        <x:v>Established user-supplied classification retained for deduplication; evidence was not re-researched in this batch.</x:v>
      </x:c>
      <x:c r="AH699" s="14" t="str">
        <x:v>ITV / ITVX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HYPERLINK("https://en.wikipedia.org/wiki/Grace","Open source")</x:f>
        <x:v>HYPERLINK is not implemented. linkLocation=https://en.wikipedia.org/wiki/Grace,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Exact IMDb performer ID match</x:v>
      </x:c>
      <x:c r="AT699" s="14" t="str">
        <x:v>nm7224652</x:v>
      </x:c>
      <x:c r="AU699" s="14" t="str">
        <x:v>Physical disability</x:v>
      </x:c>
      <x:c r="AV699" s="14" t="str">
        <x:v>Yes</x:v>
      </x:c>
      <x:c r="AW699" s="14" t="str">
        <x:v>Physical disability</x:v>
      </x:c>
      <x:c r="AX699" s="14" t="str">
        <x:v>No</x:v>
      </x:c>
      <x:c r="AY699" s="14" t="str">
        <x:v>Matched</x:v>
      </x:c>
      <x:c r="AZ699" s="14" t="str">
        <x:v>Final supplied register</x:v>
      </x:c>
      <x:c r="BA699" s="14"/>
      <x:c r="BB699" s="14" t="str">
        <x:v>Exact IMDb performer ID match</x:v>
      </x:c>
      <x:c r="BC699" s="14" t="str">
        <x:v>nm7224652</x:v>
      </x:c>
      <x:c r="BD699" s="14" t="str">
        <x:v>Bill Blackwood</x:v>
      </x:c>
      <x:c r="BE699" s="14" t="str">
        <x:v>Physical disability</x:v>
      </x:c>
      <x:c r="BF699" s="14" t="str">
        <x:v>Yes</x:v>
      </x:c>
      <x:c r="BG699" s="14" t="str">
        <x:v>Physical disability</x:v>
      </x:c>
      <x:c r="BH699" s="14" t="str">
        <x:v>No</x:v>
      </x:c>
      <x:c r="BI699" s="14" t="str">
        <x:v>User-supplied established classification</x:v>
      </x:c>
      <x:c r="BJ699" s="14" t="str">
        <x:v>04_Physical_disability.csv</x:v>
      </x:c>
      <x:c r="BK699" s="14"/>
      <x:c r="BL699" s="14" t="str">
        <x:v>Matched</x:v>
      </x:c>
      <x:c r="BM699" s="14" t="str">
        <x:v>Final supplied register</x:v>
      </x:c>
      <x:c r="BN699" s="14"/>
      <x:c r="BO699" s="14" t="n">
        <x:v>20</x:v>
      </x:c>
      <x:c r="BP699" s="14" t="str">
        <x:v>Maximum eligible IMDb cast-credit total (20), shared by 4 performer(s); not independently verified as a 2021-only episode total.</x:v>
      </x:c>
      <x:c r="BQ699" s="14" t="str">
        <x:v>Medium</x:v>
      </x:c>
      <x:c r="BR699" s="15" t="n">
        <x:v>1</x:v>
      </x:c>
      <x:c r="BS699" s="16" t="n">
        <x:v>0.05</x:v>
      </x:c>
      <x:c r="BT699" s="14" t="str">
        <x:v>One episode</x:v>
      </x:c>
      <x:c r="BU699" s="14" t="str">
        <x:v>Medium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4" t="str">
        <x:v>HYPERLINK is not implemented. linkLocation=https://www.imdb.com/title/tt11639300/fullcredits/,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tt11639300|nm3456623|tom driver</x:v>
      </x:c>
      <x:c r="B700" s="14" t="str">
        <x:v>02</x:v>
      </x:c>
      <x:c r="C700" s="14" t="str">
        <x:v>2021_IMDb_Cast_Lists_Batch_02(1).xlsx</x:v>
      </x:c>
      <x:c r="D700" s="14" t="str">
        <x:v>Grace</x:v>
      </x:c>
      <x:c r="E700" s="14" t="n">
        <x:v>247</x:v>
      </x:c>
      <x:c r="F700" s="14" t="str">
        <x:v>Grace</x:v>
      </x:c>
      <x:c r="G700" s="14" t="str">
        <x:v>tt11639300</x:v>
      </x:c>
      <x:c r="H700" s="14" t="n">
        <x:v>2021</x:v>
      </x:c>
      <x:c r="I700" s="14" t="n">
        <x:v>2025</x:v>
      </x:c>
      <x:c r="J700" s="14" t="str">
        <x:v>Earlier-Production Carry-In Cohort</x:v>
      </x:c>
      <x:c r="K700" s="14" t="n">
        <x:v>2021</x:v>
      </x:c>
      <x:c r="L700" s="14" t="str">
        <x:v>Used in 2025 annual analysis</x:v>
      </x:c>
      <x:c r="M700" s="15" t="n">
        <x:v>240</x:v>
      </x:c>
      <x:c r="N700" s="14" t="str">
        <x:v>Hasan Dixon</x:v>
      </x:c>
      <x:c r="O700" s="14" t="str">
        <x:v>nm3456623</x:v>
      </x:c>
      <x:c r="P700" s="14" t="str">
        <x:v>Tom Driver</x:v>
      </x:c>
      <x:c r="Q700" s="15" t="n">
        <x:v>1</x:v>
      </x:c>
      <x:c r="R700" s="14" t="str">
        <x:v>2025</x:v>
      </x:c>
      <x:c r="S700" s="14" t="n">
        <x:v>2025</x:v>
      </x:c>
      <x:c r="T700" s="14" t="n">
        <x:v>2025</x:v>
      </x:c>
      <x:c r="U700" s="14" t="str">
        <x:v>Post-2021 casting excluded</x:v>
      </x:c>
      <x:c r="V700" s="14" t="str">
        <x:v>Earliest supplied year is 2025, later than the 2021 study year.</x:v>
      </x:c>
      <x:c r="W700" s="14"/>
      <x:c r="X700" s="14" t="str">
        <x:v>Included</x:v>
      </x:c>
      <x:c r="Y700" s="14"/>
      <x:c r="Z700" s="14" t="str">
        <x:v>Grace.docx</x:v>
      </x:c>
      <x:c r="AA700" s="14" t="str">
        <x:v>HYPERLINK is not implemented. linkLocation=https://www.imdb.com/title/tt11639300/fullcredits/,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ITV / ITVX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HYPERLINK("https://en.wikipedia.org/wiki/Grace","Open source")</x:f>
        <x:v>HYPERLINK is not implemented. linkLocation=https://en.wikipedia.org/wiki/Grace,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20</x:v>
      </x:c>
      <x:c r="BP700" s="14" t="str">
        <x:v>Maximum eligible IMDb cast-credit total (20), shared by 4 performer(s); not independently verified as a 2021-only episode total.</x:v>
      </x:c>
      <x:c r="BQ700" s="14" t="str">
        <x:v>Medium</x:v>
      </x:c>
      <x:c r="BR700" s="15" t="n">
        <x:v>1</x:v>
      </x:c>
      <x:c r="BS700" s="16" t="n">
        <x:v>0.05</x:v>
      </x:c>
      <x:c r="BT700" s="14" t="str">
        <x:v>One episode</x:v>
      </x:c>
      <x:c r="BU700" s="14" t="str">
        <x:v>Medium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4" t="str">
        <x:v>HYPERLINK is not implemented. linkLocation=https://www.imdb.com/title/tt11639300/fullcredits/,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tt11639300|nm4411162|hugo pink</x:v>
      </x:c>
      <x:c r="B701" s="14" t="str">
        <x:v>02</x:v>
      </x:c>
      <x:c r="C701" s="14" t="str">
        <x:v>2021_IMDb_Cast_Lists_Batch_02(1).xlsx</x:v>
      </x:c>
      <x:c r="D701" s="14" t="str">
        <x:v>Grace</x:v>
      </x:c>
      <x:c r="E701" s="14" t="n">
        <x:v>260</x:v>
      </x:c>
      <x:c r="F701" s="14" t="str">
        <x:v>Grace</x:v>
      </x:c>
      <x:c r="G701" s="14" t="str">
        <x:v>tt11639300</x:v>
      </x:c>
      <x:c r="H701" s="14" t="n">
        <x:v>2021</x:v>
      </x:c>
      <x:c r="I701" s="14" t="n">
        <x:v>2025</x:v>
      </x:c>
      <x:c r="J701" s="14" t="str">
        <x:v>Earlier-Production Carry-In Cohort</x:v>
      </x:c>
      <x:c r="K701" s="14" t="n">
        <x:v>2021</x:v>
      </x:c>
      <x:c r="L701" s="14" t="str">
        <x:v>Used in 2025 annual analysis</x:v>
      </x:c>
      <x:c r="M701" s="15" t="n">
        <x:v>253</x:v>
      </x:c>
      <x:c r="N701" s="14" t="str">
        <x:v>Danny Mac</x:v>
      </x:c>
      <x:c r="O701" s="14" t="str">
        <x:v>nm4411162</x:v>
      </x:c>
      <x:c r="P701" s="14" t="str">
        <x:v>Hugo Pink</x:v>
      </x:c>
      <x:c r="Q701" s="15" t="n">
        <x:v>1</x:v>
      </x:c>
      <x:c r="R701" s="14" t="str">
        <x:v>2025</x:v>
      </x:c>
      <x:c r="S701" s="14" t="n">
        <x:v>2025</x:v>
      </x:c>
      <x:c r="T701" s="14" t="n">
        <x:v>2025</x:v>
      </x:c>
      <x:c r="U701" s="14" t="str">
        <x:v>Post-2021 casting excluded</x:v>
      </x:c>
      <x:c r="V701" s="14" t="str">
        <x:v>Earliest supplied year is 2025, later than the 2021 study year.</x:v>
      </x:c>
      <x:c r="W701" s="14"/>
      <x:c r="X701" s="14" t="str">
        <x:v>Included</x:v>
      </x:c>
      <x:c r="Y701" s="14"/>
      <x:c r="Z701" s="14" t="str">
        <x:v>Grace.docx</x:v>
      </x:c>
      <x:c r="AA701" s="14" t="str">
        <x:v>HYPERLINK is not implemented. linkLocation=https://www.imdb.com/title/tt11639300/fullcredits/,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ITV / ITVX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HYPERLINK("https://en.wikipedia.org/wiki/Grace","Open source")</x:f>
        <x:v>HYPERLINK is not implemented. linkLocation=https://en.wikipedia.org/wiki/Grace,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20</x:v>
      </x:c>
      <x:c r="BP701" s="14" t="str">
        <x:v>Maximum eligible IMDb cast-credit total (20), shared by 4 performer(s); not independently verified as a 2021-only episode total.</x:v>
      </x:c>
      <x:c r="BQ701" s="14" t="str">
        <x:v>Medium</x:v>
      </x:c>
      <x:c r="BR701" s="15" t="n">
        <x:v>1</x:v>
      </x:c>
      <x:c r="BS701" s="16" t="n">
        <x:v>0.05</x:v>
      </x:c>
      <x:c r="BT701" s="14" t="str">
        <x:v>One episode</x:v>
      </x:c>
      <x:c r="BU701" s="14" t="str">
        <x:v>Medium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4" t="str">
        <x:v>HYPERLINK is not implemented. linkLocation=https://www.imdb.com/title/tt11639300/fullcredits/,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tt11639300|nm2929105|elena ludlow</x:v>
      </x:c>
      <x:c r="B702" s="14" t="str">
        <x:v>02</x:v>
      </x:c>
      <x:c r="C702" s="14" t="str">
        <x:v>2021_IMDb_Cast_Lists_Batch_02(1).xlsx</x:v>
      </x:c>
      <x:c r="D702" s="14" t="str">
        <x:v>Grace</x:v>
      </x:c>
      <x:c r="E702" s="14" t="n">
        <x:v>261</x:v>
      </x:c>
      <x:c r="F702" s="14" t="str">
        <x:v>Grace</x:v>
      </x:c>
      <x:c r="G702" s="14" t="str">
        <x:v>tt11639300</x:v>
      </x:c>
      <x:c r="H702" s="14" t="n">
        <x:v>2021</x:v>
      </x:c>
      <x:c r="I702" s="14" t="n">
        <x:v>2025</x:v>
      </x:c>
      <x:c r="J702" s="14" t="str">
        <x:v>Earlier-Production Carry-In Cohort</x:v>
      </x:c>
      <x:c r="K702" s="14" t="n">
        <x:v>2021</x:v>
      </x:c>
      <x:c r="L702" s="14" t="str">
        <x:v>Used in 2025 annual analysis</x:v>
      </x:c>
      <x:c r="M702" s="15" t="n">
        <x:v>254</x:v>
      </x:c>
      <x:c r="N702" s="14" t="str">
        <x:v>Kaisa Hammarlund</x:v>
      </x:c>
      <x:c r="O702" s="14" t="str">
        <x:v>nm2929105</x:v>
      </x:c>
      <x:c r="P702" s="14" t="str">
        <x:v>Elena Ludlow</x:v>
      </x:c>
      <x:c r="Q702" s="15" t="n">
        <x:v>1</x:v>
      </x:c>
      <x:c r="R702" s="14" t="str">
        <x:v>2025</x:v>
      </x:c>
      <x:c r="S702" s="14" t="n">
        <x:v>2025</x:v>
      </x:c>
      <x:c r="T702" s="14" t="n">
        <x:v>2025</x:v>
      </x:c>
      <x:c r="U702" s="14" t="str">
        <x:v>Post-2021 casting excluded</x:v>
      </x:c>
      <x:c r="V702" s="14" t="str">
        <x:v>Earliest supplied year is 2025, later than the 2021 study year.</x:v>
      </x:c>
      <x:c r="W702" s="14"/>
      <x:c r="X702" s="14" t="str">
        <x:v>Included</x:v>
      </x:c>
      <x:c r="Y702" s="14"/>
      <x:c r="Z702" s="14" t="str">
        <x:v>Grace.docx</x:v>
      </x:c>
      <x:c r="AA702" s="14" t="str">
        <x:v>HYPERLINK is not implemented. linkLocation=https://www.imdb.com/title/tt11639300/fullcredits/,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ITV / ITVX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HYPERLINK("https://en.wikipedia.org/wiki/Grace","Open source")</x:f>
        <x:v>HYPERLINK is not implemented. linkLocation=https://en.wikipedia.org/wiki/Grace,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20</x:v>
      </x:c>
      <x:c r="BP702" s="14" t="str">
        <x:v>Maximum eligible IMDb cast-credit total (20), shared by 4 performer(s); not independently verified as a 2021-only episode total.</x:v>
      </x:c>
      <x:c r="BQ702" s="14" t="str">
        <x:v>Medium</x:v>
      </x:c>
      <x:c r="BR702" s="15" t="n">
        <x:v>1</x:v>
      </x:c>
      <x:c r="BS702" s="16" t="n">
        <x:v>0.05</x:v>
      </x:c>
      <x:c r="BT702" s="14" t="str">
        <x:v>One episode</x:v>
      </x:c>
      <x:c r="BU702" s="14" t="str">
        <x:v>Medium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4" t="str">
        <x:v>HYPERLINK is not implemented. linkLocation=https://www.imdb.com/title/tt11639300/fullcredits/,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tt11639300|nm9962079|aisha</x:v>
      </x:c>
      <x:c r="B703" s="14" t="str">
        <x:v>02</x:v>
      </x:c>
      <x:c r="C703" s="14" t="str">
        <x:v>2021_IMDb_Cast_Lists_Batch_02(1).xlsx</x:v>
      </x:c>
      <x:c r="D703" s="14" t="str">
        <x:v>Grace</x:v>
      </x:c>
      <x:c r="E703" s="14" t="n">
        <x:v>262</x:v>
      </x:c>
      <x:c r="F703" s="14" t="str">
        <x:v>Grace</x:v>
      </x:c>
      <x:c r="G703" s="14" t="str">
        <x:v>tt11639300</x:v>
      </x:c>
      <x:c r="H703" s="14" t="n">
        <x:v>2021</x:v>
      </x:c>
      <x:c r="I703" s="14" t="n">
        <x:v>2025</x:v>
      </x:c>
      <x:c r="J703" s="14" t="str">
        <x:v>Earlier-Production Carry-In Cohort</x:v>
      </x:c>
      <x:c r="K703" s="14" t="n">
        <x:v>2021</x:v>
      </x:c>
      <x:c r="L703" s="14" t="str">
        <x:v>Used in 2025 annual analysis</x:v>
      </x:c>
      <x:c r="M703" s="15" t="n">
        <x:v>255</x:v>
      </x:c>
      <x:c r="N703" s="14" t="str">
        <x:v>Briony Scarlett</x:v>
      </x:c>
      <x:c r="O703" s="14" t="str">
        <x:v>nm9962079</x:v>
      </x:c>
      <x:c r="P703" s="14" t="str">
        <x:v>Aisha</x:v>
      </x:c>
      <x:c r="Q703" s="15" t="n">
        <x:v>1</x:v>
      </x:c>
      <x:c r="R703" s="14" t="str">
        <x:v>2025</x:v>
      </x:c>
      <x:c r="S703" s="14" t="n">
        <x:v>2025</x:v>
      </x:c>
      <x:c r="T703" s="14" t="n">
        <x:v>2025</x:v>
      </x:c>
      <x:c r="U703" s="14" t="str">
        <x:v>Post-2021 casting excluded</x:v>
      </x:c>
      <x:c r="V703" s="14" t="str">
        <x:v>Earliest supplied year is 2025, later than the 2021 study year.</x:v>
      </x:c>
      <x:c r="W703" s="14"/>
      <x:c r="X703" s="14" t="str">
        <x:v>Included</x:v>
      </x:c>
      <x:c r="Y703" s="14"/>
      <x:c r="Z703" s="14" t="str">
        <x:v>Grace.docx</x:v>
      </x:c>
      <x:c r="AA703" s="14" t="str">
        <x:v>HYPERLINK is not implemented. linkLocation=https://www.imdb.com/title/tt11639300/fullcredits/,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ITV / ITVX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HYPERLINK("https://en.wikipedia.org/wiki/Grace","Open source")</x:f>
        <x:v>HYPERLINK is not implemented. linkLocation=https://en.wikipedia.org/wiki/Grace,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20</x:v>
      </x:c>
      <x:c r="BP703" s="14" t="str">
        <x:v>Maximum eligible IMDb cast-credit total (20), shared by 4 performer(s); not independently verified as a 2021-only episode total.</x:v>
      </x:c>
      <x:c r="BQ703" s="14" t="str">
        <x:v>Medium</x:v>
      </x:c>
      <x:c r="BR703" s="15" t="n">
        <x:v>1</x:v>
      </x:c>
      <x:c r="BS703" s="16" t="n">
        <x:v>0.05</x:v>
      </x:c>
      <x:c r="BT703" s="14" t="str">
        <x:v>One episode</x:v>
      </x:c>
      <x:c r="BU703" s="14" t="str">
        <x:v>Medium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4" t="str">
        <x:v>HYPERLINK is not implemented. linkLocation=https://www.imdb.com/title/tt11639300/fullcredits/,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tt11639300|nm13794517|ava packham</x:v>
      </x:c>
      <x:c r="B704" s="14" t="str">
        <x:v>02</x:v>
      </x:c>
      <x:c r="C704" s="14" t="str">
        <x:v>2021_IMDb_Cast_Lists_Batch_02(1).xlsx</x:v>
      </x:c>
      <x:c r="D704" s="14" t="str">
        <x:v>Grace</x:v>
      </x:c>
      <x:c r="E704" s="14" t="n">
        <x:v>263</x:v>
      </x:c>
      <x:c r="F704" s="14" t="str">
        <x:v>Grace</x:v>
      </x:c>
      <x:c r="G704" s="14" t="str">
        <x:v>tt11639300</x:v>
      </x:c>
      <x:c r="H704" s="14" t="n">
        <x:v>2021</x:v>
      </x:c>
      <x:c r="I704" s="14" t="n">
        <x:v>2025</x:v>
      </x:c>
      <x:c r="J704" s="14" t="str">
        <x:v>Earlier-Production Carry-In Cohort</x:v>
      </x:c>
      <x:c r="K704" s="14" t="n">
        <x:v>2021</x:v>
      </x:c>
      <x:c r="L704" s="14" t="str">
        <x:v>Used in 2025 annual analysis</x:v>
      </x:c>
      <x:c r="M704" s="15" t="n">
        <x:v>256</x:v>
      </x:c>
      <x:c r="N704" s="14" t="str">
        <x:v>Luna Blue Delandro-Abraham</x:v>
      </x:c>
      <x:c r="O704" s="14" t="str">
        <x:v>nm13794517</x:v>
      </x:c>
      <x:c r="P704" s="14" t="str">
        <x:v>Ava Packham</x:v>
      </x:c>
      <x:c r="Q704" s="15" t="n">
        <x:v>1</x:v>
      </x:c>
      <x:c r="R704" s="14" t="str">
        <x:v>2025</x:v>
      </x:c>
      <x:c r="S704" s="14" t="n">
        <x:v>2025</x:v>
      </x:c>
      <x:c r="T704" s="14" t="n">
        <x:v>2025</x:v>
      </x:c>
      <x:c r="U704" s="14" t="str">
        <x:v>Post-2021 casting excluded</x:v>
      </x:c>
      <x:c r="V704" s="14" t="str">
        <x:v>Earliest supplied year is 2025, later than the 2021 study year.</x:v>
      </x:c>
      <x:c r="W704" s="14"/>
      <x:c r="X704" s="14" t="str">
        <x:v>Included</x:v>
      </x:c>
      <x:c r="Y704" s="14"/>
      <x:c r="Z704" s="14" t="str">
        <x:v>Grace.docx</x:v>
      </x:c>
      <x:c r="AA704" s="14" t="str">
        <x:v>HYPERLINK is not implemented. linkLocation=https://www.imdb.com/title/tt11639300/fullcredits/,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ITV / ITVX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HYPERLINK("https://en.wikipedia.org/wiki/Grace","Open source")</x:f>
        <x:v>HYPERLINK is not implemented. linkLocation=https://en.wikipedia.org/wiki/Grace,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20</x:v>
      </x:c>
      <x:c r="BP704" s="14" t="str">
        <x:v>Maximum eligible IMDb cast-credit total (20), shared by 4 performer(s); not independently verified as a 2021-only episode total.</x:v>
      </x:c>
      <x:c r="BQ704" s="14" t="str">
        <x:v>Medium</x:v>
      </x:c>
      <x:c r="BR704" s="15" t="n">
        <x:v>1</x:v>
      </x:c>
      <x:c r="BS704" s="16" t="n">
        <x:v>0.05</x:v>
      </x:c>
      <x:c r="BT704" s="14" t="str">
        <x:v>One episode</x:v>
      </x:c>
      <x:c r="BU704" s="14" t="str">
        <x:v>Medium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4" t="str">
        <x:v>HYPERLINK is not implemented. linkLocation=https://www.imdb.com/title/tt11639300/fullcredits/,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tt11639300|nm4024520|sam fordwater</x:v>
      </x:c>
      <x:c r="B705" s="14" t="str">
        <x:v>02</x:v>
      </x:c>
      <x:c r="C705" s="14" t="str">
        <x:v>2021_IMDb_Cast_Lists_Batch_02(1).xlsx</x:v>
      </x:c>
      <x:c r="D705" s="14" t="str">
        <x:v>Grace</x:v>
      </x:c>
      <x:c r="E705" s="14" t="n">
        <x:v>276</x:v>
      </x:c>
      <x:c r="F705" s="14" t="str">
        <x:v>Grace</x:v>
      </x:c>
      <x:c r="G705" s="14" t="str">
        <x:v>tt11639300</x:v>
      </x:c>
      <x:c r="H705" s="14" t="n">
        <x:v>2021</x:v>
      </x:c>
      <x:c r="I705" s="14" t="n">
        <x:v>2025</x:v>
      </x:c>
      <x:c r="J705" s="14" t="str">
        <x:v>Earlier-Production Carry-In Cohort</x:v>
      </x:c>
      <x:c r="K705" s="14" t="n">
        <x:v>2021</x:v>
      </x:c>
      <x:c r="L705" s="14" t="str">
        <x:v>Used in 2025 annual analysis</x:v>
      </x:c>
      <x:c r="M705" s="15" t="n">
        <x:v>269</x:v>
      </x:c>
      <x:c r="N705" s="14" t="str">
        <x:v>Holli Dempsey</x:v>
      </x:c>
      <x:c r="O705" s="14" t="str">
        <x:v>nm4024520</x:v>
      </x:c>
      <x:c r="P705" s="14" t="str">
        <x:v>Sam Fordwater</x:v>
      </x:c>
      <x:c r="Q705" s="15" t="n">
        <x:v>1</x:v>
      </x:c>
      <x:c r="R705" s="14" t="str">
        <x:v>2025</x:v>
      </x:c>
      <x:c r="S705" s="14" t="n">
        <x:v>2025</x:v>
      </x:c>
      <x:c r="T705" s="14" t="n">
        <x:v>2025</x:v>
      </x:c>
      <x:c r="U705" s="14" t="str">
        <x:v>Post-2021 casting excluded</x:v>
      </x:c>
      <x:c r="V705" s="14" t="str">
        <x:v>Earliest supplied year is 2025, later than the 2021 study year.</x:v>
      </x:c>
      <x:c r="W705" s="14"/>
      <x:c r="X705" s="14" t="str">
        <x:v>Included</x:v>
      </x:c>
      <x:c r="Y705" s="14"/>
      <x:c r="Z705" s="14" t="str">
        <x:v>Grace.docx</x:v>
      </x:c>
      <x:c r="AA705" s="14" t="str">
        <x:v>HYPERLINK is not implemented. linkLocation=https://www.imdb.com/title/tt11639300/fullcredits/,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ITV / ITVX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HYPERLINK("https://en.wikipedia.org/wiki/Grace","Open source")</x:f>
        <x:v>HYPERLINK is not implemented. linkLocation=https://en.wikipedia.org/wiki/Grace,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20</x:v>
      </x:c>
      <x:c r="BP705" s="14" t="str">
        <x:v>Maximum eligible IMDb cast-credit total (20), shared by 4 performer(s); not independently verified as a 2021-only episode total.</x:v>
      </x:c>
      <x:c r="BQ705" s="14" t="str">
        <x:v>Medium</x:v>
      </x:c>
      <x:c r="BR705" s="15" t="n">
        <x:v>1</x:v>
      </x:c>
      <x:c r="BS705" s="16" t="n">
        <x:v>0.05</x:v>
      </x:c>
      <x:c r="BT705" s="14" t="str">
        <x:v>One episode</x:v>
      </x:c>
      <x:c r="BU705" s="14" t="str">
        <x:v>Medium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4" t="str">
        <x:v>HYPERLINK is not implemented. linkLocation=https://www.imdb.com/title/tt11639300/fullcredits/,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tt11639300|nm0227681|joseph ludlow</x:v>
      </x:c>
      <x:c r="B706" s="14" t="str">
        <x:v>02</x:v>
      </x:c>
      <x:c r="C706" s="14" t="str">
        <x:v>2021_IMDb_Cast_Lists_Batch_02(1).xlsx</x:v>
      </x:c>
      <x:c r="D706" s="14" t="str">
        <x:v>Grace</x:v>
      </x:c>
      <x:c r="E706" s="14" t="n">
        <x:v>277</x:v>
      </x:c>
      <x:c r="F706" s="14" t="str">
        <x:v>Grace</x:v>
      </x:c>
      <x:c r="G706" s="14" t="str">
        <x:v>tt11639300</x:v>
      </x:c>
      <x:c r="H706" s="14" t="n">
        <x:v>2021</x:v>
      </x:c>
      <x:c r="I706" s="14" t="n">
        <x:v>2025</x:v>
      </x:c>
      <x:c r="J706" s="14" t="str">
        <x:v>Earlier-Production Carry-In Cohort</x:v>
      </x:c>
      <x:c r="K706" s="14" t="n">
        <x:v>2021</x:v>
      </x:c>
      <x:c r="L706" s="14" t="str">
        <x:v>Used in 2025 annual analysis</x:v>
      </x:c>
      <x:c r="M706" s="15" t="n">
        <x:v>270</x:v>
      </x:c>
      <x:c r="N706" s="14" t="str">
        <x:v>Shaun Dingwall</x:v>
      </x:c>
      <x:c r="O706" s="14" t="str">
        <x:v>nm0227681</x:v>
      </x:c>
      <x:c r="P706" s="14" t="str">
        <x:v>Joseph Ludlow</x:v>
      </x:c>
      <x:c r="Q706" s="15" t="n">
        <x:v>1</x:v>
      </x:c>
      <x:c r="R706" s="14" t="str">
        <x:v>2025</x:v>
      </x:c>
      <x:c r="S706" s="14" t="n">
        <x:v>2025</x:v>
      </x:c>
      <x:c r="T706" s="14" t="n">
        <x:v>2025</x:v>
      </x:c>
      <x:c r="U706" s="14" t="str">
        <x:v>Post-2021 casting excluded</x:v>
      </x:c>
      <x:c r="V706" s="14" t="str">
        <x:v>Earliest supplied year is 2025, later than the 2021 study year.</x:v>
      </x:c>
      <x:c r="W706" s="14"/>
      <x:c r="X706" s="14" t="str">
        <x:v>Included</x:v>
      </x:c>
      <x:c r="Y706" s="14"/>
      <x:c r="Z706" s="14" t="str">
        <x:v>Grace.docx</x:v>
      </x:c>
      <x:c r="AA706" s="14" t="str">
        <x:v>HYPERLINK is not implemented. linkLocation=https://www.imdb.com/title/tt11639300/fullcredits/,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ITV / ITVX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HYPERLINK("https://en.wikipedia.org/wiki/Grace","Open source")</x:f>
        <x:v>HYPERLINK is not implemented. linkLocation=https://en.wikipedia.org/wiki/Grace,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20</x:v>
      </x:c>
      <x:c r="BP706" s="14" t="str">
        <x:v>Maximum eligible IMDb cast-credit total (20), shared by 4 performer(s); not independently verified as a 2021-only episode total.</x:v>
      </x:c>
      <x:c r="BQ706" s="14" t="str">
        <x:v>Medium</x:v>
      </x:c>
      <x:c r="BR706" s="15" t="n">
        <x:v>1</x:v>
      </x:c>
      <x:c r="BS706" s="16" t="n">
        <x:v>0.05</x:v>
      </x:c>
      <x:c r="BT706" s="14" t="str">
        <x:v>One episode</x:v>
      </x:c>
      <x:c r="BU706" s="14" t="str">
        <x:v>Medium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4" t="str">
        <x:v>HYPERLINK is not implemented. linkLocation=https://www.imdb.com/title/tt11639300/fullcredits/,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tt11639300|nm0545324|margaret packham</x:v>
      </x:c>
      <x:c r="B707" s="14" t="str">
        <x:v>02</x:v>
      </x:c>
      <x:c r="C707" s="14" t="str">
        <x:v>2021_IMDb_Cast_Lists_Batch_02(1).xlsx</x:v>
      </x:c>
      <x:c r="D707" s="14" t="str">
        <x:v>Grace</x:v>
      </x:c>
      <x:c r="E707" s="14" t="n">
        <x:v>278</x:v>
      </x:c>
      <x:c r="F707" s="14" t="str">
        <x:v>Grace</x:v>
      </x:c>
      <x:c r="G707" s="14" t="str">
        <x:v>tt11639300</x:v>
      </x:c>
      <x:c r="H707" s="14" t="n">
        <x:v>2021</x:v>
      </x:c>
      <x:c r="I707" s="14" t="n">
        <x:v>2025</x:v>
      </x:c>
      <x:c r="J707" s="14" t="str">
        <x:v>Earlier-Production Carry-In Cohort</x:v>
      </x:c>
      <x:c r="K707" s="14" t="n">
        <x:v>2021</x:v>
      </x:c>
      <x:c r="L707" s="14" t="str">
        <x:v>Used in 2025 annual analysis</x:v>
      </x:c>
      <x:c r="M707" s="15" t="n">
        <x:v>271</x:v>
      </x:c>
      <x:c r="N707" s="14" t="str">
        <x:v>Nimmy March</x:v>
      </x:c>
      <x:c r="O707" s="14" t="str">
        <x:v>nm0545324</x:v>
      </x:c>
      <x:c r="P707" s="14" t="str">
        <x:v>Margaret Packham</x:v>
      </x:c>
      <x:c r="Q707" s="15" t="n">
        <x:v>1</x:v>
      </x:c>
      <x:c r="R707" s="14" t="str">
        <x:v>2025</x:v>
      </x:c>
      <x:c r="S707" s="14" t="n">
        <x:v>2025</x:v>
      </x:c>
      <x:c r="T707" s="14" t="n">
        <x:v>2025</x:v>
      </x:c>
      <x:c r="U707" s="14" t="str">
        <x:v>Post-2021 casting excluded</x:v>
      </x:c>
      <x:c r="V707" s="14" t="str">
        <x:v>Earliest supplied year is 2025, later than the 2021 study year.</x:v>
      </x:c>
      <x:c r="W707" s="14"/>
      <x:c r="X707" s="14" t="str">
        <x:v>Included</x:v>
      </x:c>
      <x:c r="Y707" s="14"/>
      <x:c r="Z707" s="14" t="str">
        <x:v>Grace.docx</x:v>
      </x:c>
      <x:c r="AA707" s="14" t="str">
        <x:v>HYPERLINK is not implemented. linkLocation=https://www.imdb.com/title/tt11639300/fullcredits/,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ITV / ITVX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HYPERLINK("https://en.wikipedia.org/wiki/Grace","Open source")</x:f>
        <x:v>HYPERLINK is not implemented. linkLocation=https://en.wikipedia.org/wiki/Grace,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20</x:v>
      </x:c>
      <x:c r="BP707" s="14" t="str">
        <x:v>Maximum eligible IMDb cast-credit total (20), shared by 4 performer(s); not independently verified as a 2021-only episode total.</x:v>
      </x:c>
      <x:c r="BQ707" s="14" t="str">
        <x:v>Medium</x:v>
      </x:c>
      <x:c r="BR707" s="15" t="n">
        <x:v>1</x:v>
      </x:c>
      <x:c r="BS707" s="16" t="n">
        <x:v>0.05</x:v>
      </x:c>
      <x:c r="BT707" s="14" t="str">
        <x:v>One episode</x:v>
      </x:c>
      <x:c r="BU707" s="14" t="str">
        <x:v>Medium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4" t="str">
        <x:v>HYPERLINK is not implemented. linkLocation=https://www.imdb.com/title/tt11639300/fullcredits/,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tt11639300|nm1646345|johnny fordwater</x:v>
      </x:c>
      <x:c r="B708" s="14" t="str">
        <x:v>02</x:v>
      </x:c>
      <x:c r="C708" s="14" t="str">
        <x:v>2021_IMDb_Cast_Lists_Batch_02(1).xlsx</x:v>
      </x:c>
      <x:c r="D708" s="14" t="str">
        <x:v>Grace</x:v>
      </x:c>
      <x:c r="E708" s="14" t="n">
        <x:v>288</x:v>
      </x:c>
      <x:c r="F708" s="14" t="str">
        <x:v>Grace</x:v>
      </x:c>
      <x:c r="G708" s="14" t="str">
        <x:v>tt11639300</x:v>
      </x:c>
      <x:c r="H708" s="14" t="n">
        <x:v>2021</x:v>
      </x:c>
      <x:c r="I708" s="14" t="n">
        <x:v>2025</x:v>
      </x:c>
      <x:c r="J708" s="14" t="str">
        <x:v>Earlier-Production Carry-In Cohort</x:v>
      </x:c>
      <x:c r="K708" s="14" t="n">
        <x:v>2021</x:v>
      </x:c>
      <x:c r="L708" s="14" t="str">
        <x:v>Used in 2025 annual analysis</x:v>
      </x:c>
      <x:c r="M708" s="15" t="n">
        <x:v>281</x:v>
      </x:c>
      <x:c r="N708" s="14" t="str">
        <x:v>Mark Noble</x:v>
      </x:c>
      <x:c r="O708" s="14" t="str">
        <x:v>nm1646345</x:v>
      </x:c>
      <x:c r="P708" s="14" t="str">
        <x:v>Johnny Fordwater</x:v>
      </x:c>
      <x:c r="Q708" s="15" t="n">
        <x:v>1</x:v>
      </x:c>
      <x:c r="R708" s="14" t="str">
        <x:v>2025</x:v>
      </x:c>
      <x:c r="S708" s="14" t="n">
        <x:v>2025</x:v>
      </x:c>
      <x:c r="T708" s="14" t="n">
        <x:v>2025</x:v>
      </x:c>
      <x:c r="U708" s="14" t="str">
        <x:v>Post-2021 casting excluded</x:v>
      </x:c>
      <x:c r="V708" s="14" t="str">
        <x:v>Earliest supplied year is 2025, later than the 2021 study year.</x:v>
      </x:c>
      <x:c r="W708" s="14"/>
      <x:c r="X708" s="14" t="str">
        <x:v>Included</x:v>
      </x:c>
      <x:c r="Y708" s="14"/>
      <x:c r="Z708" s="14" t="str">
        <x:v>Grace.docx</x:v>
      </x:c>
      <x:c r="AA708" s="14" t="str">
        <x:v>HYPERLINK is not implemented. linkLocation=https://www.imdb.com/title/tt11639300/fullcredits/,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ITV / ITVX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HYPERLINK("https://en.wikipedia.org/wiki/Grace","Open source")</x:f>
        <x:v>HYPERLINK is not implemented. linkLocation=https://en.wikipedia.org/wiki/Grace,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20</x:v>
      </x:c>
      <x:c r="BP708" s="14" t="str">
        <x:v>Maximum eligible IMDb cast-credit total (20), shared by 4 performer(s); not independently verified as a 2021-only episode total.</x:v>
      </x:c>
      <x:c r="BQ708" s="14" t="str">
        <x:v>Medium</x:v>
      </x:c>
      <x:c r="BR708" s="15" t="n">
        <x:v>1</x:v>
      </x:c>
      <x:c r="BS708" s="16" t="n">
        <x:v>0.05</x:v>
      </x:c>
      <x:c r="BT708" s="14" t="str">
        <x:v>One episode</x:v>
      </x:c>
      <x:c r="BU708" s="14" t="str">
        <x:v>Medium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4" t="str">
        <x:v>HYPERLINK is not implemented. linkLocation=https://www.imdb.com/title/tt11639300/fullcredits/,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tt11639300|nm3618494|woman in van</x:v>
      </x:c>
      <x:c r="B709" s="14" t="str">
        <x:v>02</x:v>
      </x:c>
      <x:c r="C709" s="14" t="str">
        <x:v>2021_IMDb_Cast_Lists_Batch_02(1).xlsx</x:v>
      </x:c>
      <x:c r="D709" s="14" t="str">
        <x:v>Grace</x:v>
      </x:c>
      <x:c r="E709" s="14" t="n">
        <x:v>289</x:v>
      </x:c>
      <x:c r="F709" s="14" t="str">
        <x:v>Grace</x:v>
      </x:c>
      <x:c r="G709" s="14" t="str">
        <x:v>tt11639300</x:v>
      </x:c>
      <x:c r="H709" s="14" t="n">
        <x:v>2021</x:v>
      </x:c>
      <x:c r="I709" s="14" t="n">
        <x:v>2025</x:v>
      </x:c>
      <x:c r="J709" s="14" t="str">
        <x:v>Earlier-Production Carry-In Cohort</x:v>
      </x:c>
      <x:c r="K709" s="14" t="n">
        <x:v>2021</x:v>
      </x:c>
      <x:c r="L709" s="14" t="str">
        <x:v>Used in 2025 annual analysis</x:v>
      </x:c>
      <x:c r="M709" s="15" t="n">
        <x:v>282</x:v>
      </x:c>
      <x:c r="N709" s="14" t="str">
        <x:v>Rebecca Crankshaw</x:v>
      </x:c>
      <x:c r="O709" s="14" t="str">
        <x:v>nm3618494</x:v>
      </x:c>
      <x:c r="P709" s="14" t="str">
        <x:v>Woman in Van</x:v>
      </x:c>
      <x:c r="Q709" s="15" t="n">
        <x:v>1</x:v>
      </x:c>
      <x:c r="R709" s="14" t="str">
        <x:v>2025</x:v>
      </x:c>
      <x:c r="S709" s="14" t="n">
        <x:v>2025</x:v>
      </x:c>
      <x:c r="T709" s="14" t="n">
        <x:v>2025</x:v>
      </x:c>
      <x:c r="U709" s="14" t="str">
        <x:v>Post-2021 casting excluded</x:v>
      </x:c>
      <x:c r="V709" s="14" t="str">
        <x:v>Earliest supplied year is 2025, later than the 2021 study year.</x:v>
      </x:c>
      <x:c r="W709" s="14"/>
      <x:c r="X709" s="14" t="str">
        <x:v>Included</x:v>
      </x:c>
      <x:c r="Y709" s="14"/>
      <x:c r="Z709" s="14" t="str">
        <x:v>Grace.docx</x:v>
      </x:c>
      <x:c r="AA709" s="14" t="str">
        <x:v>HYPERLINK is not implemented. linkLocation=https://www.imdb.com/title/tt11639300/fullcredits/,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ITV / ITVX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HYPERLINK("https://en.wikipedia.org/wiki/Grace","Open source")</x:f>
        <x:v>HYPERLINK is not implemented. linkLocation=https://en.wikipedia.org/wiki/Grace,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20</x:v>
      </x:c>
      <x:c r="BP709" s="14" t="str">
        <x:v>Maximum eligible IMDb cast-credit total (20), shared by 4 performer(s); not independently verified as a 2021-only episode total.</x:v>
      </x:c>
      <x:c r="BQ709" s="14" t="str">
        <x:v>Medium</x:v>
      </x:c>
      <x:c r="BR709" s="15" t="n">
        <x:v>1</x:v>
      </x:c>
      <x:c r="BS709" s="16" t="n">
        <x:v>0.05</x:v>
      </x:c>
      <x:c r="BT709" s="14" t="str">
        <x:v>One episode</x:v>
      </x:c>
      <x:c r="BU709" s="14" t="str">
        <x:v>Medium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4" t="str">
        <x:v>HYPERLINK is not implemented. linkLocation=https://www.imdb.com/title/tt11639300/fullcredits/,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tt11639300|nm0038526|janet smythson</x:v>
      </x:c>
      <x:c r="B710" s="14" t="str">
        <x:v>02</x:v>
      </x:c>
      <x:c r="C710" s="14" t="str">
        <x:v>2021_IMDb_Cast_Lists_Batch_02(1).xlsx</x:v>
      </x:c>
      <x:c r="D710" s="14" t="str">
        <x:v>Grace</x:v>
      </x:c>
      <x:c r="E710" s="14" t="n">
        <x:v>297</x:v>
      </x:c>
      <x:c r="F710" s="14" t="str">
        <x:v>Grace</x:v>
      </x:c>
      <x:c r="G710" s="14" t="str">
        <x:v>tt11639300</x:v>
      </x:c>
      <x:c r="H710" s="14" t="n">
        <x:v>2021</x:v>
      </x:c>
      <x:c r="I710" s="14" t="n">
        <x:v>2025</x:v>
      </x:c>
      <x:c r="J710" s="14" t="str">
        <x:v>Earlier-Production Carry-In Cohort</x:v>
      </x:c>
      <x:c r="K710" s="14" t="n">
        <x:v>2021</x:v>
      </x:c>
      <x:c r="L710" s="14" t="str">
        <x:v>Used in 2025 annual analysis</x:v>
      </x:c>
      <x:c r="M710" s="15" t="n">
        <x:v>290</x:v>
      </x:c>
      <x:c r="N710" s="14" t="str">
        <x:v>Karen Ascoe</x:v>
      </x:c>
      <x:c r="O710" s="14" t="str">
        <x:v>nm0038526</x:v>
      </x:c>
      <x:c r="P710" s="14" t="str">
        <x:v>Janet Smythson</x:v>
      </x:c>
      <x:c r="Q710" s="15" t="n">
        <x:v>1</x:v>
      </x:c>
      <x:c r="R710" s="14" t="str">
        <x:v>2025</x:v>
      </x:c>
      <x:c r="S710" s="14" t="n">
        <x:v>2025</x:v>
      </x:c>
      <x:c r="T710" s="14" t="n">
        <x:v>2025</x:v>
      </x:c>
      <x:c r="U710" s="14" t="str">
        <x:v>Post-2021 casting excluded</x:v>
      </x:c>
      <x:c r="V710" s="14" t="str">
        <x:v>Earliest supplied year is 2025, later than the 2021 study year.</x:v>
      </x:c>
      <x:c r="W710" s="14"/>
      <x:c r="X710" s="14" t="str">
        <x:v>Included</x:v>
      </x:c>
      <x:c r="Y710" s="14"/>
      <x:c r="Z710" s="14" t="str">
        <x:v>Grace.docx</x:v>
      </x:c>
      <x:c r="AA710" s="14" t="str">
        <x:v>HYPERLINK is not implemented. linkLocation=https://www.imdb.com/title/tt11639300/fullcredits/,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ITV / ITVX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HYPERLINK("https://en.wikipedia.org/wiki/Grace","Open source")</x:f>
        <x:v>HYPERLINK is not implemented. linkLocation=https://en.wikipedia.org/wiki/Grace,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20</x:v>
      </x:c>
      <x:c r="BP710" s="14" t="str">
        <x:v>Maximum eligible IMDb cast-credit total (20), shared by 4 performer(s); not independently verified as a 2021-only episode total.</x:v>
      </x:c>
      <x:c r="BQ710" s="14" t="str">
        <x:v>Medium</x:v>
      </x:c>
      <x:c r="BR710" s="15" t="n">
        <x:v>1</x:v>
      </x:c>
      <x:c r="BS710" s="16" t="n">
        <x:v>0.05</x:v>
      </x:c>
      <x:c r="BT710" s="14" t="str">
        <x:v>One episode</x:v>
      </x:c>
      <x:c r="BU710" s="14" t="str">
        <x:v>Medium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4" t="str">
        <x:v>HYPERLINK is not implemented. linkLocation=https://www.imdb.com/title/tt11639300/fullcredits/,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tt11639300|nm7478688|louise fordwater</x:v>
      </x:c>
      <x:c r="B711" s="14" t="str">
        <x:v>02</x:v>
      </x:c>
      <x:c r="C711" s="14" t="str">
        <x:v>2021_IMDb_Cast_Lists_Batch_02(1).xlsx</x:v>
      </x:c>
      <x:c r="D711" s="14" t="str">
        <x:v>Grace</x:v>
      </x:c>
      <x:c r="E711" s="14" t="n">
        <x:v>298</x:v>
      </x:c>
      <x:c r="F711" s="14" t="str">
        <x:v>Grace</x:v>
      </x:c>
      <x:c r="G711" s="14" t="str">
        <x:v>tt11639300</x:v>
      </x:c>
      <x:c r="H711" s="14" t="n">
        <x:v>2021</x:v>
      </x:c>
      <x:c r="I711" s="14" t="n">
        <x:v>2025</x:v>
      </x:c>
      <x:c r="J711" s="14" t="str">
        <x:v>Earlier-Production Carry-In Cohort</x:v>
      </x:c>
      <x:c r="K711" s="14" t="n">
        <x:v>2021</x:v>
      </x:c>
      <x:c r="L711" s="14" t="str">
        <x:v>Used in 2025 annual analysis</x:v>
      </x:c>
      <x:c r="M711" s="15" t="n">
        <x:v>291</x:v>
      </x:c>
      <x:c r="N711" s="14" t="str">
        <x:v>Amy Trigg</x:v>
      </x:c>
      <x:c r="O711" s="14" t="str">
        <x:v>nm7478688</x:v>
      </x:c>
      <x:c r="P711" s="14" t="str">
        <x:v>Louise Fordwater</x:v>
      </x:c>
      <x:c r="Q711" s="15" t="n">
        <x:v>1</x:v>
      </x:c>
      <x:c r="R711" s="14" t="str">
        <x:v>2025</x:v>
      </x:c>
      <x:c r="S711" s="14" t="n">
        <x:v>2025</x:v>
      </x:c>
      <x:c r="T711" s="14" t="n">
        <x:v>2025</x:v>
      </x:c>
      <x:c r="U711" s="14" t="str">
        <x:v>Post-2021 casting excluded</x:v>
      </x:c>
      <x:c r="V711" s="14" t="str">
        <x:v>Earliest supplied year is 2025, later than the 2021 study year.</x:v>
      </x:c>
      <x:c r="W711" s="14"/>
      <x:c r="X711" s="14" t="str">
        <x:v>Included</x:v>
      </x:c>
      <x:c r="Y711" s="14"/>
      <x:c r="Z711" s="14" t="str">
        <x:v>Grace.docx</x:v>
      </x:c>
      <x:c r="AA711" s="14" t="str">
        <x:v>HYPERLINK is not implemented. linkLocation=https://www.imdb.com/title/tt11639300/fullcredits/, friendlyName=Open source</x:v>
      </x:c>
      <x:c r="AB711" s="14" t="str">
        <x:v>Existing established-register match</x:v>
      </x:c>
      <x:c r="AC711" s="14" t="str">
        <x:v>Wheelchair user | Physical disability</x:v>
      </x:c>
      <x:c r="AD711" s="14" t="str">
        <x:v>Existing register classification: Wheelchair user | Physical disability</x:v>
      </x:c>
      <x:c r="AE711" s="14" t="str">
        <x:v>Established_Disability_Category_Register V1.1.xlsx</x:v>
      </x:c>
      <x:c r="AF711" s="14"/>
      <x:c r="AG711" s="14" t="str">
        <x:v>Established user-supplied classification retained for deduplication; evidence was not re-researched in this batch.</x:v>
      </x:c>
      <x:c r="AH711" s="14" t="str">
        <x:v>ITV / ITVX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HYPERLINK("https://en.wikipedia.org/wiki/Grace","Open source")</x:f>
        <x:v>HYPERLINK is not implemented. linkLocation=https://en.wikipedia.org/wiki/Grace,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Exact IMDb performer ID match</x:v>
      </x:c>
      <x:c r="AT711" s="14" t="str">
        <x:v>nm7478688</x:v>
      </x:c>
      <x:c r="AU711" s="14" t="str">
        <x:v>Wheelchair user | Physical disability</x:v>
      </x:c>
      <x:c r="AV711" s="14" t="str">
        <x:v>Yes</x:v>
      </x:c>
      <x:c r="AW711" s="14" t="str">
        <x:v>Wheelchair user | Physical disability</x:v>
      </x:c>
      <x:c r="AX711" s="14" t="str">
        <x:v>No</x:v>
      </x:c>
      <x:c r="AY711" s="14" t="str">
        <x:v>Matched</x:v>
      </x:c>
      <x:c r="AZ711" s="14" t="str">
        <x:v>Final supplied register</x:v>
      </x:c>
      <x:c r="BA711" s="14"/>
      <x:c r="BB711" s="14" t="str">
        <x:v>Exact IMDb performer ID match</x:v>
      </x:c>
      <x:c r="BC711" s="14" t="str">
        <x:v>nm7478688</x:v>
      </x:c>
      <x:c r="BD711" s="14" t="str">
        <x:v>Amy Trigg</x:v>
      </x:c>
      <x:c r="BE711" s="14" t="str">
        <x:v>Wheelchair user | Physical disability</x:v>
      </x:c>
      <x:c r="BF711" s="14" t="str">
        <x:v>Yes</x:v>
      </x:c>
      <x:c r="BG711" s="14" t="str">
        <x:v>Wheelchair user | Physical disability</x:v>
      </x:c>
      <x:c r="BH711" s="14" t="str">
        <x:v>No</x:v>
      </x:c>
      <x:c r="BI711" s="14" t="str">
        <x:v>User-supplied established classification</x:v>
      </x:c>
      <x:c r="BJ711" s="14" t="str">
        <x:v>03_Wheelchair_user.csv | 04_Physical_disability.csv</x:v>
      </x:c>
      <x:c r="BK711" s="14"/>
      <x:c r="BL711" s="14" t="str">
        <x:v>Matched</x:v>
      </x:c>
      <x:c r="BM711" s="14" t="str">
        <x:v>Final supplied register</x:v>
      </x:c>
      <x:c r="BN711" s="14"/>
      <x:c r="BO711" s="14" t="n">
        <x:v>20</x:v>
      </x:c>
      <x:c r="BP711" s="14" t="str">
        <x:v>Maximum eligible IMDb cast-credit total (20), shared by 4 performer(s); not independently verified as a 2021-only episode total.</x:v>
      </x:c>
      <x:c r="BQ711" s="14" t="str">
        <x:v>Medium</x:v>
      </x:c>
      <x:c r="BR711" s="15" t="n">
        <x:v>1</x:v>
      </x:c>
      <x:c r="BS711" s="16" t="n">
        <x:v>0.05</x:v>
      </x:c>
      <x:c r="BT711" s="14" t="str">
        <x:v>One episode</x:v>
      </x:c>
      <x:c r="BU711" s="14" t="str">
        <x:v>Medium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4" t="str">
        <x:v>HYPERLINK is not implemented. linkLocation=https://www.imdb.com/title/tt11639300/fullcredits/,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tt11639300|nm2247681|nora davis</x:v>
      </x:c>
      <x:c r="B712" s="14" t="str">
        <x:v>02</x:v>
      </x:c>
      <x:c r="C712" s="14" t="str">
        <x:v>2021_IMDb_Cast_Lists_Batch_02(1).xlsx</x:v>
      </x:c>
      <x:c r="D712" s="14" t="str">
        <x:v>Grace</x:v>
      </x:c>
      <x:c r="E712" s="14" t="n">
        <x:v>299</x:v>
      </x:c>
      <x:c r="F712" s="14" t="str">
        <x:v>Grace</x:v>
      </x:c>
      <x:c r="G712" s="14" t="str">
        <x:v>tt11639300</x:v>
      </x:c>
      <x:c r="H712" s="14" t="n">
        <x:v>2021</x:v>
      </x:c>
      <x:c r="I712" s="14" t="n">
        <x:v>2025</x:v>
      </x:c>
      <x:c r="J712" s="14" t="str">
        <x:v>Earlier-Production Carry-In Cohort</x:v>
      </x:c>
      <x:c r="K712" s="14" t="n">
        <x:v>2021</x:v>
      </x:c>
      <x:c r="L712" s="14" t="str">
        <x:v>Used in 2025 annual analysis</x:v>
      </x:c>
      <x:c r="M712" s="15" t="n">
        <x:v>292</x:v>
      </x:c>
      <x:c r="N712" s="14" t="str">
        <x:v>Anne Kavanagh</x:v>
      </x:c>
      <x:c r="O712" s="14" t="str">
        <x:v>nm2247681</x:v>
      </x:c>
      <x:c r="P712" s="14" t="str">
        <x:v>Nora Davis</x:v>
      </x:c>
      <x:c r="Q712" s="15" t="n">
        <x:v>1</x:v>
      </x:c>
      <x:c r="R712" s="14" t="str">
        <x:v>2025</x:v>
      </x:c>
      <x:c r="S712" s="14" t="n">
        <x:v>2025</x:v>
      </x:c>
      <x:c r="T712" s="14" t="n">
        <x:v>2025</x:v>
      </x:c>
      <x:c r="U712" s="14" t="str">
        <x:v>Post-2021 casting excluded</x:v>
      </x:c>
      <x:c r="V712" s="14" t="str">
        <x:v>Earliest supplied year is 2025, later than the 2021 study year.</x:v>
      </x:c>
      <x:c r="W712" s="14"/>
      <x:c r="X712" s="14" t="str">
        <x:v>Included</x:v>
      </x:c>
      <x:c r="Y712" s="14"/>
      <x:c r="Z712" s="14" t="str">
        <x:v>Grace.docx</x:v>
      </x:c>
      <x:c r="AA712" s="14" t="str">
        <x:v>HYPERLINK is not implemented. linkLocation=https://www.imdb.com/title/tt11639300/fullcredits/,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ITV / ITVX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HYPERLINK("https://en.wikipedia.org/wiki/Grace","Open source")</x:f>
        <x:v>HYPERLINK is not implemented. linkLocation=https://en.wikipedia.org/wiki/Grace,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20</x:v>
      </x:c>
      <x:c r="BP712" s="14" t="str">
        <x:v>Maximum eligible IMDb cast-credit total (20), shared by 4 performer(s); not independently verified as a 2021-only episode total.</x:v>
      </x:c>
      <x:c r="BQ712" s="14" t="str">
        <x:v>Medium</x:v>
      </x:c>
      <x:c r="BR712" s="15" t="n">
        <x:v>1</x:v>
      </x:c>
      <x:c r="BS712" s="16" t="n">
        <x:v>0.05</x:v>
      </x:c>
      <x:c r="BT712" s="14" t="str">
        <x:v>One episode</x:v>
      </x:c>
      <x:c r="BU712" s="14" t="str">
        <x:v>Medium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4" t="str">
        <x:v>HYPERLINK is not implemented. linkLocation=https://www.imdb.com/title/tt11639300/fullcredits/,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tt11639300|nm1225475|gym staff member</x:v>
      </x:c>
      <x:c r="B713" s="14" t="str">
        <x:v>02</x:v>
      </x:c>
      <x:c r="C713" s="14" t="str">
        <x:v>2021_IMDb_Cast_Lists_Batch_02(1).xlsx</x:v>
      </x:c>
      <x:c r="D713" s="14" t="str">
        <x:v>Grace</x:v>
      </x:c>
      <x:c r="E713" s="14" t="n">
        <x:v>306</x:v>
      </x:c>
      <x:c r="F713" s="14" t="str">
        <x:v>Grace</x:v>
      </x:c>
      <x:c r="G713" s="14" t="str">
        <x:v>tt11639300</x:v>
      </x:c>
      <x:c r="H713" s="14" t="n">
        <x:v>2021</x:v>
      </x:c>
      <x:c r="I713" s="14" t="n">
        <x:v>2025</x:v>
      </x:c>
      <x:c r="J713" s="14" t="str">
        <x:v>Earlier-Production Carry-In Cohort</x:v>
      </x:c>
      <x:c r="K713" s="14" t="n">
        <x:v>2021</x:v>
      </x:c>
      <x:c r="L713" s="14" t="str">
        <x:v>Used in 2025 annual analysis</x:v>
      </x:c>
      <x:c r="M713" s="15" t="n">
        <x:v>299</x:v>
      </x:c>
      <x:c r="N713" s="14" t="str">
        <x:v>Bobby Lockwood</x:v>
      </x:c>
      <x:c r="O713" s="14" t="str">
        <x:v>nm1225475</x:v>
      </x:c>
      <x:c r="P713" s="14" t="str">
        <x:v>Gym Staff Member</x:v>
      </x:c>
      <x:c r="Q713" s="15" t="n">
        <x:v>1</x:v>
      </x:c>
      <x:c r="R713" s="14" t="str">
        <x:v>2025</x:v>
      </x:c>
      <x:c r="S713" s="14" t="n">
        <x:v>2025</x:v>
      </x:c>
      <x:c r="T713" s="14" t="n">
        <x:v>2025</x:v>
      </x:c>
      <x:c r="U713" s="14" t="str">
        <x:v>Post-2021 casting excluded</x:v>
      </x:c>
      <x:c r="V713" s="14" t="str">
        <x:v>Earliest supplied year is 2025, later than the 2021 study year.</x:v>
      </x:c>
      <x:c r="W713" s="14"/>
      <x:c r="X713" s="14" t="str">
        <x:v>Included</x:v>
      </x:c>
      <x:c r="Y713" s="14"/>
      <x:c r="Z713" s="14" t="str">
        <x:v>Grace.docx</x:v>
      </x:c>
      <x:c r="AA713" s="14" t="str">
        <x:v>HYPERLINK is not implemented. linkLocation=https://www.imdb.com/title/tt11639300/fullcredits/,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ITV / ITVX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HYPERLINK("https://en.wikipedia.org/wiki/Grace","Open source")</x:f>
        <x:v>HYPERLINK is not implemented. linkLocation=https://en.wikipedia.org/wiki/Grace,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20</x:v>
      </x:c>
      <x:c r="BP713" s="14" t="str">
        <x:v>Maximum eligible IMDb cast-credit total (20), shared by 4 performer(s); not independently verified as a 2021-only episode total.</x:v>
      </x:c>
      <x:c r="BQ713" s="14" t="str">
        <x:v>Medium</x:v>
      </x:c>
      <x:c r="BR713" s="15" t="n">
        <x:v>1</x:v>
      </x:c>
      <x:c r="BS713" s="16" t="n">
        <x:v>0.05</x:v>
      </x:c>
      <x:c r="BT713" s="14" t="str">
        <x:v>One episode</x:v>
      </x:c>
      <x:c r="BU713" s="14" t="str">
        <x:v>Medium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4" t="str">
        <x:v>HYPERLINK is not implemented. linkLocation=https://www.imdb.com/title/tt11639300/fullcredits/,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tt11639300|nm0167334|primrose morley kc</x:v>
      </x:c>
      <x:c r="B714" s="14" t="str">
        <x:v>02</x:v>
      </x:c>
      <x:c r="C714" s="14" t="str">
        <x:v>2021_IMDb_Cast_Lists_Batch_02(1).xlsx</x:v>
      </x:c>
      <x:c r="D714" s="14" t="str">
        <x:v>Grace</x:v>
      </x:c>
      <x:c r="E714" s="14" t="n">
        <x:v>307</x:v>
      </x:c>
      <x:c r="F714" s="14" t="str">
        <x:v>Grace</x:v>
      </x:c>
      <x:c r="G714" s="14" t="str">
        <x:v>tt11639300</x:v>
      </x:c>
      <x:c r="H714" s="14" t="n">
        <x:v>2021</x:v>
      </x:c>
      <x:c r="I714" s="14" t="n">
        <x:v>2025</x:v>
      </x:c>
      <x:c r="J714" s="14" t="str">
        <x:v>Earlier-Production Carry-In Cohort</x:v>
      </x:c>
      <x:c r="K714" s="14" t="n">
        <x:v>2021</x:v>
      </x:c>
      <x:c r="L714" s="14" t="str">
        <x:v>Used in 2025 annual analysis</x:v>
      </x:c>
      <x:c r="M714" s="15" t="n">
        <x:v>300</x:v>
      </x:c>
      <x:c r="N714" s="14" t="str">
        <x:v>Jackie Clune</x:v>
      </x:c>
      <x:c r="O714" s="14" t="str">
        <x:v>nm0167334</x:v>
      </x:c>
      <x:c r="P714" s="14" t="str">
        <x:v>Primrose Morley KC</x:v>
      </x:c>
      <x:c r="Q714" s="15" t="n">
        <x:v>1</x:v>
      </x:c>
      <x:c r="R714" s="14" t="str">
        <x:v>2025</x:v>
      </x:c>
      <x:c r="S714" s="14" t="n">
        <x:v>2025</x:v>
      </x:c>
      <x:c r="T714" s="14" t="n">
        <x:v>2025</x:v>
      </x:c>
      <x:c r="U714" s="14" t="str">
        <x:v>Post-2021 casting excluded</x:v>
      </x:c>
      <x:c r="V714" s="14" t="str">
        <x:v>Earliest supplied year is 2025, later than the 2021 study year.</x:v>
      </x:c>
      <x:c r="W714" s="14"/>
      <x:c r="X714" s="14" t="str">
        <x:v>Included</x:v>
      </x:c>
      <x:c r="Y714" s="14"/>
      <x:c r="Z714" s="14" t="str">
        <x:v>Grace.docx</x:v>
      </x:c>
      <x:c r="AA714" s="14" t="str">
        <x:v>HYPERLINK is not implemented. linkLocation=https://www.imdb.com/title/tt11639300/fullcredits/,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ITV / ITVX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HYPERLINK("https://en.wikipedia.org/wiki/Grace","Open source")</x:f>
        <x:v>HYPERLINK is not implemented. linkLocation=https://en.wikipedia.org/wiki/Grace,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20</x:v>
      </x:c>
      <x:c r="BP714" s="14" t="str">
        <x:v>Maximum eligible IMDb cast-credit total (20), shared by 4 performer(s); not independently verified as a 2021-only episode total.</x:v>
      </x:c>
      <x:c r="BQ714" s="14" t="str">
        <x:v>Medium</x:v>
      </x:c>
      <x:c r="BR714" s="15" t="n">
        <x:v>1</x:v>
      </x:c>
      <x:c r="BS714" s="16" t="n">
        <x:v>0.05</x:v>
      </x:c>
      <x:c r="BT714" s="14" t="str">
        <x:v>One episode</x:v>
      </x:c>
      <x:c r="BU714" s="14" t="str">
        <x:v>Medium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4" t="str">
        <x:v>HYPERLINK is not implemented. linkLocation=https://www.imdb.com/title/tt11639300/fullcredits/,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tt11639300|nm0942682|angela</x:v>
      </x:c>
      <x:c r="B715" s="14" t="str">
        <x:v>02</x:v>
      </x:c>
      <x:c r="C715" s="14" t="str">
        <x:v>2021_IMDb_Cast_Lists_Batch_02(1).xlsx</x:v>
      </x:c>
      <x:c r="D715" s="14" t="str">
        <x:v>Grace</x:v>
      </x:c>
      <x:c r="E715" s="14" t="n">
        <x:v>313</x:v>
      </x:c>
      <x:c r="F715" s="14" t="str">
        <x:v>Grace</x:v>
      </x:c>
      <x:c r="G715" s="14" t="str">
        <x:v>tt11639300</x:v>
      </x:c>
      <x:c r="H715" s="14" t="n">
        <x:v>2021</x:v>
      </x:c>
      <x:c r="I715" s="14" t="n">
        <x:v>2025</x:v>
      </x:c>
      <x:c r="J715" s="14" t="str">
        <x:v>Earlier-Production Carry-In Cohort</x:v>
      </x:c>
      <x:c r="K715" s="14" t="n">
        <x:v>2021</x:v>
      </x:c>
      <x:c r="L715" s="14" t="str">
        <x:v>Used in 2025 annual analysis</x:v>
      </x:c>
      <x:c r="M715" s="15" t="n">
        <x:v>306</x:v>
      </x:c>
      <x:c r="N715" s="14" t="str">
        <x:v>Nicola Wright</x:v>
      </x:c>
      <x:c r="O715" s="14" t="str">
        <x:v>nm0942682</x:v>
      </x:c>
      <x:c r="P715" s="14" t="str">
        <x:v>Angela</x:v>
      </x:c>
      <x:c r="Q715" s="15" t="n">
        <x:v>1</x:v>
      </x:c>
      <x:c r="R715" s="14" t="str">
        <x:v>2025</x:v>
      </x:c>
      <x:c r="S715" s="14" t="n">
        <x:v>2025</x:v>
      </x:c>
      <x:c r="T715" s="14" t="n">
        <x:v>2025</x:v>
      </x:c>
      <x:c r="U715" s="14" t="str">
        <x:v>Post-2021 casting excluded</x:v>
      </x:c>
      <x:c r="V715" s="14" t="str">
        <x:v>Earliest supplied year is 2025, later than the 2021 study year.</x:v>
      </x:c>
      <x:c r="W715" s="14"/>
      <x:c r="X715" s="14" t="str">
        <x:v>Included</x:v>
      </x:c>
      <x:c r="Y715" s="14"/>
      <x:c r="Z715" s="14" t="str">
        <x:v>Grace.docx</x:v>
      </x:c>
      <x:c r="AA715" s="14" t="str">
        <x:v>HYPERLINK is not implemented. linkLocation=https://www.imdb.com/title/tt11639300/fullcredits/,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ITV / ITVX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HYPERLINK("https://en.wikipedia.org/wiki/Grace","Open source")</x:f>
        <x:v>HYPERLINK is not implemented. linkLocation=https://en.wikipedia.org/wiki/Grace,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20</x:v>
      </x:c>
      <x:c r="BP715" s="14" t="str">
        <x:v>Maximum eligible IMDb cast-credit total (20), shared by 4 performer(s); not independently verified as a 2021-only episode total.</x:v>
      </x:c>
      <x:c r="BQ715" s="14" t="str">
        <x:v>Medium</x:v>
      </x:c>
      <x:c r="BR715" s="15" t="n">
        <x:v>1</x:v>
      </x:c>
      <x:c r="BS715" s="16" t="n">
        <x:v>0.05</x:v>
      </x:c>
      <x:c r="BT715" s="14" t="str">
        <x:v>One episode</x:v>
      </x:c>
      <x:c r="BU715" s="14" t="str">
        <x:v>Medium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4" t="str">
        <x:v>HYPERLINK is not implemented. linkLocation=https://www.imdb.com/title/tt11639300/fullcredits/,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tt11639300|nm5854936|deepak singh</x:v>
      </x:c>
      <x:c r="B716" s="14" t="str">
        <x:v>02</x:v>
      </x:c>
      <x:c r="C716" s="14" t="str">
        <x:v>2021_IMDb_Cast_Lists_Batch_02(1).xlsx</x:v>
      </x:c>
      <x:c r="D716" s="14" t="str">
        <x:v>Grace</x:v>
      </x:c>
      <x:c r="E716" s="14" t="n">
        <x:v>314</x:v>
      </x:c>
      <x:c r="F716" s="14" t="str">
        <x:v>Grace</x:v>
      </x:c>
      <x:c r="G716" s="14" t="str">
        <x:v>tt11639300</x:v>
      </x:c>
      <x:c r="H716" s="14" t="n">
        <x:v>2021</x:v>
      </x:c>
      <x:c r="I716" s="14" t="n">
        <x:v>2025</x:v>
      </x:c>
      <x:c r="J716" s="14" t="str">
        <x:v>Earlier-Production Carry-In Cohort</x:v>
      </x:c>
      <x:c r="K716" s="14" t="n">
        <x:v>2021</x:v>
      </x:c>
      <x:c r="L716" s="14" t="str">
        <x:v>Used in 2025 annual analysis</x:v>
      </x:c>
      <x:c r="M716" s="15" t="n">
        <x:v>307</x:v>
      </x:c>
      <x:c r="N716" s="14" t="str">
        <x:v>Mikhael DeVille</x:v>
      </x:c>
      <x:c r="O716" s="14" t="str">
        <x:v>nm5854936</x:v>
      </x:c>
      <x:c r="P716" s="14" t="str">
        <x:v>Deepak Singh</x:v>
      </x:c>
      <x:c r="Q716" s="15" t="n">
        <x:v>1</x:v>
      </x:c>
      <x:c r="R716" s="14" t="str">
        <x:v>2025</x:v>
      </x:c>
      <x:c r="S716" s="14" t="n">
        <x:v>2025</x:v>
      </x:c>
      <x:c r="T716" s="14" t="n">
        <x:v>2025</x:v>
      </x:c>
      <x:c r="U716" s="14" t="str">
        <x:v>Post-2021 casting excluded</x:v>
      </x:c>
      <x:c r="V716" s="14" t="str">
        <x:v>Earliest supplied year is 2025, later than the 2021 study year.</x:v>
      </x:c>
      <x:c r="W716" s="14"/>
      <x:c r="X716" s="14" t="str">
        <x:v>Included</x:v>
      </x:c>
      <x:c r="Y716" s="14"/>
      <x:c r="Z716" s="14" t="str">
        <x:v>Grace.docx</x:v>
      </x:c>
      <x:c r="AA716" s="14" t="str">
        <x:v>HYPERLINK is not implemented. linkLocation=https://www.imdb.com/title/tt11639300/fullcredits/,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ITV / ITVX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HYPERLINK("https://en.wikipedia.org/wiki/Grace","Open source")</x:f>
        <x:v>HYPERLINK is not implemented. linkLocation=https://en.wikipedia.org/wiki/Grace,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20</x:v>
      </x:c>
      <x:c r="BP716" s="14" t="str">
        <x:v>Maximum eligible IMDb cast-credit total (20), shared by 4 performer(s); not independently verified as a 2021-only episode total.</x:v>
      </x:c>
      <x:c r="BQ716" s="14" t="str">
        <x:v>Medium</x:v>
      </x:c>
      <x:c r="BR716" s="15" t="n">
        <x:v>1</x:v>
      </x:c>
      <x:c r="BS716" s="16" t="n">
        <x:v>0.05</x:v>
      </x:c>
      <x:c r="BT716" s="14" t="str">
        <x:v>One episode</x:v>
      </x:c>
      <x:c r="BU716" s="14" t="str">
        <x:v>Medium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4" t="str">
        <x:v>HYPERLINK is not implemented. linkLocation=https://www.imdb.com/title/tt11639300/fullcredits/,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tt11639300|nm0165757|judge channing</x:v>
      </x:c>
      <x:c r="B717" s="14" t="str">
        <x:v>02</x:v>
      </x:c>
      <x:c r="C717" s="14" t="str">
        <x:v>2021_IMDb_Cast_Lists_Batch_02(1).xlsx</x:v>
      </x:c>
      <x:c r="D717" s="14" t="str">
        <x:v>Grace</x:v>
      </x:c>
      <x:c r="E717" s="14" t="n">
        <x:v>321</x:v>
      </x:c>
      <x:c r="F717" s="14" t="str">
        <x:v>Grace</x:v>
      </x:c>
      <x:c r="G717" s="14" t="str">
        <x:v>tt11639300</x:v>
      </x:c>
      <x:c r="H717" s="14" t="n">
        <x:v>2021</x:v>
      </x:c>
      <x:c r="I717" s="14" t="n">
        <x:v>2025</x:v>
      </x:c>
      <x:c r="J717" s="14" t="str">
        <x:v>Earlier-Production Carry-In Cohort</x:v>
      </x:c>
      <x:c r="K717" s="14" t="n">
        <x:v>2021</x:v>
      </x:c>
      <x:c r="L717" s="14" t="str">
        <x:v>Used in 2025 annual analysis</x:v>
      </x:c>
      <x:c r="M717" s="15" t="n">
        <x:v>314</x:v>
      </x:c>
      <x:c r="N717" s="14" t="str">
        <x:v>Paul Clayton</x:v>
      </x:c>
      <x:c r="O717" s="14" t="str">
        <x:v>nm0165757</x:v>
      </x:c>
      <x:c r="P717" s="14" t="str">
        <x:v>Judge Channing</x:v>
      </x:c>
      <x:c r="Q717" s="15" t="n">
        <x:v>1</x:v>
      </x:c>
      <x:c r="R717" s="14" t="str">
        <x:v>2025</x:v>
      </x:c>
      <x:c r="S717" s="14" t="n">
        <x:v>2025</x:v>
      </x:c>
      <x:c r="T717" s="14" t="n">
        <x:v>2025</x:v>
      </x:c>
      <x:c r="U717" s="14" t="str">
        <x:v>Post-2021 casting excluded</x:v>
      </x:c>
      <x:c r="V717" s="14" t="str">
        <x:v>Earliest supplied year is 2025, later than the 2021 study year.</x:v>
      </x:c>
      <x:c r="W717" s="14"/>
      <x:c r="X717" s="14" t="str">
        <x:v>Included</x:v>
      </x:c>
      <x:c r="Y717" s="14"/>
      <x:c r="Z717" s="14" t="str">
        <x:v>Grace.docx</x:v>
      </x:c>
      <x:c r="AA717" s="14" t="str">
        <x:v>HYPERLINK is not implemented. linkLocation=https://www.imdb.com/title/tt11639300/fullcredits/,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ITV / ITVX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HYPERLINK("https://en.wikipedia.org/wiki/Grace","Open source")</x:f>
        <x:v>HYPERLINK is not implemented. linkLocation=https://en.wikipedia.org/wiki/Grace,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20</x:v>
      </x:c>
      <x:c r="BP717" s="14" t="str">
        <x:v>Maximum eligible IMDb cast-credit total (20), shared by 4 performer(s); not independently verified as a 2021-only episode total.</x:v>
      </x:c>
      <x:c r="BQ717" s="14" t="str">
        <x:v>Medium</x:v>
      </x:c>
      <x:c r="BR717" s="15" t="n">
        <x:v>1</x:v>
      </x:c>
      <x:c r="BS717" s="16" t="n">
        <x:v>0.05</x:v>
      </x:c>
      <x:c r="BT717" s="14" t="str">
        <x:v>One episode</x:v>
      </x:c>
      <x:c r="BU717" s="14" t="str">
        <x:v>Medium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4" t="str">
        <x:v>HYPERLINK is not implemented. linkLocation=https://www.imdb.com/title/tt11639300/fullcredits/,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tt11639300|nm6457179|ben close / rupert thomas</x:v>
      </x:c>
      <x:c r="B718" s="14" t="str">
        <x:v>02</x:v>
      </x:c>
      <x:c r="C718" s="14" t="str">
        <x:v>2021_IMDb_Cast_Lists_Batch_02(1).xlsx</x:v>
      </x:c>
      <x:c r="D718" s="14" t="str">
        <x:v>Grace</x:v>
      </x:c>
      <x:c r="E718" s="14" t="n">
        <x:v>322</x:v>
      </x:c>
      <x:c r="F718" s="14" t="str">
        <x:v>Grace</x:v>
      </x:c>
      <x:c r="G718" s="14" t="str">
        <x:v>tt11639300</x:v>
      </x:c>
      <x:c r="H718" s="14" t="n">
        <x:v>2021</x:v>
      </x:c>
      <x:c r="I718" s="14" t="n">
        <x:v>2025</x:v>
      </x:c>
      <x:c r="J718" s="14" t="str">
        <x:v>Earlier-Production Carry-In Cohort</x:v>
      </x:c>
      <x:c r="K718" s="14" t="n">
        <x:v>2021</x:v>
      </x:c>
      <x:c r="L718" s="14" t="str">
        <x:v>Used in 2025 annual analysis</x:v>
      </x:c>
      <x:c r="M718" s="15" t="n">
        <x:v>315</x:v>
      </x:c>
      <x:c r="N718" s="14" t="str">
        <x:v>Michael Shea</x:v>
      </x:c>
      <x:c r="O718" s="14" t="str">
        <x:v>nm6457179</x:v>
      </x:c>
      <x:c r="P718" s="14" t="str">
        <x:v>Ben Close / Rupert Thomas</x:v>
      </x:c>
      <x:c r="Q718" s="15" t="n">
        <x:v>1</x:v>
      </x:c>
      <x:c r="R718" s="14" t="str">
        <x:v>2025</x:v>
      </x:c>
      <x:c r="S718" s="14" t="n">
        <x:v>2025</x:v>
      </x:c>
      <x:c r="T718" s="14" t="n">
        <x:v>2025</x:v>
      </x:c>
      <x:c r="U718" s="14" t="str">
        <x:v>Post-2021 casting excluded</x:v>
      </x:c>
      <x:c r="V718" s="14" t="str">
        <x:v>Earliest supplied year is 2025, later than the 2021 study year.</x:v>
      </x:c>
      <x:c r="W718" s="14"/>
      <x:c r="X718" s="14" t="str">
        <x:v>Included</x:v>
      </x:c>
      <x:c r="Y718" s="14"/>
      <x:c r="Z718" s="14" t="str">
        <x:v>Grace.docx</x:v>
      </x:c>
      <x:c r="AA718" s="14" t="str">
        <x:v>HYPERLINK is not implemented. linkLocation=https://www.imdb.com/title/tt11639300/fullcredits/,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ITV / ITVX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HYPERLINK("https://en.wikipedia.org/wiki/Grace","Open source")</x:f>
        <x:v>HYPERLINK is not implemented. linkLocation=https://en.wikipedia.org/wiki/Grace,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20</x:v>
      </x:c>
      <x:c r="BP718" s="14" t="str">
        <x:v>Maximum eligible IMDb cast-credit total (20), shared by 4 performer(s); not independently verified as a 2021-only episode total.</x:v>
      </x:c>
      <x:c r="BQ718" s="14" t="str">
        <x:v>Medium</x:v>
      </x:c>
      <x:c r="BR718" s="15" t="n">
        <x:v>1</x:v>
      </x:c>
      <x:c r="BS718" s="16" t="n">
        <x:v>0.05</x:v>
      </x:c>
      <x:c r="BT718" s="14" t="str">
        <x:v>One episode</x:v>
      </x:c>
      <x:c r="BU718" s="14" t="str">
        <x:v>Medium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4" t="str">
        <x:v>HYPERLINK is not implemented. linkLocation=https://www.imdb.com/title/tt11639300/fullcredits/,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tt11639300|nm1683073|chris hadcock</x:v>
      </x:c>
      <x:c r="B719" s="14" t="str">
        <x:v>02</x:v>
      </x:c>
      <x:c r="C719" s="14" t="str">
        <x:v>2021_IMDb_Cast_Lists_Batch_02(1).xlsx</x:v>
      </x:c>
      <x:c r="D719" s="14" t="str">
        <x:v>Grace</x:v>
      </x:c>
      <x:c r="E719" s="14" t="n">
        <x:v>323</x:v>
      </x:c>
      <x:c r="F719" s="14" t="str">
        <x:v>Grace</x:v>
      </x:c>
      <x:c r="G719" s="14" t="str">
        <x:v>tt11639300</x:v>
      </x:c>
      <x:c r="H719" s="14" t="n">
        <x:v>2021</x:v>
      </x:c>
      <x:c r="I719" s="14" t="n">
        <x:v>2025</x:v>
      </x:c>
      <x:c r="J719" s="14" t="str">
        <x:v>Earlier-Production Carry-In Cohort</x:v>
      </x:c>
      <x:c r="K719" s="14" t="n">
        <x:v>2021</x:v>
      </x:c>
      <x:c r="L719" s="14" t="str">
        <x:v>Used in 2025 annual analysis</x:v>
      </x:c>
      <x:c r="M719" s="15" t="n">
        <x:v>316</x:v>
      </x:c>
      <x:c r="N719" s="14" t="str">
        <x:v>Tony Wadham</x:v>
      </x:c>
      <x:c r="O719" s="14" t="str">
        <x:v>nm1683073</x:v>
      </x:c>
      <x:c r="P719" s="14" t="str">
        <x:v>Chris Hadcock</x:v>
      </x:c>
      <x:c r="Q719" s="15" t="n">
        <x:v>1</x:v>
      </x:c>
      <x:c r="R719" s="14" t="str">
        <x:v>2025</x:v>
      </x:c>
      <x:c r="S719" s="14" t="n">
        <x:v>2025</x:v>
      </x:c>
      <x:c r="T719" s="14" t="n">
        <x:v>2025</x:v>
      </x:c>
      <x:c r="U719" s="14" t="str">
        <x:v>Post-2021 casting excluded</x:v>
      </x:c>
      <x:c r="V719" s="14" t="str">
        <x:v>Earliest supplied year is 2025, later than the 2021 study year.</x:v>
      </x:c>
      <x:c r="W719" s="14"/>
      <x:c r="X719" s="14" t="str">
        <x:v>Included</x:v>
      </x:c>
      <x:c r="Y719" s="14"/>
      <x:c r="Z719" s="14" t="str">
        <x:v>Grace.docx</x:v>
      </x:c>
      <x:c r="AA719" s="14" t="str">
        <x:v>HYPERLINK is not implemented. linkLocation=https://www.imdb.com/title/tt11639300/fullcredits/,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ITV / ITVX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HYPERLINK("https://en.wikipedia.org/wiki/Grace","Open source")</x:f>
        <x:v>HYPERLINK is not implemented. linkLocation=https://en.wikipedia.org/wiki/Grace,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20</x:v>
      </x:c>
      <x:c r="BP719" s="14" t="str">
        <x:v>Maximum eligible IMDb cast-credit total (20), shared by 4 performer(s); not independently verified as a 2021-only episode total.</x:v>
      </x:c>
      <x:c r="BQ719" s="14" t="str">
        <x:v>Medium</x:v>
      </x:c>
      <x:c r="BR719" s="15" t="n">
        <x:v>1</x:v>
      </x:c>
      <x:c r="BS719" s="16" t="n">
        <x:v>0.05</x:v>
      </x:c>
      <x:c r="BT719" s="14" t="str">
        <x:v>One episode</x:v>
      </x:c>
      <x:c r="BU719" s="14" t="str">
        <x:v>Medium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4" t="str">
        <x:v>HYPERLINK is not implemented. linkLocation=https://www.imdb.com/title/tt11639300/fullcredits/,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tt11639300|nm9186401|forensic scientist</x:v>
      </x:c>
      <x:c r="B720" s="14" t="str">
        <x:v>02</x:v>
      </x:c>
      <x:c r="C720" s="14" t="str">
        <x:v>2021_IMDb_Cast_Lists_Batch_02(1).xlsx</x:v>
      </x:c>
      <x:c r="D720" s="14" t="str">
        <x:v>Grace</x:v>
      </x:c>
      <x:c r="E720" s="14" t="n">
        <x:v>330</x:v>
      </x:c>
      <x:c r="F720" s="14" t="str">
        <x:v>Grace</x:v>
      </x:c>
      <x:c r="G720" s="14" t="str">
        <x:v>tt11639300</x:v>
      </x:c>
      <x:c r="H720" s="14" t="n">
        <x:v>2021</x:v>
      </x:c>
      <x:c r="I720" s="14" t="n">
        <x:v>2025</x:v>
      </x:c>
      <x:c r="J720" s="14" t="str">
        <x:v>Earlier-Production Carry-In Cohort</x:v>
      </x:c>
      <x:c r="K720" s="14" t="n">
        <x:v>2021</x:v>
      </x:c>
      <x:c r="L720" s="14" t="str">
        <x:v>Used in 2025 annual analysis</x:v>
      </x:c>
      <x:c r="M720" s="15" t="n">
        <x:v>323</x:v>
      </x:c>
      <x:c r="N720" s="14" t="str">
        <x:v>Cavan Clarke</x:v>
      </x:c>
      <x:c r="O720" s="14" t="str">
        <x:v>nm9186401</x:v>
      </x:c>
      <x:c r="P720" s="14" t="str">
        <x:v>Forensic Scientist</x:v>
      </x:c>
      <x:c r="Q720" s="15" t="n">
        <x:v>1</x:v>
      </x:c>
      <x:c r="R720" s="14" t="str">
        <x:v>2025</x:v>
      </x:c>
      <x:c r="S720" s="14" t="n">
        <x:v>2025</x:v>
      </x:c>
      <x:c r="T720" s="14" t="n">
        <x:v>2025</x:v>
      </x:c>
      <x:c r="U720" s="14" t="str">
        <x:v>Post-2021 casting excluded</x:v>
      </x:c>
      <x:c r="V720" s="14" t="str">
        <x:v>Earliest supplied year is 2025, later than the 2021 study year.</x:v>
      </x:c>
      <x:c r="W720" s="14"/>
      <x:c r="X720" s="14" t="str">
        <x:v>Included</x:v>
      </x:c>
      <x:c r="Y720" s="14"/>
      <x:c r="Z720" s="14" t="str">
        <x:v>Grace.docx</x:v>
      </x:c>
      <x:c r="AA720" s="14" t="str">
        <x:v>HYPERLINK is not implemented. linkLocation=https://www.imdb.com/title/tt11639300/fullcredits/,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ITV / ITVX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HYPERLINK("https://en.wikipedia.org/wiki/Grace","Open source")</x:f>
        <x:v>HYPERLINK is not implemented. linkLocation=https://en.wikipedia.org/wiki/Grace,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20</x:v>
      </x:c>
      <x:c r="BP720" s="14" t="str">
        <x:v>Maximum eligible IMDb cast-credit total (20), shared by 4 performer(s); not independently verified as a 2021-only episode total.</x:v>
      </x:c>
      <x:c r="BQ720" s="14" t="str">
        <x:v>Medium</x:v>
      </x:c>
      <x:c r="BR720" s="15" t="n">
        <x:v>1</x:v>
      </x:c>
      <x:c r="BS720" s="16" t="n">
        <x:v>0.05</x:v>
      </x:c>
      <x:c r="BT720" s="14" t="str">
        <x:v>One episode</x:v>
      </x:c>
      <x:c r="BU720" s="14" t="str">
        <x:v>Medium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4" t="str">
        <x:v>HYPERLINK is not implemented. linkLocation=https://www.imdb.com/title/tt11639300/fullcredits/,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tt11639300|nm1056798|brendan drewett</x:v>
      </x:c>
      <x:c r="B721" s="14" t="str">
        <x:v>02</x:v>
      </x:c>
      <x:c r="C721" s="14" t="str">
        <x:v>2021_IMDb_Cast_Lists_Batch_02(1).xlsx</x:v>
      </x:c>
      <x:c r="D721" s="14" t="str">
        <x:v>Grace</x:v>
      </x:c>
      <x:c r="E721" s="14" t="n">
        <x:v>331</x:v>
      </x:c>
      <x:c r="F721" s="14" t="str">
        <x:v>Grace</x:v>
      </x:c>
      <x:c r="G721" s="14" t="str">
        <x:v>tt11639300</x:v>
      </x:c>
      <x:c r="H721" s="14" t="n">
        <x:v>2021</x:v>
      </x:c>
      <x:c r="I721" s="14" t="n">
        <x:v>2025</x:v>
      </x:c>
      <x:c r="J721" s="14" t="str">
        <x:v>Earlier-Production Carry-In Cohort</x:v>
      </x:c>
      <x:c r="K721" s="14" t="n">
        <x:v>2021</x:v>
      </x:c>
      <x:c r="L721" s="14" t="str">
        <x:v>Used in 2025 annual analysis</x:v>
      </x:c>
      <x:c r="M721" s="15" t="n">
        <x:v>324</x:v>
      </x:c>
      <x:c r="N721" s="14" t="str">
        <x:v>Andonis Anthony</x:v>
      </x:c>
      <x:c r="O721" s="14" t="str">
        <x:v>nm1056798</x:v>
      </x:c>
      <x:c r="P721" s="14" t="str">
        <x:v>Brendan Drewett</x:v>
      </x:c>
      <x:c r="Q721" s="15" t="n">
        <x:v>1</x:v>
      </x:c>
      <x:c r="R721" s="14" t="str">
        <x:v>2025</x:v>
      </x:c>
      <x:c r="S721" s="14" t="n">
        <x:v>2025</x:v>
      </x:c>
      <x:c r="T721" s="14" t="n">
        <x:v>2025</x:v>
      </x:c>
      <x:c r="U721" s="14" t="str">
        <x:v>Post-2021 casting excluded</x:v>
      </x:c>
      <x:c r="V721" s="14" t="str">
        <x:v>Earliest supplied year is 2025, later than the 2021 study year.</x:v>
      </x:c>
      <x:c r="W721" s="14"/>
      <x:c r="X721" s="14" t="str">
        <x:v>Included</x:v>
      </x:c>
      <x:c r="Y721" s="14" t="str">
        <x:v>(as Adonis James Anthony)</x:v>
      </x:c>
      <x:c r="Z721" s="14" t="str">
        <x:v>Grace.docx</x:v>
      </x:c>
      <x:c r="AA721" s="14" t="str">
        <x:v>HYPERLINK is not implemented. linkLocation=https://www.imdb.com/title/tt11639300/fullcredits/, friendlyName=Open source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ITV / ITVX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7" t="e">
        <x:f>HYPERLINK("https://en.wikipedia.org/wiki/Grace","Open source")</x:f>
        <x:v>HYPERLINK is not implemented. linkLocation=https://en.wikipedia.org/wiki/Grace, friendlyName=Open source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 t="str">
        <x:v>No established-register match</x:v>
      </x:c>
      <x:c r="AT721" s="14"/>
      <x:c r="AU721" s="14"/>
      <x:c r="AV721" s="14" t="str">
        <x:v>No established apparent-disability match</x:v>
      </x:c>
      <x:c r="AW721" s="14"/>
      <x:c r="AX721" s="14" t="str">
        <x:v>No</x:v>
      </x:c>
      <x:c r="AY721" s="14" t="str">
        <x:v>Unmatched</x:v>
      </x:c>
      <x:c r="AZ721" s="14" t="str">
        <x:v>Final supplied register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20</x:v>
      </x:c>
      <x:c r="BP721" s="14" t="str">
        <x:v>Maximum eligible IMDb cast-credit total (20), shared by 4 performer(s); not independently verified as a 2021-only episode total.</x:v>
      </x:c>
      <x:c r="BQ721" s="14" t="str">
        <x:v>Medium</x:v>
      </x:c>
      <x:c r="BR721" s="15" t="n">
        <x:v>1</x:v>
      </x:c>
      <x:c r="BS721" s="16" t="n">
        <x:v>0.05</x:v>
      </x:c>
      <x:c r="BT721" s="14" t="str">
        <x:v>One episode</x:v>
      </x:c>
      <x:c r="BU721" s="14" t="str">
        <x:v>Medium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4" t="str">
        <x:v>HYPERLINK is not implemented. linkLocation=https://www.imdb.com/title/tt11639300/fullcredits/, friendlyName=Open source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tt11639300|nm6359524|dan</x:v>
      </x:c>
      <x:c r="B722" s="14" t="str">
        <x:v>02</x:v>
      </x:c>
      <x:c r="C722" s="14" t="str">
        <x:v>2021_IMDb_Cast_Lists_Batch_02(1).xlsx</x:v>
      </x:c>
      <x:c r="D722" s="14" t="str">
        <x:v>Grace</x:v>
      </x:c>
      <x:c r="E722" s="14" t="n">
        <x:v>332</x:v>
      </x:c>
      <x:c r="F722" s="14" t="str">
        <x:v>Grace</x:v>
      </x:c>
      <x:c r="G722" s="14" t="str">
        <x:v>tt11639300</x:v>
      </x:c>
      <x:c r="H722" s="14" t="n">
        <x:v>2021</x:v>
      </x:c>
      <x:c r="I722" s="14" t="n">
        <x:v>2025</x:v>
      </x:c>
      <x:c r="J722" s="14" t="str">
        <x:v>Earlier-Production Carry-In Cohort</x:v>
      </x:c>
      <x:c r="K722" s="14" t="n">
        <x:v>2021</x:v>
      </x:c>
      <x:c r="L722" s="14" t="str">
        <x:v>Used in 2025 annual analysis</x:v>
      </x:c>
      <x:c r="M722" s="15" t="n">
        <x:v>325</x:v>
      </x:c>
      <x:c r="N722" s="14" t="str">
        <x:v>Rob Compton</x:v>
      </x:c>
      <x:c r="O722" s="14" t="str">
        <x:v>nm6359524</x:v>
      </x:c>
      <x:c r="P722" s="14" t="str">
        <x:v>Dan</x:v>
      </x:c>
      <x:c r="Q722" s="15" t="n">
        <x:v>1</x:v>
      </x:c>
      <x:c r="R722" s="14" t="str">
        <x:v>2025</x:v>
      </x:c>
      <x:c r="S722" s="14" t="n">
        <x:v>2025</x:v>
      </x:c>
      <x:c r="T722" s="14" t="n">
        <x:v>2025</x:v>
      </x:c>
      <x:c r="U722" s="14" t="str">
        <x:v>Post-2021 casting excluded</x:v>
      </x:c>
      <x:c r="V722" s="14" t="str">
        <x:v>Earliest supplied year is 2025, later than the 2021 study year.</x:v>
      </x:c>
      <x:c r="W722" s="14"/>
      <x:c r="X722" s="14" t="str">
        <x:v>Included</x:v>
      </x:c>
      <x:c r="Y722" s="14"/>
      <x:c r="Z722" s="14" t="str">
        <x:v>Grace.docx</x:v>
      </x:c>
      <x:c r="AA722" s="14" t="str">
        <x:v>HYPERLINK is not implemented. linkLocation=https://www.imdb.com/title/tt11639300/fullcredits/, friendlyName=Open source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ITV / ITVX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7" t="e">
        <x:f>HYPERLINK("https://en.wikipedia.org/wiki/Grace","Open source")</x:f>
        <x:v>HYPERLINK is not implemented. linkLocation=https://en.wikipedia.org/wiki/Grace, friendlyName=Open source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 t="str">
        <x:v>No established-register match</x:v>
      </x:c>
      <x:c r="AT722" s="14"/>
      <x:c r="AU722" s="14"/>
      <x:c r="AV722" s="14" t="str">
        <x:v>No established apparent-disability match</x:v>
      </x:c>
      <x:c r="AW722" s="14"/>
      <x:c r="AX722" s="14" t="str">
        <x:v>No</x:v>
      </x:c>
      <x:c r="AY722" s="14" t="str">
        <x:v>Unmatched</x:v>
      </x:c>
      <x:c r="AZ722" s="14" t="str">
        <x:v>Final supplied register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20</x:v>
      </x:c>
      <x:c r="BP722" s="14" t="str">
        <x:v>Maximum eligible IMDb cast-credit total (20), shared by 4 performer(s); not independently verified as a 2021-only episode total.</x:v>
      </x:c>
      <x:c r="BQ722" s="14" t="str">
        <x:v>Medium</x:v>
      </x:c>
      <x:c r="BR722" s="15" t="n">
        <x:v>1</x:v>
      </x:c>
      <x:c r="BS722" s="16" t="n">
        <x:v>0.05</x:v>
      </x:c>
      <x:c r="BT722" s="14" t="str">
        <x:v>One episode</x:v>
      </x:c>
      <x:c r="BU722" s="14" t="str">
        <x:v>Medium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4" t="str">
        <x:v>HYPERLINK is not implemented. linkLocation=https://www.imdb.com/title/tt11639300/fullcredits/, friendlyName=Open source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tt11639300|nm6177817|tim weatherley</x:v>
      </x:c>
      <x:c r="B723" s="14" t="str">
        <x:v>02</x:v>
      </x:c>
      <x:c r="C723" s="14" t="str">
        <x:v>2021_IMDb_Cast_Lists_Batch_02(1).xlsx</x:v>
      </x:c>
      <x:c r="D723" s="14" t="str">
        <x:v>Grace</x:v>
      </x:c>
      <x:c r="E723" s="14" t="n">
        <x:v>338</x:v>
      </x:c>
      <x:c r="F723" s="14" t="str">
        <x:v>Grace</x:v>
      </x:c>
      <x:c r="G723" s="14" t="str">
        <x:v>tt11639300</x:v>
      </x:c>
      <x:c r="H723" s="14" t="n">
        <x:v>2021</x:v>
      </x:c>
      <x:c r="I723" s="14" t="n">
        <x:v>2025</x:v>
      </x:c>
      <x:c r="J723" s="14" t="str">
        <x:v>Earlier-Production Carry-In Cohort</x:v>
      </x:c>
      <x:c r="K723" s="14" t="n">
        <x:v>2021</x:v>
      </x:c>
      <x:c r="L723" s="14" t="str">
        <x:v>Used in 2025 annual analysis</x:v>
      </x:c>
      <x:c r="M723" s="15" t="n">
        <x:v>331</x:v>
      </x:c>
      <x:c r="N723" s="14" t="str">
        <x:v>Joseph Potter</x:v>
      </x:c>
      <x:c r="O723" s="14" t="str">
        <x:v>nm6177817</x:v>
      </x:c>
      <x:c r="P723" s="14" t="str">
        <x:v>Tim Weatherley</x:v>
      </x:c>
      <x:c r="Q723" s="15" t="n">
        <x:v>1</x:v>
      </x:c>
      <x:c r="R723" s="14" t="str">
        <x:v>2025</x:v>
      </x:c>
      <x:c r="S723" s="14" t="n">
        <x:v>2025</x:v>
      </x:c>
      <x:c r="T723" s="14" t="n">
        <x:v>2025</x:v>
      </x:c>
      <x:c r="U723" s="14" t="str">
        <x:v>Post-2021 casting excluded</x:v>
      </x:c>
      <x:c r="V723" s="14" t="str">
        <x:v>Earliest supplied year is 2025, later than the 2021 study year.</x:v>
      </x:c>
      <x:c r="W723" s="14"/>
      <x:c r="X723" s="14" t="str">
        <x:v>Included</x:v>
      </x:c>
      <x:c r="Y723" s="14"/>
      <x:c r="Z723" s="14" t="str">
        <x:v>Grace.docx</x:v>
      </x:c>
      <x:c r="AA723" s="14" t="str">
        <x:v>HYPERLINK is not implemented. linkLocation=https://www.imdb.com/title/tt11639300/fullcredits/, friendlyName=Open source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ITV / ITVX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7" t="e">
        <x:f>HYPERLINK("https://en.wikipedia.org/wiki/Grace","Open source")</x:f>
        <x:v>HYPERLINK is not implemented. linkLocation=https://en.wikipedia.org/wiki/Grace, friendlyName=Open source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 t="str">
        <x:v>No established-register match</x:v>
      </x:c>
      <x:c r="AT723" s="14"/>
      <x:c r="AU723" s="14"/>
      <x:c r="AV723" s="14" t="str">
        <x:v>No established apparent-disability match</x:v>
      </x:c>
      <x:c r="AW723" s="14"/>
      <x:c r="AX723" s="14" t="str">
        <x:v>No</x:v>
      </x:c>
      <x:c r="AY723" s="14" t="str">
        <x:v>Unmatched</x:v>
      </x:c>
      <x:c r="AZ723" s="14" t="str">
        <x:v>Final supplied register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20</x:v>
      </x:c>
      <x:c r="BP723" s="14" t="str">
        <x:v>Maximum eligible IMDb cast-credit total (20), shared by 4 performer(s); not independently verified as a 2021-only episode total.</x:v>
      </x:c>
      <x:c r="BQ723" s="14" t="str">
        <x:v>Medium</x:v>
      </x:c>
      <x:c r="BR723" s="15" t="n">
        <x:v>1</x:v>
      </x:c>
      <x:c r="BS723" s="16" t="n">
        <x:v>0.05</x:v>
      </x:c>
      <x:c r="BT723" s="14" t="str">
        <x:v>One episode</x:v>
      </x:c>
      <x:c r="BU723" s="14" t="str">
        <x:v>Medium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4" t="str">
        <x:v>HYPERLINK is not implemented. linkLocation=https://www.imdb.com/title/tt11639300/fullcredits/, friendlyName=Open source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tt11639300|nm1765971|colin</x:v>
      </x:c>
      <x:c r="B724" s="14" t="str">
        <x:v>02</x:v>
      </x:c>
      <x:c r="C724" s="14" t="str">
        <x:v>2021_IMDb_Cast_Lists_Batch_02(1).xlsx</x:v>
      </x:c>
      <x:c r="D724" s="14" t="str">
        <x:v>Grace</x:v>
      </x:c>
      <x:c r="E724" s="14" t="n">
        <x:v>339</x:v>
      </x:c>
      <x:c r="F724" s="14" t="str">
        <x:v>Grace</x:v>
      </x:c>
      <x:c r="G724" s="14" t="str">
        <x:v>tt11639300</x:v>
      </x:c>
      <x:c r="H724" s="14" t="n">
        <x:v>2021</x:v>
      </x:c>
      <x:c r="I724" s="14" t="n">
        <x:v>2025</x:v>
      </x:c>
      <x:c r="J724" s="14" t="str">
        <x:v>Earlier-Production Carry-In Cohort</x:v>
      </x:c>
      <x:c r="K724" s="14" t="n">
        <x:v>2021</x:v>
      </x:c>
      <x:c r="L724" s="14" t="str">
        <x:v>Used in 2025 annual analysis</x:v>
      </x:c>
      <x:c r="M724" s="15" t="n">
        <x:v>332</x:v>
      </x:c>
      <x:c r="N724" s="14" t="str">
        <x:v>Russell Barnett</x:v>
      </x:c>
      <x:c r="O724" s="14" t="str">
        <x:v>nm1765971</x:v>
      </x:c>
      <x:c r="P724" s="14" t="str">
        <x:v>Colin</x:v>
      </x:c>
      <x:c r="Q724" s="15" t="n">
        <x:v>1</x:v>
      </x:c>
      <x:c r="R724" s="14" t="str">
        <x:v>2025</x:v>
      </x:c>
      <x:c r="S724" s="14" t="n">
        <x:v>2025</x:v>
      </x:c>
      <x:c r="T724" s="14" t="n">
        <x:v>2025</x:v>
      </x:c>
      <x:c r="U724" s="14" t="str">
        <x:v>Post-2021 casting excluded</x:v>
      </x:c>
      <x:c r="V724" s="14" t="str">
        <x:v>Earliest supplied year is 2025, later than the 2021 study year.</x:v>
      </x:c>
      <x:c r="W724" s="14"/>
      <x:c r="X724" s="14" t="str">
        <x:v>Included</x:v>
      </x:c>
      <x:c r="Y724" s="14"/>
      <x:c r="Z724" s="14" t="str">
        <x:v>Grace.docx</x:v>
      </x:c>
      <x:c r="AA724" s="14" t="str">
        <x:v>HYPERLINK is not implemented. linkLocation=https://www.imdb.com/title/tt11639300/fullcredits/, friendlyName=Open source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ITV / ITVX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7" t="e">
        <x:f>HYPERLINK("https://en.wikipedia.org/wiki/Grace","Open source")</x:f>
        <x:v>HYPERLINK is not implemented. linkLocation=https://en.wikipedia.org/wiki/Grace, friendlyName=Open source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 t="str">
        <x:v>No established-register match</x:v>
      </x:c>
      <x:c r="AT724" s="14"/>
      <x:c r="AU724" s="14"/>
      <x:c r="AV724" s="14" t="str">
        <x:v>No established apparent-disability match</x:v>
      </x:c>
      <x:c r="AW724" s="14"/>
      <x:c r="AX724" s="14" t="str">
        <x:v>No</x:v>
      </x:c>
      <x:c r="AY724" s="14" t="str">
        <x:v>Unmatched</x:v>
      </x:c>
      <x:c r="AZ724" s="14" t="str">
        <x:v>Final supplied register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20</x:v>
      </x:c>
      <x:c r="BP724" s="14" t="str">
        <x:v>Maximum eligible IMDb cast-credit total (20), shared by 4 performer(s); not independently verified as a 2021-only episode total.</x:v>
      </x:c>
      <x:c r="BQ724" s="14" t="str">
        <x:v>Medium</x:v>
      </x:c>
      <x:c r="BR724" s="15" t="n">
        <x:v>1</x:v>
      </x:c>
      <x:c r="BS724" s="16" t="n">
        <x:v>0.05</x:v>
      </x:c>
      <x:c r="BT724" s="14" t="str">
        <x:v>One episode</x:v>
      </x:c>
      <x:c r="BU724" s="14" t="str">
        <x:v>Medium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4" t="str">
        <x:v>HYPERLINK is not implemented. linkLocation=https://www.imdb.com/title/tt11639300/fullcredits/, friendlyName=Open source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tt11639300|nm0086324|colin mackaye</x:v>
      </x:c>
      <x:c r="B725" s="14" t="str">
        <x:v>02</x:v>
      </x:c>
      <x:c r="C725" s="14" t="str">
        <x:v>2021_IMDb_Cast_Lists_Batch_02(1).xlsx</x:v>
      </x:c>
      <x:c r="D725" s="14" t="str">
        <x:v>Grace</x:v>
      </x:c>
      <x:c r="E725" s="14" t="n">
        <x:v>345</x:v>
      </x:c>
      <x:c r="F725" s="14" t="str">
        <x:v>Grace</x:v>
      </x:c>
      <x:c r="G725" s="14" t="str">
        <x:v>tt11639300</x:v>
      </x:c>
      <x:c r="H725" s="14" t="n">
        <x:v>2021</x:v>
      </x:c>
      <x:c r="I725" s="14" t="n">
        <x:v>2025</x:v>
      </x:c>
      <x:c r="J725" s="14" t="str">
        <x:v>Earlier-Production Carry-In Cohort</x:v>
      </x:c>
      <x:c r="K725" s="14" t="n">
        <x:v>2021</x:v>
      </x:c>
      <x:c r="L725" s="14" t="str">
        <x:v>Used in 2025 annual analysis</x:v>
      </x:c>
      <x:c r="M725" s="15" t="n">
        <x:v>338</x:v>
      </x:c>
      <x:c r="N725" s="14" t="str">
        <x:v>Paul Blair</x:v>
      </x:c>
      <x:c r="O725" s="14" t="str">
        <x:v>nm0086324</x:v>
      </x:c>
      <x:c r="P725" s="14" t="str">
        <x:v>Colin MacKaye</x:v>
      </x:c>
      <x:c r="Q725" s="15" t="n">
        <x:v>1</x:v>
      </x:c>
      <x:c r="R725" s="14" t="str">
        <x:v>2025</x:v>
      </x:c>
      <x:c r="S725" s="14" t="n">
        <x:v>2025</x:v>
      </x:c>
      <x:c r="T725" s="14" t="n">
        <x:v>2025</x:v>
      </x:c>
      <x:c r="U725" s="14" t="str">
        <x:v>Post-2021 casting excluded</x:v>
      </x:c>
      <x:c r="V725" s="14" t="str">
        <x:v>Earliest supplied year is 2025, later than the 2021 study year.</x:v>
      </x:c>
      <x:c r="W725" s="14"/>
      <x:c r="X725" s="14" t="str">
        <x:v>Included</x:v>
      </x:c>
      <x:c r="Y725" s="14"/>
      <x:c r="Z725" s="14" t="str">
        <x:v>Grace.docx</x:v>
      </x:c>
      <x:c r="AA725" s="14" t="str">
        <x:v>HYPERLINK is not implemented. linkLocation=https://www.imdb.com/title/tt11639300/fullcredits/, friendlyName=Open source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ITV / ITVX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7" t="e">
        <x:f>HYPERLINK("https://en.wikipedia.org/wiki/Grace","Open source")</x:f>
        <x:v>HYPERLINK is not implemented. linkLocation=https://en.wikipedia.org/wiki/Grace, friendlyName=Open source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 t="str">
        <x:v>No established-register match</x:v>
      </x:c>
      <x:c r="AT725" s="14"/>
      <x:c r="AU725" s="14"/>
      <x:c r="AV725" s="14" t="str">
        <x:v>No established apparent-disability match</x:v>
      </x:c>
      <x:c r="AW725" s="14"/>
      <x:c r="AX725" s="14" t="str">
        <x:v>No</x:v>
      </x:c>
      <x:c r="AY725" s="14" t="str">
        <x:v>Unmatched</x:v>
      </x:c>
      <x:c r="AZ725" s="14" t="str">
        <x:v>Final supplied register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20</x:v>
      </x:c>
      <x:c r="BP725" s="14" t="str">
        <x:v>Maximum eligible IMDb cast-credit total (20), shared by 4 performer(s); not independently verified as a 2021-only episode total.</x:v>
      </x:c>
      <x:c r="BQ725" s="14" t="str">
        <x:v>Medium</x:v>
      </x:c>
      <x:c r="BR725" s="15" t="n">
        <x:v>1</x:v>
      </x:c>
      <x:c r="BS725" s="16" t="n">
        <x:v>0.05</x:v>
      </x:c>
      <x:c r="BT725" s="14" t="str">
        <x:v>One episode</x:v>
      </x:c>
      <x:c r="BU725" s="14" t="str">
        <x:v>Medium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4" t="str">
        <x:v>HYPERLINK is not implemented. linkLocation=https://www.imdb.com/title/tt11639300/fullcredits/, friendlyName=Open source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tt11639300|nm0382657|chaplain</x:v>
      </x:c>
      <x:c r="B726" s="14" t="str">
        <x:v>02</x:v>
      </x:c>
      <x:c r="C726" s="14" t="str">
        <x:v>2021_IMDb_Cast_Lists_Batch_02(1).xlsx</x:v>
      </x:c>
      <x:c r="D726" s="14" t="str">
        <x:v>Grace</x:v>
      </x:c>
      <x:c r="E726" s="14" t="n">
        <x:v>351</x:v>
      </x:c>
      <x:c r="F726" s="14" t="str">
        <x:v>Grace</x:v>
      </x:c>
      <x:c r="G726" s="14" t="str">
        <x:v>tt11639300</x:v>
      </x:c>
      <x:c r="H726" s="14" t="n">
        <x:v>2021</x:v>
      </x:c>
      <x:c r="I726" s="14" t="n">
        <x:v>2025</x:v>
      </x:c>
      <x:c r="J726" s="14" t="str">
        <x:v>Earlier-Production Carry-In Cohort</x:v>
      </x:c>
      <x:c r="K726" s="14" t="n">
        <x:v>2021</x:v>
      </x:c>
      <x:c r="L726" s="14" t="str">
        <x:v>Used in 2025 annual analysis</x:v>
      </x:c>
      <x:c r="M726" s="15" t="n">
        <x:v>344</x:v>
      </x:c>
      <x:c r="N726" s="14" t="str">
        <x:v>Paul Hickey</x:v>
      </x:c>
      <x:c r="O726" s="14" t="str">
        <x:v>nm0382657</x:v>
      </x:c>
      <x:c r="P726" s="14" t="str">
        <x:v>Chaplain</x:v>
      </x:c>
      <x:c r="Q726" s="15" t="n">
        <x:v>1</x:v>
      </x:c>
      <x:c r="R726" s="14" t="str">
        <x:v>2025</x:v>
      </x:c>
      <x:c r="S726" s="14" t="n">
        <x:v>2025</x:v>
      </x:c>
      <x:c r="T726" s="14" t="n">
        <x:v>2025</x:v>
      </x:c>
      <x:c r="U726" s="14" t="str">
        <x:v>Post-2021 casting excluded</x:v>
      </x:c>
      <x:c r="V726" s="14" t="str">
        <x:v>Earliest supplied year is 2025, later than the 2021 study year.</x:v>
      </x:c>
      <x:c r="W726" s="14"/>
      <x:c r="X726" s="14" t="str">
        <x:v>Included</x:v>
      </x:c>
      <x:c r="Y726" s="14"/>
      <x:c r="Z726" s="14" t="str">
        <x:v>Grace.docx</x:v>
      </x:c>
      <x:c r="AA726" s="14" t="str">
        <x:v>HYPERLINK is not implemented. linkLocation=https://www.imdb.com/title/tt11639300/fullcredits/, friendlyName=Open source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ITV / ITVX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7" t="e">
        <x:f>HYPERLINK("https://en.wikipedia.org/wiki/Grace","Open source")</x:f>
        <x:v>HYPERLINK is not implemented. linkLocation=https://en.wikipedia.org/wiki/Grace, friendlyName=Open source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 t="str">
        <x:v>No established-register match</x:v>
      </x:c>
      <x:c r="AT726" s="14"/>
      <x:c r="AU726" s="14"/>
      <x:c r="AV726" s="14" t="str">
        <x:v>No established apparent-disability match</x:v>
      </x:c>
      <x:c r="AW726" s="14"/>
      <x:c r="AX726" s="14" t="str">
        <x:v>No</x:v>
      </x:c>
      <x:c r="AY726" s="14" t="str">
        <x:v>Unmatched</x:v>
      </x:c>
      <x:c r="AZ726" s="14" t="str">
        <x:v>Final supplied register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20</x:v>
      </x:c>
      <x:c r="BP726" s="14" t="str">
        <x:v>Maximum eligible IMDb cast-credit total (20), shared by 4 performer(s); not independently verified as a 2021-only episode total.</x:v>
      </x:c>
      <x:c r="BQ726" s="14" t="str">
        <x:v>Medium</x:v>
      </x:c>
      <x:c r="BR726" s="15" t="n">
        <x:v>1</x:v>
      </x:c>
      <x:c r="BS726" s="16" t="n">
        <x:v>0.05</x:v>
      </x:c>
      <x:c r="BT726" s="14" t="str">
        <x:v>One episode</x:v>
      </x:c>
      <x:c r="BU726" s="14" t="str">
        <x:v>Medium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4" t="str">
        <x:v>HYPERLINK is not implemented. linkLocation=https://www.imdb.com/title/tt11639300/fullcredits/, friendlyName=Open source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tt11639300|nm1986581|ronnie close</x:v>
      </x:c>
      <x:c r="B727" s="14" t="str">
        <x:v>02</x:v>
      </x:c>
      <x:c r="C727" s="14" t="str">
        <x:v>2021_IMDb_Cast_Lists_Batch_02(1).xlsx</x:v>
      </x:c>
      <x:c r="D727" s="14" t="str">
        <x:v>Grace</x:v>
      </x:c>
      <x:c r="E727" s="14" t="n">
        <x:v>356</x:v>
      </x:c>
      <x:c r="F727" s="14" t="str">
        <x:v>Grace</x:v>
      </x:c>
      <x:c r="G727" s="14" t="str">
        <x:v>tt11639300</x:v>
      </x:c>
      <x:c r="H727" s="14" t="n">
        <x:v>2021</x:v>
      </x:c>
      <x:c r="I727" s="14" t="n">
        <x:v>2025</x:v>
      </x:c>
      <x:c r="J727" s="14" t="str">
        <x:v>Earlier-Production Carry-In Cohort</x:v>
      </x:c>
      <x:c r="K727" s="14" t="n">
        <x:v>2021</x:v>
      </x:c>
      <x:c r="L727" s="14" t="str">
        <x:v>Used in 2025 annual analysis</x:v>
      </x:c>
      <x:c r="M727" s="15" t="n">
        <x:v>349</x:v>
      </x:c>
      <x:c r="N727" s="14" t="str">
        <x:v>Liam Smith</x:v>
      </x:c>
      <x:c r="O727" s="14" t="str">
        <x:v>nm1986581</x:v>
      </x:c>
      <x:c r="P727" s="14" t="str">
        <x:v>Ronnie Close</x:v>
      </x:c>
      <x:c r="Q727" s="15" t="n">
        <x:v>1</x:v>
      </x:c>
      <x:c r="R727" s="14" t="str">
        <x:v>2025</x:v>
      </x:c>
      <x:c r="S727" s="14" t="n">
        <x:v>2025</x:v>
      </x:c>
      <x:c r="T727" s="14" t="n">
        <x:v>2025</x:v>
      </x:c>
      <x:c r="U727" s="14" t="str">
        <x:v>Post-2021 casting excluded</x:v>
      </x:c>
      <x:c r="V727" s="14" t="str">
        <x:v>Earliest supplied year is 2025, later than the 2021 study year.</x:v>
      </x:c>
      <x:c r="W727" s="14"/>
      <x:c r="X727" s="14" t="str">
        <x:v>Included</x:v>
      </x:c>
      <x:c r="Y727" s="14"/>
      <x:c r="Z727" s="14" t="str">
        <x:v>Grace.docx</x:v>
      </x:c>
      <x:c r="AA727" s="14" t="str">
        <x:v>HYPERLINK is not implemented. linkLocation=https://www.imdb.com/title/tt11639300/fullcredits/, friendlyName=Open source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ITV / ITVX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7" t="e">
        <x:f>HYPERLINK("https://en.wikipedia.org/wiki/Grace","Open source")</x:f>
        <x:v>HYPERLINK is not implemented. linkLocation=https://en.wikipedia.org/wiki/Grace, friendlyName=Open source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 t="str">
        <x:v>No established-register match</x:v>
      </x:c>
      <x:c r="AT727" s="14"/>
      <x:c r="AU727" s="14"/>
      <x:c r="AV727" s="14" t="str">
        <x:v>No established apparent-disability match</x:v>
      </x:c>
      <x:c r="AW727" s="14"/>
      <x:c r="AX727" s="14" t="str">
        <x:v>No</x:v>
      </x:c>
      <x:c r="AY727" s="14" t="str">
        <x:v>Unmatched</x:v>
      </x:c>
      <x:c r="AZ727" s="14" t="str">
        <x:v>Final supplied register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20</x:v>
      </x:c>
      <x:c r="BP727" s="14" t="str">
        <x:v>Maximum eligible IMDb cast-credit total (20), shared by 4 performer(s); not independently verified as a 2021-only episode total.</x:v>
      </x:c>
      <x:c r="BQ727" s="14" t="str">
        <x:v>Medium</x:v>
      </x:c>
      <x:c r="BR727" s="15" t="n">
        <x:v>1</x:v>
      </x:c>
      <x:c r="BS727" s="16" t="n">
        <x:v>0.05</x:v>
      </x:c>
      <x:c r="BT727" s="14" t="str">
        <x:v>One episode</x:v>
      </x:c>
      <x:c r="BU727" s="14" t="str">
        <x:v>Medium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4" t="str">
        <x:v>HYPERLINK is not implemented. linkLocation=https://www.imdb.com/title/tt11639300/fullcredits/, friendlyName=Open source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tt11639300|nm7551452|nurse</x:v>
      </x:c>
      <x:c r="B728" s="14" t="str">
        <x:v>02</x:v>
      </x:c>
      <x:c r="C728" s="14" t="str">
        <x:v>2021_IMDb_Cast_Lists_Batch_02(1).xlsx</x:v>
      </x:c>
      <x:c r="D728" s="14" t="str">
        <x:v>Grace</x:v>
      </x:c>
      <x:c r="E728" s="14" t="n">
        <x:v>360</x:v>
      </x:c>
      <x:c r="F728" s="14" t="str">
        <x:v>Grace</x:v>
      </x:c>
      <x:c r="G728" s="14" t="str">
        <x:v>tt11639300</x:v>
      </x:c>
      <x:c r="H728" s="14" t="n">
        <x:v>2021</x:v>
      </x:c>
      <x:c r="I728" s="14" t="n">
        <x:v>2025</x:v>
      </x:c>
      <x:c r="J728" s="14" t="str">
        <x:v>Earlier-Production Carry-In Cohort</x:v>
      </x:c>
      <x:c r="K728" s="14" t="n">
        <x:v>2021</x:v>
      </x:c>
      <x:c r="L728" s="14" t="str">
        <x:v>Used in 2025 annual analysis</x:v>
      </x:c>
      <x:c r="M728" s="15" t="n">
        <x:v>353</x:v>
      </x:c>
      <x:c r="N728" s="14" t="str">
        <x:v>Kate Kelly Flood</x:v>
      </x:c>
      <x:c r="O728" s="14" t="str">
        <x:v>nm7551452</x:v>
      </x:c>
      <x:c r="P728" s="14" t="str">
        <x:v>Nurse</x:v>
      </x:c>
      <x:c r="Q728" s="15" t="n">
        <x:v>1</x:v>
      </x:c>
      <x:c r="R728" s="14" t="str">
        <x:v>2025</x:v>
      </x:c>
      <x:c r="S728" s="14" t="n">
        <x:v>2025</x:v>
      </x:c>
      <x:c r="T728" s="14" t="n">
        <x:v>2025</x:v>
      </x:c>
      <x:c r="U728" s="14" t="str">
        <x:v>Post-2021 casting excluded</x:v>
      </x:c>
      <x:c r="V728" s="14" t="str">
        <x:v>Earliest supplied year is 2025, later than the 2021 study year.</x:v>
      </x:c>
      <x:c r="W728" s="14"/>
      <x:c r="X728" s="14" t="str">
        <x:v>Included</x:v>
      </x:c>
      <x:c r="Y728" s="14"/>
      <x:c r="Z728" s="14" t="str">
        <x:v>Grace.docx</x:v>
      </x:c>
      <x:c r="AA728" s="14" t="str">
        <x:v>HYPERLINK is not implemented. linkLocation=https://www.imdb.com/title/tt11639300/fullcredits/, friendlyName=Open source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ITV / ITVX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7" t="e">
        <x:f>HYPERLINK("https://en.wikipedia.org/wiki/Grace","Open source")</x:f>
        <x:v>HYPERLINK is not implemented. linkLocation=https://en.wikipedia.org/wiki/Grace, friendlyName=Open source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 t="str">
        <x:v>No established-register match</x:v>
      </x:c>
      <x:c r="AT728" s="14"/>
      <x:c r="AU728" s="14"/>
      <x:c r="AV728" s="14" t="str">
        <x:v>No established apparent-disability match</x:v>
      </x:c>
      <x:c r="AW728" s="14"/>
      <x:c r="AX728" s="14" t="str">
        <x:v>No</x:v>
      </x:c>
      <x:c r="AY728" s="14" t="str">
        <x:v>Unmatched</x:v>
      </x:c>
      <x:c r="AZ728" s="14" t="str">
        <x:v>Final supplied register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20</x:v>
      </x:c>
      <x:c r="BP728" s="14" t="str">
        <x:v>Maximum eligible IMDb cast-credit total (20), shared by 4 performer(s); not independently verified as a 2021-only episode total.</x:v>
      </x:c>
      <x:c r="BQ728" s="14" t="str">
        <x:v>Medium</x:v>
      </x:c>
      <x:c r="BR728" s="15" t="n">
        <x:v>1</x:v>
      </x:c>
      <x:c r="BS728" s="16" t="n">
        <x:v>0.05</x:v>
      </x:c>
      <x:c r="BT728" s="14" t="str">
        <x:v>One episode</x:v>
      </x:c>
      <x:c r="BU728" s="14" t="str">
        <x:v>Medium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4" t="str">
        <x:v>HYPERLINK is not implemented. linkLocation=https://www.imdb.com/title/tt11639300/fullcredits/, friendlyName=Open source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tt11639300|nm16434628|richard bailey</x:v>
      </x:c>
      <x:c r="B729" s="14" t="str">
        <x:v>02</x:v>
      </x:c>
      <x:c r="C729" s="14" t="str">
        <x:v>2021_IMDb_Cast_Lists_Batch_02(1).xlsx</x:v>
      </x:c>
      <x:c r="D729" s="14" t="str">
        <x:v>Grace</x:v>
      </x:c>
      <x:c r="E729" s="14" t="n">
        <x:v>361</x:v>
      </x:c>
      <x:c r="F729" s="14" t="str">
        <x:v>Grace</x:v>
      </x:c>
      <x:c r="G729" s="14" t="str">
        <x:v>tt11639300</x:v>
      </x:c>
      <x:c r="H729" s="14" t="n">
        <x:v>2021</x:v>
      </x:c>
      <x:c r="I729" s="14" t="n">
        <x:v>2025</x:v>
      </x:c>
      <x:c r="J729" s="14" t="str">
        <x:v>Earlier-Production Carry-In Cohort</x:v>
      </x:c>
      <x:c r="K729" s="14" t="n">
        <x:v>2021</x:v>
      </x:c>
      <x:c r="L729" s="14" t="str">
        <x:v>Used in 2025 annual analysis</x:v>
      </x:c>
      <x:c r="M729" s="15" t="n">
        <x:v>354</x:v>
      </x:c>
      <x:c r="N729" s="14" t="str">
        <x:v>Luke Azille</x:v>
      </x:c>
      <x:c r="O729" s="14" t="str">
        <x:v>nm16434628</x:v>
      </x:c>
      <x:c r="P729" s="14" t="str">
        <x:v>Richard Bailey</x:v>
      </x:c>
      <x:c r="Q729" s="15" t="n">
        <x:v>1</x:v>
      </x:c>
      <x:c r="R729" s="14" t="str">
        <x:v>2025</x:v>
      </x:c>
      <x:c r="S729" s="14" t="n">
        <x:v>2025</x:v>
      </x:c>
      <x:c r="T729" s="14" t="n">
        <x:v>2025</x:v>
      </x:c>
      <x:c r="U729" s="14" t="str">
        <x:v>Post-2021 casting excluded</x:v>
      </x:c>
      <x:c r="V729" s="14" t="str">
        <x:v>Earliest supplied year is 2025, later than the 2021 study year.</x:v>
      </x:c>
      <x:c r="W729" s="14"/>
      <x:c r="X729" s="14" t="str">
        <x:v>Included</x:v>
      </x:c>
      <x:c r="Y729" s="14"/>
      <x:c r="Z729" s="14" t="str">
        <x:v>Grace.docx</x:v>
      </x:c>
      <x:c r="AA729" s="14" t="str">
        <x:v>HYPERLINK is not implemented. linkLocation=https://www.imdb.com/title/tt11639300/fullcredits/, friendlyName=Open source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ITV / ITVX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7" t="e">
        <x:f>HYPERLINK("https://en.wikipedia.org/wiki/Grace","Open source")</x:f>
        <x:v>HYPERLINK is not implemented. linkLocation=https://en.wikipedia.org/wiki/Grace, friendlyName=Open source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 t="str">
        <x:v>No established-register match</x:v>
      </x:c>
      <x:c r="AT729" s="14"/>
      <x:c r="AU729" s="14"/>
      <x:c r="AV729" s="14" t="str">
        <x:v>No established apparent-disability match</x:v>
      </x:c>
      <x:c r="AW729" s="14"/>
      <x:c r="AX729" s="14" t="str">
        <x:v>No</x:v>
      </x:c>
      <x:c r="AY729" s="14" t="str">
        <x:v>Unmatched</x:v>
      </x:c>
      <x:c r="AZ729" s="14" t="str">
        <x:v>Final supplied register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20</x:v>
      </x:c>
      <x:c r="BP729" s="14" t="str">
        <x:v>Maximum eligible IMDb cast-credit total (20), shared by 4 performer(s); not independently verified as a 2021-only episode total.</x:v>
      </x:c>
      <x:c r="BQ729" s="14" t="str">
        <x:v>Medium</x:v>
      </x:c>
      <x:c r="BR729" s="15" t="n">
        <x:v>1</x:v>
      </x:c>
      <x:c r="BS729" s="16" t="n">
        <x:v>0.05</x:v>
      </x:c>
      <x:c r="BT729" s="14" t="str">
        <x:v>One episode</x:v>
      </x:c>
      <x:c r="BU729" s="14" t="str">
        <x:v>Medium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4" t="str">
        <x:v>HYPERLINK is not implemented. linkLocation=https://www.imdb.com/title/tt11639300/fullcredits/, friendlyName=Open source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tt11639300|nm8073026|sally jacobs</x:v>
      </x:c>
      <x:c r="B730" s="14" t="str">
        <x:v>02</x:v>
      </x:c>
      <x:c r="C730" s="14" t="str">
        <x:v>2021_IMDb_Cast_Lists_Batch_02(1).xlsx</x:v>
      </x:c>
      <x:c r="D730" s="14" t="str">
        <x:v>Grace</x:v>
      </x:c>
      <x:c r="E730" s="14" t="n">
        <x:v>364</x:v>
      </x:c>
      <x:c r="F730" s="14" t="str">
        <x:v>Grace</x:v>
      </x:c>
      <x:c r="G730" s="14" t="str">
        <x:v>tt11639300</x:v>
      </x:c>
      <x:c r="H730" s="14" t="n">
        <x:v>2021</x:v>
      </x:c>
      <x:c r="I730" s="14" t="n">
        <x:v>2025</x:v>
      </x:c>
      <x:c r="J730" s="14" t="str">
        <x:v>Earlier-Production Carry-In Cohort</x:v>
      </x:c>
      <x:c r="K730" s="14" t="n">
        <x:v>2021</x:v>
      </x:c>
      <x:c r="L730" s="14" t="str">
        <x:v>Used in 2025 annual analysis</x:v>
      </x:c>
      <x:c r="M730" s="15" t="n">
        <x:v>357</x:v>
      </x:c>
      <x:c r="N730" s="14" t="str">
        <x:v>Connie Jenkins-Greig</x:v>
      </x:c>
      <x:c r="O730" s="14" t="str">
        <x:v>nm8073026</x:v>
      </x:c>
      <x:c r="P730" s="14" t="str">
        <x:v>Sally Jacobs</x:v>
      </x:c>
      <x:c r="Q730" s="15" t="n">
        <x:v>1</x:v>
      </x:c>
      <x:c r="R730" s="14" t="str">
        <x:v>2025</x:v>
      </x:c>
      <x:c r="S730" s="14" t="n">
        <x:v>2025</x:v>
      </x:c>
      <x:c r="T730" s="14" t="n">
        <x:v>2025</x:v>
      </x:c>
      <x:c r="U730" s="14" t="str">
        <x:v>Post-2021 casting excluded</x:v>
      </x:c>
      <x:c r="V730" s="14" t="str">
        <x:v>Earliest supplied year is 2025, later than the 2021 study year.</x:v>
      </x:c>
      <x:c r="W730" s="14"/>
      <x:c r="X730" s="14" t="str">
        <x:v>Included</x:v>
      </x:c>
      <x:c r="Y730" s="14"/>
      <x:c r="Z730" s="14" t="str">
        <x:v>Grace.docx</x:v>
      </x:c>
      <x:c r="AA730" s="14" t="str">
        <x:v>HYPERLINK is not implemented. linkLocation=https://www.imdb.com/title/tt11639300/fullcredits/, friendlyName=Open source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ITV / ITVX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7" t="e">
        <x:f>HYPERLINK("https://en.wikipedia.org/wiki/Grace","Open source")</x:f>
        <x:v>HYPERLINK is not implemented. linkLocation=https://en.wikipedia.org/wiki/Grace, friendlyName=Open source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 t="str">
        <x:v>No established-register match</x:v>
      </x:c>
      <x:c r="AT730" s="14"/>
      <x:c r="AU730" s="14"/>
      <x:c r="AV730" s="14" t="str">
        <x:v>No established apparent-disability match</x:v>
      </x:c>
      <x:c r="AW730" s="14"/>
      <x:c r="AX730" s="14" t="str">
        <x:v>No</x:v>
      </x:c>
      <x:c r="AY730" s="14" t="str">
        <x:v>Unmatched</x:v>
      </x:c>
      <x:c r="AZ730" s="14" t="str">
        <x:v>Final supplied register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20</x:v>
      </x:c>
      <x:c r="BP730" s="14" t="str">
        <x:v>Maximum eligible IMDb cast-credit total (20), shared by 4 performer(s); not independently verified as a 2021-only episode total.</x:v>
      </x:c>
      <x:c r="BQ730" s="14" t="str">
        <x:v>Medium</x:v>
      </x:c>
      <x:c r="BR730" s="15" t="n">
        <x:v>1</x:v>
      </x:c>
      <x:c r="BS730" s="16" t="n">
        <x:v>0.05</x:v>
      </x:c>
      <x:c r="BT730" s="14" t="str">
        <x:v>One episode</x:v>
      </x:c>
      <x:c r="BU730" s="14" t="str">
        <x:v>Medium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4" t="str">
        <x:v>HYPERLINK is not implemented. linkLocation=https://www.imdb.com/title/tt11639300/fullcredits/, friendlyName=Open source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tt11639300|nm4745270|kirsty mackaye</x:v>
      </x:c>
      <x:c r="B731" s="14" t="str">
        <x:v>02</x:v>
      </x:c>
      <x:c r="C731" s="14" t="str">
        <x:v>2021_IMDb_Cast_Lists_Batch_02(1).xlsx</x:v>
      </x:c>
      <x:c r="D731" s="14" t="str">
        <x:v>Grace</x:v>
      </x:c>
      <x:c r="E731" s="14" t="n">
        <x:v>365</x:v>
      </x:c>
      <x:c r="F731" s="14" t="str">
        <x:v>Grace</x:v>
      </x:c>
      <x:c r="G731" s="14" t="str">
        <x:v>tt11639300</x:v>
      </x:c>
      <x:c r="H731" s="14" t="n">
        <x:v>2021</x:v>
      </x:c>
      <x:c r="I731" s="14" t="n">
        <x:v>2025</x:v>
      </x:c>
      <x:c r="J731" s="14" t="str">
        <x:v>Earlier-Production Carry-In Cohort</x:v>
      </x:c>
      <x:c r="K731" s="14" t="n">
        <x:v>2021</x:v>
      </x:c>
      <x:c r="L731" s="14" t="str">
        <x:v>Used in 2025 annual analysis</x:v>
      </x:c>
      <x:c r="M731" s="15" t="n">
        <x:v>358</x:v>
      </x:c>
      <x:c r="N731" s="14" t="str">
        <x:v>Ashley Hope Allan</x:v>
      </x:c>
      <x:c r="O731" s="14" t="str">
        <x:v>nm4745270</x:v>
      </x:c>
      <x:c r="P731" s="14" t="str">
        <x:v>Kirsty MacKaye</x:v>
      </x:c>
      <x:c r="Q731" s="15" t="n">
        <x:v>1</x:v>
      </x:c>
      <x:c r="R731" s="14" t="str">
        <x:v>2025</x:v>
      </x:c>
      <x:c r="S731" s="14" t="n">
        <x:v>2025</x:v>
      </x:c>
      <x:c r="T731" s="14" t="n">
        <x:v>2025</x:v>
      </x:c>
      <x:c r="U731" s="14" t="str">
        <x:v>Post-2021 casting excluded</x:v>
      </x:c>
      <x:c r="V731" s="14" t="str">
        <x:v>Earliest supplied year is 2025, later than the 2021 study year.</x:v>
      </x:c>
      <x:c r="W731" s="14"/>
      <x:c r="X731" s="14" t="str">
        <x:v>Included</x:v>
      </x:c>
      <x:c r="Y731" s="14"/>
      <x:c r="Z731" s="14" t="str">
        <x:v>Grace.docx</x:v>
      </x:c>
      <x:c r="AA731" s="14" t="str">
        <x:v>HYPERLINK is not implemented. linkLocation=https://www.imdb.com/title/tt11639300/fullcredits/, friendlyName=Open source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ITV / ITVX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7" t="e">
        <x:f>HYPERLINK("https://en.wikipedia.org/wiki/Grace","Open source")</x:f>
        <x:v>HYPERLINK is not implemented. linkLocation=https://en.wikipedia.org/wiki/Grace, friendlyName=Open source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 t="str">
        <x:v>No established-register match</x:v>
      </x:c>
      <x:c r="AT731" s="14"/>
      <x:c r="AU731" s="14"/>
      <x:c r="AV731" s="14" t="str">
        <x:v>No established apparent-disability match</x:v>
      </x:c>
      <x:c r="AW731" s="14"/>
      <x:c r="AX731" s="14" t="str">
        <x:v>No</x:v>
      </x:c>
      <x:c r="AY731" s="14" t="str">
        <x:v>Unmatched</x:v>
      </x:c>
      <x:c r="AZ731" s="14" t="str">
        <x:v>Final supplied register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20</x:v>
      </x:c>
      <x:c r="BP731" s="14" t="str">
        <x:v>Maximum eligible IMDb cast-credit total (20), shared by 4 performer(s); not independently verified as a 2021-only episode total.</x:v>
      </x:c>
      <x:c r="BQ731" s="14" t="str">
        <x:v>Medium</x:v>
      </x:c>
      <x:c r="BR731" s="15" t="n">
        <x:v>1</x:v>
      </x:c>
      <x:c r="BS731" s="16" t="n">
        <x:v>0.05</x:v>
      </x:c>
      <x:c r="BT731" s="14" t="str">
        <x:v>One episode</x:v>
      </x:c>
      <x:c r="BU731" s="14" t="str">
        <x:v>Medium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4" t="str">
        <x:v>HYPERLINK is not implemented. linkLocation=https://www.imdb.com/title/tt11639300/fullcredits/, friendlyName=Open source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tt11639300|nm6879878|ali</x:v>
      </x:c>
      <x:c r="B732" s="14" t="str">
        <x:v>02</x:v>
      </x:c>
      <x:c r="C732" s="14" t="str">
        <x:v>2021_IMDb_Cast_Lists_Batch_02(1).xlsx</x:v>
      </x:c>
      <x:c r="D732" s="14" t="str">
        <x:v>Grace</x:v>
      </x:c>
      <x:c r="E732" s="14" t="n">
        <x:v>367</x:v>
      </x:c>
      <x:c r="F732" s="14" t="str">
        <x:v>Grace</x:v>
      </x:c>
      <x:c r="G732" s="14" t="str">
        <x:v>tt11639300</x:v>
      </x:c>
      <x:c r="H732" s="14" t="n">
        <x:v>2021</x:v>
      </x:c>
      <x:c r="I732" s="14" t="n">
        <x:v>2025</x:v>
      </x:c>
      <x:c r="J732" s="14" t="str">
        <x:v>Earlier-Production Carry-In Cohort</x:v>
      </x:c>
      <x:c r="K732" s="14" t="n">
        <x:v>2021</x:v>
      </x:c>
      <x:c r="L732" s="14" t="str">
        <x:v>Used in 2025 annual analysis</x:v>
      </x:c>
      <x:c r="M732" s="15" t="n">
        <x:v>360</x:v>
      </x:c>
      <x:c r="N732" s="14" t="str">
        <x:v>Laura Hanna</x:v>
      </x:c>
      <x:c r="O732" s="14" t="str">
        <x:v>nm6879878</x:v>
      </x:c>
      <x:c r="P732" s="14" t="str">
        <x:v>Ali</x:v>
      </x:c>
      <x:c r="Q732" s="15" t="n">
        <x:v>1</x:v>
      </x:c>
      <x:c r="R732" s="14" t="str">
        <x:v>2025</x:v>
      </x:c>
      <x:c r="S732" s="14" t="n">
        <x:v>2025</x:v>
      </x:c>
      <x:c r="T732" s="14" t="n">
        <x:v>2025</x:v>
      </x:c>
      <x:c r="U732" s="14" t="str">
        <x:v>Post-2021 casting excluded</x:v>
      </x:c>
      <x:c r="V732" s="14" t="str">
        <x:v>Earliest supplied year is 2025, later than the 2021 study year.</x:v>
      </x:c>
      <x:c r="W732" s="14"/>
      <x:c r="X732" s="14" t="str">
        <x:v>Included</x:v>
      </x:c>
      <x:c r="Y732" s="14"/>
      <x:c r="Z732" s="14" t="str">
        <x:v>Grace.docx</x:v>
      </x:c>
      <x:c r="AA732" s="14" t="str">
        <x:v>HYPERLINK is not implemented. linkLocation=https://www.imdb.com/title/tt11639300/fullcredits/, friendlyName=Open source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ITV / ITVX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7" t="e">
        <x:f>HYPERLINK("https://en.wikipedia.org/wiki/Grace","Open source")</x:f>
        <x:v>HYPERLINK is not implemented. linkLocation=https://en.wikipedia.org/wiki/Grace, friendlyName=Open source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 t="str">
        <x:v>No established-register match</x:v>
      </x:c>
      <x:c r="AT732" s="14"/>
      <x:c r="AU732" s="14"/>
      <x:c r="AV732" s="14" t="str">
        <x:v>No established apparent-disability match</x:v>
      </x:c>
      <x:c r="AW732" s="14"/>
      <x:c r="AX732" s="14" t="str">
        <x:v>No</x:v>
      </x:c>
      <x:c r="AY732" s="14" t="str">
        <x:v>Unmatched</x:v>
      </x:c>
      <x:c r="AZ732" s="14" t="str">
        <x:v>Final supplied register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20</x:v>
      </x:c>
      <x:c r="BP732" s="14" t="str">
        <x:v>Maximum eligible IMDb cast-credit total (20), shared by 4 performer(s); not independently verified as a 2021-only episode total.</x:v>
      </x:c>
      <x:c r="BQ732" s="14" t="str">
        <x:v>Medium</x:v>
      </x:c>
      <x:c r="BR732" s="15" t="n">
        <x:v>1</x:v>
      </x:c>
      <x:c r="BS732" s="16" t="n">
        <x:v>0.05</x:v>
      </x:c>
      <x:c r="BT732" s="14" t="str">
        <x:v>One episode</x:v>
      </x:c>
      <x:c r="BU732" s="14" t="str">
        <x:v>Medium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4" t="str">
        <x:v>HYPERLINK is not implemented. linkLocation=https://www.imdb.com/title/tt11639300/fullcredits/, friendlyName=Open source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tt11639300|nm2553899|derren skinner</x:v>
      </x:c>
      <x:c r="B733" s="14" t="str">
        <x:v>02</x:v>
      </x:c>
      <x:c r="C733" s="14" t="str">
        <x:v>2021_IMDb_Cast_Lists_Batch_02(1).xlsx</x:v>
      </x:c>
      <x:c r="D733" s="14" t="str">
        <x:v>Grace</x:v>
      </x:c>
      <x:c r="E733" s="14" t="n">
        <x:v>369</x:v>
      </x:c>
      <x:c r="F733" s="14" t="str">
        <x:v>Grace</x:v>
      </x:c>
      <x:c r="G733" s="14" t="str">
        <x:v>tt11639300</x:v>
      </x:c>
      <x:c r="H733" s="14" t="n">
        <x:v>2021</x:v>
      </x:c>
      <x:c r="I733" s="14" t="n">
        <x:v>2025</x:v>
      </x:c>
      <x:c r="J733" s="14" t="str">
        <x:v>Earlier-Production Carry-In Cohort</x:v>
      </x:c>
      <x:c r="K733" s="14" t="n">
        <x:v>2021</x:v>
      </x:c>
      <x:c r="L733" s="14" t="str">
        <x:v>Used in 2025 annual analysis</x:v>
      </x:c>
      <x:c r="M733" s="15" t="n">
        <x:v>362</x:v>
      </x:c>
      <x:c r="N733" s="14" t="str">
        <x:v>Paul Marlon</x:v>
      </x:c>
      <x:c r="O733" s="14" t="str">
        <x:v>nm2553899</x:v>
      </x:c>
      <x:c r="P733" s="14" t="str">
        <x:v>Derren Skinner</x:v>
      </x:c>
      <x:c r="Q733" s="15" t="n">
        <x:v>1</x:v>
      </x:c>
      <x:c r="R733" s="14" t="str">
        <x:v>2025</x:v>
      </x:c>
      <x:c r="S733" s="14" t="n">
        <x:v>2025</x:v>
      </x:c>
      <x:c r="T733" s="14" t="n">
        <x:v>2025</x:v>
      </x:c>
      <x:c r="U733" s="14" t="str">
        <x:v>Post-2021 casting excluded</x:v>
      </x:c>
      <x:c r="V733" s="14" t="str">
        <x:v>Earliest supplied year is 2025, later than the 2021 study year.</x:v>
      </x:c>
      <x:c r="W733" s="14"/>
      <x:c r="X733" s="14" t="str">
        <x:v>Included</x:v>
      </x:c>
      <x:c r="Y733" s="14"/>
      <x:c r="Z733" s="14" t="str">
        <x:v>Grace.docx</x:v>
      </x:c>
      <x:c r="AA733" s="14" t="str">
        <x:v>HYPERLINK is not implemented. linkLocation=https://www.imdb.com/title/tt11639300/fullcredits/, friendlyName=Open source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ITV / ITVX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7" t="e">
        <x:f>HYPERLINK("https://en.wikipedia.org/wiki/Grace","Open source")</x:f>
        <x:v>HYPERLINK is not implemented. linkLocation=https://en.wikipedia.org/wiki/Grace, friendlyName=Open source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 t="str">
        <x:v>No established-register match</x:v>
      </x:c>
      <x:c r="AT733" s="14"/>
      <x:c r="AU733" s="14"/>
      <x:c r="AV733" s="14" t="str">
        <x:v>No established apparent-disability match</x:v>
      </x:c>
      <x:c r="AW733" s="14"/>
      <x:c r="AX733" s="14" t="str">
        <x:v>No</x:v>
      </x:c>
      <x:c r="AY733" s="14" t="str">
        <x:v>Unmatched</x:v>
      </x:c>
      <x:c r="AZ733" s="14" t="str">
        <x:v>Final supplied register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20</x:v>
      </x:c>
      <x:c r="BP733" s="14" t="str">
        <x:v>Maximum eligible IMDb cast-credit total (20), shared by 4 performer(s); not independently verified as a 2021-only episode total.</x:v>
      </x:c>
      <x:c r="BQ733" s="14" t="str">
        <x:v>Medium</x:v>
      </x:c>
      <x:c r="BR733" s="15" t="n">
        <x:v>1</x:v>
      </x:c>
      <x:c r="BS733" s="16" t="n">
        <x:v>0.05</x:v>
      </x:c>
      <x:c r="BT733" s="14" t="str">
        <x:v>One episode</x:v>
      </x:c>
      <x:c r="BU733" s="14" t="str">
        <x:v>Medium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4" t="str">
        <x:v>HYPERLINK is not implemented. linkLocation=https://www.imdb.com/title/tt11639300/fullcredits/, friendlyName=Open source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tt11981644|nm9955820|dc chloe highsmith / chloe highsmith</x:v>
      </x:c>
      <x:c r="B734" s="14" t="str">
        <x:v>02</x:v>
      </x:c>
      <x:c r="C734" s="14" t="str">
        <x:v>2021_IMDb_Cast_Lists_Batch_02(1).xlsx</x:v>
      </x:c>
      <x:c r="D734" s="14" t="str">
        <x:v>Professor T</x:v>
      </x:c>
      <x:c r="E734" s="14" t="n">
        <x:v>18</x:v>
      </x:c>
      <x:c r="F734" s="14" t="str">
        <x:v>Professor T</x:v>
      </x:c>
      <x:c r="G734" s="14" t="str">
        <x:v>tt11981644</x:v>
      </x:c>
      <x:c r="H734" s="14" t="n">
        <x:v>2021</x:v>
      </x:c>
      <x:c r="I734" s="14" t="n">
        <x:v>2025</x:v>
      </x:c>
      <x:c r="J734" s="14" t="str">
        <x:v>Earlier-Production Carry-In Cohort</x:v>
      </x:c>
      <x:c r="K734" s="14" t="n">
        <x:v>2021</x:v>
      </x:c>
      <x:c r="L734" s="14" t="str">
        <x:v>Used in 2025 annual analysis</x:v>
      </x:c>
      <x:c r="M734" s="15" t="n">
        <x:v>11</x:v>
      </x:c>
      <x:c r="N734" s="14" t="str">
        <x:v>Rhian Blundell</x:v>
      </x:c>
      <x:c r="O734" s="14" t="str">
        <x:v>nm9955820</x:v>
      </x:c>
      <x:c r="P734" s="14" t="str">
        <x:v>DC Chloe Highsmith / Chloe Highsmith</x:v>
      </x:c>
      <x:c r="Q734" s="15" t="n">
        <x:v>12</x:v>
      </x:c>
      <x:c r="R734" s="14" t="str">
        <x:v>2025–2026</x:v>
      </x:c>
      <x:c r="S734" s="14" t="n">
        <x:v>2025</x:v>
      </x:c>
      <x:c r="T734" s="14" t="n">
        <x:v>2025</x:v>
      </x:c>
      <x:c r="U734" s="14" t="str">
        <x:v>Post-2021 casting excluded</x:v>
      </x:c>
      <x:c r="V734" s="14" t="str">
        <x:v>Earliest supplied year is 2025, later than the 2021 study year.</x:v>
      </x:c>
      <x:c r="W734" s="14"/>
      <x:c r="X734" s="14" t="str">
        <x:v>Included</x:v>
      </x:c>
      <x:c r="Y734" s="14"/>
      <x:c r="Z734" s="14" t="str">
        <x:v>Professor T.docx</x:v>
      </x:c>
      <x:c r="AA734" s="14" t="str">
        <x:v>HYPERLINK is not implemented. linkLocation=https://www.imdb.com/title/tt11981644/fullcredits/, friendlyName=Open source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ITV / ITVX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7" t="e">
        <x:f>HYPERLINK("https://en.wikipedia.org/wiki/Professor_T.","Open source")</x:f>
        <x:v>HYPERLINK is not implemented. linkLocation=https://en.wikipedia.org/wiki/Professor_T., friendlyName=Open source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 t="str">
        <x:v>No established-register match</x:v>
      </x:c>
      <x:c r="AT734" s="14"/>
      <x:c r="AU734" s="14"/>
      <x:c r="AV734" s="14" t="str">
        <x:v>No established apparent-disability match</x:v>
      </x:c>
      <x:c r="AW734" s="14"/>
      <x:c r="AX734" s="14" t="str">
        <x:v>No</x:v>
      </x:c>
      <x:c r="AY734" s="14" t="str">
        <x:v>Unmatched</x:v>
      </x:c>
      <x:c r="AZ734" s="14" t="str">
        <x:v>Final supplied register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30</x:v>
      </x:c>
      <x:c r="BP734" s="14" t="str">
        <x:v>Maximum eligible IMDb cast-credit total (30), shared by 2 performer(s); not independently verified as a 2021-only episode total.</x:v>
      </x:c>
      <x:c r="BQ734" s="14" t="str">
        <x:v>Medium</x:v>
      </x:c>
      <x:c r="BR734" s="15" t="n">
        <x:v>12</x:v>
      </x:c>
      <x:c r="BS734" s="16" t="n">
        <x:v>0.4</x:v>
      </x:c>
      <x:c r="BT734" s="14" t="str">
        <x:v>Minority of episodes</x:v>
      </x:c>
      <x:c r="BU734" s="14" t="str">
        <x:v>Medium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4" t="str">
        <x:v>HYPERLINK is not implemented. linkLocation=https://www.imdb.com/title/tt11981644/fullcredits/, friendlyName=Open source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tt11981644|nm0910738|zelda radclyffe</x:v>
      </x:c>
      <x:c r="B735" s="14" t="str">
        <x:v>02</x:v>
      </x:c>
      <x:c r="C735" s="14" t="str">
        <x:v>2021_IMDb_Cast_Lists_Batch_02(1).xlsx</x:v>
      </x:c>
      <x:c r="D735" s="14" t="str">
        <x:v>Professor T</x:v>
      </x:c>
      <x:c r="E735" s="14" t="n">
        <x:v>21</x:v>
      </x:c>
      <x:c r="F735" s="14" t="str">
        <x:v>Professor T</x:v>
      </x:c>
      <x:c r="G735" s="14" t="str">
        <x:v>tt11981644</x:v>
      </x:c>
      <x:c r="H735" s="14" t="n">
        <x:v>2021</x:v>
      </x:c>
      <x:c r="I735" s="14" t="n">
        <x:v>2025</x:v>
      </x:c>
      <x:c r="J735" s="14" t="str">
        <x:v>Earlier-Production Carry-In Cohort</x:v>
      </x:c>
      <x:c r="K735" s="14" t="n">
        <x:v>2021</x:v>
      </x:c>
      <x:c r="L735" s="14" t="str">
        <x:v>Used in 2025 annual analysis</x:v>
      </x:c>
      <x:c r="M735" s="15" t="n">
        <x:v>14</x:v>
      </x:c>
      <x:c r="N735" s="14" t="str">
        <x:v>Zoë Wanamaker</x:v>
      </x:c>
      <x:c r="O735" s="14" t="str">
        <x:v>nm0910738</x:v>
      </x:c>
      <x:c r="P735" s="14" t="str">
        <x:v>Zelda Radclyffe</x:v>
      </x:c>
      <x:c r="Q735" s="15" t="n">
        <x:v>10</x:v>
      </x:c>
      <x:c r="R735" s="14" t="str">
        <x:v>2025–2026</x:v>
      </x:c>
      <x:c r="S735" s="14" t="n">
        <x:v>2025</x:v>
      </x:c>
      <x:c r="T735" s="14" t="n">
        <x:v>2025</x:v>
      </x:c>
      <x:c r="U735" s="14" t="str">
        <x:v>Post-2021 casting excluded</x:v>
      </x:c>
      <x:c r="V735" s="14" t="str">
        <x:v>Earliest supplied year is 2025, later than the 2021 study year.</x:v>
      </x:c>
      <x:c r="W735" s="14"/>
      <x:c r="X735" s="14" t="str">
        <x:v>Included</x:v>
      </x:c>
      <x:c r="Y735" s="14"/>
      <x:c r="Z735" s="14" t="str">
        <x:v>Professor T.docx</x:v>
      </x:c>
      <x:c r="AA735" s="14" t="str">
        <x:v>HYPERLINK is not implemented. linkLocation=https://www.imdb.com/title/tt11981644/fullcredits/, friendlyName=Open source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ITV / ITVX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7" t="e">
        <x:f>HYPERLINK("https://en.wikipedia.org/wiki/Professor_T.","Open source")</x:f>
        <x:v>HYPERLINK is not implemented. linkLocation=https://en.wikipedia.org/wiki/Professor_T., friendlyName=Open source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 t="str">
        <x:v>No established-register match</x:v>
      </x:c>
      <x:c r="AT735" s="14"/>
      <x:c r="AU735" s="14"/>
      <x:c r="AV735" s="14" t="str">
        <x:v>No established apparent-disability match</x:v>
      </x:c>
      <x:c r="AW735" s="14"/>
      <x:c r="AX735" s="14" t="str">
        <x:v>No</x:v>
      </x:c>
      <x:c r="AY735" s="14" t="str">
        <x:v>Unmatched</x:v>
      </x:c>
      <x:c r="AZ735" s="14" t="str">
        <x:v>Final supplied register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30</x:v>
      </x:c>
      <x:c r="BP735" s="14" t="str">
        <x:v>Maximum eligible IMDb cast-credit total (30), shared by 2 performer(s); not independently verified as a 2021-only episode total.</x:v>
      </x:c>
      <x:c r="BQ735" s="14" t="str">
        <x:v>Medium</x:v>
      </x:c>
      <x:c r="BR735" s="15" t="n">
        <x:v>10</x:v>
      </x:c>
      <x:c r="BS735" s="16" t="n">
        <x:v>0.3333333333333333</x:v>
      </x:c>
      <x:c r="BT735" s="14" t="str">
        <x:v>Minority of episodes</x:v>
      </x:c>
      <x:c r="BU735" s="14" t="str">
        <x:v>Medium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4" t="str">
        <x:v>HYPERLINK is not implemented. linkLocation=https://www.imdb.com/title/tt11981644/fullcredits/, friendlyName=Open source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tt11981644|nm0428933|peter snares</x:v>
      </x:c>
      <x:c r="B736" s="14" t="str">
        <x:v>02</x:v>
      </x:c>
      <x:c r="C736" s="14" t="str">
        <x:v>2021_IMDb_Cast_Lists_Batch_02(1).xlsx</x:v>
      </x:c>
      <x:c r="D736" s="14" t="str">
        <x:v>Professor T</x:v>
      </x:c>
      <x:c r="E736" s="14" t="n">
        <x:v>28</x:v>
      </x:c>
      <x:c r="F736" s="14" t="str">
        <x:v>Professor T</x:v>
      </x:c>
      <x:c r="G736" s="14" t="str">
        <x:v>tt11981644</x:v>
      </x:c>
      <x:c r="H736" s="14" t="n">
        <x:v>2021</x:v>
      </x:c>
      <x:c r="I736" s="14" t="n">
        <x:v>2025</x:v>
      </x:c>
      <x:c r="J736" s="14" t="str">
        <x:v>Earlier-Production Carry-In Cohort</x:v>
      </x:c>
      <x:c r="K736" s="14" t="n">
        <x:v>2021</x:v>
      </x:c>
      <x:c r="L736" s="14" t="str">
        <x:v>Used in 2025 annual analysis</x:v>
      </x:c>
      <x:c r="M736" s="15" t="n">
        <x:v>21</x:v>
      </x:c>
      <x:c r="N736" s="14" t="str">
        <x:v>Nicholas Jones</x:v>
      </x:c>
      <x:c r="O736" s="14" t="str">
        <x:v>nm0428933</x:v>
      </x:c>
      <x:c r="P736" s="14" t="str">
        <x:v>Peter Snares</x:v>
      </x:c>
      <x:c r="Q736" s="15" t="n">
        <x:v>4</x:v>
      </x:c>
      <x:c r="R736" s="14" t="str">
        <x:v>2025</x:v>
      </x:c>
      <x:c r="S736" s="14" t="n">
        <x:v>2025</x:v>
      </x:c>
      <x:c r="T736" s="14" t="n">
        <x:v>2025</x:v>
      </x:c>
      <x:c r="U736" s="14" t="str">
        <x:v>Post-2021 casting excluded</x:v>
      </x:c>
      <x:c r="V736" s="14" t="str">
        <x:v>Earliest supplied year is 2025, later than the 2021 study year.</x:v>
      </x:c>
      <x:c r="W736" s="14"/>
      <x:c r="X736" s="14" t="str">
        <x:v>Included</x:v>
      </x:c>
      <x:c r="Y736" s="14"/>
      <x:c r="Z736" s="14" t="str">
        <x:v>Professor T.docx</x:v>
      </x:c>
      <x:c r="AA736" s="14" t="str">
        <x:v>HYPERLINK is not implemented. linkLocation=https://www.imdb.com/title/tt11981644/fullcredits/, friendlyName=Open source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ITV / ITVX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7" t="e">
        <x:f>HYPERLINK("https://en.wikipedia.org/wiki/Professor_T.","Open source")</x:f>
        <x:v>HYPERLINK is not implemented. linkLocation=https://en.wikipedia.org/wiki/Professor_T., friendlyName=Open source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 t="str">
        <x:v>No established-register match</x:v>
      </x:c>
      <x:c r="AT736" s="14"/>
      <x:c r="AU736" s="14"/>
      <x:c r="AV736" s="14" t="str">
        <x:v>No established apparent-disability match</x:v>
      </x:c>
      <x:c r="AW736" s="14"/>
      <x:c r="AX736" s="14" t="str">
        <x:v>No</x:v>
      </x:c>
      <x:c r="AY736" s="14" t="str">
        <x:v>Unmatched</x:v>
      </x:c>
      <x:c r="AZ736" s="14" t="str">
        <x:v>Final supplied register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30</x:v>
      </x:c>
      <x:c r="BP736" s="14" t="str">
        <x:v>Maximum eligible IMDb cast-credit total (30), shared by 2 performer(s); not independently verified as a 2021-only episode total.</x:v>
      </x:c>
      <x:c r="BQ736" s="14" t="str">
        <x:v>Medium</x:v>
      </x:c>
      <x:c r="BR736" s="15" t="n">
        <x:v>4</x:v>
      </x:c>
      <x:c r="BS736" s="16" t="n">
        <x:v>0.1333333333333333</x:v>
      </x:c>
      <x:c r="BT736" s="14" t="str">
        <x:v>Minority of episodes</x:v>
      </x:c>
      <x:c r="BU736" s="14" t="str">
        <x:v>Medium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4" t="str">
        <x:v>HYPERLINK is not implemented. linkLocation=https://www.imdb.com/title/tt11981644/fullcredits/, friendlyName=Open source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tt11981644|nm0688275|imelda</x:v>
      </x:c>
      <x:c r="B737" s="14" t="str">
        <x:v>02</x:v>
      </x:c>
      <x:c r="C737" s="14" t="str">
        <x:v>2021_IMDb_Cast_Lists_Batch_02(1).xlsx</x:v>
      </x:c>
      <x:c r="D737" s="14" t="str">
        <x:v>Professor T</x:v>
      </x:c>
      <x:c r="E737" s="14" t="n">
        <x:v>32</x:v>
      </x:c>
      <x:c r="F737" s="14" t="str">
        <x:v>Professor T</x:v>
      </x:c>
      <x:c r="G737" s="14" t="str">
        <x:v>tt11981644</x:v>
      </x:c>
      <x:c r="H737" s="14" t="n">
        <x:v>2021</x:v>
      </x:c>
      <x:c r="I737" s="14" t="n">
        <x:v>2025</x:v>
      </x:c>
      <x:c r="J737" s="14" t="str">
        <x:v>Earlier-Production Carry-In Cohort</x:v>
      </x:c>
      <x:c r="K737" s="14" t="n">
        <x:v>2021</x:v>
      </x:c>
      <x:c r="L737" s="14" t="str">
        <x:v>Used in 2025 annual analysis</x:v>
      </x:c>
      <x:c r="M737" s="15" t="n">
        <x:v>25</x:v>
      </x:c>
      <x:c r="N737" s="14" t="str">
        <x:v>Kathryn Pogson</x:v>
      </x:c>
      <x:c r="O737" s="14" t="str">
        <x:v>nm0688275</x:v>
      </x:c>
      <x:c r="P737" s="14" t="str">
        <x:v>Imelda</x:v>
      </x:c>
      <x:c r="Q737" s="15" t="n">
        <x:v>4</x:v>
      </x:c>
      <x:c r="R737" s="14" t="str">
        <x:v>2025–2026</x:v>
      </x:c>
      <x:c r="S737" s="14" t="n">
        <x:v>2025</x:v>
      </x:c>
      <x:c r="T737" s="14" t="n">
        <x:v>2025</x:v>
      </x:c>
      <x:c r="U737" s="14" t="str">
        <x:v>Post-2021 casting excluded</x:v>
      </x:c>
      <x:c r="V737" s="14" t="str">
        <x:v>Earliest supplied year is 2025, later than the 2021 study year.</x:v>
      </x:c>
      <x:c r="W737" s="14"/>
      <x:c r="X737" s="14" t="str">
        <x:v>Included</x:v>
      </x:c>
      <x:c r="Y737" s="14"/>
      <x:c r="Z737" s="14" t="str">
        <x:v>Professor T.docx</x:v>
      </x:c>
      <x:c r="AA737" s="14" t="str">
        <x:v>HYPERLINK is not implemented. linkLocation=https://www.imdb.com/title/tt11981644/fullcredits/, friendlyName=Open source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ITV / ITVX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7" t="e">
        <x:f>HYPERLINK("https://en.wikipedia.org/wiki/Professor_T.","Open source")</x:f>
        <x:v>HYPERLINK is not implemented. linkLocation=https://en.wikipedia.org/wiki/Professor_T., friendlyName=Open source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 t="str">
        <x:v>No established-register match</x:v>
      </x:c>
      <x:c r="AT737" s="14"/>
      <x:c r="AU737" s="14"/>
      <x:c r="AV737" s="14" t="str">
        <x:v>No established apparent-disability match</x:v>
      </x:c>
      <x:c r="AW737" s="14"/>
      <x:c r="AX737" s="14" t="str">
        <x:v>No</x:v>
      </x:c>
      <x:c r="AY737" s="14" t="str">
        <x:v>Unmatched</x:v>
      </x:c>
      <x:c r="AZ737" s="14" t="str">
        <x:v>Final supplied register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30</x:v>
      </x:c>
      <x:c r="BP737" s="14" t="str">
        <x:v>Maximum eligible IMDb cast-credit total (30), shared by 2 performer(s); not independently verified as a 2021-only episode total.</x:v>
      </x:c>
      <x:c r="BQ737" s="14" t="str">
        <x:v>Medium</x:v>
      </x:c>
      <x:c r="BR737" s="15" t="n">
        <x:v>4</x:v>
      </x:c>
      <x:c r="BS737" s="16" t="n">
        <x:v>0.1333333333333333</x:v>
      </x:c>
      <x:c r="BT737" s="14" t="str">
        <x:v>Minority of episodes</x:v>
      </x:c>
      <x:c r="BU737" s="14" t="str">
        <x:v>Medium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4" t="str">
        <x:v>HYPERLINK is not implemented. linkLocation=https://www.imdb.com/title/tt11981644/fullcredits/, friendlyName=Open source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tt11981644|nm0141324|lyndon collins</x:v>
      </x:c>
      <x:c r="B738" s="14" t="str">
        <x:v>02</x:v>
      </x:c>
      <x:c r="C738" s="14" t="str">
        <x:v>2021_IMDb_Cast_Lists_Batch_02(1).xlsx</x:v>
      </x:c>
      <x:c r="D738" s="14" t="str">
        <x:v>Professor T</x:v>
      </x:c>
      <x:c r="E738" s="14" t="n">
        <x:v>37</x:v>
      </x:c>
      <x:c r="F738" s="14" t="str">
        <x:v>Professor T</x:v>
      </x:c>
      <x:c r="G738" s="14" t="str">
        <x:v>tt11981644</x:v>
      </x:c>
      <x:c r="H738" s="14" t="n">
        <x:v>2021</x:v>
      </x:c>
      <x:c r="I738" s="14" t="n">
        <x:v>2025</x:v>
      </x:c>
      <x:c r="J738" s="14" t="str">
        <x:v>Earlier-Production Carry-In Cohort</x:v>
      </x:c>
      <x:c r="K738" s="14" t="n">
        <x:v>2021</x:v>
      </x:c>
      <x:c r="L738" s="14" t="str">
        <x:v>Used in 2025 annual analysis</x:v>
      </x:c>
      <x:c r="M738" s="15" t="n">
        <x:v>30</x:v>
      </x:c>
      <x:c r="N738" s="14" t="str">
        <x:v>Silas Carson</x:v>
      </x:c>
      <x:c r="O738" s="14" t="str">
        <x:v>nm0141324</x:v>
      </x:c>
      <x:c r="P738" s="14" t="str">
        <x:v>Lyndon Collins</x:v>
      </x:c>
      <x:c r="Q738" s="15" t="n">
        <x:v>3</x:v>
      </x:c>
      <x:c r="R738" s="14" t="str">
        <x:v>2025</x:v>
      </x:c>
      <x:c r="S738" s="14" t="n">
        <x:v>2025</x:v>
      </x:c>
      <x:c r="T738" s="14" t="n">
        <x:v>2025</x:v>
      </x:c>
      <x:c r="U738" s="14" t="str">
        <x:v>Post-2021 casting excluded</x:v>
      </x:c>
      <x:c r="V738" s="14" t="str">
        <x:v>Earliest supplied year is 2025, later than the 2021 study year.</x:v>
      </x:c>
      <x:c r="W738" s="14"/>
      <x:c r="X738" s="14" t="str">
        <x:v>Included</x:v>
      </x:c>
      <x:c r="Y738" s="14"/>
      <x:c r="Z738" s="14" t="str">
        <x:v>Professor T.docx</x:v>
      </x:c>
      <x:c r="AA738" s="14" t="str">
        <x:v>HYPERLINK is not implemented. linkLocation=https://www.imdb.com/title/tt11981644/fullcredits/, friendlyName=Open source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ITV / ITVX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7" t="e">
        <x:f>HYPERLINK("https://en.wikipedia.org/wiki/Professor_T.","Open source")</x:f>
        <x:v>HYPERLINK is not implemented. linkLocation=https://en.wikipedia.org/wiki/Professor_T., friendlyName=Open source</x:v>
      </x:c>
      <x:c r="AN738" s="14" t="str">
        <x:v>No qualifying BBC relationship</x:v>
      </x:c>
      <x:c r="AO738" s="14" t="str">
        <x:v>No</x:v>
      </x:c>
      <x:c r="AP738" s="14" t="str">
        <x:v>Out of scope</x:v>
      </x:c>
      <x:c r="AQ738" s="14" t="str">
        <x:v>No</x:v>
      </x:c>
      <x:c r="AR738" s="14" t="str">
        <x:v>Resolved from master register</x:v>
      </x:c>
      <x:c r="AS738" s="14" t="str">
        <x:v>No established-register match</x:v>
      </x:c>
      <x:c r="AT738" s="14"/>
      <x:c r="AU738" s="14"/>
      <x:c r="AV738" s="14" t="str">
        <x:v>No established apparent-disability match</x:v>
      </x:c>
      <x:c r="AW738" s="14"/>
      <x:c r="AX738" s="14" t="str">
        <x:v>No</x:v>
      </x:c>
      <x:c r="AY738" s="14" t="str">
        <x:v>Unmatched</x:v>
      </x:c>
      <x:c r="AZ738" s="14" t="str">
        <x:v>Final supplied register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30</x:v>
      </x:c>
      <x:c r="BP738" s="14" t="str">
        <x:v>Maximum eligible IMDb cast-credit total (30), shared by 2 performer(s); not independently verified as a 2021-only episode total.</x:v>
      </x:c>
      <x:c r="BQ738" s="14" t="str">
        <x:v>Medium</x:v>
      </x:c>
      <x:c r="BR738" s="15" t="n">
        <x:v>3</x:v>
      </x:c>
      <x:c r="BS738" s="16" t="n">
        <x:v>0.1</x:v>
      </x:c>
      <x:c r="BT738" s="14" t="str">
        <x:v>Minority of episodes</x:v>
      </x:c>
      <x:c r="BU738" s="14" t="str">
        <x:v>Medium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4" t="str">
        <x:v>HYPERLINK is not implemented. linkLocation=https://www.imdb.com/title/tt11981644/fullcredits/, friendlyName=Open source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tt11981644|nm4115473|lydia birdsong</x:v>
      </x:c>
      <x:c r="B739" s="14" t="str">
        <x:v>02</x:v>
      </x:c>
      <x:c r="C739" s="14" t="str">
        <x:v>2021_IMDb_Cast_Lists_Batch_02(1).xlsx</x:v>
      </x:c>
      <x:c r="D739" s="14" t="str">
        <x:v>Professor T</x:v>
      </x:c>
      <x:c r="E739" s="14" t="n">
        <x:v>40</x:v>
      </x:c>
      <x:c r="F739" s="14" t="str">
        <x:v>Professor T</x:v>
      </x:c>
      <x:c r="G739" s="14" t="str">
        <x:v>tt11981644</x:v>
      </x:c>
      <x:c r="H739" s="14" t="n">
        <x:v>2021</x:v>
      </x:c>
      <x:c r="I739" s="14" t="n">
        <x:v>2025</x:v>
      </x:c>
      <x:c r="J739" s="14" t="str">
        <x:v>Earlier-Production Carry-In Cohort</x:v>
      </x:c>
      <x:c r="K739" s="14" t="n">
        <x:v>2021</x:v>
      </x:c>
      <x:c r="L739" s="14" t="str">
        <x:v>Used in 2025 annual analysis</x:v>
      </x:c>
      <x:c r="M739" s="15" t="n">
        <x:v>33</x:v>
      </x:c>
      <x:c r="N739" s="14" t="str">
        <x:v>Kerry Bennett</x:v>
      </x:c>
      <x:c r="O739" s="14" t="str">
        <x:v>nm4115473</x:v>
      </x:c>
      <x:c r="P739" s="14" t="str">
        <x:v>Lydia Birdsong</x:v>
      </x:c>
      <x:c r="Q739" s="15" t="n">
        <x:v>3</x:v>
      </x:c>
      <x:c r="R739" s="14" t="str">
        <x:v>2025</x:v>
      </x:c>
      <x:c r="S739" s="14" t="n">
        <x:v>2025</x:v>
      </x:c>
      <x:c r="T739" s="14" t="n">
        <x:v>2025</x:v>
      </x:c>
      <x:c r="U739" s="14" t="str">
        <x:v>Post-2021 casting excluded</x:v>
      </x:c>
      <x:c r="V739" s="14" t="str">
        <x:v>Earliest supplied year is 2025, later than the 2021 study year.</x:v>
      </x:c>
      <x:c r="W739" s="14"/>
      <x:c r="X739" s="14" t="str">
        <x:v>Included</x:v>
      </x:c>
      <x:c r="Y739" s="14"/>
      <x:c r="Z739" s="14" t="str">
        <x:v>Professor T.docx</x:v>
      </x:c>
      <x:c r="AA739" s="14" t="str">
        <x:v>HYPERLINK is not implemented. linkLocation=https://www.imdb.com/title/tt11981644/fullcredits/, friendlyName=Open source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ITV / ITVX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7" t="e">
        <x:f>HYPERLINK("https://en.wikipedia.org/wiki/Professor_T.","Open source")</x:f>
        <x:v>HYPERLINK is not implemented. linkLocation=https://en.wikipedia.org/wiki/Professor_T., friendlyName=Open source</x:v>
      </x:c>
      <x:c r="AN739" s="14" t="str">
        <x:v>No qualifying BBC relationship</x:v>
      </x:c>
      <x:c r="AO739" s="14" t="str">
        <x:v>No</x:v>
      </x:c>
      <x:c r="AP739" s="14" t="str">
        <x:v>Out of scope</x:v>
      </x:c>
      <x:c r="AQ739" s="14" t="str">
        <x:v>No</x:v>
      </x:c>
      <x:c r="AR739" s="14" t="str">
        <x:v>Resolved from master register</x:v>
      </x:c>
      <x:c r="AS739" s="14" t="str">
        <x:v>No established-register match</x:v>
      </x:c>
      <x:c r="AT739" s="14"/>
      <x:c r="AU739" s="14"/>
      <x:c r="AV739" s="14" t="str">
        <x:v>No established apparent-disability match</x:v>
      </x:c>
      <x:c r="AW739" s="14"/>
      <x:c r="AX739" s="14" t="str">
        <x:v>No</x:v>
      </x:c>
      <x:c r="AY739" s="14" t="str">
        <x:v>Unmatched</x:v>
      </x:c>
      <x:c r="AZ739" s="14" t="str">
        <x:v>Final supplied register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30</x:v>
      </x:c>
      <x:c r="BP739" s="14" t="str">
        <x:v>Maximum eligible IMDb cast-credit total (30), shared by 2 performer(s); not independently verified as a 2021-only episode total.</x:v>
      </x:c>
      <x:c r="BQ739" s="14" t="str">
        <x:v>Medium</x:v>
      </x:c>
      <x:c r="BR739" s="15" t="n">
        <x:v>3</x:v>
      </x:c>
      <x:c r="BS739" s="16" t="n">
        <x:v>0.1</x:v>
      </x:c>
      <x:c r="BT739" s="14" t="str">
        <x:v>Minority of episodes</x:v>
      </x:c>
      <x:c r="BU739" s="14" t="str">
        <x:v>Medium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4" t="str">
        <x:v>HYPERLINK is not implemented. linkLocation=https://www.imdb.com/title/tt11981644/fullcredits/, friendlyName=Open source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tt11981644|nm3956491|nolan demarco</x:v>
      </x:c>
      <x:c r="B740" s="14" t="str">
        <x:v>02</x:v>
      </x:c>
      <x:c r="C740" s="14" t="str">
        <x:v>2021_IMDb_Cast_Lists_Batch_02(1).xlsx</x:v>
      </x:c>
      <x:c r="D740" s="14" t="str">
        <x:v>Professor T</x:v>
      </x:c>
      <x:c r="E740" s="14" t="n">
        <x:v>58</x:v>
      </x:c>
      <x:c r="F740" s="14" t="str">
        <x:v>Professor T</x:v>
      </x:c>
      <x:c r="G740" s="14" t="str">
        <x:v>tt11981644</x:v>
      </x:c>
      <x:c r="H740" s="14" t="n">
        <x:v>2021</x:v>
      </x:c>
      <x:c r="I740" s="14" t="n">
        <x:v>2025</x:v>
      </x:c>
      <x:c r="J740" s="14" t="str">
        <x:v>Earlier-Production Carry-In Cohort</x:v>
      </x:c>
      <x:c r="K740" s="14" t="n">
        <x:v>2021</x:v>
      </x:c>
      <x:c r="L740" s="14" t="str">
        <x:v>Used in 2025 annual analysis</x:v>
      </x:c>
      <x:c r="M740" s="15" t="n">
        <x:v>51</x:v>
      </x:c>
      <x:c r="N740" s="14" t="str">
        <x:v>Conor Donelan</x:v>
      </x:c>
      <x:c r="O740" s="14" t="str">
        <x:v>nm3956491</x:v>
      </x:c>
      <x:c r="P740" s="14" t="str">
        <x:v>Nolan DeMarco</x:v>
      </x:c>
      <x:c r="Q740" s="15" t="n">
        <x:v>1</x:v>
      </x:c>
      <x:c r="R740" s="14" t="str">
        <x:v>2025</x:v>
      </x:c>
      <x:c r="S740" s="14" t="n">
        <x:v>2025</x:v>
      </x:c>
      <x:c r="T740" s="14" t="n">
        <x:v>2025</x:v>
      </x:c>
      <x:c r="U740" s="14" t="str">
        <x:v>Post-2021 casting excluded</x:v>
      </x:c>
      <x:c r="V740" s="14" t="str">
        <x:v>Earliest supplied year is 2025, later than the 2021 study year.</x:v>
      </x:c>
      <x:c r="W740" s="14"/>
      <x:c r="X740" s="14" t="str">
        <x:v>Included</x:v>
      </x:c>
      <x:c r="Y740" s="14"/>
      <x:c r="Z740" s="14" t="str">
        <x:v>Professor T.docx</x:v>
      </x:c>
      <x:c r="AA740" s="14" t="str">
        <x:v>HYPERLINK is not implemented. linkLocation=https://www.imdb.com/title/tt11981644/fullcredits/, friendlyName=Open source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ITV / ITVX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7" t="e">
        <x:f>HYPERLINK("https://en.wikipedia.org/wiki/Professor_T.","Open source")</x:f>
        <x:v>HYPERLINK is not implemented. linkLocation=https://en.wikipedia.org/wiki/Professor_T., friendlyName=Open source</x:v>
      </x:c>
      <x:c r="AN740" s="14" t="str">
        <x:v>No qualifying BBC relationship</x:v>
      </x:c>
      <x:c r="AO740" s="14" t="str">
        <x:v>No</x:v>
      </x:c>
      <x:c r="AP740" s="14" t="str">
        <x:v>Out of scope</x:v>
      </x:c>
      <x:c r="AQ740" s="14" t="str">
        <x:v>No</x:v>
      </x:c>
      <x:c r="AR740" s="14" t="str">
        <x:v>Resolved from master register</x:v>
      </x:c>
      <x:c r="AS740" s="14" t="str">
        <x:v>No established-register match</x:v>
      </x:c>
      <x:c r="AT740" s="14"/>
      <x:c r="AU740" s="14"/>
      <x:c r="AV740" s="14" t="str">
        <x:v>No established apparent-disability match</x:v>
      </x:c>
      <x:c r="AW740" s="14"/>
      <x:c r="AX740" s="14" t="str">
        <x:v>No</x:v>
      </x:c>
      <x:c r="AY740" s="14" t="str">
        <x:v>Unmatched</x:v>
      </x:c>
      <x:c r="AZ740" s="14" t="str">
        <x:v>Final supplied register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30</x:v>
      </x:c>
      <x:c r="BP740" s="14" t="str">
        <x:v>Maximum eligible IMDb cast-credit total (30), shared by 2 performer(s); not independently verified as a 2021-only episode total.</x:v>
      </x:c>
      <x:c r="BQ740" s="14" t="str">
        <x:v>Medium</x:v>
      </x:c>
      <x:c r="BR740" s="15" t="n">
        <x:v>1</x:v>
      </x:c>
      <x:c r="BS740" s="16" t="n">
        <x:v>0.03333333333333333</x:v>
      </x:c>
      <x:c r="BT740" s="14" t="str">
        <x:v>One episode</x:v>
      </x:c>
      <x:c r="BU740" s="14" t="str">
        <x:v>Medium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4" t="str">
        <x:v>HYPERLINK is not implemented. linkLocation=https://www.imdb.com/title/tt11981644/fullcredits/, friendlyName=Open source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tt11981644|nm10130390|student</x:v>
      </x:c>
      <x:c r="B741" s="14" t="str">
        <x:v>02</x:v>
      </x:c>
      <x:c r="C741" s="14" t="str">
        <x:v>2021_IMDb_Cast_Lists_Batch_02(1).xlsx</x:v>
      </x:c>
      <x:c r="D741" s="14" t="str">
        <x:v>Professor T</x:v>
      </x:c>
      <x:c r="E741" s="14" t="n">
        <x:v>63</x:v>
      </x:c>
      <x:c r="F741" s="14" t="str">
        <x:v>Professor T</x:v>
      </x:c>
      <x:c r="G741" s="14" t="str">
        <x:v>tt11981644</x:v>
      </x:c>
      <x:c r="H741" s="14" t="n">
        <x:v>2021</x:v>
      </x:c>
      <x:c r="I741" s="14" t="n">
        <x:v>2025</x:v>
      </x:c>
      <x:c r="J741" s="14" t="str">
        <x:v>Earlier-Production Carry-In Cohort</x:v>
      </x:c>
      <x:c r="K741" s="14" t="n">
        <x:v>2021</x:v>
      </x:c>
      <x:c r="L741" s="14" t="str">
        <x:v>Used in 2025 annual analysis</x:v>
      </x:c>
      <x:c r="M741" s="15" t="n">
        <x:v>56</x:v>
      </x:c>
      <x:c r="N741" s="14" t="str">
        <x:v>Junes Callaert</x:v>
      </x:c>
      <x:c r="O741" s="14" t="str">
        <x:v>nm10130390</x:v>
      </x:c>
      <x:c r="P741" s="14" t="str">
        <x:v>Student</x:v>
      </x:c>
      <x:c r="Q741" s="15" t="n">
        <x:v>1</x:v>
      </x:c>
      <x:c r="R741" s="14" t="str">
        <x:v>2025</x:v>
      </x:c>
      <x:c r="S741" s="14" t="n">
        <x:v>2025</x:v>
      </x:c>
      <x:c r="T741" s="14" t="n">
        <x:v>2025</x:v>
      </x:c>
      <x:c r="U741" s="14" t="str">
        <x:v>Post-2021 casting excluded</x:v>
      </x:c>
      <x:c r="V741" s="14" t="str">
        <x:v>Earliest supplied year is 2025, later than the 2021 study year.</x:v>
      </x:c>
      <x:c r="W741" s="14"/>
      <x:c r="X741" s="14" t="str">
        <x:v>Included</x:v>
      </x:c>
      <x:c r="Y741" s="14"/>
      <x:c r="Z741" s="14" t="str">
        <x:v>Professor T.docx</x:v>
      </x:c>
      <x:c r="AA741" s="14" t="str">
        <x:v>HYPERLINK is not implemented. linkLocation=https://www.imdb.com/title/tt11981644/fullcredits/, friendlyName=Open source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ITV / ITVX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7" t="e">
        <x:f>HYPERLINK("https://en.wikipedia.org/wiki/Professor_T.","Open source")</x:f>
        <x:v>HYPERLINK is not implemented. linkLocation=https://en.wikipedia.org/wiki/Professor_T., friendlyName=Open source</x:v>
      </x:c>
      <x:c r="AN741" s="14" t="str">
        <x:v>No qualifying BBC relationship</x:v>
      </x:c>
      <x:c r="AO741" s="14" t="str">
        <x:v>No</x:v>
      </x:c>
      <x:c r="AP741" s="14" t="str">
        <x:v>Out of scope</x:v>
      </x:c>
      <x:c r="AQ741" s="14" t="str">
        <x:v>No</x:v>
      </x:c>
      <x:c r="AR741" s="14" t="str">
        <x:v>Resolved from master register</x:v>
      </x:c>
      <x:c r="AS741" s="14" t="str">
        <x:v>No established-register match</x:v>
      </x:c>
      <x:c r="AT741" s="14"/>
      <x:c r="AU741" s="14"/>
      <x:c r="AV741" s="14" t="str">
        <x:v>No established apparent-disability match</x:v>
      </x:c>
      <x:c r="AW741" s="14"/>
      <x:c r="AX741" s="14" t="str">
        <x:v>No</x:v>
      </x:c>
      <x:c r="AY741" s="14" t="str">
        <x:v>Unmatched</x:v>
      </x:c>
      <x:c r="AZ741" s="14" t="str">
        <x:v>Final supplied register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30</x:v>
      </x:c>
      <x:c r="BP741" s="14" t="str">
        <x:v>Maximum eligible IMDb cast-credit total (30), shared by 2 performer(s); not independently verified as a 2021-only episode total.</x:v>
      </x:c>
      <x:c r="BQ741" s="14" t="str">
        <x:v>Medium</x:v>
      </x:c>
      <x:c r="BR741" s="15" t="n">
        <x:v>1</x:v>
      </x:c>
      <x:c r="BS741" s="16" t="n">
        <x:v>0.03333333333333333</x:v>
      </x:c>
      <x:c r="BT741" s="14" t="str">
        <x:v>One episode</x:v>
      </x:c>
      <x:c r="BU741" s="14" t="str">
        <x:v>Medium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4" t="str">
        <x:v>HYPERLINK is not implemented. linkLocation=https://www.imdb.com/title/tt11981644/fullcredits/, friendlyName=Open source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tt11981644|nm0799850|kate bryant</x:v>
      </x:c>
      <x:c r="B742" s="14" t="str">
        <x:v>02</x:v>
      </x:c>
      <x:c r="C742" s="14" t="str">
        <x:v>2021_IMDb_Cast_Lists_Batch_02(1).xlsx</x:v>
      </x:c>
      <x:c r="D742" s="14" t="str">
        <x:v>Professor T</x:v>
      </x:c>
      <x:c r="E742" s="14" t="n">
        <x:v>66</x:v>
      </x:c>
      <x:c r="F742" s="14" t="str">
        <x:v>Professor T</x:v>
      </x:c>
      <x:c r="G742" s="14" t="str">
        <x:v>tt11981644</x:v>
      </x:c>
      <x:c r="H742" s="14" t="n">
        <x:v>2021</x:v>
      </x:c>
      <x:c r="I742" s="14" t="n">
        <x:v>2025</x:v>
      </x:c>
      <x:c r="J742" s="14" t="str">
        <x:v>Earlier-Production Carry-In Cohort</x:v>
      </x:c>
      <x:c r="K742" s="14" t="n">
        <x:v>2021</x:v>
      </x:c>
      <x:c r="L742" s="14" t="str">
        <x:v>Used in 2025 annual analysis</x:v>
      </x:c>
      <x:c r="M742" s="15" t="n">
        <x:v>59</x:v>
      </x:c>
      <x:c r="N742" s="14" t="str">
        <x:v>Mika Simmons</x:v>
      </x:c>
      <x:c r="O742" s="14" t="str">
        <x:v>nm0799850</x:v>
      </x:c>
      <x:c r="P742" s="14" t="str">
        <x:v>Kate Bryant</x:v>
      </x:c>
      <x:c r="Q742" s="15" t="n">
        <x:v>1</x:v>
      </x:c>
      <x:c r="R742" s="14" t="str">
        <x:v>2025</x:v>
      </x:c>
      <x:c r="S742" s="14" t="n">
        <x:v>2025</x:v>
      </x:c>
      <x:c r="T742" s="14" t="n">
        <x:v>2025</x:v>
      </x:c>
      <x:c r="U742" s="14" t="str">
        <x:v>Post-2021 casting excluded</x:v>
      </x:c>
      <x:c r="V742" s="14" t="str">
        <x:v>Earliest supplied year is 2025, later than the 2021 study year.</x:v>
      </x:c>
      <x:c r="W742" s="14"/>
      <x:c r="X742" s="14" t="str">
        <x:v>Included</x:v>
      </x:c>
      <x:c r="Y742" s="14"/>
      <x:c r="Z742" s="14" t="str">
        <x:v>Professor T.docx</x:v>
      </x:c>
      <x:c r="AA742" s="14" t="str">
        <x:v>HYPERLINK is not implemented. linkLocation=https://www.imdb.com/title/tt11981644/fullcredits/, friendlyName=Open source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ITV / ITVX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7" t="e">
        <x:f>HYPERLINK("https://en.wikipedia.org/wiki/Professor_T.","Open source")</x:f>
        <x:v>HYPERLINK is not implemented. linkLocation=https://en.wikipedia.org/wiki/Professor_T., friendlyName=Open source</x:v>
      </x:c>
      <x:c r="AN742" s="14" t="str">
        <x:v>No qualifying BBC relationship</x:v>
      </x:c>
      <x:c r="AO742" s="14" t="str">
        <x:v>No</x:v>
      </x:c>
      <x:c r="AP742" s="14" t="str">
        <x:v>Out of scope</x:v>
      </x:c>
      <x:c r="AQ742" s="14" t="str">
        <x:v>No</x:v>
      </x:c>
      <x:c r="AR742" s="14" t="str">
        <x:v>Resolved from master register</x:v>
      </x:c>
      <x:c r="AS742" s="14" t="str">
        <x:v>No established-register match</x:v>
      </x:c>
      <x:c r="AT742" s="14"/>
      <x:c r="AU742" s="14"/>
      <x:c r="AV742" s="14" t="str">
        <x:v>No established apparent-disability match</x:v>
      </x:c>
      <x:c r="AW742" s="14"/>
      <x:c r="AX742" s="14" t="str">
        <x:v>No</x:v>
      </x:c>
      <x:c r="AY742" s="14" t="str">
        <x:v>Unmatched</x:v>
      </x:c>
      <x:c r="AZ742" s="14" t="str">
        <x:v>Final supplied register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30</x:v>
      </x:c>
      <x:c r="BP742" s="14" t="str">
        <x:v>Maximum eligible IMDb cast-credit total (30), shared by 2 performer(s); not independently verified as a 2021-only episode total.</x:v>
      </x:c>
      <x:c r="BQ742" s="14" t="str">
        <x:v>Medium</x:v>
      </x:c>
      <x:c r="BR742" s="15" t="n">
        <x:v>1</x:v>
      </x:c>
      <x:c r="BS742" s="16" t="n">
        <x:v>0.03333333333333333</x:v>
      </x:c>
      <x:c r="BT742" s="14" t="str">
        <x:v>One episode</x:v>
      </x:c>
      <x:c r="BU742" s="14" t="str">
        <x:v>Medium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4" t="str">
        <x:v>HYPERLINK is not implemented. linkLocation=https://www.imdb.com/title/tt11981644/fullcredits/, friendlyName=Open source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tt11981644|nm0562116|vance markham</x:v>
      </x:c>
      <x:c r="B743" s="14" t="str">
        <x:v>02</x:v>
      </x:c>
      <x:c r="C743" s="14" t="str">
        <x:v>2021_IMDb_Cast_Lists_Batch_02(1).xlsx</x:v>
      </x:c>
      <x:c r="D743" s="14" t="str">
        <x:v>Professor T</x:v>
      </x:c>
      <x:c r="E743" s="14" t="n">
        <x:v>67</x:v>
      </x:c>
      <x:c r="F743" s="14" t="str">
        <x:v>Professor T</x:v>
      </x:c>
      <x:c r="G743" s="14" t="str">
        <x:v>tt11981644</x:v>
      </x:c>
      <x:c r="H743" s="14" t="n">
        <x:v>2021</x:v>
      </x:c>
      <x:c r="I743" s="14" t="n">
        <x:v>2025</x:v>
      </x:c>
      <x:c r="J743" s="14" t="str">
        <x:v>Earlier-Production Carry-In Cohort</x:v>
      </x:c>
      <x:c r="K743" s="14" t="n">
        <x:v>2021</x:v>
      </x:c>
      <x:c r="L743" s="14" t="str">
        <x:v>Used in 2025 annual analysis</x:v>
      </x:c>
      <x:c r="M743" s="15" t="n">
        <x:v>60</x:v>
      </x:c>
      <x:c r="N743" s="14" t="str">
        <x:v>Roger May</x:v>
      </x:c>
      <x:c r="O743" s="14" t="str">
        <x:v>nm0562116</x:v>
      </x:c>
      <x:c r="P743" s="14" t="str">
        <x:v>Vance Markham</x:v>
      </x:c>
      <x:c r="Q743" s="15" t="n">
        <x:v>1</x:v>
      </x:c>
      <x:c r="R743" s="14" t="str">
        <x:v>2025</x:v>
      </x:c>
      <x:c r="S743" s="14" t="n">
        <x:v>2025</x:v>
      </x:c>
      <x:c r="T743" s="14" t="n">
        <x:v>2025</x:v>
      </x:c>
      <x:c r="U743" s="14" t="str">
        <x:v>Post-2021 casting excluded</x:v>
      </x:c>
      <x:c r="V743" s="14" t="str">
        <x:v>Earliest supplied year is 2025, later than the 2021 study year.</x:v>
      </x:c>
      <x:c r="W743" s="14"/>
      <x:c r="X743" s="14" t="str">
        <x:v>Included</x:v>
      </x:c>
      <x:c r="Y743" s="14"/>
      <x:c r="Z743" s="14" t="str">
        <x:v>Professor T.docx</x:v>
      </x:c>
      <x:c r="AA743" s="14" t="str">
        <x:v>HYPERLINK is not implemented. linkLocation=https://www.imdb.com/title/tt11981644/fullcredits/, friendlyName=Open source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ITV / ITVX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7" t="e">
        <x:f>HYPERLINK("https://en.wikipedia.org/wiki/Professor_T.","Open source")</x:f>
        <x:v>HYPERLINK is not implemented. linkLocation=https://en.wikipedia.org/wiki/Professor_T., friendlyName=Open source</x:v>
      </x:c>
      <x:c r="AN743" s="14" t="str">
        <x:v>No qualifying BBC relationship</x:v>
      </x:c>
      <x:c r="AO743" s="14" t="str">
        <x:v>No</x:v>
      </x:c>
      <x:c r="AP743" s="14" t="str">
        <x:v>Out of scope</x:v>
      </x:c>
      <x:c r="AQ743" s="14" t="str">
        <x:v>No</x:v>
      </x:c>
      <x:c r="AR743" s="14" t="str">
        <x:v>Resolved from master register</x:v>
      </x:c>
      <x:c r="AS743" s="14" t="str">
        <x:v>No established-register match</x:v>
      </x:c>
      <x:c r="AT743" s="14"/>
      <x:c r="AU743" s="14"/>
      <x:c r="AV743" s="14" t="str">
        <x:v>No established apparent-disability match</x:v>
      </x:c>
      <x:c r="AW743" s="14"/>
      <x:c r="AX743" s="14" t="str">
        <x:v>No</x:v>
      </x:c>
      <x:c r="AY743" s="14" t="str">
        <x:v>Unmatched</x:v>
      </x:c>
      <x:c r="AZ743" s="14" t="str">
        <x:v>Final supplied register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30</x:v>
      </x:c>
      <x:c r="BP743" s="14" t="str">
        <x:v>Maximum eligible IMDb cast-credit total (30), shared by 2 performer(s); not independently verified as a 2021-only episode total.</x:v>
      </x:c>
      <x:c r="BQ743" s="14" t="str">
        <x:v>Medium</x:v>
      </x:c>
      <x:c r="BR743" s="15" t="n">
        <x:v>1</x:v>
      </x:c>
      <x:c r="BS743" s="16" t="n">
        <x:v>0.03333333333333333</x:v>
      </x:c>
      <x:c r="BT743" s="14" t="str">
        <x:v>One episode</x:v>
      </x:c>
      <x:c r="BU743" s="14" t="str">
        <x:v>Medium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4" t="str">
        <x:v>HYPERLINK is not implemented. linkLocation=https://www.imdb.com/title/tt11981644/fullcredits/, friendlyName=Open source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tt11981644|nm9010877|henry doyle</x:v>
      </x:c>
      <x:c r="B744" s="14" t="str">
        <x:v>02</x:v>
      </x:c>
      <x:c r="C744" s="14" t="str">
        <x:v>2021_IMDb_Cast_Lists_Batch_02(1).xlsx</x:v>
      </x:c>
      <x:c r="D744" s="14" t="str">
        <x:v>Professor T</x:v>
      </x:c>
      <x:c r="E744" s="14" t="n">
        <x:v>68</x:v>
      </x:c>
      <x:c r="F744" s="14" t="str">
        <x:v>Professor T</x:v>
      </x:c>
      <x:c r="G744" s="14" t="str">
        <x:v>tt11981644</x:v>
      </x:c>
      <x:c r="H744" s="14" t="n">
        <x:v>2021</x:v>
      </x:c>
      <x:c r="I744" s="14" t="n">
        <x:v>2025</x:v>
      </x:c>
      <x:c r="J744" s="14" t="str">
        <x:v>Earlier-Production Carry-In Cohort</x:v>
      </x:c>
      <x:c r="K744" s="14" t="n">
        <x:v>2021</x:v>
      </x:c>
      <x:c r="L744" s="14" t="str">
        <x:v>Used in 2025 annual analysis</x:v>
      </x:c>
      <x:c r="M744" s="15" t="n">
        <x:v>61</x:v>
      </x:c>
      <x:c r="N744" s="14" t="str">
        <x:v>Merch Husey</x:v>
      </x:c>
      <x:c r="O744" s="14" t="str">
        <x:v>nm9010877</x:v>
      </x:c>
      <x:c r="P744" s="14" t="str">
        <x:v>Henry Doyle</x:v>
      </x:c>
      <x:c r="Q744" s="15" t="n">
        <x:v>1</x:v>
      </x:c>
      <x:c r="R744" s="14" t="str">
        <x:v>2025</x:v>
      </x:c>
      <x:c r="S744" s="14" t="n">
        <x:v>2025</x:v>
      </x:c>
      <x:c r="T744" s="14" t="n">
        <x:v>2025</x:v>
      </x:c>
      <x:c r="U744" s="14" t="str">
        <x:v>Post-2021 casting excluded</x:v>
      </x:c>
      <x:c r="V744" s="14" t="str">
        <x:v>Earliest supplied year is 2025, later than the 2021 study year.</x:v>
      </x:c>
      <x:c r="W744" s="14"/>
      <x:c r="X744" s="14" t="str">
        <x:v>Included</x:v>
      </x:c>
      <x:c r="Y744" s="14" t="str">
        <x:v>(as MerchHüsey)</x:v>
      </x:c>
      <x:c r="Z744" s="14" t="str">
        <x:v>Professor T.docx</x:v>
      </x:c>
      <x:c r="AA744" s="14" t="str">
        <x:v>HYPERLINK is not implemented. linkLocation=https://www.imdb.com/title/tt11981644/fullcredits/, friendlyName=Open source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ITV / ITVX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7" t="e">
        <x:f>HYPERLINK("https://en.wikipedia.org/wiki/Professor_T.","Open source")</x:f>
        <x:v>HYPERLINK is not implemented. linkLocation=https://en.wikipedia.org/wiki/Professor_T., friendlyName=Open source</x:v>
      </x:c>
      <x:c r="AN744" s="14" t="str">
        <x:v>No qualifying BBC relationship</x:v>
      </x:c>
      <x:c r="AO744" s="14" t="str">
        <x:v>No</x:v>
      </x:c>
      <x:c r="AP744" s="14" t="str">
        <x:v>Out of scope</x:v>
      </x:c>
      <x:c r="AQ744" s="14" t="str">
        <x:v>No</x:v>
      </x:c>
      <x:c r="AR744" s="14" t="str">
        <x:v>Resolved from master register</x:v>
      </x:c>
      <x:c r="AS744" s="14" t="str">
        <x:v>No established-register match</x:v>
      </x:c>
      <x:c r="AT744" s="14"/>
      <x:c r="AU744" s="14"/>
      <x:c r="AV744" s="14" t="str">
        <x:v>No established apparent-disability match</x:v>
      </x:c>
      <x:c r="AW744" s="14"/>
      <x:c r="AX744" s="14" t="str">
        <x:v>No</x:v>
      </x:c>
      <x:c r="AY744" s="14" t="str">
        <x:v>Unmatched</x:v>
      </x:c>
      <x:c r="AZ744" s="14" t="str">
        <x:v>Final supplied register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30</x:v>
      </x:c>
      <x:c r="BP744" s="14" t="str">
        <x:v>Maximum eligible IMDb cast-credit total (30), shared by 2 performer(s); not independently verified as a 2021-only episode total.</x:v>
      </x:c>
      <x:c r="BQ744" s="14" t="str">
        <x:v>Medium</x:v>
      </x:c>
      <x:c r="BR744" s="15" t="n">
        <x:v>1</x:v>
      </x:c>
      <x:c r="BS744" s="16" t="n">
        <x:v>0.03333333333333333</x:v>
      </x:c>
      <x:c r="BT744" s="14" t="str">
        <x:v>One episode</x:v>
      </x:c>
      <x:c r="BU744" s="14" t="str">
        <x:v>Medium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4" t="str">
        <x:v>HYPERLINK is not implemented. linkLocation=https://www.imdb.com/title/tt11981644/fullcredits/, friendlyName=Open source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tt11981644|nm8832545|pc1</x:v>
      </x:c>
      <x:c r="B745" s="14" t="str">
        <x:v>02</x:v>
      </x:c>
      <x:c r="C745" s="14" t="str">
        <x:v>2021_IMDb_Cast_Lists_Batch_02(1).xlsx</x:v>
      </x:c>
      <x:c r="D745" s="14" t="str">
        <x:v>Professor T</x:v>
      </x:c>
      <x:c r="E745" s="14" t="n">
        <x:v>69</x:v>
      </x:c>
      <x:c r="F745" s="14" t="str">
        <x:v>Professor T</x:v>
      </x:c>
      <x:c r="G745" s="14" t="str">
        <x:v>tt11981644</x:v>
      </x:c>
      <x:c r="H745" s="14" t="n">
        <x:v>2021</x:v>
      </x:c>
      <x:c r="I745" s="14" t="n">
        <x:v>2025</x:v>
      </x:c>
      <x:c r="J745" s="14" t="str">
        <x:v>Earlier-Production Carry-In Cohort</x:v>
      </x:c>
      <x:c r="K745" s="14" t="n">
        <x:v>2021</x:v>
      </x:c>
      <x:c r="L745" s="14" t="str">
        <x:v>Used in 2025 annual analysis</x:v>
      </x:c>
      <x:c r="M745" s="15" t="n">
        <x:v>62</x:v>
      </x:c>
      <x:c r="N745" s="14" t="str">
        <x:v>Steven Morgan</x:v>
      </x:c>
      <x:c r="O745" s="14" t="str">
        <x:v>nm8832545</x:v>
      </x:c>
      <x:c r="P745" s="14" t="str">
        <x:v>PC1</x:v>
      </x:c>
      <x:c r="Q745" s="15" t="n">
        <x:v>1</x:v>
      </x:c>
      <x:c r="R745" s="14" t="str">
        <x:v>2025</x:v>
      </x:c>
      <x:c r="S745" s="14" t="n">
        <x:v>2025</x:v>
      </x:c>
      <x:c r="T745" s="14" t="n">
        <x:v>2025</x:v>
      </x:c>
      <x:c r="U745" s="14" t="str">
        <x:v>Post-2021 casting excluded</x:v>
      </x:c>
      <x:c r="V745" s="14" t="str">
        <x:v>Earliest supplied year is 2025, later than the 2021 study year.</x:v>
      </x:c>
      <x:c r="W745" s="14"/>
      <x:c r="X745" s="14" t="str">
        <x:v>Included</x:v>
      </x:c>
      <x:c r="Y745" s="14"/>
      <x:c r="Z745" s="14" t="str">
        <x:v>Professor T.docx</x:v>
      </x:c>
      <x:c r="AA745" s="14" t="str">
        <x:v>HYPERLINK is not implemented. linkLocation=https://www.imdb.com/title/tt11981644/fullcredits/, friendlyName=Open source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ITV / ITVX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7" t="e">
        <x:f>HYPERLINK("https://en.wikipedia.org/wiki/Professor_T.","Open source")</x:f>
        <x:v>HYPERLINK is not implemented. linkLocation=https://en.wikipedia.org/wiki/Professor_T., friendlyName=Open source</x:v>
      </x:c>
      <x:c r="AN745" s="14" t="str">
        <x:v>No qualifying BBC relationship</x:v>
      </x:c>
      <x:c r="AO745" s="14" t="str">
        <x:v>No</x:v>
      </x:c>
      <x:c r="AP745" s="14" t="str">
        <x:v>Out of scope</x:v>
      </x:c>
      <x:c r="AQ745" s="14" t="str">
        <x:v>No</x:v>
      </x:c>
      <x:c r="AR745" s="14" t="str">
        <x:v>Resolved from master register</x:v>
      </x:c>
      <x:c r="AS745" s="14" t="str">
        <x:v>No established-register match</x:v>
      </x:c>
      <x:c r="AT745" s="14"/>
      <x:c r="AU745" s="14"/>
      <x:c r="AV745" s="14" t="str">
        <x:v>No established apparent-disability match</x:v>
      </x:c>
      <x:c r="AW745" s="14"/>
      <x:c r="AX745" s="14" t="str">
        <x:v>No</x:v>
      </x:c>
      <x:c r="AY745" s="14" t="str">
        <x:v>Unmatched</x:v>
      </x:c>
      <x:c r="AZ745" s="14" t="str">
        <x:v>Final supplied register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30</x:v>
      </x:c>
      <x:c r="BP745" s="14" t="str">
        <x:v>Maximum eligible IMDb cast-credit total (30), shared by 2 performer(s); not independently verified as a 2021-only episode total.</x:v>
      </x:c>
      <x:c r="BQ745" s="14" t="str">
        <x:v>Medium</x:v>
      </x:c>
      <x:c r="BR745" s="15" t="n">
        <x:v>1</x:v>
      </x:c>
      <x:c r="BS745" s="16" t="n">
        <x:v>0.03333333333333333</x:v>
      </x:c>
      <x:c r="BT745" s="14" t="str">
        <x:v>One episode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4" t="str">
        <x:v>HYPERLINK is not implemented. linkLocation=https://www.imdb.com/title/tt11981644/fullcredits/, friendlyName=Open source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tt11981644|nm2393646|bruno sommers</x:v>
      </x:c>
      <x:c r="B746" s="14" t="str">
        <x:v>02</x:v>
      </x:c>
      <x:c r="C746" s="14" t="str">
        <x:v>2021_IMDb_Cast_Lists_Batch_02(1).xlsx</x:v>
      </x:c>
      <x:c r="D746" s="14" t="str">
        <x:v>Professor T</x:v>
      </x:c>
      <x:c r="E746" s="14" t="n">
        <x:v>72</x:v>
      </x:c>
      <x:c r="F746" s="14" t="str">
        <x:v>Professor T</x:v>
      </x:c>
      <x:c r="G746" s="14" t="str">
        <x:v>tt11981644</x:v>
      </x:c>
      <x:c r="H746" s="14" t="n">
        <x:v>2021</x:v>
      </x:c>
      <x:c r="I746" s="14" t="n">
        <x:v>2025</x:v>
      </x:c>
      <x:c r="J746" s="14" t="str">
        <x:v>Earlier-Production Carry-In Cohort</x:v>
      </x:c>
      <x:c r="K746" s="14" t="n">
        <x:v>2021</x:v>
      </x:c>
      <x:c r="L746" s="14" t="str">
        <x:v>Used in 2025 annual analysis</x:v>
      </x:c>
      <x:c r="M746" s="15" t="n">
        <x:v>65</x:v>
      </x:c>
      <x:c r="N746" s="14" t="str">
        <x:v>James Anderson</x:v>
      </x:c>
      <x:c r="O746" s="14" t="str">
        <x:v>nm2393646</x:v>
      </x:c>
      <x:c r="P746" s="14" t="str">
        <x:v>Bruno Sommers</x:v>
      </x:c>
      <x:c r="Q746" s="15" t="n">
        <x:v>1</x:v>
      </x:c>
      <x:c r="R746" s="14" t="str">
        <x:v>2025</x:v>
      </x:c>
      <x:c r="S746" s="14" t="n">
        <x:v>2025</x:v>
      </x:c>
      <x:c r="T746" s="14" t="n">
        <x:v>2025</x:v>
      </x:c>
      <x:c r="U746" s="14" t="str">
        <x:v>Post-2021 casting excluded</x:v>
      </x:c>
      <x:c r="V746" s="14" t="str">
        <x:v>Earliest supplied year is 2025, later than the 2021 study year.</x:v>
      </x:c>
      <x:c r="W746" s="14"/>
      <x:c r="X746" s="14" t="str">
        <x:v>Included</x:v>
      </x:c>
      <x:c r="Y746" s="14"/>
      <x:c r="Z746" s="14" t="str">
        <x:v>Professor T.docx</x:v>
      </x:c>
      <x:c r="AA746" s="14" t="str">
        <x:v>HYPERLINK is not implemented. linkLocation=https://www.imdb.com/title/tt11981644/fullcredits/, friendlyName=Open source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ITV / ITVX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7" t="e">
        <x:f>HYPERLINK("https://en.wikipedia.org/wiki/Professor_T.","Open source")</x:f>
        <x:v>HYPERLINK is not implemented. linkLocation=https://en.wikipedia.org/wiki/Professor_T., friendlyName=Open source</x:v>
      </x:c>
      <x:c r="AN746" s="14" t="str">
        <x:v>No qualifying BBC relationship</x:v>
      </x:c>
      <x:c r="AO746" s="14" t="str">
        <x:v>No</x:v>
      </x:c>
      <x:c r="AP746" s="14" t="str">
        <x:v>Out of scope</x:v>
      </x:c>
      <x:c r="AQ746" s="14" t="str">
        <x:v>No</x:v>
      </x:c>
      <x:c r="AR746" s="14" t="str">
        <x:v>Resolved from master register</x:v>
      </x:c>
      <x:c r="AS746" s="14" t="str">
        <x:v>No established-register match</x:v>
      </x:c>
      <x:c r="AT746" s="14"/>
      <x:c r="AU746" s="14"/>
      <x:c r="AV746" s="14" t="str">
        <x:v>No established apparent-disability match</x:v>
      </x:c>
      <x:c r="AW746" s="14"/>
      <x:c r="AX746" s="14" t="str">
        <x:v>No</x:v>
      </x:c>
      <x:c r="AY746" s="14" t="str">
        <x:v>Unmatched</x:v>
      </x:c>
      <x:c r="AZ746" s="14" t="str">
        <x:v>Final supplied register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30</x:v>
      </x:c>
      <x:c r="BP746" s="14" t="str">
        <x:v>Maximum eligible IMDb cast-credit total (30), shared by 2 performer(s); not independently verified as a 2021-only episode total.</x:v>
      </x:c>
      <x:c r="BQ746" s="14" t="str">
        <x:v>Medium</x:v>
      </x:c>
      <x:c r="BR746" s="15" t="n">
        <x:v>1</x:v>
      </x:c>
      <x:c r="BS746" s="16" t="n">
        <x:v>0.03333333333333333</x:v>
      </x:c>
      <x:c r="BT746" s="14" t="str">
        <x:v>One episode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4" t="str">
        <x:v>HYPERLINK is not implemented. linkLocation=https://www.imdb.com/title/tt11981644/fullcredits/, friendlyName=Open source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tt11981644|nm9944131|jc lewis</x:v>
      </x:c>
      <x:c r="B747" s="14" t="str">
        <x:v>02</x:v>
      </x:c>
      <x:c r="C747" s="14" t="str">
        <x:v>2021_IMDb_Cast_Lists_Batch_02(1).xlsx</x:v>
      </x:c>
      <x:c r="D747" s="14" t="str">
        <x:v>Professor T</x:v>
      </x:c>
      <x:c r="E747" s="14" t="n">
        <x:v>73</x:v>
      </x:c>
      <x:c r="F747" s="14" t="str">
        <x:v>Professor T</x:v>
      </x:c>
      <x:c r="G747" s="14" t="str">
        <x:v>tt11981644</x:v>
      </x:c>
      <x:c r="H747" s="14" t="n">
        <x:v>2021</x:v>
      </x:c>
      <x:c r="I747" s="14" t="n">
        <x:v>2025</x:v>
      </x:c>
      <x:c r="J747" s="14" t="str">
        <x:v>Earlier-Production Carry-In Cohort</x:v>
      </x:c>
      <x:c r="K747" s="14" t="n">
        <x:v>2021</x:v>
      </x:c>
      <x:c r="L747" s="14" t="str">
        <x:v>Used in 2025 annual analysis</x:v>
      </x:c>
      <x:c r="M747" s="15" t="n">
        <x:v>66</x:v>
      </x:c>
      <x:c r="N747" s="14" t="str">
        <x:v>Angus Yellowlees</x:v>
      </x:c>
      <x:c r="O747" s="14" t="str">
        <x:v>nm9944131</x:v>
      </x:c>
      <x:c r="P747" s="14" t="str">
        <x:v>JC Lewis</x:v>
      </x:c>
      <x:c r="Q747" s="15" t="n">
        <x:v>1</x:v>
      </x:c>
      <x:c r="R747" s="14" t="str">
        <x:v>2025</x:v>
      </x:c>
      <x:c r="S747" s="14" t="n">
        <x:v>2025</x:v>
      </x:c>
      <x:c r="T747" s="14" t="n">
        <x:v>2025</x:v>
      </x:c>
      <x:c r="U747" s="14" t="str">
        <x:v>Post-2021 casting excluded</x:v>
      </x:c>
      <x:c r="V747" s="14" t="str">
        <x:v>Earliest supplied year is 2025, later than the 2021 study year.</x:v>
      </x:c>
      <x:c r="W747" s="14"/>
      <x:c r="X747" s="14" t="str">
        <x:v>Included</x:v>
      </x:c>
      <x:c r="Y747" s="14"/>
      <x:c r="Z747" s="14" t="str">
        <x:v>Professor T.docx</x:v>
      </x:c>
      <x:c r="AA747" s="14" t="str">
        <x:v>HYPERLINK is not implemented. linkLocation=https://www.imdb.com/title/tt11981644/fullcredits/, friendlyName=Open source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ITV / ITVX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7" t="e">
        <x:f>HYPERLINK("https://en.wikipedia.org/wiki/Professor_T.","Open source")</x:f>
        <x:v>HYPERLINK is not implemented. linkLocation=https://en.wikipedia.org/wiki/Professor_T., friendlyName=Open source</x:v>
      </x:c>
      <x:c r="AN747" s="14" t="str">
        <x:v>No qualifying BBC relationship</x:v>
      </x:c>
      <x:c r="AO747" s="14" t="str">
        <x:v>No</x:v>
      </x:c>
      <x:c r="AP747" s="14" t="str">
        <x:v>Out of scope</x:v>
      </x:c>
      <x:c r="AQ747" s="14" t="str">
        <x:v>No</x:v>
      </x:c>
      <x:c r="AR747" s="14" t="str">
        <x:v>Resolved from master register</x:v>
      </x:c>
      <x:c r="AS747" s="14" t="str">
        <x:v>No established-register match</x:v>
      </x:c>
      <x:c r="AT747" s="14"/>
      <x:c r="AU747" s="14"/>
      <x:c r="AV747" s="14" t="str">
        <x:v>No established apparent-disability match</x:v>
      </x:c>
      <x:c r="AW747" s="14"/>
      <x:c r="AX747" s="14" t="str">
        <x:v>No</x:v>
      </x:c>
      <x:c r="AY747" s="14" t="str">
        <x:v>Unmatched</x:v>
      </x:c>
      <x:c r="AZ747" s="14" t="str">
        <x:v>Final supplied register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30</x:v>
      </x:c>
      <x:c r="BP747" s="14" t="str">
        <x:v>Maximum eligible IMDb cast-credit total (30), shared by 2 performer(s); not independently verified as a 2021-only episode total.</x:v>
      </x:c>
      <x:c r="BQ747" s="14" t="str">
        <x:v>Medium</x:v>
      </x:c>
      <x:c r="BR747" s="15" t="n">
        <x:v>1</x:v>
      </x:c>
      <x:c r="BS747" s="16" t="n">
        <x:v>0.03333333333333333</x:v>
      </x:c>
      <x:c r="BT747" s="14" t="str">
        <x:v>One episode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4" t="str">
        <x:v>HYPERLINK is not implemented. linkLocation=https://www.imdb.com/title/tt11981644/fullcredits/, friendlyName=Open source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tt11981644|nm12832881|tanya loomis</x:v>
      </x:c>
      <x:c r="B748" s="14" t="str">
        <x:v>02</x:v>
      </x:c>
      <x:c r="C748" s="14" t="str">
        <x:v>2021_IMDb_Cast_Lists_Batch_02(1).xlsx</x:v>
      </x:c>
      <x:c r="D748" s="14" t="str">
        <x:v>Professor T</x:v>
      </x:c>
      <x:c r="E748" s="14" t="n">
        <x:v>74</x:v>
      </x:c>
      <x:c r="F748" s="14" t="str">
        <x:v>Professor T</x:v>
      </x:c>
      <x:c r="G748" s="14" t="str">
        <x:v>tt11981644</x:v>
      </x:c>
      <x:c r="H748" s="14" t="n">
        <x:v>2021</x:v>
      </x:c>
      <x:c r="I748" s="14" t="n">
        <x:v>2025</x:v>
      </x:c>
      <x:c r="J748" s="14" t="str">
        <x:v>Earlier-Production Carry-In Cohort</x:v>
      </x:c>
      <x:c r="K748" s="14" t="n">
        <x:v>2021</x:v>
      </x:c>
      <x:c r="L748" s="14" t="str">
        <x:v>Used in 2025 annual analysis</x:v>
      </x:c>
      <x:c r="M748" s="15" t="n">
        <x:v>67</x:v>
      </x:c>
      <x:c r="N748" s="14" t="str">
        <x:v>Sinay Bavurhe</x:v>
      </x:c>
      <x:c r="O748" s="14" t="str">
        <x:v>nm12832881</x:v>
      </x:c>
      <x:c r="P748" s="14" t="str">
        <x:v>Tanya Loomis</x:v>
      </x:c>
      <x:c r="Q748" s="15" t="n">
        <x:v>1</x:v>
      </x:c>
      <x:c r="R748" s="14" t="str">
        <x:v>2025</x:v>
      </x:c>
      <x:c r="S748" s="14" t="n">
        <x:v>2025</x:v>
      </x:c>
      <x:c r="T748" s="14" t="n">
        <x:v>2025</x:v>
      </x:c>
      <x:c r="U748" s="14" t="str">
        <x:v>Post-2021 casting excluded</x:v>
      </x:c>
      <x:c r="V748" s="14" t="str">
        <x:v>Earliest supplied year is 2025, later than the 2021 study year.</x:v>
      </x:c>
      <x:c r="W748" s="14"/>
      <x:c r="X748" s="14" t="str">
        <x:v>Included</x:v>
      </x:c>
      <x:c r="Y748" s="14"/>
      <x:c r="Z748" s="14" t="str">
        <x:v>Professor T.docx</x:v>
      </x:c>
      <x:c r="AA748" s="14" t="str">
        <x:v>HYPERLINK is not implemented. linkLocation=https://www.imdb.com/title/tt11981644/fullcredits/, friendlyName=Open source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ITV / ITVX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7" t="e">
        <x:f>HYPERLINK("https://en.wikipedia.org/wiki/Professor_T.","Open source")</x:f>
        <x:v>HYPERLINK is not implemented. linkLocation=https://en.wikipedia.org/wiki/Professor_T., friendlyName=Open source</x:v>
      </x:c>
      <x:c r="AN748" s="14" t="str">
        <x:v>No qualifying BBC relationship</x:v>
      </x:c>
      <x:c r="AO748" s="14" t="str">
        <x:v>No</x:v>
      </x:c>
      <x:c r="AP748" s="14" t="str">
        <x:v>Out of scope</x:v>
      </x:c>
      <x:c r="AQ748" s="14" t="str">
        <x:v>No</x:v>
      </x:c>
      <x:c r="AR748" s="14" t="str">
        <x:v>Resolved from master register</x:v>
      </x:c>
      <x:c r="AS748" s="14" t="str">
        <x:v>No established-register match</x:v>
      </x:c>
      <x:c r="AT748" s="14"/>
      <x:c r="AU748" s="14"/>
      <x:c r="AV748" s="14" t="str">
        <x:v>No established apparent-disability match</x:v>
      </x:c>
      <x:c r="AW748" s="14"/>
      <x:c r="AX748" s="14" t="str">
        <x:v>No</x:v>
      </x:c>
      <x:c r="AY748" s="14" t="str">
        <x:v>Unmatched</x:v>
      </x:c>
      <x:c r="AZ748" s="14" t="str">
        <x:v>Final supplied register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30</x:v>
      </x:c>
      <x:c r="BP748" s="14" t="str">
        <x:v>Maximum eligible IMDb cast-credit total (30), shared by 2 performer(s); not independently verified as a 2021-only episode total.</x:v>
      </x:c>
      <x:c r="BQ748" s="14" t="str">
        <x:v>Medium</x:v>
      </x:c>
      <x:c r="BR748" s="15" t="n">
        <x:v>1</x:v>
      </x:c>
      <x:c r="BS748" s="16" t="n">
        <x:v>0.03333333333333333</x:v>
      </x:c>
      <x:c r="BT748" s="14" t="str">
        <x:v>One episode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4" t="str">
        <x:v>HYPERLINK is not implemented. linkLocation=https://www.imdb.com/title/tt11981644/fullcredits/, friendlyName=Open source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tt11981644|nm17593077|jay morgan</x:v>
      </x:c>
      <x:c r="B749" s="14" t="str">
        <x:v>02</x:v>
      </x:c>
      <x:c r="C749" s="14" t="str">
        <x:v>2021_IMDb_Cast_Lists_Batch_02(1).xlsx</x:v>
      </x:c>
      <x:c r="D749" s="14" t="str">
        <x:v>Professor T</x:v>
      </x:c>
      <x:c r="E749" s="14" t="n">
        <x:v>75</x:v>
      </x:c>
      <x:c r="F749" s="14" t="str">
        <x:v>Professor T</x:v>
      </x:c>
      <x:c r="G749" s="14" t="str">
        <x:v>tt11981644</x:v>
      </x:c>
      <x:c r="H749" s="14" t="n">
        <x:v>2021</x:v>
      </x:c>
      <x:c r="I749" s="14" t="n">
        <x:v>2025</x:v>
      </x:c>
      <x:c r="J749" s="14" t="str">
        <x:v>Earlier-Production Carry-In Cohort</x:v>
      </x:c>
      <x:c r="K749" s="14" t="n">
        <x:v>2021</x:v>
      </x:c>
      <x:c r="L749" s="14" t="str">
        <x:v>Used in 2025 annual analysis</x:v>
      </x:c>
      <x:c r="M749" s="15" t="n">
        <x:v>68</x:v>
      </x:c>
      <x:c r="N749" s="14" t="str">
        <x:v>Ludovic Lhoest</x:v>
      </x:c>
      <x:c r="O749" s="14" t="str">
        <x:v>nm17593077</x:v>
      </x:c>
      <x:c r="P749" s="14" t="str">
        <x:v>Jay Morgan</x:v>
      </x:c>
      <x:c r="Q749" s="15" t="n">
        <x:v>1</x:v>
      </x:c>
      <x:c r="R749" s="14" t="str">
        <x:v>2025</x:v>
      </x:c>
      <x:c r="S749" s="14" t="n">
        <x:v>2025</x:v>
      </x:c>
      <x:c r="T749" s="14" t="n">
        <x:v>2025</x:v>
      </x:c>
      <x:c r="U749" s="14" t="str">
        <x:v>Post-2021 casting excluded</x:v>
      </x:c>
      <x:c r="V749" s="14" t="str">
        <x:v>Earliest supplied year is 2025, later than the 2021 study year.</x:v>
      </x:c>
      <x:c r="W749" s="14"/>
      <x:c r="X749" s="14" t="str">
        <x:v>Included</x:v>
      </x:c>
      <x:c r="Y749" s="14"/>
      <x:c r="Z749" s="14" t="str">
        <x:v>Professor T.docx</x:v>
      </x:c>
      <x:c r="AA749" s="14" t="str">
        <x:v>HYPERLINK is not implemented. linkLocation=https://www.imdb.com/title/tt11981644/fullcredits/, friendlyName=Open source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ITV / ITVX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7" t="e">
        <x:f>HYPERLINK("https://en.wikipedia.org/wiki/Professor_T.","Open source")</x:f>
        <x:v>HYPERLINK is not implemented. linkLocation=https://en.wikipedia.org/wiki/Professor_T., friendlyName=Open source</x:v>
      </x:c>
      <x:c r="AN749" s="14" t="str">
        <x:v>No qualifying BBC relationship</x:v>
      </x:c>
      <x:c r="AO749" s="14" t="str">
        <x:v>No</x:v>
      </x:c>
      <x:c r="AP749" s="14" t="str">
        <x:v>Out of scope</x:v>
      </x:c>
      <x:c r="AQ749" s="14" t="str">
        <x:v>No</x:v>
      </x:c>
      <x:c r="AR749" s="14" t="str">
        <x:v>Resolved from master register</x:v>
      </x:c>
      <x:c r="AS749" s="14" t="str">
        <x:v>No established-register match</x:v>
      </x:c>
      <x:c r="AT749" s="14"/>
      <x:c r="AU749" s="14"/>
      <x:c r="AV749" s="14" t="str">
        <x:v>No established apparent-disability match</x:v>
      </x:c>
      <x:c r="AW749" s="14"/>
      <x:c r="AX749" s="14" t="str">
        <x:v>No</x:v>
      </x:c>
      <x:c r="AY749" s="14" t="str">
        <x:v>Unmatched</x:v>
      </x:c>
      <x:c r="AZ749" s="14" t="str">
        <x:v>Final supplied register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30</x:v>
      </x:c>
      <x:c r="BP749" s="14" t="str">
        <x:v>Maximum eligible IMDb cast-credit total (30), shared by 2 performer(s); not independently verified as a 2021-only episode total.</x:v>
      </x:c>
      <x:c r="BQ749" s="14" t="str">
        <x:v>Medium</x:v>
      </x:c>
      <x:c r="BR749" s="15" t="n">
        <x:v>1</x:v>
      </x:c>
      <x:c r="BS749" s="16" t="n">
        <x:v>0.03333333333333333</x:v>
      </x:c>
      <x:c r="BT749" s="14" t="str">
        <x:v>One episode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4" t="str">
        <x:v>HYPERLINK is not implemented. linkLocation=https://www.imdb.com/title/tt11981644/fullcredits/, friendlyName=Open source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tt11981644|nm4622214|pc2</x:v>
      </x:c>
      <x:c r="B750" s="14" t="str">
        <x:v>02</x:v>
      </x:c>
      <x:c r="C750" s="14" t="str">
        <x:v>2021_IMDb_Cast_Lists_Batch_02(1).xlsx</x:v>
      </x:c>
      <x:c r="D750" s="14" t="str">
        <x:v>Professor T</x:v>
      </x:c>
      <x:c r="E750" s="14" t="n">
        <x:v>76</x:v>
      </x:c>
      <x:c r="F750" s="14" t="str">
        <x:v>Professor T</x:v>
      </x:c>
      <x:c r="G750" s="14" t="str">
        <x:v>tt11981644</x:v>
      </x:c>
      <x:c r="H750" s="14" t="n">
        <x:v>2021</x:v>
      </x:c>
      <x:c r="I750" s="14" t="n">
        <x:v>2025</x:v>
      </x:c>
      <x:c r="J750" s="14" t="str">
        <x:v>Earlier-Production Carry-In Cohort</x:v>
      </x:c>
      <x:c r="K750" s="14" t="n">
        <x:v>2021</x:v>
      </x:c>
      <x:c r="L750" s="14" t="str">
        <x:v>Used in 2025 annual analysis</x:v>
      </x:c>
      <x:c r="M750" s="15" t="n">
        <x:v>69</x:v>
      </x:c>
      <x:c r="N750" s="14" t="str">
        <x:v>Yva Lake</x:v>
      </x:c>
      <x:c r="O750" s="14" t="str">
        <x:v>nm4622214</x:v>
      </x:c>
      <x:c r="P750" s="14" t="str">
        <x:v>PC2</x:v>
      </x:c>
      <x:c r="Q750" s="15" t="n">
        <x:v>1</x:v>
      </x:c>
      <x:c r="R750" s="14" t="str">
        <x:v>2025</x:v>
      </x:c>
      <x:c r="S750" s="14" t="n">
        <x:v>2025</x:v>
      </x:c>
      <x:c r="T750" s="14" t="n">
        <x:v>2025</x:v>
      </x:c>
      <x:c r="U750" s="14" t="str">
        <x:v>Post-2021 casting excluded</x:v>
      </x:c>
      <x:c r="V750" s="14" t="str">
        <x:v>Earliest supplied year is 2025, later than the 2021 study year.</x:v>
      </x:c>
      <x:c r="W750" s="14"/>
      <x:c r="X750" s="14" t="str">
        <x:v>Included</x:v>
      </x:c>
      <x:c r="Y750" s="14" t="str">
        <x:v>(as Yvonne Lake)</x:v>
      </x:c>
      <x:c r="Z750" s="14" t="str">
        <x:v>Professor T.docx</x:v>
      </x:c>
      <x:c r="AA750" s="14" t="str">
        <x:v>HYPERLINK is not implemented. linkLocation=https://www.imdb.com/title/tt11981644/fullcredits/, friendlyName=Open source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ITV / ITVX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7" t="e">
        <x:f>HYPERLINK("https://en.wikipedia.org/wiki/Professor_T.","Open source")</x:f>
        <x:v>HYPERLINK is not implemented. linkLocation=https://en.wikipedia.org/wiki/Professor_T., friendlyName=Open source</x:v>
      </x:c>
      <x:c r="AN750" s="14" t="str">
        <x:v>No qualifying BBC relationship</x:v>
      </x:c>
      <x:c r="AO750" s="14" t="str">
        <x:v>No</x:v>
      </x:c>
      <x:c r="AP750" s="14" t="str">
        <x:v>Out of scope</x:v>
      </x:c>
      <x:c r="AQ750" s="14" t="str">
        <x:v>No</x:v>
      </x:c>
      <x:c r="AR750" s="14" t="str">
        <x:v>Resolved from master register</x:v>
      </x:c>
      <x:c r="AS750" s="14" t="str">
        <x:v>No established-register match</x:v>
      </x:c>
      <x:c r="AT750" s="14"/>
      <x:c r="AU750" s="14"/>
      <x:c r="AV750" s="14" t="str">
        <x:v>No established apparent-disability match</x:v>
      </x:c>
      <x:c r="AW750" s="14"/>
      <x:c r="AX750" s="14" t="str">
        <x:v>No</x:v>
      </x:c>
      <x:c r="AY750" s="14" t="str">
        <x:v>Unmatched</x:v>
      </x:c>
      <x:c r="AZ750" s="14" t="str">
        <x:v>Final supplied register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30</x:v>
      </x:c>
      <x:c r="BP750" s="14" t="str">
        <x:v>Maximum eligible IMDb cast-credit total (30), shared by 2 performer(s); not independently verified as a 2021-only episode total.</x:v>
      </x:c>
      <x:c r="BQ750" s="14" t="str">
        <x:v>Medium</x:v>
      </x:c>
      <x:c r="BR750" s="15" t="n">
        <x:v>1</x:v>
      </x:c>
      <x:c r="BS750" s="16" t="n">
        <x:v>0.03333333333333333</x:v>
      </x:c>
      <x:c r="BT750" s="14" t="str">
        <x:v>One episode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4" t="str">
        <x:v>HYPERLINK is not implemented. linkLocation=https://www.imdb.com/title/tt11981644/fullcredits/, friendlyName=Open source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tt11981644|nm3008893|phoebe sanders</x:v>
      </x:c>
      <x:c r="B751" s="14" t="str">
        <x:v>02</x:v>
      </x:c>
      <x:c r="C751" s="14" t="str">
        <x:v>2021_IMDb_Cast_Lists_Batch_02(1).xlsx</x:v>
      </x:c>
      <x:c r="D751" s="14" t="str">
        <x:v>Professor T</x:v>
      </x:c>
      <x:c r="E751" s="14" t="n">
        <x:v>78</x:v>
      </x:c>
      <x:c r="F751" s="14" t="str">
        <x:v>Professor T</x:v>
      </x:c>
      <x:c r="G751" s="14" t="str">
        <x:v>tt11981644</x:v>
      </x:c>
      <x:c r="H751" s="14" t="n">
        <x:v>2021</x:v>
      </x:c>
      <x:c r="I751" s="14" t="n">
        <x:v>2025</x:v>
      </x:c>
      <x:c r="J751" s="14" t="str">
        <x:v>Earlier-Production Carry-In Cohort</x:v>
      </x:c>
      <x:c r="K751" s="14" t="n">
        <x:v>2021</x:v>
      </x:c>
      <x:c r="L751" s="14" t="str">
        <x:v>Used in 2025 annual analysis</x:v>
      </x:c>
      <x:c r="M751" s="15" t="n">
        <x:v>71</x:v>
      </x:c>
      <x:c r="N751" s="14" t="str">
        <x:v>Emily Taaffe</x:v>
      </x:c>
      <x:c r="O751" s="14" t="str">
        <x:v>nm3008893</x:v>
      </x:c>
      <x:c r="P751" s="14" t="str">
        <x:v>Phoebe Sanders</x:v>
      </x:c>
      <x:c r="Q751" s="15" t="n">
        <x:v>1</x:v>
      </x:c>
      <x:c r="R751" s="14" t="str">
        <x:v>2025</x:v>
      </x:c>
      <x:c r="S751" s="14" t="n">
        <x:v>2025</x:v>
      </x:c>
      <x:c r="T751" s="14" t="n">
        <x:v>2025</x:v>
      </x:c>
      <x:c r="U751" s="14" t="str">
        <x:v>Post-2021 casting excluded</x:v>
      </x:c>
      <x:c r="V751" s="14" t="str">
        <x:v>Earliest supplied year is 2025, later than the 2021 study year.</x:v>
      </x:c>
      <x:c r="W751" s="14"/>
      <x:c r="X751" s="14" t="str">
        <x:v>Included</x:v>
      </x:c>
      <x:c r="Y751" s="14"/>
      <x:c r="Z751" s="14" t="str">
        <x:v>Professor T.docx</x:v>
      </x:c>
      <x:c r="AA751" s="14" t="str">
        <x:v>HYPERLINK is not implemented. linkLocation=https://www.imdb.com/title/tt11981644/fullcredits/, friendlyName=Open source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ITV / ITVX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7" t="e">
        <x:f>HYPERLINK("https://en.wikipedia.org/wiki/Professor_T.","Open source")</x:f>
        <x:v>HYPERLINK is not implemented. linkLocation=https://en.wikipedia.org/wiki/Professor_T., friendlyName=Open source</x:v>
      </x:c>
      <x:c r="AN751" s="14" t="str">
        <x:v>No qualifying BBC relationship</x:v>
      </x:c>
      <x:c r="AO751" s="14" t="str">
        <x:v>No</x:v>
      </x:c>
      <x:c r="AP751" s="14" t="str">
        <x:v>Out of scope</x:v>
      </x:c>
      <x:c r="AQ751" s="14" t="str">
        <x:v>No</x:v>
      </x:c>
      <x:c r="AR751" s="14" t="str">
        <x:v>Resolved from master register</x:v>
      </x:c>
      <x:c r="AS751" s="14" t="str">
        <x:v>No established-register match</x:v>
      </x:c>
      <x:c r="AT751" s="14"/>
      <x:c r="AU751" s="14"/>
      <x:c r="AV751" s="14" t="str">
        <x:v>No established apparent-disability match</x:v>
      </x:c>
      <x:c r="AW751" s="14"/>
      <x:c r="AX751" s="14" t="str">
        <x:v>No</x:v>
      </x:c>
      <x:c r="AY751" s="14" t="str">
        <x:v>Unmatched</x:v>
      </x:c>
      <x:c r="AZ751" s="14" t="str">
        <x:v>Final supplied register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30</x:v>
      </x:c>
      <x:c r="BP751" s="14" t="str">
        <x:v>Maximum eligible IMDb cast-credit total (30), shared by 2 performer(s); not independently verified as a 2021-only episode total.</x:v>
      </x:c>
      <x:c r="BQ751" s="14" t="str">
        <x:v>Medium</x:v>
      </x:c>
      <x:c r="BR751" s="15" t="n">
        <x:v>1</x:v>
      </x:c>
      <x:c r="BS751" s="16" t="n">
        <x:v>0.03333333333333333</x:v>
      </x:c>
      <x:c r="BT751" s="14" t="str">
        <x:v>One episode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4" t="str">
        <x:v>HYPERLINK is not implemented. linkLocation=https://www.imdb.com/title/tt11981644/fullcredits/, friendlyName=Open source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tt11981644|nm15747518|ramona stubbs</x:v>
      </x:c>
      <x:c r="B752" s="14" t="str">
        <x:v>02</x:v>
      </x:c>
      <x:c r="C752" s="14" t="str">
        <x:v>2021_IMDb_Cast_Lists_Batch_02(1).xlsx</x:v>
      </x:c>
      <x:c r="D752" s="14" t="str">
        <x:v>Professor T</x:v>
      </x:c>
      <x:c r="E752" s="14" t="n">
        <x:v>79</x:v>
      </x:c>
      <x:c r="F752" s="14" t="str">
        <x:v>Professor T</x:v>
      </x:c>
      <x:c r="G752" s="14" t="str">
        <x:v>tt11981644</x:v>
      </x:c>
      <x:c r="H752" s="14" t="n">
        <x:v>2021</x:v>
      </x:c>
      <x:c r="I752" s="14" t="n">
        <x:v>2025</x:v>
      </x:c>
      <x:c r="J752" s="14" t="str">
        <x:v>Earlier-Production Carry-In Cohort</x:v>
      </x:c>
      <x:c r="K752" s="14" t="n">
        <x:v>2021</x:v>
      </x:c>
      <x:c r="L752" s="14" t="str">
        <x:v>Used in 2025 annual analysis</x:v>
      </x:c>
      <x:c r="M752" s="15" t="n">
        <x:v>72</x:v>
      </x:c>
      <x:c r="N752" s="14" t="str">
        <x:v>Mia Gill</x:v>
      </x:c>
      <x:c r="O752" s="14" t="str">
        <x:v>nm15747518</x:v>
      </x:c>
      <x:c r="P752" s="14" t="str">
        <x:v>Ramona Stubbs</x:v>
      </x:c>
      <x:c r="Q752" s="15" t="n">
        <x:v>1</x:v>
      </x:c>
      <x:c r="R752" s="14" t="str">
        <x:v>2025</x:v>
      </x:c>
      <x:c r="S752" s="14" t="n">
        <x:v>2025</x:v>
      </x:c>
      <x:c r="T752" s="14" t="n">
        <x:v>2025</x:v>
      </x:c>
      <x:c r="U752" s="14" t="str">
        <x:v>Post-2021 casting excluded</x:v>
      </x:c>
      <x:c r="V752" s="14" t="str">
        <x:v>Earliest supplied year is 2025, later than the 2021 study year.</x:v>
      </x:c>
      <x:c r="W752" s="14"/>
      <x:c r="X752" s="14" t="str">
        <x:v>Included</x:v>
      </x:c>
      <x:c r="Y752" s="14"/>
      <x:c r="Z752" s="14" t="str">
        <x:v>Professor T.docx</x:v>
      </x:c>
      <x:c r="AA752" s="14" t="str">
        <x:v>HYPERLINK is not implemented. linkLocation=https://www.imdb.com/title/tt11981644/fullcredits/, friendlyName=Open source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ITV / ITVX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7" t="e">
        <x:f>HYPERLINK("https://en.wikipedia.org/wiki/Professor_T.","Open source")</x:f>
        <x:v>HYPERLINK is not implemented. linkLocation=https://en.wikipedia.org/wiki/Professor_T., friendlyName=Open source</x:v>
      </x:c>
      <x:c r="AN752" s="14" t="str">
        <x:v>No qualifying BBC relationship</x:v>
      </x:c>
      <x:c r="AO752" s="14" t="str">
        <x:v>No</x:v>
      </x:c>
      <x:c r="AP752" s="14" t="str">
        <x:v>Out of scope</x:v>
      </x:c>
      <x:c r="AQ752" s="14" t="str">
        <x:v>No</x:v>
      </x:c>
      <x:c r="AR752" s="14" t="str">
        <x:v>Resolved from master register</x:v>
      </x:c>
      <x:c r="AS752" s="14" t="str">
        <x:v>No established-register match</x:v>
      </x:c>
      <x:c r="AT752" s="14"/>
      <x:c r="AU752" s="14"/>
      <x:c r="AV752" s="14" t="str">
        <x:v>No established apparent-disability match</x:v>
      </x:c>
      <x:c r="AW752" s="14"/>
      <x:c r="AX752" s="14" t="str">
        <x:v>No</x:v>
      </x:c>
      <x:c r="AY752" s="14" t="str">
        <x:v>Unmatched</x:v>
      </x:c>
      <x:c r="AZ752" s="14" t="str">
        <x:v>Final supplied register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30</x:v>
      </x:c>
      <x:c r="BP752" s="14" t="str">
        <x:v>Maximum eligible IMDb cast-credit total (30), shared by 2 performer(s); not independently verified as a 2021-only episode total.</x:v>
      </x:c>
      <x:c r="BQ752" s="14" t="str">
        <x:v>Medium</x:v>
      </x:c>
      <x:c r="BR752" s="15" t="n">
        <x:v>1</x:v>
      </x:c>
      <x:c r="BS752" s="16" t="n">
        <x:v>0.03333333333333333</x:v>
      </x:c>
      <x:c r="BT752" s="14" t="str">
        <x:v>One episode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4" t="str">
        <x:v>HYPERLINK is not implemented. linkLocation=https://www.imdb.com/title/tt11981644/fullcredits/, friendlyName=Open source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tt11981644|nm6340110|abbey sommers</x:v>
      </x:c>
      <x:c r="B753" s="14" t="str">
        <x:v>02</x:v>
      </x:c>
      <x:c r="C753" s="14" t="str">
        <x:v>2021_IMDb_Cast_Lists_Batch_02(1).xlsx</x:v>
      </x:c>
      <x:c r="D753" s="14" t="str">
        <x:v>Professor T</x:v>
      </x:c>
      <x:c r="E753" s="14" t="n">
        <x:v>80</x:v>
      </x:c>
      <x:c r="F753" s="14" t="str">
        <x:v>Professor T</x:v>
      </x:c>
      <x:c r="G753" s="14" t="str">
        <x:v>tt11981644</x:v>
      </x:c>
      <x:c r="H753" s="14" t="n">
        <x:v>2021</x:v>
      </x:c>
      <x:c r="I753" s="14" t="n">
        <x:v>2025</x:v>
      </x:c>
      <x:c r="J753" s="14" t="str">
        <x:v>Earlier-Production Carry-In Cohort</x:v>
      </x:c>
      <x:c r="K753" s="14" t="n">
        <x:v>2021</x:v>
      </x:c>
      <x:c r="L753" s="14" t="str">
        <x:v>Used in 2025 annual analysis</x:v>
      </x:c>
      <x:c r="M753" s="15" t="n">
        <x:v>73</x:v>
      </x:c>
      <x:c r="N753" s="14" t="str">
        <x:v>Aude Ruyter</x:v>
      </x:c>
      <x:c r="O753" s="14" t="str">
        <x:v>nm6340110</x:v>
      </x:c>
      <x:c r="P753" s="14" t="str">
        <x:v>Abbey Sommers</x:v>
      </x:c>
      <x:c r="Q753" s="15" t="n">
        <x:v>1</x:v>
      </x:c>
      <x:c r="R753" s="14" t="str">
        <x:v>2025</x:v>
      </x:c>
      <x:c r="S753" s="14" t="n">
        <x:v>2025</x:v>
      </x:c>
      <x:c r="T753" s="14" t="n">
        <x:v>2025</x:v>
      </x:c>
      <x:c r="U753" s="14" t="str">
        <x:v>Post-2021 casting excluded</x:v>
      </x:c>
      <x:c r="V753" s="14" t="str">
        <x:v>Earliest supplied year is 2025, later than the 2021 study year.</x:v>
      </x:c>
      <x:c r="W753" s="14"/>
      <x:c r="X753" s="14" t="str">
        <x:v>Included</x:v>
      </x:c>
      <x:c r="Y753" s="14"/>
      <x:c r="Z753" s="14" t="str">
        <x:v>Professor T.docx</x:v>
      </x:c>
      <x:c r="AA753" s="14" t="str">
        <x:v>HYPERLINK is not implemented. linkLocation=https://www.imdb.com/title/tt11981644/fullcredits/, friendlyName=Open source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ITV / ITVX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7" t="e">
        <x:f>HYPERLINK("https://en.wikipedia.org/wiki/Professor_T.","Open source")</x:f>
        <x:v>HYPERLINK is not implemented. linkLocation=https://en.wikipedia.org/wiki/Professor_T., friendlyName=Open source</x:v>
      </x:c>
      <x:c r="AN753" s="14" t="str">
        <x:v>No qualifying BBC relationship</x:v>
      </x:c>
      <x:c r="AO753" s="14" t="str">
        <x:v>No</x:v>
      </x:c>
      <x:c r="AP753" s="14" t="str">
        <x:v>Out of scope</x:v>
      </x:c>
      <x:c r="AQ753" s="14" t="str">
        <x:v>No</x:v>
      </x:c>
      <x:c r="AR753" s="14" t="str">
        <x:v>Resolved from master register</x:v>
      </x:c>
      <x:c r="AS753" s="14" t="str">
        <x:v>No established-register match</x:v>
      </x:c>
      <x:c r="AT753" s="14"/>
      <x:c r="AU753" s="14"/>
      <x:c r="AV753" s="14" t="str">
        <x:v>No established apparent-disability match</x:v>
      </x:c>
      <x:c r="AW753" s="14"/>
      <x:c r="AX753" s="14" t="str">
        <x:v>No</x:v>
      </x:c>
      <x:c r="AY753" s="14" t="str">
        <x:v>Unmatched</x:v>
      </x:c>
      <x:c r="AZ753" s="14" t="str">
        <x:v>Final supplied register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30</x:v>
      </x:c>
      <x:c r="BP753" s="14" t="str">
        <x:v>Maximum eligible IMDb cast-credit total (30), shared by 2 performer(s); not independently verified as a 2021-only episode total.</x:v>
      </x:c>
      <x:c r="BQ753" s="14" t="str">
        <x:v>Medium</x:v>
      </x:c>
      <x:c r="BR753" s="15" t="n">
        <x:v>1</x:v>
      </x:c>
      <x:c r="BS753" s="16" t="n">
        <x:v>0.03333333333333333</x:v>
      </x:c>
      <x:c r="BT753" s="14" t="str">
        <x:v>One episode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4" t="str">
        <x:v>HYPERLINK is not implemented. linkLocation=https://www.imdb.com/title/tt11981644/fullcredits/, friendlyName=Open source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tt11981644|nm0942021|bradley sanders</x:v>
      </x:c>
      <x:c r="B754" s="14" t="str">
        <x:v>02</x:v>
      </x:c>
      <x:c r="C754" s="14" t="str">
        <x:v>2021_IMDb_Cast_Lists_Batch_02(1).xlsx</x:v>
      </x:c>
      <x:c r="D754" s="14" t="str">
        <x:v>Professor T</x:v>
      </x:c>
      <x:c r="E754" s="14" t="n">
        <x:v>85</x:v>
      </x:c>
      <x:c r="F754" s="14" t="str">
        <x:v>Professor T</x:v>
      </x:c>
      <x:c r="G754" s="14" t="str">
        <x:v>tt11981644</x:v>
      </x:c>
      <x:c r="H754" s="14" t="n">
        <x:v>2021</x:v>
      </x:c>
      <x:c r="I754" s="14" t="n">
        <x:v>2025</x:v>
      </x:c>
      <x:c r="J754" s="14" t="str">
        <x:v>Earlier-Production Carry-In Cohort</x:v>
      </x:c>
      <x:c r="K754" s="14" t="n">
        <x:v>2021</x:v>
      </x:c>
      <x:c r="L754" s="14" t="str">
        <x:v>Used in 2025 annual analysis</x:v>
      </x:c>
      <x:c r="M754" s="15" t="n">
        <x:v>78</x:v>
      </x:c>
      <x:c r="N754" s="14" t="str">
        <x:v>Jonathan Wrather</x:v>
      </x:c>
      <x:c r="O754" s="14" t="str">
        <x:v>nm0942021</x:v>
      </x:c>
      <x:c r="P754" s="14" t="str">
        <x:v>Bradley Sanders</x:v>
      </x:c>
      <x:c r="Q754" s="15" t="n">
        <x:v>1</x:v>
      </x:c>
      <x:c r="R754" s="14" t="str">
        <x:v>2025</x:v>
      </x:c>
      <x:c r="S754" s="14" t="n">
        <x:v>2025</x:v>
      </x:c>
      <x:c r="T754" s="14" t="n">
        <x:v>2025</x:v>
      </x:c>
      <x:c r="U754" s="14" t="str">
        <x:v>Post-2021 casting excluded</x:v>
      </x:c>
      <x:c r="V754" s="14" t="str">
        <x:v>Earliest supplied year is 2025, later than the 2021 study year.</x:v>
      </x:c>
      <x:c r="W754" s="14"/>
      <x:c r="X754" s="14" t="str">
        <x:v>Included</x:v>
      </x:c>
      <x:c r="Y754" s="14"/>
      <x:c r="Z754" s="14" t="str">
        <x:v>Professor T.docx</x:v>
      </x:c>
      <x:c r="AA754" s="14" t="str">
        <x:v>HYPERLINK is not implemented. linkLocation=https://www.imdb.com/title/tt11981644/fullcredits/, friendlyName=Open source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ITV / ITVX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7" t="e">
        <x:f>HYPERLINK("https://en.wikipedia.org/wiki/Professor_T.","Open source")</x:f>
        <x:v>HYPERLINK is not implemented. linkLocation=https://en.wikipedia.org/wiki/Professor_T., friendlyName=Open source</x:v>
      </x:c>
      <x:c r="AN754" s="14" t="str">
        <x:v>No qualifying BBC relationship</x:v>
      </x:c>
      <x:c r="AO754" s="14" t="str">
        <x:v>No</x:v>
      </x:c>
      <x:c r="AP754" s="14" t="str">
        <x:v>Out of scope</x:v>
      </x:c>
      <x:c r="AQ754" s="14" t="str">
        <x:v>No</x:v>
      </x:c>
      <x:c r="AR754" s="14" t="str">
        <x:v>Resolved from master register</x:v>
      </x:c>
      <x:c r="AS754" s="14" t="str">
        <x:v>No established-register match</x:v>
      </x:c>
      <x:c r="AT754" s="14"/>
      <x:c r="AU754" s="14"/>
      <x:c r="AV754" s="14" t="str">
        <x:v>No established apparent-disability match</x:v>
      </x:c>
      <x:c r="AW754" s="14"/>
      <x:c r="AX754" s="14" t="str">
        <x:v>No</x:v>
      </x:c>
      <x:c r="AY754" s="14" t="str">
        <x:v>Unmatched</x:v>
      </x:c>
      <x:c r="AZ754" s="14" t="str">
        <x:v>Final supplied register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30</x:v>
      </x:c>
      <x:c r="BP754" s="14" t="str">
        <x:v>Maximum eligible IMDb cast-credit total (30), shared by 2 performer(s); not independently verified as a 2021-only episode total.</x:v>
      </x:c>
      <x:c r="BQ754" s="14" t="str">
        <x:v>Medium</x:v>
      </x:c>
      <x:c r="BR754" s="15" t="n">
        <x:v>1</x:v>
      </x:c>
      <x:c r="BS754" s="16" t="n">
        <x:v>0.03333333333333333</x:v>
      </x:c>
      <x:c r="BT754" s="14" t="str">
        <x:v>One episode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4" t="str">
        <x:v>HYPERLINK is not implemented. linkLocation=https://www.imdb.com/title/tt11981644/fullcredits/, friendlyName=Open source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tt11981644|nm5534935|captain</x:v>
      </x:c>
      <x:c r="B755" s="14" t="str">
        <x:v>02</x:v>
      </x:c>
      <x:c r="C755" s="14" t="str">
        <x:v>2021_IMDb_Cast_Lists_Batch_02(1).xlsx</x:v>
      </x:c>
      <x:c r="D755" s="14" t="str">
        <x:v>Professor T</x:v>
      </x:c>
      <x:c r="E755" s="14" t="n">
        <x:v>86</x:v>
      </x:c>
      <x:c r="F755" s="14" t="str">
        <x:v>Professor T</x:v>
      </x:c>
      <x:c r="G755" s="14" t="str">
        <x:v>tt11981644</x:v>
      </x:c>
      <x:c r="H755" s="14" t="n">
        <x:v>2021</x:v>
      </x:c>
      <x:c r="I755" s="14" t="n">
        <x:v>2025</x:v>
      </x:c>
      <x:c r="J755" s="14" t="str">
        <x:v>Earlier-Production Carry-In Cohort</x:v>
      </x:c>
      <x:c r="K755" s="14" t="n">
        <x:v>2021</x:v>
      </x:c>
      <x:c r="L755" s="14" t="str">
        <x:v>Used in 2025 annual analysis</x:v>
      </x:c>
      <x:c r="M755" s="15" t="n">
        <x:v>79</x:v>
      </x:c>
      <x:c r="N755" s="14" t="str">
        <x:v>Gareth Kennerley</x:v>
      </x:c>
      <x:c r="O755" s="14" t="str">
        <x:v>nm5534935</x:v>
      </x:c>
      <x:c r="P755" s="14" t="str">
        <x:v>Captain</x:v>
      </x:c>
      <x:c r="Q755" s="15" t="n">
        <x:v>1</x:v>
      </x:c>
      <x:c r="R755" s="14" t="str">
        <x:v>2025</x:v>
      </x:c>
      <x:c r="S755" s="14" t="n">
        <x:v>2025</x:v>
      </x:c>
      <x:c r="T755" s="14" t="n">
        <x:v>2025</x:v>
      </x:c>
      <x:c r="U755" s="14" t="str">
        <x:v>Post-2021 casting excluded</x:v>
      </x:c>
      <x:c r="V755" s="14" t="str">
        <x:v>Earliest supplied year is 2025, later than the 2021 study year.</x:v>
      </x:c>
      <x:c r="W755" s="14"/>
      <x:c r="X755" s="14" t="str">
        <x:v>Included</x:v>
      </x:c>
      <x:c r="Y755" s="14"/>
      <x:c r="Z755" s="14" t="str">
        <x:v>Professor T.docx</x:v>
      </x:c>
      <x:c r="AA755" s="14" t="str">
        <x:v>HYPERLINK is not implemented. linkLocation=https://www.imdb.com/title/tt11981644/fullcredits/, friendlyName=Open source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ITV / ITVX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7" t="e">
        <x:f>HYPERLINK("https://en.wikipedia.org/wiki/Professor_T.","Open source")</x:f>
        <x:v>HYPERLINK is not implemented. linkLocation=https://en.wikipedia.org/wiki/Professor_T., friendlyName=Open source</x:v>
      </x:c>
      <x:c r="AN755" s="14" t="str">
        <x:v>No qualifying BBC relationship</x:v>
      </x:c>
      <x:c r="AO755" s="14" t="str">
        <x:v>No</x:v>
      </x:c>
      <x:c r="AP755" s="14" t="str">
        <x:v>Out of scope</x:v>
      </x:c>
      <x:c r="AQ755" s="14" t="str">
        <x:v>No</x:v>
      </x:c>
      <x:c r="AR755" s="14" t="str">
        <x:v>Resolved from master register</x:v>
      </x:c>
      <x:c r="AS755" s="14" t="str">
        <x:v>No established-register match</x:v>
      </x:c>
      <x:c r="AT755" s="14"/>
      <x:c r="AU755" s="14"/>
      <x:c r="AV755" s="14" t="str">
        <x:v>No established apparent-disability match</x:v>
      </x:c>
      <x:c r="AW755" s="14"/>
      <x:c r="AX755" s="14" t="str">
        <x:v>No</x:v>
      </x:c>
      <x:c r="AY755" s="14" t="str">
        <x:v>Unmatched</x:v>
      </x:c>
      <x:c r="AZ755" s="14" t="str">
        <x:v>Final supplied register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30</x:v>
      </x:c>
      <x:c r="BP755" s="14" t="str">
        <x:v>Maximum eligible IMDb cast-credit total (30), shared by 2 performer(s); not independently verified as a 2021-only episode total.</x:v>
      </x:c>
      <x:c r="BQ755" s="14" t="str">
        <x:v>Medium</x:v>
      </x:c>
      <x:c r="BR755" s="15" t="n">
        <x:v>1</x:v>
      </x:c>
      <x:c r="BS755" s="16" t="n">
        <x:v>0.03333333333333333</x:v>
      </x:c>
      <x:c r="BT755" s="14" t="str">
        <x:v>One episode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4" t="str">
        <x:v>HYPERLINK is not implemented. linkLocation=https://www.imdb.com/title/tt11981644/fullcredits/, friendlyName=Open source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tt11981644|nm16855287|elderly tennis man</x:v>
      </x:c>
      <x:c r="B756" s="14" t="str">
        <x:v>02</x:v>
      </x:c>
      <x:c r="C756" s="14" t="str">
        <x:v>2021_IMDb_Cast_Lists_Batch_02(1).xlsx</x:v>
      </x:c>
      <x:c r="D756" s="14" t="str">
        <x:v>Professor T</x:v>
      </x:c>
      <x:c r="E756" s="14" t="n">
        <x:v>87</x:v>
      </x:c>
      <x:c r="F756" s="14" t="str">
        <x:v>Professor T</x:v>
      </x:c>
      <x:c r="G756" s="14" t="str">
        <x:v>tt11981644</x:v>
      </x:c>
      <x:c r="H756" s="14" t="n">
        <x:v>2021</x:v>
      </x:c>
      <x:c r="I756" s="14" t="n">
        <x:v>2025</x:v>
      </x:c>
      <x:c r="J756" s="14" t="str">
        <x:v>Earlier-Production Carry-In Cohort</x:v>
      </x:c>
      <x:c r="K756" s="14" t="n">
        <x:v>2021</x:v>
      </x:c>
      <x:c r="L756" s="14" t="str">
        <x:v>Used in 2025 annual analysis</x:v>
      </x:c>
      <x:c r="M756" s="15" t="n">
        <x:v>80</x:v>
      </x:c>
      <x:c r="N756" s="14" t="str">
        <x:v>Bill J. Martin</x:v>
      </x:c>
      <x:c r="O756" s="14" t="str">
        <x:v>nm16855287</x:v>
      </x:c>
      <x:c r="P756" s="14" t="str">
        <x:v>Elderly Tennis Man</x:v>
      </x:c>
      <x:c r="Q756" s="15" t="n">
        <x:v>1</x:v>
      </x:c>
      <x:c r="R756" s="14" t="str">
        <x:v>2025</x:v>
      </x:c>
      <x:c r="S756" s="14" t="n">
        <x:v>2025</x:v>
      </x:c>
      <x:c r="T756" s="14" t="n">
        <x:v>2025</x:v>
      </x:c>
      <x:c r="U756" s="14" t="str">
        <x:v>Post-2021 casting excluded</x:v>
      </x:c>
      <x:c r="V756" s="14" t="str">
        <x:v>Earliest supplied year is 2025, later than the 2021 study year.</x:v>
      </x:c>
      <x:c r="W756" s="14"/>
      <x:c r="X756" s="14" t="str">
        <x:v>Included</x:v>
      </x:c>
      <x:c r="Y756" s="14" t="str">
        <x:v>(as Bill Martin)</x:v>
      </x:c>
      <x:c r="Z756" s="14" t="str">
        <x:v>Professor T.docx</x:v>
      </x:c>
      <x:c r="AA756" s="14" t="str">
        <x:v>HYPERLINK is not implemented. linkLocation=https://www.imdb.com/title/tt11981644/fullcredits/, friendlyName=Open source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ITV / ITVX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7" t="e">
        <x:f>HYPERLINK("https://en.wikipedia.org/wiki/Professor_T.","Open source")</x:f>
        <x:v>HYPERLINK is not implemented. linkLocation=https://en.wikipedia.org/wiki/Professor_T., friendlyName=Open source</x:v>
      </x:c>
      <x:c r="AN756" s="14" t="str">
        <x:v>No qualifying BBC relationship</x:v>
      </x:c>
      <x:c r="AO756" s="14" t="str">
        <x:v>No</x:v>
      </x:c>
      <x:c r="AP756" s="14" t="str">
        <x:v>Out of scope</x:v>
      </x:c>
      <x:c r="AQ756" s="14" t="str">
        <x:v>No</x:v>
      </x:c>
      <x:c r="AR756" s="14" t="str">
        <x:v>Resolved from master register</x:v>
      </x:c>
      <x:c r="AS756" s="14" t="str">
        <x:v>No established-register match</x:v>
      </x:c>
      <x:c r="AT756" s="14"/>
      <x:c r="AU756" s="14"/>
      <x:c r="AV756" s="14" t="str">
        <x:v>No established apparent-disability match</x:v>
      </x:c>
      <x:c r="AW756" s="14"/>
      <x:c r="AX756" s="14" t="str">
        <x:v>No</x:v>
      </x:c>
      <x:c r="AY756" s="14" t="str">
        <x:v>Unmatched</x:v>
      </x:c>
      <x:c r="AZ756" s="14" t="str">
        <x:v>Final supplied register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30</x:v>
      </x:c>
      <x:c r="BP756" s="14" t="str">
        <x:v>Maximum eligible IMDb cast-credit total (30), shared by 2 performer(s); not independently verified as a 2021-only episode total.</x:v>
      </x:c>
      <x:c r="BQ756" s="14" t="str">
        <x:v>Medium</x:v>
      </x:c>
      <x:c r="BR756" s="15" t="n">
        <x:v>1</x:v>
      </x:c>
      <x:c r="BS756" s="16" t="n">
        <x:v>0.03333333333333333</x:v>
      </x:c>
      <x:c r="BT756" s="14" t="str">
        <x:v>One episode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4" t="str">
        <x:v>HYPERLINK is not implemented. linkLocation=https://www.imdb.com/title/tt11981644/fullcredits/, friendlyName=Open source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tt11981644|nm2390340|julie norman</x:v>
      </x:c>
      <x:c r="B757" s="14" t="str">
        <x:v>02</x:v>
      </x:c>
      <x:c r="C757" s="14" t="str">
        <x:v>2021_IMDb_Cast_Lists_Batch_02(1).xlsx</x:v>
      </x:c>
      <x:c r="D757" s="14" t="str">
        <x:v>Professor T</x:v>
      </x:c>
      <x:c r="E757" s="14" t="n">
        <x:v>89</x:v>
      </x:c>
      <x:c r="F757" s="14" t="str">
        <x:v>Professor T</x:v>
      </x:c>
      <x:c r="G757" s="14" t="str">
        <x:v>tt11981644</x:v>
      </x:c>
      <x:c r="H757" s="14" t="n">
        <x:v>2021</x:v>
      </x:c>
      <x:c r="I757" s="14" t="n">
        <x:v>2025</x:v>
      </x:c>
      <x:c r="J757" s="14" t="str">
        <x:v>Earlier-Production Carry-In Cohort</x:v>
      </x:c>
      <x:c r="K757" s="14" t="n">
        <x:v>2021</x:v>
      </x:c>
      <x:c r="L757" s="14" t="str">
        <x:v>Used in 2025 annual analysis</x:v>
      </x:c>
      <x:c r="M757" s="15" t="n">
        <x:v>82</x:v>
      </x:c>
      <x:c r="N757" s="14" t="str">
        <x:v>Rebecca Night</x:v>
      </x:c>
      <x:c r="O757" s="14" t="str">
        <x:v>nm2390340</x:v>
      </x:c>
      <x:c r="P757" s="14" t="str">
        <x:v>Julie Norman</x:v>
      </x:c>
      <x:c r="Q757" s="15" t="n">
        <x:v>1</x:v>
      </x:c>
      <x:c r="R757" s="14" t="str">
        <x:v>2025</x:v>
      </x:c>
      <x:c r="S757" s="14" t="n">
        <x:v>2025</x:v>
      </x:c>
      <x:c r="T757" s="14" t="n">
        <x:v>2025</x:v>
      </x:c>
      <x:c r="U757" s="14" t="str">
        <x:v>Post-2021 casting excluded</x:v>
      </x:c>
      <x:c r="V757" s="14" t="str">
        <x:v>Earliest supplied year is 2025, later than the 2021 study year.</x:v>
      </x:c>
      <x:c r="W757" s="14"/>
      <x:c r="X757" s="14" t="str">
        <x:v>Included</x:v>
      </x:c>
      <x:c r="Y757" s="14"/>
      <x:c r="Z757" s="14" t="str">
        <x:v>Professor T.docx</x:v>
      </x:c>
      <x:c r="AA757" s="14" t="str">
        <x:v>HYPERLINK is not implemented. linkLocation=https://www.imdb.com/title/tt11981644/fullcredits/, friendlyName=Open source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ITV / ITVX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7" t="e">
        <x:f>HYPERLINK("https://en.wikipedia.org/wiki/Professor_T.","Open source")</x:f>
        <x:v>HYPERLINK is not implemented. linkLocation=https://en.wikipedia.org/wiki/Professor_T., friendlyName=Open source</x:v>
      </x:c>
      <x:c r="AN757" s="14" t="str">
        <x:v>No qualifying BBC relationship</x:v>
      </x:c>
      <x:c r="AO757" s="14" t="str">
        <x:v>No</x:v>
      </x:c>
      <x:c r="AP757" s="14" t="str">
        <x:v>Out of scope</x:v>
      </x:c>
      <x:c r="AQ757" s="14" t="str">
        <x:v>No</x:v>
      </x:c>
      <x:c r="AR757" s="14" t="str">
        <x:v>Resolved from master register</x:v>
      </x:c>
      <x:c r="AS757" s="14" t="str">
        <x:v>No established-register match</x:v>
      </x:c>
      <x:c r="AT757" s="14"/>
      <x:c r="AU757" s="14"/>
      <x:c r="AV757" s="14" t="str">
        <x:v>No established apparent-disability match</x:v>
      </x:c>
      <x:c r="AW757" s="14"/>
      <x:c r="AX757" s="14" t="str">
        <x:v>No</x:v>
      </x:c>
      <x:c r="AY757" s="14" t="str">
        <x:v>Unmatched</x:v>
      </x:c>
      <x:c r="AZ757" s="14" t="str">
        <x:v>Final supplied register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30</x:v>
      </x:c>
      <x:c r="BP757" s="14" t="str">
        <x:v>Maximum eligible IMDb cast-credit total (30), shared by 2 performer(s); not independently verified as a 2021-only episode total.</x:v>
      </x:c>
      <x:c r="BQ757" s="14" t="str">
        <x:v>Medium</x:v>
      </x:c>
      <x:c r="BR757" s="15" t="n">
        <x:v>1</x:v>
      </x:c>
      <x:c r="BS757" s="16" t="n">
        <x:v>0.03333333333333333</x:v>
      </x:c>
      <x:c r="BT757" s="14" t="str">
        <x:v>One episode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4" t="str">
        <x:v>HYPERLINK is not implemented. linkLocation=https://www.imdb.com/title/tt11981644/fullcredits/, friendlyName=Open source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tt11981644|nm7306987|byram stafford</x:v>
      </x:c>
      <x:c r="B758" s="14" t="str">
        <x:v>02</x:v>
      </x:c>
      <x:c r="C758" s="14" t="str">
        <x:v>2021_IMDb_Cast_Lists_Batch_02(1).xlsx</x:v>
      </x:c>
      <x:c r="D758" s="14" t="str">
        <x:v>Professor T</x:v>
      </x:c>
      <x:c r="E758" s="14" t="n">
        <x:v>90</x:v>
      </x:c>
      <x:c r="F758" s="14" t="str">
        <x:v>Professor T</x:v>
      </x:c>
      <x:c r="G758" s="14" t="str">
        <x:v>tt11981644</x:v>
      </x:c>
      <x:c r="H758" s="14" t="n">
        <x:v>2021</x:v>
      </x:c>
      <x:c r="I758" s="14" t="n">
        <x:v>2025</x:v>
      </x:c>
      <x:c r="J758" s="14" t="str">
        <x:v>Earlier-Production Carry-In Cohort</x:v>
      </x:c>
      <x:c r="K758" s="14" t="n">
        <x:v>2021</x:v>
      </x:c>
      <x:c r="L758" s="14" t="str">
        <x:v>Used in 2025 annual analysis</x:v>
      </x:c>
      <x:c r="M758" s="15" t="n">
        <x:v>83</x:v>
      </x:c>
      <x:c r="N758" s="14" t="str">
        <x:v>CJ Beckford</x:v>
      </x:c>
      <x:c r="O758" s="14" t="str">
        <x:v>nm7306987</x:v>
      </x:c>
      <x:c r="P758" s="14" t="str">
        <x:v>Byram Stafford</x:v>
      </x:c>
      <x:c r="Q758" s="15" t="n">
        <x:v>1</x:v>
      </x:c>
      <x:c r="R758" s="14" t="str">
        <x:v>2025</x:v>
      </x:c>
      <x:c r="S758" s="14" t="n">
        <x:v>2025</x:v>
      </x:c>
      <x:c r="T758" s="14" t="n">
        <x:v>2025</x:v>
      </x:c>
      <x:c r="U758" s="14" t="str">
        <x:v>Post-2021 casting excluded</x:v>
      </x:c>
      <x:c r="V758" s="14" t="str">
        <x:v>Earliest supplied year is 2025, later than the 2021 study year.</x:v>
      </x:c>
      <x:c r="W758" s="14"/>
      <x:c r="X758" s="14" t="str">
        <x:v>Included</x:v>
      </x:c>
      <x:c r="Y758" s="14"/>
      <x:c r="Z758" s="14" t="str">
        <x:v>Professor T.docx</x:v>
      </x:c>
      <x:c r="AA758" s="14" t="str">
        <x:v>HYPERLINK is not implemented. linkLocation=https://www.imdb.com/title/tt11981644/fullcredits/, friendlyName=Open source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ITV / ITVX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7" t="e">
        <x:f>HYPERLINK("https://en.wikipedia.org/wiki/Professor_T.","Open source")</x:f>
        <x:v>HYPERLINK is not implemented. linkLocation=https://en.wikipedia.org/wiki/Professor_T., friendlyName=Open source</x:v>
      </x:c>
      <x:c r="AN758" s="14" t="str">
        <x:v>No qualifying BBC relationship</x:v>
      </x:c>
      <x:c r="AO758" s="14" t="str">
        <x:v>No</x:v>
      </x:c>
      <x:c r="AP758" s="14" t="str">
        <x:v>Out of scope</x:v>
      </x:c>
      <x:c r="AQ758" s="14" t="str">
        <x:v>No</x:v>
      </x:c>
      <x:c r="AR758" s="14" t="str">
        <x:v>Resolved from master register</x:v>
      </x:c>
      <x:c r="AS758" s="14" t="str">
        <x:v>No established-register match</x:v>
      </x:c>
      <x:c r="AT758" s="14"/>
      <x:c r="AU758" s="14"/>
      <x:c r="AV758" s="14" t="str">
        <x:v>No established apparent-disability match</x:v>
      </x:c>
      <x:c r="AW758" s="14"/>
      <x:c r="AX758" s="14" t="str">
        <x:v>No</x:v>
      </x:c>
      <x:c r="AY758" s="14" t="str">
        <x:v>Unmatched</x:v>
      </x:c>
      <x:c r="AZ758" s="14" t="str">
        <x:v>Final supplied register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30</x:v>
      </x:c>
      <x:c r="BP758" s="14" t="str">
        <x:v>Maximum eligible IMDb cast-credit total (30), shared by 2 performer(s); not independently verified as a 2021-only episode total.</x:v>
      </x:c>
      <x:c r="BQ758" s="14" t="str">
        <x:v>Medium</x:v>
      </x:c>
      <x:c r="BR758" s="15" t="n">
        <x:v>1</x:v>
      </x:c>
      <x:c r="BS758" s="16" t="n">
        <x:v>0.03333333333333333</x:v>
      </x:c>
      <x:c r="BT758" s="14" t="str">
        <x:v>One episode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4" t="str">
        <x:v>HYPERLINK is not implemented. linkLocation=https://www.imdb.com/title/tt11981644/fullcredits/, friendlyName=Open source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tt11981644|nm3335085|tyrone walsh</x:v>
      </x:c>
      <x:c r="B759" s="14" t="str">
        <x:v>02</x:v>
      </x:c>
      <x:c r="C759" s="14" t="str">
        <x:v>2021_IMDb_Cast_Lists_Batch_02(1).xlsx</x:v>
      </x:c>
      <x:c r="D759" s="14" t="str">
        <x:v>Professor T</x:v>
      </x:c>
      <x:c r="E759" s="14" t="n">
        <x:v>91</x:v>
      </x:c>
      <x:c r="F759" s="14" t="str">
        <x:v>Professor T</x:v>
      </x:c>
      <x:c r="G759" s="14" t="str">
        <x:v>tt11981644</x:v>
      </x:c>
      <x:c r="H759" s="14" t="n">
        <x:v>2021</x:v>
      </x:c>
      <x:c r="I759" s="14" t="n">
        <x:v>2025</x:v>
      </x:c>
      <x:c r="J759" s="14" t="str">
        <x:v>Earlier-Production Carry-In Cohort</x:v>
      </x:c>
      <x:c r="K759" s="14" t="n">
        <x:v>2021</x:v>
      </x:c>
      <x:c r="L759" s="14" t="str">
        <x:v>Used in 2025 annual analysis</x:v>
      </x:c>
      <x:c r="M759" s="15" t="n">
        <x:v>84</x:v>
      </x:c>
      <x:c r="N759" s="14" t="str">
        <x:v>Simon Rhodes</x:v>
      </x:c>
      <x:c r="O759" s="14" t="str">
        <x:v>nm3335085</x:v>
      </x:c>
      <x:c r="P759" s="14" t="str">
        <x:v>Tyrone Walsh</x:v>
      </x:c>
      <x:c r="Q759" s="15" t="n">
        <x:v>1</x:v>
      </x:c>
      <x:c r="R759" s="14" t="str">
        <x:v>2025</x:v>
      </x:c>
      <x:c r="S759" s="14" t="n">
        <x:v>2025</x:v>
      </x:c>
      <x:c r="T759" s="14" t="n">
        <x:v>2025</x:v>
      </x:c>
      <x:c r="U759" s="14" t="str">
        <x:v>Post-2021 casting excluded</x:v>
      </x:c>
      <x:c r="V759" s="14" t="str">
        <x:v>Earliest supplied year is 2025, later than the 2021 study year.</x:v>
      </x:c>
      <x:c r="W759" s="14"/>
      <x:c r="X759" s="14" t="str">
        <x:v>Included</x:v>
      </x:c>
      <x:c r="Y759" s="14"/>
      <x:c r="Z759" s="14" t="str">
        <x:v>Professor T.docx</x:v>
      </x:c>
      <x:c r="AA759" s="14" t="str">
        <x:v>HYPERLINK is not implemented. linkLocation=https://www.imdb.com/title/tt11981644/fullcredits/, friendlyName=Open source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ITV / ITVX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7" t="e">
        <x:f>HYPERLINK("https://en.wikipedia.org/wiki/Professor_T.","Open source")</x:f>
        <x:v>HYPERLINK is not implemented. linkLocation=https://en.wikipedia.org/wiki/Professor_T., friendlyName=Open source</x:v>
      </x:c>
      <x:c r="AN759" s="14" t="str">
        <x:v>No qualifying BBC relationship</x:v>
      </x:c>
      <x:c r="AO759" s="14" t="str">
        <x:v>No</x:v>
      </x:c>
      <x:c r="AP759" s="14" t="str">
        <x:v>Out of scope</x:v>
      </x:c>
      <x:c r="AQ759" s="14" t="str">
        <x:v>No</x:v>
      </x:c>
      <x:c r="AR759" s="14" t="str">
        <x:v>Resolved from master register</x:v>
      </x:c>
      <x:c r="AS759" s="14" t="str">
        <x:v>No established-register match</x:v>
      </x:c>
      <x:c r="AT759" s="14"/>
      <x:c r="AU759" s="14"/>
      <x:c r="AV759" s="14" t="str">
        <x:v>No established apparent-disability match</x:v>
      </x:c>
      <x:c r="AW759" s="14"/>
      <x:c r="AX759" s="14" t="str">
        <x:v>No</x:v>
      </x:c>
      <x:c r="AY759" s="14" t="str">
        <x:v>Unmatched</x:v>
      </x:c>
      <x:c r="AZ759" s="14" t="str">
        <x:v>Final supplied register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30</x:v>
      </x:c>
      <x:c r="BP759" s="14" t="str">
        <x:v>Maximum eligible IMDb cast-credit total (30), shared by 2 performer(s); not independently verified as a 2021-only episode total.</x:v>
      </x:c>
      <x:c r="BQ759" s="14" t="str">
        <x:v>Medium</x:v>
      </x:c>
      <x:c r="BR759" s="15" t="n">
        <x:v>1</x:v>
      </x:c>
      <x:c r="BS759" s="16" t="n">
        <x:v>0.03333333333333333</x:v>
      </x:c>
      <x:c r="BT759" s="14" t="str">
        <x:v>One episode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4" t="str">
        <x:v>HYPERLINK is not implemented. linkLocation=https://www.imdb.com/title/tt11981644/fullcredits/, friendlyName=Open source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tt11981644|nm7658803|vicky stafford</x:v>
      </x:c>
      <x:c r="B760" s="14" t="str">
        <x:v>02</x:v>
      </x:c>
      <x:c r="C760" s="14" t="str">
        <x:v>2021_IMDb_Cast_Lists_Batch_02(1).xlsx</x:v>
      </x:c>
      <x:c r="D760" s="14" t="str">
        <x:v>Professor T</x:v>
      </x:c>
      <x:c r="E760" s="14" t="n">
        <x:v>95</x:v>
      </x:c>
      <x:c r="F760" s="14" t="str">
        <x:v>Professor T</x:v>
      </x:c>
      <x:c r="G760" s="14" t="str">
        <x:v>tt11981644</x:v>
      </x:c>
      <x:c r="H760" s="14" t="n">
        <x:v>2021</x:v>
      </x:c>
      <x:c r="I760" s="14" t="n">
        <x:v>2025</x:v>
      </x:c>
      <x:c r="J760" s="14" t="str">
        <x:v>Earlier-Production Carry-In Cohort</x:v>
      </x:c>
      <x:c r="K760" s="14" t="n">
        <x:v>2021</x:v>
      </x:c>
      <x:c r="L760" s="14" t="str">
        <x:v>Used in 2025 annual analysis</x:v>
      </x:c>
      <x:c r="M760" s="15" t="n">
        <x:v>88</x:v>
      </x:c>
      <x:c r="N760" s="14" t="str">
        <x:v>Phoebe Sparrow</x:v>
      </x:c>
      <x:c r="O760" s="14" t="str">
        <x:v>nm7658803</x:v>
      </x:c>
      <x:c r="P760" s="14" t="str">
        <x:v>Vicky Stafford</x:v>
      </x:c>
      <x:c r="Q760" s="15" t="n">
        <x:v>1</x:v>
      </x:c>
      <x:c r="R760" s="14" t="str">
        <x:v>2025</x:v>
      </x:c>
      <x:c r="S760" s="14" t="n">
        <x:v>2025</x:v>
      </x:c>
      <x:c r="T760" s="14" t="n">
        <x:v>2025</x:v>
      </x:c>
      <x:c r="U760" s="14" t="str">
        <x:v>Post-2021 casting excluded</x:v>
      </x:c>
      <x:c r="V760" s="14" t="str">
        <x:v>Earliest supplied year is 2025, later than the 2021 study year.</x:v>
      </x:c>
      <x:c r="W760" s="14"/>
      <x:c r="X760" s="14" t="str">
        <x:v>Included</x:v>
      </x:c>
      <x:c r="Y760" s="14"/>
      <x:c r="Z760" s="14" t="str">
        <x:v>Professor T.docx</x:v>
      </x:c>
      <x:c r="AA760" s="14" t="str">
        <x:v>HYPERLINK is not implemented. linkLocation=https://www.imdb.com/title/tt11981644/fullcredits/, friendlyName=Open source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ITV / ITVX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7" t="e">
        <x:f>HYPERLINK("https://en.wikipedia.org/wiki/Professor_T.","Open source")</x:f>
        <x:v>HYPERLINK is not implemented. linkLocation=https://en.wikipedia.org/wiki/Professor_T., friendlyName=Open source</x:v>
      </x:c>
      <x:c r="AN760" s="14" t="str">
        <x:v>No qualifying BBC relationship</x:v>
      </x:c>
      <x:c r="AO760" s="14" t="str">
        <x:v>No</x:v>
      </x:c>
      <x:c r="AP760" s="14" t="str">
        <x:v>Out of scope</x:v>
      </x:c>
      <x:c r="AQ760" s="14" t="str">
        <x:v>No</x:v>
      </x:c>
      <x:c r="AR760" s="14" t="str">
        <x:v>Resolved from master register</x:v>
      </x:c>
      <x:c r="AS760" s="14" t="str">
        <x:v>No established-register match</x:v>
      </x:c>
      <x:c r="AT760" s="14"/>
      <x:c r="AU760" s="14"/>
      <x:c r="AV760" s="14" t="str">
        <x:v>No established apparent-disability match</x:v>
      </x:c>
      <x:c r="AW760" s="14"/>
      <x:c r="AX760" s="14" t="str">
        <x:v>No</x:v>
      </x:c>
      <x:c r="AY760" s="14" t="str">
        <x:v>Unmatched</x:v>
      </x:c>
      <x:c r="AZ760" s="14" t="str">
        <x:v>Final supplied register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30</x:v>
      </x:c>
      <x:c r="BP760" s="14" t="str">
        <x:v>Maximum eligible IMDb cast-credit total (30), shared by 2 performer(s); not independently verified as a 2021-only episode total.</x:v>
      </x:c>
      <x:c r="BQ760" s="14" t="str">
        <x:v>Medium</x:v>
      </x:c>
      <x:c r="BR760" s="15" t="n">
        <x:v>1</x:v>
      </x:c>
      <x:c r="BS760" s="16" t="n">
        <x:v>0.03333333333333333</x:v>
      </x:c>
      <x:c r="BT760" s="14" t="str">
        <x:v>One episode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4" t="str">
        <x:v>HYPERLINK is not implemented. linkLocation=https://www.imdb.com/title/tt11981644/fullcredits/, friendlyName=Open source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tt11981644|nm12493278|georgina galvin</x:v>
      </x:c>
      <x:c r="B761" s="14" t="str">
        <x:v>02</x:v>
      </x:c>
      <x:c r="C761" s="14" t="str">
        <x:v>2021_IMDb_Cast_Lists_Batch_02(1).xlsx</x:v>
      </x:c>
      <x:c r="D761" s="14" t="str">
        <x:v>Professor T</x:v>
      </x:c>
      <x:c r="E761" s="14" t="n">
        <x:v>96</x:v>
      </x:c>
      <x:c r="F761" s="14" t="str">
        <x:v>Professor T</x:v>
      </x:c>
      <x:c r="G761" s="14" t="str">
        <x:v>tt11981644</x:v>
      </x:c>
      <x:c r="H761" s="14" t="n">
        <x:v>2021</x:v>
      </x:c>
      <x:c r="I761" s="14" t="n">
        <x:v>2025</x:v>
      </x:c>
      <x:c r="J761" s="14" t="str">
        <x:v>Earlier-Production Carry-In Cohort</x:v>
      </x:c>
      <x:c r="K761" s="14" t="n">
        <x:v>2021</x:v>
      </x:c>
      <x:c r="L761" s="14" t="str">
        <x:v>Used in 2025 annual analysis</x:v>
      </x:c>
      <x:c r="M761" s="15" t="n">
        <x:v>89</x:v>
      </x:c>
      <x:c r="N761" s="14" t="str">
        <x:v>Keturah Chambers</x:v>
      </x:c>
      <x:c r="O761" s="14" t="str">
        <x:v>nm12493278</x:v>
      </x:c>
      <x:c r="P761" s="14" t="str">
        <x:v>Georgina Galvin</x:v>
      </x:c>
      <x:c r="Q761" s="15" t="n">
        <x:v>1</x:v>
      </x:c>
      <x:c r="R761" s="14" t="str">
        <x:v>2025</x:v>
      </x:c>
      <x:c r="S761" s="14" t="n">
        <x:v>2025</x:v>
      </x:c>
      <x:c r="T761" s="14" t="n">
        <x:v>2025</x:v>
      </x:c>
      <x:c r="U761" s="14" t="str">
        <x:v>Post-2021 casting excluded</x:v>
      </x:c>
      <x:c r="V761" s="14" t="str">
        <x:v>Earliest supplied year is 2025, later than the 2021 study year.</x:v>
      </x:c>
      <x:c r="W761" s="14"/>
      <x:c r="X761" s="14" t="str">
        <x:v>Included</x:v>
      </x:c>
      <x:c r="Y761" s="14"/>
      <x:c r="Z761" s="14" t="str">
        <x:v>Professor T.docx</x:v>
      </x:c>
      <x:c r="AA761" s="14" t="str">
        <x:v>HYPERLINK is not implemented. linkLocation=https://www.imdb.com/title/tt11981644/fullcredits/, friendlyName=Open source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ITV / ITVX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7" t="e">
        <x:f>HYPERLINK("https://en.wikipedia.org/wiki/Professor_T.","Open source")</x:f>
        <x:v>HYPERLINK is not implemented. linkLocation=https://en.wikipedia.org/wiki/Professor_T., friendlyName=Open source</x:v>
      </x:c>
      <x:c r="AN761" s="14" t="str">
        <x:v>No qualifying BBC relationship</x:v>
      </x:c>
      <x:c r="AO761" s="14" t="str">
        <x:v>No</x:v>
      </x:c>
      <x:c r="AP761" s="14" t="str">
        <x:v>Out of scope</x:v>
      </x:c>
      <x:c r="AQ761" s="14" t="str">
        <x:v>No</x:v>
      </x:c>
      <x:c r="AR761" s="14" t="str">
        <x:v>Resolved from master register</x:v>
      </x:c>
      <x:c r="AS761" s="14" t="str">
        <x:v>No established-register match</x:v>
      </x:c>
      <x:c r="AT761" s="14"/>
      <x:c r="AU761" s="14"/>
      <x:c r="AV761" s="14" t="str">
        <x:v>No established apparent-disability match</x:v>
      </x:c>
      <x:c r="AW761" s="14"/>
      <x:c r="AX761" s="14" t="str">
        <x:v>No</x:v>
      </x:c>
      <x:c r="AY761" s="14" t="str">
        <x:v>Unmatched</x:v>
      </x:c>
      <x:c r="AZ761" s="14" t="str">
        <x:v>Final supplied register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30</x:v>
      </x:c>
      <x:c r="BP761" s="14" t="str">
        <x:v>Maximum eligible IMDb cast-credit total (30), shared by 2 performer(s); not independently verified as a 2021-only episode total.</x:v>
      </x:c>
      <x:c r="BQ761" s="14" t="str">
        <x:v>Medium</x:v>
      </x:c>
      <x:c r="BR761" s="15" t="n">
        <x:v>1</x:v>
      </x:c>
      <x:c r="BS761" s="16" t="n">
        <x:v>0.03333333333333333</x:v>
      </x:c>
      <x:c r="BT761" s="14" t="str">
        <x:v>One episode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4" t="str">
        <x:v>HYPERLINK is not implemented. linkLocation=https://www.imdb.com/title/tt11981644/fullcredits/, friendlyName=Open source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tt11981644|nm11073106|francesca sanders</x:v>
      </x:c>
      <x:c r="B762" s="14" t="str">
        <x:v>02</x:v>
      </x:c>
      <x:c r="C762" s="14" t="str">
        <x:v>2021_IMDb_Cast_Lists_Batch_02(1).xlsx</x:v>
      </x:c>
      <x:c r="D762" s="14" t="str">
        <x:v>Professor T</x:v>
      </x:c>
      <x:c r="E762" s="14" t="n">
        <x:v>108</x:v>
      </x:c>
      <x:c r="F762" s="14" t="str">
        <x:v>Professor T</x:v>
      </x:c>
      <x:c r="G762" s="14" t="str">
        <x:v>tt11981644</x:v>
      </x:c>
      <x:c r="H762" s="14" t="n">
        <x:v>2021</x:v>
      </x:c>
      <x:c r="I762" s="14" t="n">
        <x:v>2025</x:v>
      </x:c>
      <x:c r="J762" s="14" t="str">
        <x:v>Earlier-Production Carry-In Cohort</x:v>
      </x:c>
      <x:c r="K762" s="14" t="n">
        <x:v>2021</x:v>
      </x:c>
      <x:c r="L762" s="14" t="str">
        <x:v>Used in 2025 annual analysis</x:v>
      </x:c>
      <x:c r="M762" s="15" t="n">
        <x:v>101</x:v>
      </x:c>
      <x:c r="N762" s="14" t="str">
        <x:v>Kiki May</x:v>
      </x:c>
      <x:c r="O762" s="14" t="str">
        <x:v>nm11073106</x:v>
      </x:c>
      <x:c r="P762" s="14" t="str">
        <x:v>Francesca Sanders</x:v>
      </x:c>
      <x:c r="Q762" s="15" t="n">
        <x:v>1</x:v>
      </x:c>
      <x:c r="R762" s="14" t="str">
        <x:v>2025</x:v>
      </x:c>
      <x:c r="S762" s="14" t="n">
        <x:v>2025</x:v>
      </x:c>
      <x:c r="T762" s="14" t="n">
        <x:v>2025</x:v>
      </x:c>
      <x:c r="U762" s="14" t="str">
        <x:v>Post-2021 casting excluded</x:v>
      </x:c>
      <x:c r="V762" s="14" t="str">
        <x:v>Earliest supplied year is 2025, later than the 2021 study year.</x:v>
      </x:c>
      <x:c r="W762" s="14"/>
      <x:c r="X762" s="14" t="str">
        <x:v>Included</x:v>
      </x:c>
      <x:c r="Y762" s="14"/>
      <x:c r="Z762" s="14" t="str">
        <x:v>Professor T.docx</x:v>
      </x:c>
      <x:c r="AA762" s="14" t="str">
        <x:v>HYPERLINK is not implemented. linkLocation=https://www.imdb.com/title/tt11981644/fullcredits/, friendlyName=Open source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ITV / ITVX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7" t="e">
        <x:f>HYPERLINK("https://en.wikipedia.org/wiki/Professor_T.","Open source")</x:f>
        <x:v>HYPERLINK is not implemented. linkLocation=https://en.wikipedia.org/wiki/Professor_T., friendlyName=Open source</x:v>
      </x:c>
      <x:c r="AN762" s="14" t="str">
        <x:v>No qualifying BBC relationship</x:v>
      </x:c>
      <x:c r="AO762" s="14" t="str">
        <x:v>No</x:v>
      </x:c>
      <x:c r="AP762" s="14" t="str">
        <x:v>Out of scope</x:v>
      </x:c>
      <x:c r="AQ762" s="14" t="str">
        <x:v>No</x:v>
      </x:c>
      <x:c r="AR762" s="14" t="str">
        <x:v>Resolved from master register</x:v>
      </x:c>
      <x:c r="AS762" s="14" t="str">
        <x:v>No established-register match</x:v>
      </x:c>
      <x:c r="AT762" s="14"/>
      <x:c r="AU762" s="14"/>
      <x:c r="AV762" s="14" t="str">
        <x:v>No established apparent-disability match</x:v>
      </x:c>
      <x:c r="AW762" s="14"/>
      <x:c r="AX762" s="14" t="str">
        <x:v>No</x:v>
      </x:c>
      <x:c r="AY762" s="14" t="str">
        <x:v>Unmatched</x:v>
      </x:c>
      <x:c r="AZ762" s="14" t="str">
        <x:v>Final supplied register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30</x:v>
      </x:c>
      <x:c r="BP762" s="14" t="str">
        <x:v>Maximum eligible IMDb cast-credit total (30), shared by 2 performer(s); not independently verified as a 2021-only episode total.</x:v>
      </x:c>
      <x:c r="BQ762" s="14" t="str">
        <x:v>Medium</x:v>
      </x:c>
      <x:c r="BR762" s="15" t="n">
        <x:v>1</x:v>
      </x:c>
      <x:c r="BS762" s="16" t="n">
        <x:v>0.03333333333333333</x:v>
      </x:c>
      <x:c r="BT762" s="14" t="str">
        <x:v>One episode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4" t="str">
        <x:v>HYPERLINK is not implemented. linkLocation=https://www.imdb.com/title/tt11981644/fullcredits/, friendlyName=Open source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tt11981644|nm0349708|tilly walsh</x:v>
      </x:c>
      <x:c r="B763" s="14" t="str">
        <x:v>02</x:v>
      </x:c>
      <x:c r="C763" s="14" t="str">
        <x:v>2021_IMDb_Cast_Lists_Batch_02(1).xlsx</x:v>
      </x:c>
      <x:c r="D763" s="14" t="str">
        <x:v>Professor T</x:v>
      </x:c>
      <x:c r="E763" s="14" t="n">
        <x:v>109</x:v>
      </x:c>
      <x:c r="F763" s="14" t="str">
        <x:v>Professor T</x:v>
      </x:c>
      <x:c r="G763" s="14" t="str">
        <x:v>tt11981644</x:v>
      </x:c>
      <x:c r="H763" s="14" t="n">
        <x:v>2021</x:v>
      </x:c>
      <x:c r="I763" s="14" t="n">
        <x:v>2025</x:v>
      </x:c>
      <x:c r="J763" s="14" t="str">
        <x:v>Earlier-Production Carry-In Cohort</x:v>
      </x:c>
      <x:c r="K763" s="14" t="n">
        <x:v>2021</x:v>
      </x:c>
      <x:c r="L763" s="14" t="str">
        <x:v>Used in 2025 annual analysis</x:v>
      </x:c>
      <x:c r="M763" s="15" t="n">
        <x:v>102</x:v>
      </x:c>
      <x:c r="N763" s="14" t="str">
        <x:v>Melanie Gutteridge</x:v>
      </x:c>
      <x:c r="O763" s="14" t="str">
        <x:v>nm0349708</x:v>
      </x:c>
      <x:c r="P763" s="14" t="str">
        <x:v>Tilly Walsh</x:v>
      </x:c>
      <x:c r="Q763" s="15" t="n">
        <x:v>1</x:v>
      </x:c>
      <x:c r="R763" s="14" t="str">
        <x:v>2025</x:v>
      </x:c>
      <x:c r="S763" s="14" t="n">
        <x:v>2025</x:v>
      </x:c>
      <x:c r="T763" s="14" t="n">
        <x:v>2025</x:v>
      </x:c>
      <x:c r="U763" s="14" t="str">
        <x:v>Post-2021 casting excluded</x:v>
      </x:c>
      <x:c r="V763" s="14" t="str">
        <x:v>Earliest supplied year is 2025, later than the 2021 study year.</x:v>
      </x:c>
      <x:c r="W763" s="14"/>
      <x:c r="X763" s="14" t="str">
        <x:v>Included</x:v>
      </x:c>
      <x:c r="Y763" s="14"/>
      <x:c r="Z763" s="14" t="str">
        <x:v>Professor T.docx</x:v>
      </x:c>
      <x:c r="AA763" s="14" t="str">
        <x:v>HYPERLINK is not implemented. linkLocation=https://www.imdb.com/title/tt11981644/fullcredits/, friendlyName=Open source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ITV / ITVX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7" t="e">
        <x:f>HYPERLINK("https://en.wikipedia.org/wiki/Professor_T.","Open source")</x:f>
        <x:v>HYPERLINK is not implemented. linkLocation=https://en.wikipedia.org/wiki/Professor_T., friendlyName=Open source</x:v>
      </x:c>
      <x:c r="AN763" s="14" t="str">
        <x:v>No qualifying BBC relationship</x:v>
      </x:c>
      <x:c r="AO763" s="14" t="str">
        <x:v>No</x:v>
      </x:c>
      <x:c r="AP763" s="14" t="str">
        <x:v>Out of scope</x:v>
      </x:c>
      <x:c r="AQ763" s="14" t="str">
        <x:v>No</x:v>
      </x:c>
      <x:c r="AR763" s="14" t="str">
        <x:v>Resolved from master register</x:v>
      </x:c>
      <x:c r="AS763" s="14" t="str">
        <x:v>No established-register match</x:v>
      </x:c>
      <x:c r="AT763" s="14"/>
      <x:c r="AU763" s="14"/>
      <x:c r="AV763" s="14" t="str">
        <x:v>No established apparent-disability match</x:v>
      </x:c>
      <x:c r="AW763" s="14"/>
      <x:c r="AX763" s="14" t="str">
        <x:v>No</x:v>
      </x:c>
      <x:c r="AY763" s="14" t="str">
        <x:v>Unmatched</x:v>
      </x:c>
      <x:c r="AZ763" s="14" t="str">
        <x:v>Final supplied register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30</x:v>
      </x:c>
      <x:c r="BP763" s="14" t="str">
        <x:v>Maximum eligible IMDb cast-credit total (30), shared by 2 performer(s); not independently verified as a 2021-only episode total.</x:v>
      </x:c>
      <x:c r="BQ763" s="14" t="str">
        <x:v>Medium</x:v>
      </x:c>
      <x:c r="BR763" s="15" t="n">
        <x:v>1</x:v>
      </x:c>
      <x:c r="BS763" s="16" t="n">
        <x:v>0.03333333333333333</x:v>
      </x:c>
      <x:c r="BT763" s="14" t="str">
        <x:v>One episode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4" t="str">
        <x:v>HYPERLINK is not implemented. linkLocation=https://www.imdb.com/title/tt11981644/fullcredits/, friendlyName=Open source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tt11981644|nm0105210|forensic pathologist</x:v>
      </x:c>
      <x:c r="B764" s="14" t="str">
        <x:v>02</x:v>
      </x:c>
      <x:c r="C764" s="14" t="str">
        <x:v>2021_IMDb_Cast_Lists_Batch_02(1).xlsx</x:v>
      </x:c>
      <x:c r="D764" s="14" t="str">
        <x:v>Professor T</x:v>
      </x:c>
      <x:c r="E764" s="14" t="n">
        <x:v>110</x:v>
      </x:c>
      <x:c r="F764" s="14" t="str">
        <x:v>Professor T</x:v>
      </x:c>
      <x:c r="G764" s="14" t="str">
        <x:v>tt11981644</x:v>
      </x:c>
      <x:c r="H764" s="14" t="n">
        <x:v>2021</x:v>
      </x:c>
      <x:c r="I764" s="14" t="n">
        <x:v>2025</x:v>
      </x:c>
      <x:c r="J764" s="14" t="str">
        <x:v>Earlier-Production Carry-In Cohort</x:v>
      </x:c>
      <x:c r="K764" s="14" t="n">
        <x:v>2021</x:v>
      </x:c>
      <x:c r="L764" s="14" t="str">
        <x:v>Used in 2025 annual analysis</x:v>
      </x:c>
      <x:c r="M764" s="15" t="n">
        <x:v>103</x:v>
      </x:c>
      <x:c r="N764" s="14" t="str">
        <x:v>Darren J. Bransford</x:v>
      </x:c>
      <x:c r="O764" s="14" t="str">
        <x:v>nm0105210</x:v>
      </x:c>
      <x:c r="P764" s="14" t="str">
        <x:v>Forensic Pathologist</x:v>
      </x:c>
      <x:c r="Q764" s="15" t="n">
        <x:v>1</x:v>
      </x:c>
      <x:c r="R764" s="14" t="str">
        <x:v>2025</x:v>
      </x:c>
      <x:c r="S764" s="14" t="n">
        <x:v>2025</x:v>
      </x:c>
      <x:c r="T764" s="14" t="n">
        <x:v>2025</x:v>
      </x:c>
      <x:c r="U764" s="14" t="str">
        <x:v>Post-2021 casting excluded</x:v>
      </x:c>
      <x:c r="V764" s="14" t="str">
        <x:v>Earliest supplied year is 2025, later than the 2021 study year.</x:v>
      </x:c>
      <x:c r="W764" s="14"/>
      <x:c r="X764" s="14" t="str">
        <x:v>Included</x:v>
      </x:c>
      <x:c r="Y764" s="14"/>
      <x:c r="Z764" s="14" t="str">
        <x:v>Professor T.docx</x:v>
      </x:c>
      <x:c r="AA764" s="14" t="str">
        <x:v>HYPERLINK is not implemented. linkLocation=https://www.imdb.com/title/tt11981644/fullcredits/, friendlyName=Open source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ITV / ITVX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7" t="e">
        <x:f>HYPERLINK("https://en.wikipedia.org/wiki/Professor_T.","Open source")</x:f>
        <x:v>HYPERLINK is not implemented. linkLocation=https://en.wikipedia.org/wiki/Professor_T., friendlyName=Open source</x:v>
      </x:c>
      <x:c r="AN764" s="14" t="str">
        <x:v>No qualifying BBC relationship</x:v>
      </x:c>
      <x:c r="AO764" s="14" t="str">
        <x:v>No</x:v>
      </x:c>
      <x:c r="AP764" s="14" t="str">
        <x:v>Out of scope</x:v>
      </x:c>
      <x:c r="AQ764" s="14" t="str">
        <x:v>No</x:v>
      </x:c>
      <x:c r="AR764" s="14" t="str">
        <x:v>Resolved from master register</x:v>
      </x:c>
      <x:c r="AS764" s="14" t="str">
        <x:v>Exact IMDb performer ID match</x:v>
      </x:c>
      <x:c r="AT764" s="14" t="str">
        <x:v>nm0105210</x:v>
      </x:c>
      <x:c r="AU764" s="14" t="str">
        <x:v>Neurodivergent</x:v>
      </x:c>
      <x:c r="AV764" s="14" t="str">
        <x:v>No</x:v>
      </x:c>
      <x:c r="AW764" s="14"/>
      <x:c r="AX764" s="14" t="str">
        <x:v>Yes</x:v>
      </x:c>
      <x:c r="AY764" s="14" t="str">
        <x:v>Matched</x:v>
      </x:c>
      <x:c r="AZ764" s="14" t="str">
        <x:v>Final supplied register</x:v>
      </x:c>
      <x:c r="BA764" s="14"/>
      <x:c r="BB764" s="14" t="str">
        <x:v>Exact IMDb performer ID match</x:v>
      </x:c>
      <x:c r="BC764" s="14" t="str">
        <x:v>nm0105210</x:v>
      </x:c>
      <x:c r="BD764" s="14" t="str">
        <x:v>Darren J. Bransford</x:v>
      </x:c>
      <x:c r="BE764" s="14" t="str">
        <x:v>Neurodivergent</x:v>
      </x:c>
      <x:c r="BF764" s="14" t="str">
        <x:v>No</x:v>
      </x:c>
      <x:c r="BG764" s="14"/>
      <x:c r="BH764" s="14" t="str">
        <x:v>Yes</x:v>
      </x:c>
      <x:c r="BI764" s="14" t="str">
        <x:v>User-supplied established classification</x:v>
      </x:c>
      <x:c r="BJ764" s="14" t="str">
        <x:v>New IMDB Data.csv</x:v>
      </x:c>
      <x:c r="BK764" s="14"/>
      <x:c r="BL764" s="14" t="str">
        <x:v>Matched</x:v>
      </x:c>
      <x:c r="BM764" s="14" t="str">
        <x:v>Final supplied register</x:v>
      </x:c>
      <x:c r="BN764" s="14"/>
      <x:c r="BO764" s="14" t="n">
        <x:v>30</x:v>
      </x:c>
      <x:c r="BP764" s="14" t="str">
        <x:v>Maximum eligible IMDb cast-credit total (30), shared by 2 performer(s); not independently verified as a 2021-only episode total.</x:v>
      </x:c>
      <x:c r="BQ764" s="14" t="str">
        <x:v>Medium</x:v>
      </x:c>
      <x:c r="BR764" s="15" t="n">
        <x:v>1</x:v>
      </x:c>
      <x:c r="BS764" s="16" t="n">
        <x:v>0.03333333333333333</x:v>
      </x:c>
      <x:c r="BT764" s="14" t="str">
        <x:v>One episode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4" t="str">
        <x:v>HYPERLINK is not implemented. linkLocation=https://www.imdb.com/title/tt11981644/fullcredits/, friendlyName=Open source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tt11981644|nm0850414|ken swales</x:v>
      </x:c>
      <x:c r="B765" s="14" t="str">
        <x:v>02</x:v>
      </x:c>
      <x:c r="C765" s="14" t="str">
        <x:v>2021_IMDb_Cast_Lists_Batch_02(1).xlsx</x:v>
      </x:c>
      <x:c r="D765" s="14" t="str">
        <x:v>Professor T</x:v>
      </x:c>
      <x:c r="E765" s="14" t="n">
        <x:v>122</x:v>
      </x:c>
      <x:c r="F765" s="14" t="str">
        <x:v>Professor T</x:v>
      </x:c>
      <x:c r="G765" s="14" t="str">
        <x:v>tt11981644</x:v>
      </x:c>
      <x:c r="H765" s="14" t="n">
        <x:v>2021</x:v>
      </x:c>
      <x:c r="I765" s="14" t="n">
        <x:v>2025</x:v>
      </x:c>
      <x:c r="J765" s="14" t="str">
        <x:v>Earlier-Production Carry-In Cohort</x:v>
      </x:c>
      <x:c r="K765" s="14" t="n">
        <x:v>2021</x:v>
      </x:c>
      <x:c r="L765" s="14" t="str">
        <x:v>Used in 2025 annual analysis</x:v>
      </x:c>
      <x:c r="M765" s="15" t="n">
        <x:v>115</x:v>
      </x:c>
      <x:c r="N765" s="14" t="str">
        <x:v>Ian Targett</x:v>
      </x:c>
      <x:c r="O765" s="14" t="str">
        <x:v>nm0850414</x:v>
      </x:c>
      <x:c r="P765" s="14" t="str">
        <x:v>Ken Swales</x:v>
      </x:c>
      <x:c r="Q765" s="15" t="n">
        <x:v>1</x:v>
      </x:c>
      <x:c r="R765" s="14" t="str">
        <x:v>2025</x:v>
      </x:c>
      <x:c r="S765" s="14" t="n">
        <x:v>2025</x:v>
      </x:c>
      <x:c r="T765" s="14" t="n">
        <x:v>2025</x:v>
      </x:c>
      <x:c r="U765" s="14" t="str">
        <x:v>Post-2021 casting excluded</x:v>
      </x:c>
      <x:c r="V765" s="14" t="str">
        <x:v>Earliest supplied year is 2025, later than the 2021 study year.</x:v>
      </x:c>
      <x:c r="W765" s="14"/>
      <x:c r="X765" s="14" t="str">
        <x:v>Included</x:v>
      </x:c>
      <x:c r="Y765" s="14"/>
      <x:c r="Z765" s="14" t="str">
        <x:v>Professor T.docx</x:v>
      </x:c>
      <x:c r="AA765" s="14" t="str">
        <x:v>HYPERLINK is not implemented. linkLocation=https://www.imdb.com/title/tt11981644/fullcredits/, friendlyName=Open source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ITV / ITVX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7" t="e">
        <x:f>HYPERLINK("https://en.wikipedia.org/wiki/Professor_T.","Open source")</x:f>
        <x:v>HYPERLINK is not implemented. linkLocation=https://en.wikipedia.org/wiki/Professor_T., friendlyName=Open source</x:v>
      </x:c>
      <x:c r="AN765" s="14" t="str">
        <x:v>No qualifying BBC relationship</x:v>
      </x:c>
      <x:c r="AO765" s="14" t="str">
        <x:v>No</x:v>
      </x:c>
      <x:c r="AP765" s="14" t="str">
        <x:v>Out of scope</x:v>
      </x:c>
      <x:c r="AQ765" s="14" t="str">
        <x:v>No</x:v>
      </x:c>
      <x:c r="AR765" s="14" t="str">
        <x:v>Resolved from master register</x:v>
      </x:c>
      <x:c r="AS765" s="14" t="str">
        <x:v>No established-register match</x:v>
      </x:c>
      <x:c r="AT765" s="14"/>
      <x:c r="AU765" s="14"/>
      <x:c r="AV765" s="14" t="str">
        <x:v>No established apparent-disability match</x:v>
      </x:c>
      <x:c r="AW765" s="14"/>
      <x:c r="AX765" s="14" t="str">
        <x:v>No</x:v>
      </x:c>
      <x:c r="AY765" s="14" t="str">
        <x:v>Unmatched</x:v>
      </x:c>
      <x:c r="AZ765" s="14" t="str">
        <x:v>Final supplied register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30</x:v>
      </x:c>
      <x:c r="BP765" s="14" t="str">
        <x:v>Maximum eligible IMDb cast-credit total (30), shared by 2 performer(s); not independently verified as a 2021-only episode total.</x:v>
      </x:c>
      <x:c r="BQ765" s="14" t="str">
        <x:v>Medium</x:v>
      </x:c>
      <x:c r="BR765" s="15" t="n">
        <x:v>1</x:v>
      </x:c>
      <x:c r="BS765" s="16" t="n">
        <x:v>0.03333333333333333</x:v>
      </x:c>
      <x:c r="BT765" s="14" t="str">
        <x:v>One episode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4" t="str">
        <x:v>HYPERLINK is not implemented. linkLocation=https://www.imdb.com/title/tt11981644/fullcredits/, friendlyName=Open source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tt11981644|nm11277900|cameron heath</x:v>
      </x:c>
      <x:c r="B766" s="14" t="str">
        <x:v>02</x:v>
      </x:c>
      <x:c r="C766" s="14" t="str">
        <x:v>2021_IMDb_Cast_Lists_Batch_02(1).xlsx</x:v>
      </x:c>
      <x:c r="D766" s="14" t="str">
        <x:v>Professor T</x:v>
      </x:c>
      <x:c r="E766" s="14" t="n">
        <x:v>123</x:v>
      </x:c>
      <x:c r="F766" s="14" t="str">
        <x:v>Professor T</x:v>
      </x:c>
      <x:c r="G766" s="14" t="str">
        <x:v>tt11981644</x:v>
      </x:c>
      <x:c r="H766" s="14" t="n">
        <x:v>2021</x:v>
      </x:c>
      <x:c r="I766" s="14" t="n">
        <x:v>2025</x:v>
      </x:c>
      <x:c r="J766" s="14" t="str">
        <x:v>Earlier-Production Carry-In Cohort</x:v>
      </x:c>
      <x:c r="K766" s="14" t="n">
        <x:v>2021</x:v>
      </x:c>
      <x:c r="L766" s="14" t="str">
        <x:v>Used in 2025 annual analysis</x:v>
      </x:c>
      <x:c r="M766" s="15" t="n">
        <x:v>116</x:v>
      </x:c>
      <x:c r="N766" s="14" t="str">
        <x:v>Tom Cray</x:v>
      </x:c>
      <x:c r="O766" s="14" t="str">
        <x:v>nm11277900</x:v>
      </x:c>
      <x:c r="P766" s="14" t="str">
        <x:v>Cameron Heath</x:v>
      </x:c>
      <x:c r="Q766" s="15" t="n">
        <x:v>1</x:v>
      </x:c>
      <x:c r="R766" s="14" t="str">
        <x:v>2025</x:v>
      </x:c>
      <x:c r="S766" s="14" t="n">
        <x:v>2025</x:v>
      </x:c>
      <x:c r="T766" s="14" t="n">
        <x:v>2025</x:v>
      </x:c>
      <x:c r="U766" s="14" t="str">
        <x:v>Post-2021 casting excluded</x:v>
      </x:c>
      <x:c r="V766" s="14" t="str">
        <x:v>Earliest supplied year is 2025, later than the 2021 study year.</x:v>
      </x:c>
      <x:c r="W766" s="14"/>
      <x:c r="X766" s="14" t="str">
        <x:v>Included</x:v>
      </x:c>
      <x:c r="Y766" s="14"/>
      <x:c r="Z766" s="14" t="str">
        <x:v>Professor T.docx</x:v>
      </x:c>
      <x:c r="AA766" s="14" t="str">
        <x:v>HYPERLINK is not implemented. linkLocation=https://www.imdb.com/title/tt11981644/fullcredits/, friendlyName=Open source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ITV / ITVX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7" t="e">
        <x:f>HYPERLINK("https://en.wikipedia.org/wiki/Professor_T.","Open source")</x:f>
        <x:v>HYPERLINK is not implemented. linkLocation=https://en.wikipedia.org/wiki/Professor_T., friendlyName=Open source</x:v>
      </x:c>
      <x:c r="AN766" s="14" t="str">
        <x:v>No qualifying BBC relationship</x:v>
      </x:c>
      <x:c r="AO766" s="14" t="str">
        <x:v>No</x:v>
      </x:c>
      <x:c r="AP766" s="14" t="str">
        <x:v>Out of scope</x:v>
      </x:c>
      <x:c r="AQ766" s="14" t="str">
        <x:v>No</x:v>
      </x:c>
      <x:c r="AR766" s="14" t="str">
        <x:v>Resolved from master register</x:v>
      </x:c>
      <x:c r="AS766" s="14" t="str">
        <x:v>No established-register match</x:v>
      </x:c>
      <x:c r="AT766" s="14"/>
      <x:c r="AU766" s="14"/>
      <x:c r="AV766" s="14" t="str">
        <x:v>No established apparent-disability match</x:v>
      </x:c>
      <x:c r="AW766" s="14"/>
      <x:c r="AX766" s="14" t="str">
        <x:v>No</x:v>
      </x:c>
      <x:c r="AY766" s="14" t="str">
        <x:v>Unmatched</x:v>
      </x:c>
      <x:c r="AZ766" s="14" t="str">
        <x:v>Final supplied register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30</x:v>
      </x:c>
      <x:c r="BP766" s="14" t="str">
        <x:v>Maximum eligible IMDb cast-credit total (30), shared by 2 performer(s); not independently verified as a 2021-only episode total.</x:v>
      </x:c>
      <x:c r="BQ766" s="14" t="str">
        <x:v>Medium</x:v>
      </x:c>
      <x:c r="BR766" s="15" t="n">
        <x:v>1</x:v>
      </x:c>
      <x:c r="BS766" s="16" t="n">
        <x:v>0.03333333333333333</x:v>
      </x:c>
      <x:c r="BT766" s="14" t="str">
        <x:v>One episode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4" t="str">
        <x:v>HYPERLINK is not implemented. linkLocation=https://www.imdb.com/title/tt11981644/fullcredits/, friendlyName=Open source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tt11981644|nm2417360|viv morgan</x:v>
      </x:c>
      <x:c r="B767" s="14" t="str">
        <x:v>02</x:v>
      </x:c>
      <x:c r="C767" s="14" t="str">
        <x:v>2021_IMDb_Cast_Lists_Batch_02(1).xlsx</x:v>
      </x:c>
      <x:c r="D767" s="14" t="str">
        <x:v>Professor T</x:v>
      </x:c>
      <x:c r="E767" s="14" t="n">
        <x:v>131</x:v>
      </x:c>
      <x:c r="F767" s="14" t="str">
        <x:v>Professor T</x:v>
      </x:c>
      <x:c r="G767" s="14" t="str">
        <x:v>tt11981644</x:v>
      </x:c>
      <x:c r="H767" s="14" t="n">
        <x:v>2021</x:v>
      </x:c>
      <x:c r="I767" s="14" t="n">
        <x:v>2025</x:v>
      </x:c>
      <x:c r="J767" s="14" t="str">
        <x:v>Earlier-Production Carry-In Cohort</x:v>
      </x:c>
      <x:c r="K767" s="14" t="n">
        <x:v>2021</x:v>
      </x:c>
      <x:c r="L767" s="14" t="str">
        <x:v>Used in 2025 annual analysis</x:v>
      </x:c>
      <x:c r="M767" s="15" t="n">
        <x:v>124</x:v>
      </x:c>
      <x:c r="N767" s="14" t="str">
        <x:v>Laura Doddington</x:v>
      </x:c>
      <x:c r="O767" s="14" t="str">
        <x:v>nm2417360</x:v>
      </x:c>
      <x:c r="P767" s="14" t="str">
        <x:v>Viv Morgan</x:v>
      </x:c>
      <x:c r="Q767" s="15" t="n">
        <x:v>1</x:v>
      </x:c>
      <x:c r="R767" s="14" t="str">
        <x:v>2025</x:v>
      </x:c>
      <x:c r="S767" s="14" t="n">
        <x:v>2025</x:v>
      </x:c>
      <x:c r="T767" s="14" t="n">
        <x:v>2025</x:v>
      </x:c>
      <x:c r="U767" s="14" t="str">
        <x:v>Post-2021 casting excluded</x:v>
      </x:c>
      <x:c r="V767" s="14" t="str">
        <x:v>Earliest supplied year is 2025, later than the 2021 study year.</x:v>
      </x:c>
      <x:c r="W767" s="14"/>
      <x:c r="X767" s="14" t="str">
        <x:v>Included</x:v>
      </x:c>
      <x:c r="Y767" s="14"/>
      <x:c r="Z767" s="14" t="str">
        <x:v>Professor T.docx</x:v>
      </x:c>
      <x:c r="AA767" s="14" t="str">
        <x:v>HYPERLINK is not implemented. linkLocation=https://www.imdb.com/title/tt11981644/fullcredits/, friendlyName=Open source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ITV / ITVX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7" t="e">
        <x:f>HYPERLINK("https://en.wikipedia.org/wiki/Professor_T.","Open source")</x:f>
        <x:v>HYPERLINK is not implemented. linkLocation=https://en.wikipedia.org/wiki/Professor_T., friendlyName=Open source</x:v>
      </x:c>
      <x:c r="AN767" s="14" t="str">
        <x:v>No qualifying BBC relationship</x:v>
      </x:c>
      <x:c r="AO767" s="14" t="str">
        <x:v>No</x:v>
      </x:c>
      <x:c r="AP767" s="14" t="str">
        <x:v>Out of scope</x:v>
      </x:c>
      <x:c r="AQ767" s="14" t="str">
        <x:v>No</x:v>
      </x:c>
      <x:c r="AR767" s="14" t="str">
        <x:v>Resolved from master register</x:v>
      </x:c>
      <x:c r="AS767" s="14" t="str">
        <x:v>No established-register match</x:v>
      </x:c>
      <x:c r="AT767" s="14"/>
      <x:c r="AU767" s="14"/>
      <x:c r="AV767" s="14" t="str">
        <x:v>No established apparent-disability match</x:v>
      </x:c>
      <x:c r="AW767" s="14"/>
      <x:c r="AX767" s="14" t="str">
        <x:v>No</x:v>
      </x:c>
      <x:c r="AY767" s="14" t="str">
        <x:v>Unmatched</x:v>
      </x:c>
      <x:c r="AZ767" s="14" t="str">
        <x:v>Final supplied register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30</x:v>
      </x:c>
      <x:c r="BP767" s="14" t="str">
        <x:v>Maximum eligible IMDb cast-credit total (30), shared by 2 performer(s); not independently verified as a 2021-only episode total.</x:v>
      </x:c>
      <x:c r="BQ767" s="14" t="str">
        <x:v>Medium</x:v>
      </x:c>
      <x:c r="BR767" s="15" t="n">
        <x:v>1</x:v>
      </x:c>
      <x:c r="BS767" s="16" t="n">
        <x:v>0.03333333333333333</x:v>
      </x:c>
      <x:c r="BT767" s="14" t="str">
        <x:v>One episode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4" t="str">
        <x:v>HYPERLINK is not implemented. linkLocation=https://www.imdb.com/title/tt11981644/fullcredits/, friendlyName=Open source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tt11981644|nm3230224|anna wallace</x:v>
      </x:c>
      <x:c r="B768" s="14" t="str">
        <x:v>02</x:v>
      </x:c>
      <x:c r="C768" s="14" t="str">
        <x:v>2021_IMDb_Cast_Lists_Batch_02(1).xlsx</x:v>
      </x:c>
      <x:c r="D768" s="14" t="str">
        <x:v>Professor T</x:v>
      </x:c>
      <x:c r="E768" s="14" t="n">
        <x:v>132</x:v>
      </x:c>
      <x:c r="F768" s="14" t="str">
        <x:v>Professor T</x:v>
      </x:c>
      <x:c r="G768" s="14" t="str">
        <x:v>tt11981644</x:v>
      </x:c>
      <x:c r="H768" s="14" t="n">
        <x:v>2021</x:v>
      </x:c>
      <x:c r="I768" s="14" t="n">
        <x:v>2025</x:v>
      </x:c>
      <x:c r="J768" s="14" t="str">
        <x:v>Earlier-Production Carry-In Cohort</x:v>
      </x:c>
      <x:c r="K768" s="14" t="n">
        <x:v>2021</x:v>
      </x:c>
      <x:c r="L768" s="14" t="str">
        <x:v>Used in 2025 annual analysis</x:v>
      </x:c>
      <x:c r="M768" s="15" t="n">
        <x:v>125</x:v>
      </x:c>
      <x:c r="N768" s="14" t="str">
        <x:v>Renu Brindle</x:v>
      </x:c>
      <x:c r="O768" s="14" t="str">
        <x:v>nm3230224</x:v>
      </x:c>
      <x:c r="P768" s="14" t="str">
        <x:v>Anna Wallace</x:v>
      </x:c>
      <x:c r="Q768" s="15" t="n">
        <x:v>1</x:v>
      </x:c>
      <x:c r="R768" s="14" t="str">
        <x:v>2025</x:v>
      </x:c>
      <x:c r="S768" s="14" t="n">
        <x:v>2025</x:v>
      </x:c>
      <x:c r="T768" s="14" t="n">
        <x:v>2025</x:v>
      </x:c>
      <x:c r="U768" s="14" t="str">
        <x:v>Post-2021 casting excluded</x:v>
      </x:c>
      <x:c r="V768" s="14" t="str">
        <x:v>Earliest supplied year is 2025, later than the 2021 study year.</x:v>
      </x:c>
      <x:c r="W768" s="14"/>
      <x:c r="X768" s="14" t="str">
        <x:v>Included</x:v>
      </x:c>
      <x:c r="Y768" s="14"/>
      <x:c r="Z768" s="14" t="str">
        <x:v>Professor T.docx</x:v>
      </x:c>
      <x:c r="AA768" s="14" t="str">
        <x:v>HYPERLINK is not implemented. linkLocation=https://www.imdb.com/title/tt11981644/fullcredits/, friendlyName=Open source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ITV / ITVX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7" t="e">
        <x:f>HYPERLINK("https://en.wikipedia.org/wiki/Professor_T.","Open source")</x:f>
        <x:v>HYPERLINK is not implemented. linkLocation=https://en.wikipedia.org/wiki/Professor_T., friendlyName=Open source</x:v>
      </x:c>
      <x:c r="AN768" s="14" t="str">
        <x:v>No qualifying BBC relationship</x:v>
      </x:c>
      <x:c r="AO768" s="14" t="str">
        <x:v>No</x:v>
      </x:c>
      <x:c r="AP768" s="14" t="str">
        <x:v>Out of scope</x:v>
      </x:c>
      <x:c r="AQ768" s="14" t="str">
        <x:v>No</x:v>
      </x:c>
      <x:c r="AR768" s="14" t="str">
        <x:v>Resolved from master register</x:v>
      </x:c>
      <x:c r="AS768" s="14" t="str">
        <x:v>No established-register match</x:v>
      </x:c>
      <x:c r="AT768" s="14"/>
      <x:c r="AU768" s="14"/>
      <x:c r="AV768" s="14" t="str">
        <x:v>No established apparent-disability match</x:v>
      </x:c>
      <x:c r="AW768" s="14"/>
      <x:c r="AX768" s="14" t="str">
        <x:v>No</x:v>
      </x:c>
      <x:c r="AY768" s="14" t="str">
        <x:v>Unmatched</x:v>
      </x:c>
      <x:c r="AZ768" s="14" t="str">
        <x:v>Final supplied register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30</x:v>
      </x:c>
      <x:c r="BP768" s="14" t="str">
        <x:v>Maximum eligible IMDb cast-credit total (30), shared by 2 performer(s); not independently verified as a 2021-only episode total.</x:v>
      </x:c>
      <x:c r="BQ768" s="14" t="str">
        <x:v>Medium</x:v>
      </x:c>
      <x:c r="BR768" s="15" t="n">
        <x:v>1</x:v>
      </x:c>
      <x:c r="BS768" s="16" t="n">
        <x:v>0.03333333333333333</x:v>
      </x:c>
      <x:c r="BT768" s="14" t="str">
        <x:v>One episode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4" t="str">
        <x:v>HYPERLINK is not implemented. linkLocation=https://www.imdb.com/title/tt11981644/fullcredits/, friendlyName=Open source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tt11981644|nm17091033|marie bryant</x:v>
      </x:c>
      <x:c r="B769" s="14" t="str">
        <x:v>02</x:v>
      </x:c>
      <x:c r="C769" s="14" t="str">
        <x:v>2021_IMDb_Cast_Lists_Batch_02(1).xlsx</x:v>
      </x:c>
      <x:c r="D769" s="14" t="str">
        <x:v>Professor T</x:v>
      </x:c>
      <x:c r="E769" s="14" t="n">
        <x:v>133</x:v>
      </x:c>
      <x:c r="F769" s="14" t="str">
        <x:v>Professor T</x:v>
      </x:c>
      <x:c r="G769" s="14" t="str">
        <x:v>tt11981644</x:v>
      </x:c>
      <x:c r="H769" s="14" t="n">
        <x:v>2021</x:v>
      </x:c>
      <x:c r="I769" s="14" t="n">
        <x:v>2025</x:v>
      </x:c>
      <x:c r="J769" s="14" t="str">
        <x:v>Earlier-Production Carry-In Cohort</x:v>
      </x:c>
      <x:c r="K769" s="14" t="n">
        <x:v>2021</x:v>
      </x:c>
      <x:c r="L769" s="14" t="str">
        <x:v>Used in 2025 annual analysis</x:v>
      </x:c>
      <x:c r="M769" s="15" t="n">
        <x:v>126</x:v>
      </x:c>
      <x:c r="N769" s="14" t="str">
        <x:v>Madelief Sannen</x:v>
      </x:c>
      <x:c r="O769" s="14" t="str">
        <x:v>nm17091033</x:v>
      </x:c>
      <x:c r="P769" s="14" t="str">
        <x:v>Marie Bryant</x:v>
      </x:c>
      <x:c r="Q769" s="15" t="n">
        <x:v>1</x:v>
      </x:c>
      <x:c r="R769" s="14" t="str">
        <x:v>2025</x:v>
      </x:c>
      <x:c r="S769" s="14" t="n">
        <x:v>2025</x:v>
      </x:c>
      <x:c r="T769" s="14" t="n">
        <x:v>2025</x:v>
      </x:c>
      <x:c r="U769" s="14" t="str">
        <x:v>Post-2021 casting excluded</x:v>
      </x:c>
      <x:c r="V769" s="14" t="str">
        <x:v>Earliest supplied year is 2025, later than the 2021 study year.</x:v>
      </x:c>
      <x:c r="W769" s="14"/>
      <x:c r="X769" s="14" t="str">
        <x:v>Included</x:v>
      </x:c>
      <x:c r="Y769" s="14"/>
      <x:c r="Z769" s="14" t="str">
        <x:v>Professor T.docx</x:v>
      </x:c>
      <x:c r="AA769" s="14" t="str">
        <x:v>HYPERLINK is not implemented. linkLocation=https://www.imdb.com/title/tt11981644/fullcredits/, friendlyName=Open source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ITV / ITVX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7" t="e">
        <x:f>HYPERLINK("https://en.wikipedia.org/wiki/Professor_T.","Open source")</x:f>
        <x:v>HYPERLINK is not implemented. linkLocation=https://en.wikipedia.org/wiki/Professor_T., friendlyName=Open source</x:v>
      </x:c>
      <x:c r="AN769" s="14" t="str">
        <x:v>No qualifying BBC relationship</x:v>
      </x:c>
      <x:c r="AO769" s="14" t="str">
        <x:v>No</x:v>
      </x:c>
      <x:c r="AP769" s="14" t="str">
        <x:v>Out of scope</x:v>
      </x:c>
      <x:c r="AQ769" s="14" t="str">
        <x:v>No</x:v>
      </x:c>
      <x:c r="AR769" s="14" t="str">
        <x:v>Resolved from master register</x:v>
      </x:c>
      <x:c r="AS769" s="14" t="str">
        <x:v>No established-register match</x:v>
      </x:c>
      <x:c r="AT769" s="14"/>
      <x:c r="AU769" s="14"/>
      <x:c r="AV769" s="14" t="str">
        <x:v>No established apparent-disability match</x:v>
      </x:c>
      <x:c r="AW769" s="14"/>
      <x:c r="AX769" s="14" t="str">
        <x:v>No</x:v>
      </x:c>
      <x:c r="AY769" s="14" t="str">
        <x:v>Unmatched</x:v>
      </x:c>
      <x:c r="AZ769" s="14" t="str">
        <x:v>Final supplied register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30</x:v>
      </x:c>
      <x:c r="BP769" s="14" t="str">
        <x:v>Maximum eligible IMDb cast-credit total (30), shared by 2 performer(s); not independently verified as a 2021-only episode total.</x:v>
      </x:c>
      <x:c r="BQ769" s="14" t="str">
        <x:v>Medium</x:v>
      </x:c>
      <x:c r="BR769" s="15" t="n">
        <x:v>1</x:v>
      </x:c>
      <x:c r="BS769" s="16" t="n">
        <x:v>0.03333333333333333</x:v>
      </x:c>
      <x:c r="BT769" s="14" t="str">
        <x:v>One episode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4" t="str">
        <x:v>HYPERLINK is not implemented. linkLocation=https://www.imdb.com/title/tt11981644/fullcredits/, friendlyName=Open source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tt11981644|nm17592132|yacht barman</x:v>
      </x:c>
      <x:c r="B770" s="14" t="str">
        <x:v>02</x:v>
      </x:c>
      <x:c r="C770" s="14" t="str">
        <x:v>2021_IMDb_Cast_Lists_Batch_02(1).xlsx</x:v>
      </x:c>
      <x:c r="D770" s="14" t="str">
        <x:v>Professor T</x:v>
      </x:c>
      <x:c r="E770" s="14" t="n">
        <x:v>134</x:v>
      </x:c>
      <x:c r="F770" s="14" t="str">
        <x:v>Professor T</x:v>
      </x:c>
      <x:c r="G770" s="14" t="str">
        <x:v>tt11981644</x:v>
      </x:c>
      <x:c r="H770" s="14" t="n">
        <x:v>2021</x:v>
      </x:c>
      <x:c r="I770" s="14" t="n">
        <x:v>2025</x:v>
      </x:c>
      <x:c r="J770" s="14" t="str">
        <x:v>Earlier-Production Carry-In Cohort</x:v>
      </x:c>
      <x:c r="K770" s="14" t="n">
        <x:v>2021</x:v>
      </x:c>
      <x:c r="L770" s="14" t="str">
        <x:v>Used in 2025 annual analysis</x:v>
      </x:c>
      <x:c r="M770" s="15" t="n">
        <x:v>127</x:v>
      </x:c>
      <x:c r="N770" s="14" t="str">
        <x:v>James Hogan</x:v>
      </x:c>
      <x:c r="O770" s="14" t="str">
        <x:v>nm17592132</x:v>
      </x:c>
      <x:c r="P770" s="14" t="str">
        <x:v>Yacht Barman</x:v>
      </x:c>
      <x:c r="Q770" s="15" t="n">
        <x:v>1</x:v>
      </x:c>
      <x:c r="R770" s="14" t="str">
        <x:v>2025</x:v>
      </x:c>
      <x:c r="S770" s="14" t="n">
        <x:v>2025</x:v>
      </x:c>
      <x:c r="T770" s="14" t="n">
        <x:v>2025</x:v>
      </x:c>
      <x:c r="U770" s="14" t="str">
        <x:v>Post-2021 casting excluded</x:v>
      </x:c>
      <x:c r="V770" s="14" t="str">
        <x:v>Earliest supplied year is 2025, later than the 2021 study year.</x:v>
      </x:c>
      <x:c r="W770" s="14"/>
      <x:c r="X770" s="14" t="str">
        <x:v>Included</x:v>
      </x:c>
      <x:c r="Y770" s="14"/>
      <x:c r="Z770" s="14" t="str">
        <x:v>Professor T.docx</x:v>
      </x:c>
      <x:c r="AA770" s="14" t="str">
        <x:v>HYPERLINK is not implemented. linkLocation=https://www.imdb.com/title/tt11981644/fullcredits/, friendlyName=Open source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ITV / ITVX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7" t="e">
        <x:f>HYPERLINK("https://en.wikipedia.org/wiki/Professor_T.","Open source")</x:f>
        <x:v>HYPERLINK is not implemented. linkLocation=https://en.wikipedia.org/wiki/Professor_T., friendlyName=Open source</x:v>
      </x:c>
      <x:c r="AN770" s="14" t="str">
        <x:v>No qualifying BBC relationship</x:v>
      </x:c>
      <x:c r="AO770" s="14" t="str">
        <x:v>No</x:v>
      </x:c>
      <x:c r="AP770" s="14" t="str">
        <x:v>Out of scope</x:v>
      </x:c>
      <x:c r="AQ770" s="14" t="str">
        <x:v>No</x:v>
      </x:c>
      <x:c r="AR770" s="14" t="str">
        <x:v>Resolved from master register</x:v>
      </x:c>
      <x:c r="AS770" s="14" t="str">
        <x:v>No established-register match</x:v>
      </x:c>
      <x:c r="AT770" s="14"/>
      <x:c r="AU770" s="14"/>
      <x:c r="AV770" s="14" t="str">
        <x:v>No established apparent-disability match</x:v>
      </x:c>
      <x:c r="AW770" s="14"/>
      <x:c r="AX770" s="14" t="str">
        <x:v>No</x:v>
      </x:c>
      <x:c r="AY770" s="14" t="str">
        <x:v>Unmatched</x:v>
      </x:c>
      <x:c r="AZ770" s="14" t="str">
        <x:v>Final supplied register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30</x:v>
      </x:c>
      <x:c r="BP770" s="14" t="str">
        <x:v>Maximum eligible IMDb cast-credit total (30), shared by 2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0.03333333333333333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4" t="str">
        <x:v>HYPERLINK is not implemented. linkLocation=https://www.imdb.com/title/tt11981644/fullcredits/, friendlyName=Open source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tt11981644|nm0691928|dennis baines</x:v>
      </x:c>
      <x:c r="B771" s="14" t="str">
        <x:v>02</x:v>
      </x:c>
      <x:c r="C771" s="14" t="str">
        <x:v>2021_IMDb_Cast_Lists_Batch_02(1).xlsx</x:v>
      </x:c>
      <x:c r="D771" s="14" t="str">
        <x:v>Professor T</x:v>
      </x:c>
      <x:c r="E771" s="14" t="n">
        <x:v>144</x:v>
      </x:c>
      <x:c r="F771" s="14" t="str">
        <x:v>Professor T</x:v>
      </x:c>
      <x:c r="G771" s="14" t="str">
        <x:v>tt11981644</x:v>
      </x:c>
      <x:c r="H771" s="14" t="n">
        <x:v>2021</x:v>
      </x:c>
      <x:c r="I771" s="14" t="n">
        <x:v>2025</x:v>
      </x:c>
      <x:c r="J771" s="14" t="str">
        <x:v>Earlier-Production Carry-In Cohort</x:v>
      </x:c>
      <x:c r="K771" s="14" t="n">
        <x:v>2021</x:v>
      </x:c>
      <x:c r="L771" s="14" t="str">
        <x:v>Used in 2025 annual analysis</x:v>
      </x:c>
      <x:c r="M771" s="15" t="n">
        <x:v>137</x:v>
      </x:c>
      <x:c r="N771" s="14" t="str">
        <x:v>Robert Portal</x:v>
      </x:c>
      <x:c r="O771" s="14" t="str">
        <x:v>nm0691928</x:v>
      </x:c>
      <x:c r="P771" s="14" t="str">
        <x:v>Dennis Baines</x:v>
      </x:c>
      <x:c r="Q771" s="15" t="n">
        <x:v>1</x:v>
      </x:c>
      <x:c r="R771" s="14" t="str">
        <x:v>2025</x:v>
      </x:c>
      <x:c r="S771" s="14" t="n">
        <x:v>2025</x:v>
      </x:c>
      <x:c r="T771" s="14" t="n">
        <x:v>2025</x:v>
      </x:c>
      <x:c r="U771" s="14" t="str">
        <x:v>Post-2021 casting excluded</x:v>
      </x:c>
      <x:c r="V771" s="14" t="str">
        <x:v>Earliest supplied year is 2025, later than the 2021 study year.</x:v>
      </x:c>
      <x:c r="W771" s="14"/>
      <x:c r="X771" s="14" t="str">
        <x:v>Included</x:v>
      </x:c>
      <x:c r="Y771" s="14"/>
      <x:c r="Z771" s="14" t="str">
        <x:v>Professor T.docx</x:v>
      </x:c>
      <x:c r="AA771" s="14" t="str">
        <x:v>HYPERLINK is not implemented. linkLocation=https://www.imdb.com/title/tt11981644/fullcredits/, friendlyName=Open source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ITV / ITVX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7" t="e">
        <x:f>HYPERLINK("https://en.wikipedia.org/wiki/Professor_T.","Open source")</x:f>
        <x:v>HYPERLINK is not implemented. linkLocation=https://en.wikipedia.org/wiki/Professor_T., friendlyName=Open source</x:v>
      </x:c>
      <x:c r="AN771" s="14" t="str">
        <x:v>No qualifying BBC relationship</x:v>
      </x:c>
      <x:c r="AO771" s="14" t="str">
        <x:v>No</x:v>
      </x:c>
      <x:c r="AP771" s="14" t="str">
        <x:v>Out of scope</x:v>
      </x:c>
      <x:c r="AQ771" s="14" t="str">
        <x:v>No</x:v>
      </x:c>
      <x:c r="AR771" s="14" t="str">
        <x:v>Resolved from master register</x:v>
      </x:c>
      <x:c r="AS771" s="14" t="str">
        <x:v>No established-register match</x:v>
      </x:c>
      <x:c r="AT771" s="14"/>
      <x:c r="AU771" s="14"/>
      <x:c r="AV771" s="14" t="str">
        <x:v>No established apparent-disability match</x:v>
      </x:c>
      <x:c r="AW771" s="14"/>
      <x:c r="AX771" s="14" t="str">
        <x:v>No</x:v>
      </x:c>
      <x:c r="AY771" s="14" t="str">
        <x:v>Unmatched</x:v>
      </x:c>
      <x:c r="AZ771" s="14" t="str">
        <x:v>Final supplied register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30</x:v>
      </x:c>
      <x:c r="BP771" s="14" t="str">
        <x:v>Maximum eligible IMDb cast-credit total (30), shared by 2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0.03333333333333333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4" t="str">
        <x:v>HYPERLINK is not implemented. linkLocation=https://www.imdb.com/title/tt11981644/fullcredits/, friendlyName=Open source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tt11981644|nm10167119|tina northam</x:v>
      </x:c>
      <x:c r="B772" s="14" t="str">
        <x:v>02</x:v>
      </x:c>
      <x:c r="C772" s="14" t="str">
        <x:v>2021_IMDb_Cast_Lists_Batch_02(1).xlsx</x:v>
      </x:c>
      <x:c r="D772" s="14" t="str">
        <x:v>Professor T</x:v>
      </x:c>
      <x:c r="E772" s="14" t="n">
        <x:v>145</x:v>
      </x:c>
      <x:c r="F772" s="14" t="str">
        <x:v>Professor T</x:v>
      </x:c>
      <x:c r="G772" s="14" t="str">
        <x:v>tt11981644</x:v>
      </x:c>
      <x:c r="H772" s="14" t="n">
        <x:v>2021</x:v>
      </x:c>
      <x:c r="I772" s="14" t="n">
        <x:v>2025</x:v>
      </x:c>
      <x:c r="J772" s="14" t="str">
        <x:v>Earlier-Production Carry-In Cohort</x:v>
      </x:c>
      <x:c r="K772" s="14" t="n">
        <x:v>2021</x:v>
      </x:c>
      <x:c r="L772" s="14" t="str">
        <x:v>Used in 2025 annual analysis</x:v>
      </x:c>
      <x:c r="M772" s="15" t="n">
        <x:v>138</x:v>
      </x:c>
      <x:c r="N772" s="14" t="str">
        <x:v>Gemma Knight Jones</x:v>
      </x:c>
      <x:c r="O772" s="14" t="str">
        <x:v>nm10167119</x:v>
      </x:c>
      <x:c r="P772" s="14" t="str">
        <x:v>Tina Northam</x:v>
      </x:c>
      <x:c r="Q772" s="15" t="n">
        <x:v>1</x:v>
      </x:c>
      <x:c r="R772" s="14" t="str">
        <x:v>2025</x:v>
      </x:c>
      <x:c r="S772" s="14" t="n">
        <x:v>2025</x:v>
      </x:c>
      <x:c r="T772" s="14" t="n">
        <x:v>2025</x:v>
      </x:c>
      <x:c r="U772" s="14" t="str">
        <x:v>Post-2021 casting excluded</x:v>
      </x:c>
      <x:c r="V772" s="14" t="str">
        <x:v>Earliest supplied year is 2025, later than the 2021 study year.</x:v>
      </x:c>
      <x:c r="W772" s="14"/>
      <x:c r="X772" s="14" t="str">
        <x:v>Included</x:v>
      </x:c>
      <x:c r="Y772" s="14" t="str">
        <x:v>(as Gemma Knight-Jones)</x:v>
      </x:c>
      <x:c r="Z772" s="14" t="str">
        <x:v>Professor T.docx</x:v>
      </x:c>
      <x:c r="AA772" s="14" t="str">
        <x:v>HYPERLINK is not implemented. linkLocation=https://www.imdb.com/title/tt11981644/fullcredits/, friendlyName=Open source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ITV / ITVX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7" t="e">
        <x:f>HYPERLINK("https://en.wikipedia.org/wiki/Professor_T.","Open source")</x:f>
        <x:v>HYPERLINK is not implemented. linkLocation=https://en.wikipedia.org/wiki/Professor_T., friendlyName=Open source</x:v>
      </x:c>
      <x:c r="AN772" s="14" t="str">
        <x:v>No qualifying BBC relationship</x:v>
      </x:c>
      <x:c r="AO772" s="14" t="str">
        <x:v>No</x:v>
      </x:c>
      <x:c r="AP772" s="14" t="str">
        <x:v>Out of scope</x:v>
      </x:c>
      <x:c r="AQ772" s="14" t="str">
        <x:v>No</x:v>
      </x:c>
      <x:c r="AR772" s="14" t="str">
        <x:v>Resolved from master register</x:v>
      </x:c>
      <x:c r="AS772" s="14" t="str">
        <x:v>No established-register match</x:v>
      </x:c>
      <x:c r="AT772" s="14"/>
      <x:c r="AU772" s="14"/>
      <x:c r="AV772" s="14" t="str">
        <x:v>No established apparent-disability match</x:v>
      </x:c>
      <x:c r="AW772" s="14"/>
      <x:c r="AX772" s="14" t="str">
        <x:v>No</x:v>
      </x:c>
      <x:c r="AY772" s="14" t="str">
        <x:v>Unmatched</x:v>
      </x:c>
      <x:c r="AZ772" s="14" t="str">
        <x:v>Final supplied register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30</x:v>
      </x:c>
      <x:c r="BP772" s="14" t="str">
        <x:v>Maximum eligible IMDb cast-credit total (30), shared by 2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0.03333333333333333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4" t="str">
        <x:v>HYPERLINK is not implemented. linkLocation=https://www.imdb.com/title/tt11981644/fullcredits/, friendlyName=Open source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tt11981644|nm17110644|marvellous marvin</x:v>
      </x:c>
      <x:c r="B773" s="14" t="str">
        <x:v>02</x:v>
      </x:c>
      <x:c r="C773" s="14" t="str">
        <x:v>2021_IMDb_Cast_Lists_Batch_02(1).xlsx</x:v>
      </x:c>
      <x:c r="D773" s="14" t="str">
        <x:v>Professor T</x:v>
      </x:c>
      <x:c r="E773" s="14" t="n">
        <x:v>146</x:v>
      </x:c>
      <x:c r="F773" s="14" t="str">
        <x:v>Professor T</x:v>
      </x:c>
      <x:c r="G773" s="14" t="str">
        <x:v>tt11981644</x:v>
      </x:c>
      <x:c r="H773" s="14" t="n">
        <x:v>2021</x:v>
      </x:c>
      <x:c r="I773" s="14" t="n">
        <x:v>2025</x:v>
      </x:c>
      <x:c r="J773" s="14" t="str">
        <x:v>Earlier-Production Carry-In Cohort</x:v>
      </x:c>
      <x:c r="K773" s="14" t="n">
        <x:v>2021</x:v>
      </x:c>
      <x:c r="L773" s="14" t="str">
        <x:v>Used in 2025 annual analysis</x:v>
      </x:c>
      <x:c r="M773" s="15" t="n">
        <x:v>139</x:v>
      </x:c>
      <x:c r="N773" s="14" t="str">
        <x:v>Athila Struys</x:v>
      </x:c>
      <x:c r="O773" s="14" t="str">
        <x:v>nm17110644</x:v>
      </x:c>
      <x:c r="P773" s="14" t="str">
        <x:v>Marvellous Marvin</x:v>
      </x:c>
      <x:c r="Q773" s="15" t="n">
        <x:v>1</x:v>
      </x:c>
      <x:c r="R773" s="14" t="str">
        <x:v>2025</x:v>
      </x:c>
      <x:c r="S773" s="14" t="n">
        <x:v>2025</x:v>
      </x:c>
      <x:c r="T773" s="14" t="n">
        <x:v>2025</x:v>
      </x:c>
      <x:c r="U773" s="14" t="str">
        <x:v>Post-2021 casting excluded</x:v>
      </x:c>
      <x:c r="V773" s="14" t="str">
        <x:v>Earliest supplied year is 2025, later than the 2021 study year.</x:v>
      </x:c>
      <x:c r="W773" s="14"/>
      <x:c r="X773" s="14" t="str">
        <x:v>Included</x:v>
      </x:c>
      <x:c r="Y773" s="14"/>
      <x:c r="Z773" s="14" t="str">
        <x:v>Professor T.docx</x:v>
      </x:c>
      <x:c r="AA773" s="14" t="str">
        <x:v>HYPERLINK is not implemented. linkLocation=https://www.imdb.com/title/tt11981644/fullcredits/, friendlyName=Open source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ITV / ITVX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7" t="e">
        <x:f>HYPERLINK("https://en.wikipedia.org/wiki/Professor_T.","Open source")</x:f>
        <x:v>HYPERLINK is not implemented. linkLocation=https://en.wikipedia.org/wiki/Professor_T., friendlyName=Open source</x:v>
      </x:c>
      <x:c r="AN773" s="14" t="str">
        <x:v>No qualifying BBC relationship</x:v>
      </x:c>
      <x:c r="AO773" s="14" t="str">
        <x:v>No</x:v>
      </x:c>
      <x:c r="AP773" s="14" t="str">
        <x:v>Out of scope</x:v>
      </x:c>
      <x:c r="AQ773" s="14" t="str">
        <x:v>No</x:v>
      </x:c>
      <x:c r="AR773" s="14" t="str">
        <x:v>Resolved from master register</x:v>
      </x:c>
      <x:c r="AS773" s="14" t="str">
        <x:v>No established-register match</x:v>
      </x:c>
      <x:c r="AT773" s="14"/>
      <x:c r="AU773" s="14"/>
      <x:c r="AV773" s="14" t="str">
        <x:v>No established apparent-disability match</x:v>
      </x:c>
      <x:c r="AW773" s="14"/>
      <x:c r="AX773" s="14" t="str">
        <x:v>No</x:v>
      </x:c>
      <x:c r="AY773" s="14" t="str">
        <x:v>Unmatched</x:v>
      </x:c>
      <x:c r="AZ773" s="14" t="str">
        <x:v>Final supplied register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30</x:v>
      </x:c>
      <x:c r="BP773" s="14" t="str">
        <x:v>Maximum eligible IMDb cast-credit total (30), shared by 2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0.03333333333333333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4" t="str">
        <x:v>HYPERLINK is not implemented. linkLocation=https://www.imdb.com/title/tt11981644/fullcredits/, friendlyName=Open source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tt11981644|nm17592435|eddy baines</x:v>
      </x:c>
      <x:c r="B774" s="14" t="str">
        <x:v>02</x:v>
      </x:c>
      <x:c r="C774" s="14" t="str">
        <x:v>2021_IMDb_Cast_Lists_Batch_02(1).xlsx</x:v>
      </x:c>
      <x:c r="D774" s="14" t="str">
        <x:v>Professor T</x:v>
      </x:c>
      <x:c r="E774" s="14" t="n">
        <x:v>159</x:v>
      </x:c>
      <x:c r="F774" s="14" t="str">
        <x:v>Professor T</x:v>
      </x:c>
      <x:c r="G774" s="14" t="str">
        <x:v>tt11981644</x:v>
      </x:c>
      <x:c r="H774" s="14" t="n">
        <x:v>2021</x:v>
      </x:c>
      <x:c r="I774" s="14" t="n">
        <x:v>2025</x:v>
      </x:c>
      <x:c r="J774" s="14" t="str">
        <x:v>Earlier-Production Carry-In Cohort</x:v>
      </x:c>
      <x:c r="K774" s="14" t="n">
        <x:v>2021</x:v>
      </x:c>
      <x:c r="L774" s="14" t="str">
        <x:v>Used in 2025 annual analysis</x:v>
      </x:c>
      <x:c r="M774" s="15" t="n">
        <x:v>152</x:v>
      </x:c>
      <x:c r="N774" s="14" t="str">
        <x:v>John O'Toole</x:v>
      </x:c>
      <x:c r="O774" s="14" t="str">
        <x:v>nm17592435</x:v>
      </x:c>
      <x:c r="P774" s="14" t="str">
        <x:v>Eddy Baines</x:v>
      </x:c>
      <x:c r="Q774" s="15" t="n">
        <x:v>1</x:v>
      </x:c>
      <x:c r="R774" s="14" t="str">
        <x:v>2025</x:v>
      </x:c>
      <x:c r="S774" s="14" t="n">
        <x:v>2025</x:v>
      </x:c>
      <x:c r="T774" s="14" t="n">
        <x:v>2025</x:v>
      </x:c>
      <x:c r="U774" s="14" t="str">
        <x:v>Post-2021 casting excluded</x:v>
      </x:c>
      <x:c r="V774" s="14" t="str">
        <x:v>Earliest supplied year is 2025, later than the 2021 study year.</x:v>
      </x:c>
      <x:c r="W774" s="14"/>
      <x:c r="X774" s="14" t="str">
        <x:v>Included</x:v>
      </x:c>
      <x:c r="Y774" s="14"/>
      <x:c r="Z774" s="14" t="str">
        <x:v>Professor T.docx</x:v>
      </x:c>
      <x:c r="AA774" s="14" t="str">
        <x:v>HYPERLINK is not implemented. linkLocation=https://www.imdb.com/title/tt11981644/fullcredits/, friendlyName=Open source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ITV / ITVX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7" t="e">
        <x:f>HYPERLINK("https://en.wikipedia.org/wiki/Professor_T.","Open source")</x:f>
        <x:v>HYPERLINK is not implemented. linkLocation=https://en.wikipedia.org/wiki/Professor_T., friendlyName=Open source</x:v>
      </x:c>
      <x:c r="AN774" s="14" t="str">
        <x:v>No qualifying BBC relationship</x:v>
      </x:c>
      <x:c r="AO774" s="14" t="str">
        <x:v>No</x:v>
      </x:c>
      <x:c r="AP774" s="14" t="str">
        <x:v>Out of scope</x:v>
      </x:c>
      <x:c r="AQ774" s="14" t="str">
        <x:v>No</x:v>
      </x:c>
      <x:c r="AR774" s="14" t="str">
        <x:v>Resolved from master register</x:v>
      </x:c>
      <x:c r="AS774" s="14" t="str">
        <x:v>No established-register match</x:v>
      </x:c>
      <x:c r="AT774" s="14"/>
      <x:c r="AU774" s="14"/>
      <x:c r="AV774" s="14" t="str">
        <x:v>No established apparent-disability match</x:v>
      </x:c>
      <x:c r="AW774" s="14"/>
      <x:c r="AX774" s="14" t="str">
        <x:v>No</x:v>
      </x:c>
      <x:c r="AY774" s="14" t="str">
        <x:v>Unmatched</x:v>
      </x:c>
      <x:c r="AZ774" s="14" t="str">
        <x:v>Final supplied register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30</x:v>
      </x:c>
      <x:c r="BP774" s="14" t="str">
        <x:v>Maximum eligible IMDb cast-credit total (30), shared by 2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0.03333333333333333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4" t="str">
        <x:v>HYPERLINK is not implemented. linkLocation=https://www.imdb.com/title/tt11981644/fullcredits/, friendlyName=Open source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tt11981644|nm1528511|margo mcqueen</x:v>
      </x:c>
      <x:c r="B775" s="14" t="str">
        <x:v>02</x:v>
      </x:c>
      <x:c r="C775" s="14" t="str">
        <x:v>2021_IMDb_Cast_Lists_Batch_02(1).xlsx</x:v>
      </x:c>
      <x:c r="D775" s="14" t="str">
        <x:v>Professor T</x:v>
      </x:c>
      <x:c r="E775" s="14" t="n">
        <x:v>172</x:v>
      </x:c>
      <x:c r="F775" s="14" t="str">
        <x:v>Professor T</x:v>
      </x:c>
      <x:c r="G775" s="14" t="str">
        <x:v>tt11981644</x:v>
      </x:c>
      <x:c r="H775" s="14" t="n">
        <x:v>2021</x:v>
      </x:c>
      <x:c r="I775" s="14" t="n">
        <x:v>2025</x:v>
      </x:c>
      <x:c r="J775" s="14" t="str">
        <x:v>Earlier-Production Carry-In Cohort</x:v>
      </x:c>
      <x:c r="K775" s="14" t="n">
        <x:v>2021</x:v>
      </x:c>
      <x:c r="L775" s="14" t="str">
        <x:v>Used in 2025 annual analysis</x:v>
      </x:c>
      <x:c r="M775" s="15" t="n">
        <x:v>165</x:v>
      </x:c>
      <x:c r="N775" s="14" t="str">
        <x:v>Loveday Smith</x:v>
      </x:c>
      <x:c r="O775" s="14" t="str">
        <x:v>nm1528511</x:v>
      </x:c>
      <x:c r="P775" s="14" t="str">
        <x:v>Margo McQueen</x:v>
      </x:c>
      <x:c r="Q775" s="15" t="n">
        <x:v>1</x:v>
      </x:c>
      <x:c r="R775" s="14" t="str">
        <x:v>2025</x:v>
      </x:c>
      <x:c r="S775" s="14" t="n">
        <x:v>2025</x:v>
      </x:c>
      <x:c r="T775" s="14" t="n">
        <x:v>2025</x:v>
      </x:c>
      <x:c r="U775" s="14" t="str">
        <x:v>Post-2021 casting excluded</x:v>
      </x:c>
      <x:c r="V775" s="14" t="str">
        <x:v>Earliest supplied year is 2025, later than the 2021 study year.</x:v>
      </x:c>
      <x:c r="W775" s="14"/>
      <x:c r="X775" s="14" t="str">
        <x:v>Included</x:v>
      </x:c>
      <x:c r="Y775" s="14"/>
      <x:c r="Z775" s="14" t="str">
        <x:v>Professor T.docx</x:v>
      </x:c>
      <x:c r="AA775" s="14" t="str">
        <x:v>HYPERLINK is not implemented. linkLocation=https://www.imdb.com/title/tt11981644/fullcredits/, friendlyName=Open source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ITV / ITVX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7" t="e">
        <x:f>HYPERLINK("https://en.wikipedia.org/wiki/Professor_T.","Open source")</x:f>
        <x:v>HYPERLINK is not implemented. linkLocation=https://en.wikipedia.org/wiki/Professor_T., friendlyName=Open source</x:v>
      </x:c>
      <x:c r="AN775" s="14" t="str">
        <x:v>No qualifying BBC relationship</x:v>
      </x:c>
      <x:c r="AO775" s="14" t="str">
        <x:v>No</x:v>
      </x:c>
      <x:c r="AP775" s="14" t="str">
        <x:v>Out of scope</x:v>
      </x:c>
      <x:c r="AQ775" s="14" t="str">
        <x:v>No</x:v>
      </x:c>
      <x:c r="AR775" s="14" t="str">
        <x:v>Resolved from master register</x:v>
      </x:c>
      <x:c r="AS775" s="14" t="str">
        <x:v>No established-register match</x:v>
      </x:c>
      <x:c r="AT775" s="14"/>
      <x:c r="AU775" s="14"/>
      <x:c r="AV775" s="14" t="str">
        <x:v>No established apparent-disability match</x:v>
      </x:c>
      <x:c r="AW775" s="14"/>
      <x:c r="AX775" s="14" t="str">
        <x:v>No</x:v>
      </x:c>
      <x:c r="AY775" s="14" t="str">
        <x:v>Unmatched</x:v>
      </x:c>
      <x:c r="AZ775" s="14" t="str">
        <x:v>Final supplied register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30</x:v>
      </x:c>
      <x:c r="BP775" s="14" t="str">
        <x:v>Maximum eligible IMDb cast-credit total (30), shared by 2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0.03333333333333333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4" t="str">
        <x:v>HYPERLINK is not implemented. linkLocation=https://www.imdb.com/title/tt11981644/fullcredits/, friendlyName=Open source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tt11981644|nm0488271|dsu milton droy</x:v>
      </x:c>
      <x:c r="B776" s="14" t="str">
        <x:v>02</x:v>
      </x:c>
      <x:c r="C776" s="14" t="str">
        <x:v>2021_IMDb_Cast_Lists_Batch_02(1).xlsx</x:v>
      </x:c>
      <x:c r="D776" s="14" t="str">
        <x:v>Professor T</x:v>
      </x:c>
      <x:c r="E776" s="14" t="n">
        <x:v>184</x:v>
      </x:c>
      <x:c r="F776" s="14" t="str">
        <x:v>Professor T</x:v>
      </x:c>
      <x:c r="G776" s="14" t="str">
        <x:v>tt11981644</x:v>
      </x:c>
      <x:c r="H776" s="14" t="n">
        <x:v>2021</x:v>
      </x:c>
      <x:c r="I776" s="14" t="n">
        <x:v>2025</x:v>
      </x:c>
      <x:c r="J776" s="14" t="str">
        <x:v>Earlier-Production Carry-In Cohort</x:v>
      </x:c>
      <x:c r="K776" s="14" t="n">
        <x:v>2021</x:v>
      </x:c>
      <x:c r="L776" s="14" t="str">
        <x:v>Used in 2025 annual analysis</x:v>
      </x:c>
      <x:c r="M776" s="15" t="n">
        <x:v>177</x:v>
      </x:c>
      <x:c r="N776" s="14" t="str">
        <x:v>Chris Larkin</x:v>
      </x:c>
      <x:c r="O776" s="14" t="str">
        <x:v>nm0488271</x:v>
      </x:c>
      <x:c r="P776" s="14" t="str">
        <x:v>DSU Milton Droy</x:v>
      </x:c>
      <x:c r="Q776" s="15" t="n">
        <x:v>1</x:v>
      </x:c>
      <x:c r="R776" s="14" t="str">
        <x:v>2025</x:v>
      </x:c>
      <x:c r="S776" s="14" t="n">
        <x:v>2025</x:v>
      </x:c>
      <x:c r="T776" s="14" t="n">
        <x:v>2025</x:v>
      </x:c>
      <x:c r="U776" s="14" t="str">
        <x:v>Post-2021 casting excluded</x:v>
      </x:c>
      <x:c r="V776" s="14" t="str">
        <x:v>Earliest supplied year is 2025, later than the 2021 study year.</x:v>
      </x:c>
      <x:c r="W776" s="14"/>
      <x:c r="X776" s="14" t="str">
        <x:v>Included</x:v>
      </x:c>
      <x:c r="Y776" s="14"/>
      <x:c r="Z776" s="14" t="str">
        <x:v>Professor T.docx</x:v>
      </x:c>
      <x:c r="AA776" s="14" t="str">
        <x:v>HYPERLINK is not implemented. linkLocation=https://www.imdb.com/title/tt11981644/fullcredits/, friendlyName=Open source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ITV / ITVX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7" t="e">
        <x:f>HYPERLINK("https://en.wikipedia.org/wiki/Professor_T.","Open source")</x:f>
        <x:v>HYPERLINK is not implemented. linkLocation=https://en.wikipedia.org/wiki/Professor_T., friendlyName=Open source</x:v>
      </x:c>
      <x:c r="AN776" s="14" t="str">
        <x:v>No qualifying BBC relationship</x:v>
      </x:c>
      <x:c r="AO776" s="14" t="str">
        <x:v>No</x:v>
      </x:c>
      <x:c r="AP776" s="14" t="str">
        <x:v>Out of scope</x:v>
      </x:c>
      <x:c r="AQ776" s="14" t="str">
        <x:v>No</x:v>
      </x:c>
      <x:c r="AR776" s="14" t="str">
        <x:v>Resolved from master register</x:v>
      </x:c>
      <x:c r="AS776" s="14" t="str">
        <x:v>No established-register match</x:v>
      </x:c>
      <x:c r="AT776" s="14"/>
      <x:c r="AU776" s="14"/>
      <x:c r="AV776" s="14" t="str">
        <x:v>No established apparent-disability match</x:v>
      </x:c>
      <x:c r="AW776" s="14"/>
      <x:c r="AX776" s="14" t="str">
        <x:v>No</x:v>
      </x:c>
      <x:c r="AY776" s="14" t="str">
        <x:v>Unmatched</x:v>
      </x:c>
      <x:c r="AZ776" s="14" t="str">
        <x:v>Final supplied register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30</x:v>
      </x:c>
      <x:c r="BP776" s="14" t="str">
        <x:v>Maximum eligible IMDb cast-credit total (30), shared by 2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0.03333333333333333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4" t="str">
        <x:v>HYPERLINK is not implemented. linkLocation=https://www.imdb.com/title/tt11981644/fullcredits/, friendlyName=Open source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tt11981644|nm10526984|fabian royle</x:v>
      </x:c>
      <x:c r="B777" s="14" t="str">
        <x:v>02</x:v>
      </x:c>
      <x:c r="C777" s="14" t="str">
        <x:v>2021_IMDb_Cast_Lists_Batch_02(1).xlsx</x:v>
      </x:c>
      <x:c r="D777" s="14" t="str">
        <x:v>Professor T</x:v>
      </x:c>
      <x:c r="E777" s="14" t="n">
        <x:v>185</x:v>
      </x:c>
      <x:c r="F777" s="14" t="str">
        <x:v>Professor T</x:v>
      </x:c>
      <x:c r="G777" s="14" t="str">
        <x:v>tt11981644</x:v>
      </x:c>
      <x:c r="H777" s="14" t="n">
        <x:v>2021</x:v>
      </x:c>
      <x:c r="I777" s="14" t="n">
        <x:v>2025</x:v>
      </x:c>
      <x:c r="J777" s="14" t="str">
        <x:v>Earlier-Production Carry-In Cohort</x:v>
      </x:c>
      <x:c r="K777" s="14" t="n">
        <x:v>2021</x:v>
      </x:c>
      <x:c r="L777" s="14" t="str">
        <x:v>Used in 2025 annual analysis</x:v>
      </x:c>
      <x:c r="M777" s="15" t="n">
        <x:v>178</x:v>
      </x:c>
      <x:c r="N777" s="14" t="str">
        <x:v>Ruben Francq</x:v>
      </x:c>
      <x:c r="O777" s="14" t="str">
        <x:v>nm10526984</x:v>
      </x:c>
      <x:c r="P777" s="14" t="str">
        <x:v>Fabian Royle</x:v>
      </x:c>
      <x:c r="Q777" s="15" t="n">
        <x:v>1</x:v>
      </x:c>
      <x:c r="R777" s="14" t="str">
        <x:v>2025</x:v>
      </x:c>
      <x:c r="S777" s="14" t="n">
        <x:v>2025</x:v>
      </x:c>
      <x:c r="T777" s="14" t="n">
        <x:v>2025</x:v>
      </x:c>
      <x:c r="U777" s="14" t="str">
        <x:v>Post-2021 casting excluded</x:v>
      </x:c>
      <x:c r="V777" s="14" t="str">
        <x:v>Earliest supplied year is 2025, later than the 2021 study year.</x:v>
      </x:c>
      <x:c r="W777" s="14"/>
      <x:c r="X777" s="14" t="str">
        <x:v>Included</x:v>
      </x:c>
      <x:c r="Y777" s="14"/>
      <x:c r="Z777" s="14" t="str">
        <x:v>Professor T.docx</x:v>
      </x:c>
      <x:c r="AA777" s="14" t="str">
        <x:v>HYPERLINK is not implemented. linkLocation=https://www.imdb.com/title/tt11981644/fullcredits/, friendlyName=Open source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ITV / ITVX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7" t="e">
        <x:f>HYPERLINK("https://en.wikipedia.org/wiki/Professor_T.","Open source")</x:f>
        <x:v>HYPERLINK is not implemented. linkLocation=https://en.wikipedia.org/wiki/Professor_T., friendlyName=Open source</x:v>
      </x:c>
      <x:c r="AN777" s="14" t="str">
        <x:v>No qualifying BBC relationship</x:v>
      </x:c>
      <x:c r="AO777" s="14" t="str">
        <x:v>No</x:v>
      </x:c>
      <x:c r="AP777" s="14" t="str">
        <x:v>Out of scope</x:v>
      </x:c>
      <x:c r="AQ777" s="14" t="str">
        <x:v>No</x:v>
      </x:c>
      <x:c r="AR777" s="14" t="str">
        <x:v>Resolved from master register</x:v>
      </x:c>
      <x:c r="AS777" s="14" t="str">
        <x:v>No established-register match</x:v>
      </x:c>
      <x:c r="AT777" s="14"/>
      <x:c r="AU777" s="14"/>
      <x:c r="AV777" s="14" t="str">
        <x:v>No established apparent-disability match</x:v>
      </x:c>
      <x:c r="AW777" s="14"/>
      <x:c r="AX777" s="14" t="str">
        <x:v>No</x:v>
      </x:c>
      <x:c r="AY777" s="14" t="str">
        <x:v>Unmatched</x:v>
      </x:c>
      <x:c r="AZ777" s="14" t="str">
        <x:v>Final supplied register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30</x:v>
      </x:c>
      <x:c r="BP777" s="14" t="str">
        <x:v>Maximum eligible IMDb cast-credit total (30), shared by 2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0.03333333333333333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4" t="str">
        <x:v>HYPERLINK is not implemented. linkLocation=https://www.imdb.com/title/tt11981644/fullcredits/, friendlyName=Open source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tt11981644|nm16371643|jill finch</x:v>
      </x:c>
      <x:c r="B778" s="14" t="str">
        <x:v>02</x:v>
      </x:c>
      <x:c r="C778" s="14" t="str">
        <x:v>2021_IMDb_Cast_Lists_Batch_02(1).xlsx</x:v>
      </x:c>
      <x:c r="D778" s="14" t="str">
        <x:v>Professor T</x:v>
      </x:c>
      <x:c r="E778" s="14" t="n">
        <x:v>196</x:v>
      </x:c>
      <x:c r="F778" s="14" t="str">
        <x:v>Professor T</x:v>
      </x:c>
      <x:c r="G778" s="14" t="str">
        <x:v>tt11981644</x:v>
      </x:c>
      <x:c r="H778" s="14" t="n">
        <x:v>2021</x:v>
      </x:c>
      <x:c r="I778" s="14" t="n">
        <x:v>2025</x:v>
      </x:c>
      <x:c r="J778" s="14" t="str">
        <x:v>Earlier-Production Carry-In Cohort</x:v>
      </x:c>
      <x:c r="K778" s="14" t="n">
        <x:v>2021</x:v>
      </x:c>
      <x:c r="L778" s="14" t="str">
        <x:v>Used in 2025 annual analysis</x:v>
      </x:c>
      <x:c r="M778" s="15" t="n">
        <x:v>189</x:v>
      </x:c>
      <x:c r="N778" s="14" t="str">
        <x:v>Esme Hough</x:v>
      </x:c>
      <x:c r="O778" s="14" t="str">
        <x:v>nm16371643</x:v>
      </x:c>
      <x:c r="P778" s="14" t="str">
        <x:v>Jill Finch</x:v>
      </x:c>
      <x:c r="Q778" s="15" t="n">
        <x:v>1</x:v>
      </x:c>
      <x:c r="R778" s="14" t="str">
        <x:v>2025</x:v>
      </x:c>
      <x:c r="S778" s="14" t="n">
        <x:v>2025</x:v>
      </x:c>
      <x:c r="T778" s="14" t="n">
        <x:v>2025</x:v>
      </x:c>
      <x:c r="U778" s="14" t="str">
        <x:v>Post-2021 casting excluded</x:v>
      </x:c>
      <x:c r="V778" s="14" t="str">
        <x:v>Earliest supplied year is 2025, later than the 2021 study year.</x:v>
      </x:c>
      <x:c r="W778" s="14"/>
      <x:c r="X778" s="14" t="str">
        <x:v>Included</x:v>
      </x:c>
      <x:c r="Y778" s="14"/>
      <x:c r="Z778" s="14" t="str">
        <x:v>Professor T.docx</x:v>
      </x:c>
      <x:c r="AA778" s="14" t="str">
        <x:v>HYPERLINK is not implemented. linkLocation=https://www.imdb.com/title/tt11981644/fullcredits/, friendlyName=Open source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ITV / ITVX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7" t="e">
        <x:f>HYPERLINK("https://en.wikipedia.org/wiki/Professor_T.","Open source")</x:f>
        <x:v>HYPERLINK is not implemented. linkLocation=https://en.wikipedia.org/wiki/Professor_T., friendlyName=Open source</x:v>
      </x:c>
      <x:c r="AN778" s="14" t="str">
        <x:v>No qualifying BBC relationship</x:v>
      </x:c>
      <x:c r="AO778" s="14" t="str">
        <x:v>No</x:v>
      </x:c>
      <x:c r="AP778" s="14" t="str">
        <x:v>Out of scope</x:v>
      </x:c>
      <x:c r="AQ778" s="14" t="str">
        <x:v>No</x:v>
      </x:c>
      <x:c r="AR778" s="14" t="str">
        <x:v>Resolved from master register</x:v>
      </x:c>
      <x:c r="AS778" s="14" t="str">
        <x:v>No established-register match</x:v>
      </x:c>
      <x:c r="AT778" s="14"/>
      <x:c r="AU778" s="14"/>
      <x:c r="AV778" s="14" t="str">
        <x:v>No established apparent-disability match</x:v>
      </x:c>
      <x:c r="AW778" s="14"/>
      <x:c r="AX778" s="14" t="str">
        <x:v>No</x:v>
      </x:c>
      <x:c r="AY778" s="14" t="str">
        <x:v>Unmatched</x:v>
      </x:c>
      <x:c r="AZ778" s="14" t="str">
        <x:v>Final supplied register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30</x:v>
      </x:c>
      <x:c r="BP778" s="14" t="str">
        <x:v>Maximum eligible IMDb cast-credit total (30), shared by 2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0.03333333333333333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4" t="str">
        <x:v>HYPERLINK is not implemented. linkLocation=https://www.imdb.com/title/tt11981644/fullcredits/, friendlyName=Open source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tt11981644|nm17592434|lucien hailsham</x:v>
      </x:c>
      <x:c r="B779" s="14" t="str">
        <x:v>02</x:v>
      </x:c>
      <x:c r="C779" s="14" t="str">
        <x:v>2021_IMDb_Cast_Lists_Batch_02(1).xlsx</x:v>
      </x:c>
      <x:c r="D779" s="14" t="str">
        <x:v>Professor T</x:v>
      </x:c>
      <x:c r="E779" s="14" t="n">
        <x:v>197</x:v>
      </x:c>
      <x:c r="F779" s="14" t="str">
        <x:v>Professor T</x:v>
      </x:c>
      <x:c r="G779" s="14" t="str">
        <x:v>tt11981644</x:v>
      </x:c>
      <x:c r="H779" s="14" t="n">
        <x:v>2021</x:v>
      </x:c>
      <x:c r="I779" s="14" t="n">
        <x:v>2025</x:v>
      </x:c>
      <x:c r="J779" s="14" t="str">
        <x:v>Earlier-Production Carry-In Cohort</x:v>
      </x:c>
      <x:c r="K779" s="14" t="n">
        <x:v>2021</x:v>
      </x:c>
      <x:c r="L779" s="14" t="str">
        <x:v>Used in 2025 annual analysis</x:v>
      </x:c>
      <x:c r="M779" s="15" t="n">
        <x:v>190</x:v>
      </x:c>
      <x:c r="N779" s="14" t="str">
        <x:v>Martin Turner</x:v>
      </x:c>
      <x:c r="O779" s="14" t="str">
        <x:v>nm17592434</x:v>
      </x:c>
      <x:c r="P779" s="14" t="str">
        <x:v>Lucien Hailsham</x:v>
      </x:c>
      <x:c r="Q779" s="15" t="n">
        <x:v>1</x:v>
      </x:c>
      <x:c r="R779" s="14" t="str">
        <x:v>2025</x:v>
      </x:c>
      <x:c r="S779" s="14" t="n">
        <x:v>2025</x:v>
      </x:c>
      <x:c r="T779" s="14" t="n">
        <x:v>2025</x:v>
      </x:c>
      <x:c r="U779" s="14" t="str">
        <x:v>Post-2021 casting excluded</x:v>
      </x:c>
      <x:c r="V779" s="14" t="str">
        <x:v>Earliest supplied year is 2025, later than the 2021 study year.</x:v>
      </x:c>
      <x:c r="W779" s="14"/>
      <x:c r="X779" s="14" t="str">
        <x:v>Included</x:v>
      </x:c>
      <x:c r="Y779" s="14"/>
      <x:c r="Z779" s="14" t="str">
        <x:v>Professor T.docx</x:v>
      </x:c>
      <x:c r="AA779" s="14" t="str">
        <x:v>HYPERLINK is not implemented. linkLocation=https://www.imdb.com/title/tt11981644/fullcredits/, friendlyName=Open source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ITV / ITVX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7" t="e">
        <x:f>HYPERLINK("https://en.wikipedia.org/wiki/Professor_T.","Open source")</x:f>
        <x:v>HYPERLINK is not implemented. linkLocation=https://en.wikipedia.org/wiki/Professor_T., friendlyName=Open source</x:v>
      </x:c>
      <x:c r="AN779" s="14" t="str">
        <x:v>No qualifying BBC relationship</x:v>
      </x:c>
      <x:c r="AO779" s="14" t="str">
        <x:v>No</x:v>
      </x:c>
      <x:c r="AP779" s="14" t="str">
        <x:v>Out of scope</x:v>
      </x:c>
      <x:c r="AQ779" s="14" t="str">
        <x:v>No</x:v>
      </x:c>
      <x:c r="AR779" s="14" t="str">
        <x:v>Resolved from master register</x:v>
      </x:c>
      <x:c r="AS779" s="14" t="str">
        <x:v>No established-register match</x:v>
      </x:c>
      <x:c r="AT779" s="14"/>
      <x:c r="AU779" s="14"/>
      <x:c r="AV779" s="14" t="str">
        <x:v>No established apparent-disability match</x:v>
      </x:c>
      <x:c r="AW779" s="14"/>
      <x:c r="AX779" s="14" t="str">
        <x:v>No</x:v>
      </x:c>
      <x:c r="AY779" s="14" t="str">
        <x:v>Unmatched</x:v>
      </x:c>
      <x:c r="AZ779" s="14" t="str">
        <x:v>Final supplied register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30</x:v>
      </x:c>
      <x:c r="BP779" s="14" t="str">
        <x:v>Maximum eligible IMDb cast-credit total (30), shared by 2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0.03333333333333333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4" t="str">
        <x:v>HYPERLINK is not implemented. linkLocation=https://www.imdb.com/title/tt11981644/fullcredits/, friendlyName=Open source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tt11981644|nm17593078|memorial brass band</x:v>
      </x:c>
      <x:c r="B780" s="14" t="str">
        <x:v>02</x:v>
      </x:c>
      <x:c r="C780" s="14" t="str">
        <x:v>2021_IMDb_Cast_Lists_Batch_02(1).xlsx</x:v>
      </x:c>
      <x:c r="D780" s="14" t="str">
        <x:v>Professor T</x:v>
      </x:c>
      <x:c r="E780" s="14" t="n">
        <x:v>198</x:v>
      </x:c>
      <x:c r="F780" s="14" t="str">
        <x:v>Professor T</x:v>
      </x:c>
      <x:c r="G780" s="14" t="str">
        <x:v>tt11981644</x:v>
      </x:c>
      <x:c r="H780" s="14" t="n">
        <x:v>2021</x:v>
      </x:c>
      <x:c r="I780" s="14" t="n">
        <x:v>2025</x:v>
      </x:c>
      <x:c r="J780" s="14" t="str">
        <x:v>Earlier-Production Carry-In Cohort</x:v>
      </x:c>
      <x:c r="K780" s="14" t="n">
        <x:v>2021</x:v>
      </x:c>
      <x:c r="L780" s="14" t="str">
        <x:v>Used in 2025 annual analysis</x:v>
      </x:c>
      <x:c r="M780" s="15" t="n">
        <x:v>191</x:v>
      </x:c>
      <x:c r="N780" s="14" t="str">
        <x:v>Festival Brass Band</x:v>
      </x:c>
      <x:c r="O780" s="14" t="str">
        <x:v>nm17593078</x:v>
      </x:c>
      <x:c r="P780" s="14" t="str">
        <x:v>Memorial Brass Band</x:v>
      </x:c>
      <x:c r="Q780" s="15" t="n">
        <x:v>1</x:v>
      </x:c>
      <x:c r="R780" s="14" t="str">
        <x:v>2025</x:v>
      </x:c>
      <x:c r="S780" s="14" t="n">
        <x:v>2025</x:v>
      </x:c>
      <x:c r="T780" s="14" t="n">
        <x:v>2025</x:v>
      </x:c>
      <x:c r="U780" s="14" t="str">
        <x:v>Post-2021 casting excluded</x:v>
      </x:c>
      <x:c r="V780" s="14" t="str">
        <x:v>Earliest supplied year is 2025, later than the 2021 study year.</x:v>
      </x:c>
      <x:c r="W780" s="14"/>
      <x:c r="X780" s="14" t="str">
        <x:v>Included</x:v>
      </x:c>
      <x:c r="Y780" s="14"/>
      <x:c r="Z780" s="14" t="str">
        <x:v>Professor T.docx</x:v>
      </x:c>
      <x:c r="AA780" s="14" t="str">
        <x:v>HYPERLINK is not implemented. linkLocation=https://www.imdb.com/title/tt11981644/fullcredits/, friendlyName=Open source</x:v>
      </x:c>
      <x:c r="AB780" s="14" t="str">
        <x:v>No established-register match</x:v>
      </x:c>
      <x:c r="AC780" s="14"/>
      <x:c r="AD780" s="14"/>
      <x:c r="AE780" s="14"/>
      <x:c r="AF780" s="14"/>
      <x:c r="AG780" s="14" t="str">
        <x:v>No qualifying conclusion recorded. Absence from the register is not evidence that the performer is not disabled.</x:v>
      </x:c>
      <x:c r="AH780" s="14" t="str">
        <x:v>ITV / ITVX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7" t="e">
        <x:f>HYPERLINK("https://en.wikipedia.org/wiki/Professor_T.","Open source")</x:f>
        <x:v>HYPERLINK is not implemented. linkLocation=https://en.wikipedia.org/wiki/Professor_T., friendlyName=Open source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 t="str">
        <x:v>No established-register match</x:v>
      </x:c>
      <x:c r="AT780" s="14"/>
      <x:c r="AU780" s="14"/>
      <x:c r="AV780" s="14" t="str">
        <x:v>No established apparent-disability match</x:v>
      </x:c>
      <x:c r="AW780" s="14"/>
      <x:c r="AX780" s="14" t="str">
        <x:v>No</x:v>
      </x:c>
      <x:c r="AY780" s="14" t="str">
        <x:v>Unmatched</x:v>
      </x:c>
      <x:c r="AZ780" s="14" t="str">
        <x:v>Final supplied register</x:v>
      </x:c>
      <x:c r="BA780" s="14" t="str">
        <x:v>Absence from the register is not evidence that the performer is not disabled.</x:v>
      </x:c>
      <x:c r="BB780" s="14" t="str">
        <x:v>No established-register match</x:v>
      </x:c>
      <x:c r="BC780" s="14"/>
      <x:c r="BD780" s="14"/>
      <x:c r="BE780" s="14"/>
      <x:c r="BF780" s="14" t="str">
        <x:v>No established apparent-disability match</x:v>
      </x:c>
      <x:c r="BG780" s="14"/>
      <x:c r="BH780" s="14" t="str">
        <x:v>No</x:v>
      </x:c>
      <x:c r="BI780" s="14"/>
      <x:c r="BJ780" s="14"/>
      <x:c r="BK780" s="14"/>
      <x:c r="BL780" s="14" t="str">
        <x:v>Unmatched</x:v>
      </x:c>
      <x:c r="BM780" s="14" t="str">
        <x:v>Final supplied register</x:v>
      </x:c>
      <x:c r="BN780" s="14" t="str">
        <x:v>Absence from the register is not evidence that the performer is not disabled.</x:v>
      </x:c>
      <x:c r="BO780" s="14" t="n">
        <x:v>30</x:v>
      </x:c>
      <x:c r="BP780" s="14" t="str">
        <x:v>Maximum eligible IMDb cast-credit total (30), shared by 2 performer(s); not independently verified as a 2021-only episode total.</x:v>
      </x:c>
      <x:c r="BQ780" s="14" t="str">
        <x:v>Medium</x:v>
      </x:c>
      <x:c r="BR780" s="15" t="n">
        <x:v>1</x:v>
      </x:c>
      <x:c r="BS780" s="16" t="n">
        <x:v>0.03333333333333333</x:v>
      </x:c>
      <x:c r="BT780" s="14" t="str">
        <x:v>One episode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4" t="str">
        <x:v>HYPERLINK is not implemented. linkLocation=https://www.imdb.com/title/tt11981644/fullcredits/, friendlyName=Open source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tt11981644|nm6151681|uk registrar</x:v>
      </x:c>
      <x:c r="B781" s="14" t="str">
        <x:v>02</x:v>
      </x:c>
      <x:c r="C781" s="14" t="str">
        <x:v>2021_IMDb_Cast_Lists_Batch_02(1).xlsx</x:v>
      </x:c>
      <x:c r="D781" s="14" t="str">
        <x:v>Professor T</x:v>
      </x:c>
      <x:c r="E781" s="14" t="n">
        <x:v>208</x:v>
      </x:c>
      <x:c r="F781" s="14" t="str">
        <x:v>Professor T</x:v>
      </x:c>
      <x:c r="G781" s="14" t="str">
        <x:v>tt11981644</x:v>
      </x:c>
      <x:c r="H781" s="14" t="n">
        <x:v>2021</x:v>
      </x:c>
      <x:c r="I781" s="14" t="n">
        <x:v>2025</x:v>
      </x:c>
      <x:c r="J781" s="14" t="str">
        <x:v>Earlier-Production Carry-In Cohort</x:v>
      </x:c>
      <x:c r="K781" s="14" t="n">
        <x:v>2021</x:v>
      </x:c>
      <x:c r="L781" s="14" t="str">
        <x:v>Used in 2025 annual analysis</x:v>
      </x:c>
      <x:c r="M781" s="15" t="n">
        <x:v>201</x:v>
      </x:c>
      <x:c r="N781" s="14" t="str">
        <x:v>Karoline Newman</x:v>
      </x:c>
      <x:c r="O781" s="14" t="str">
        <x:v>nm6151681</x:v>
      </x:c>
      <x:c r="P781" s="14" t="str">
        <x:v>UK Registrar</x:v>
      </x:c>
      <x:c r="Q781" s="15" t="n">
        <x:v>1</x:v>
      </x:c>
      <x:c r="R781" s="14" t="str">
        <x:v>2025</x:v>
      </x:c>
      <x:c r="S781" s="14" t="n">
        <x:v>2025</x:v>
      </x:c>
      <x:c r="T781" s="14" t="n">
        <x:v>2025</x:v>
      </x:c>
      <x:c r="U781" s="14" t="str">
        <x:v>Post-2021 casting excluded</x:v>
      </x:c>
      <x:c r="V781" s="14" t="str">
        <x:v>Earliest supplied year is 2025, later than the 2021 study year.</x:v>
      </x:c>
      <x:c r="W781" s="14"/>
      <x:c r="X781" s="14" t="str">
        <x:v>Included</x:v>
      </x:c>
      <x:c r="Y781" s="14"/>
      <x:c r="Z781" s="14" t="str">
        <x:v>Professor T.docx</x:v>
      </x:c>
      <x:c r="AA781" s="14" t="str">
        <x:v>HYPERLINK is not implemented. linkLocation=https://www.imdb.com/title/tt11981644/fullcredits/, friendlyName=Open source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ITV / ITVX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7" t="e">
        <x:f>HYPERLINK("https://en.wikipedia.org/wiki/Professor_T.","Open source")</x:f>
        <x:v>HYPERLINK is not implemented. linkLocation=https://en.wikipedia.org/wiki/Professor_T., friendlyName=Open source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 t="str">
        <x:v>No established-register match</x:v>
      </x:c>
      <x:c r="AT781" s="14"/>
      <x:c r="AU781" s="14"/>
      <x:c r="AV781" s="14" t="str">
        <x:v>No established apparent-disability match</x:v>
      </x:c>
      <x:c r="AW781" s="14"/>
      <x:c r="AX781" s="14" t="str">
        <x:v>No</x:v>
      </x:c>
      <x:c r="AY781" s="14" t="str">
        <x:v>Unmatched</x:v>
      </x:c>
      <x:c r="AZ781" s="14" t="str">
        <x:v>Final supplied register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30</x:v>
      </x:c>
      <x:c r="BP781" s="14" t="str">
        <x:v>Maximum eligible IMDb cast-credit total (30), shared by 2 performer(s); not independently verified as a 2021-only episode total.</x:v>
      </x:c>
      <x:c r="BQ781" s="14" t="str">
        <x:v>Medium</x:v>
      </x:c>
      <x:c r="BR781" s="15" t="n">
        <x:v>1</x:v>
      </x:c>
      <x:c r="BS781" s="16" t="n">
        <x:v>0.03333333333333333</x:v>
      </x:c>
      <x:c r="BT781" s="14" t="str">
        <x:v>One episode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4" t="str">
        <x:v>HYPERLINK is not implemented. linkLocation=https://www.imdb.com/title/tt11981644/fullcredits/, friendlyName=Open source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tt11981644|nm1682272|ash robertson</x:v>
      </x:c>
      <x:c r="B782" s="14" t="str">
        <x:v>02</x:v>
      </x:c>
      <x:c r="C782" s="14" t="str">
        <x:v>2021_IMDb_Cast_Lists_Batch_02(1).xlsx</x:v>
      </x:c>
      <x:c r="D782" s="14" t="str">
        <x:v>Professor T</x:v>
      </x:c>
      <x:c r="E782" s="14" t="n">
        <x:v>216</x:v>
      </x:c>
      <x:c r="F782" s="14" t="str">
        <x:v>Professor T</x:v>
      </x:c>
      <x:c r="G782" s="14" t="str">
        <x:v>tt11981644</x:v>
      </x:c>
      <x:c r="H782" s="14" t="n">
        <x:v>2021</x:v>
      </x:c>
      <x:c r="I782" s="14" t="n">
        <x:v>2025</x:v>
      </x:c>
      <x:c r="J782" s="14" t="str">
        <x:v>Earlier-Production Carry-In Cohort</x:v>
      </x:c>
      <x:c r="K782" s="14" t="n">
        <x:v>2021</x:v>
      </x:c>
      <x:c r="L782" s="14" t="str">
        <x:v>Used in 2025 annual analysis</x:v>
      </x:c>
      <x:c r="M782" s="15" t="n">
        <x:v>209</x:v>
      </x:c>
      <x:c r="N782" s="14" t="str">
        <x:v>Lace Akpojaro</x:v>
      </x:c>
      <x:c r="O782" s="14" t="str">
        <x:v>nm1682272</x:v>
      </x:c>
      <x:c r="P782" s="14" t="str">
        <x:v>Ash Robertson</x:v>
      </x:c>
      <x:c r="Q782" s="15" t="n">
        <x:v>1</x:v>
      </x:c>
      <x:c r="R782" s="14" t="str">
        <x:v>2025</x:v>
      </x:c>
      <x:c r="S782" s="14" t="n">
        <x:v>2025</x:v>
      </x:c>
      <x:c r="T782" s="14" t="n">
        <x:v>2025</x:v>
      </x:c>
      <x:c r="U782" s="14" t="str">
        <x:v>Post-2021 casting excluded</x:v>
      </x:c>
      <x:c r="V782" s="14" t="str">
        <x:v>Earliest supplied year is 2025, later than the 2021 study year.</x:v>
      </x:c>
      <x:c r="W782" s="14"/>
      <x:c r="X782" s="14" t="str">
        <x:v>Included</x:v>
      </x:c>
      <x:c r="Y782" s="14"/>
      <x:c r="Z782" s="14" t="str">
        <x:v>Professor T.docx</x:v>
      </x:c>
      <x:c r="AA782" s="14" t="str">
        <x:v>HYPERLINK is not implemented. linkLocation=https://www.imdb.com/title/tt11981644/fullcredits/, friendlyName=Open source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ITV / ITVX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7" t="e">
        <x:f>HYPERLINK("https://en.wikipedia.org/wiki/Professor_T.","Open source")</x:f>
        <x:v>HYPERLINK is not implemented. linkLocation=https://en.wikipedia.org/wiki/Professor_T., friendlyName=Open source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 t="str">
        <x:v>No established-register match</x:v>
      </x:c>
      <x:c r="AT782" s="14"/>
      <x:c r="AU782" s="14"/>
      <x:c r="AV782" s="14" t="str">
        <x:v>No established apparent-disability match</x:v>
      </x:c>
      <x:c r="AW782" s="14"/>
      <x:c r="AX782" s="14" t="str">
        <x:v>No</x:v>
      </x:c>
      <x:c r="AY782" s="14" t="str">
        <x:v>Unmatched</x:v>
      </x:c>
      <x:c r="AZ782" s="14" t="str">
        <x:v>Final supplied register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30</x:v>
      </x:c>
      <x:c r="BP782" s="14" t="str">
        <x:v>Maximum eligible IMDb cast-credit total (30), shared by 2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0.03333333333333333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4" t="str">
        <x:v>HYPERLINK is not implemented. linkLocation=https://www.imdb.com/title/tt11981644/fullcredits/, friendlyName=Open source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tt11981644|nm17592130|librarian</x:v>
      </x:c>
      <x:c r="B783" s="14" t="str">
        <x:v>02</x:v>
      </x:c>
      <x:c r="C783" s="14" t="str">
        <x:v>2021_IMDb_Cast_Lists_Batch_02(1).xlsx</x:v>
      </x:c>
      <x:c r="D783" s="14" t="str">
        <x:v>Professor T</x:v>
      </x:c>
      <x:c r="E783" s="14" t="n">
        <x:v>217</x:v>
      </x:c>
      <x:c r="F783" s="14" t="str">
        <x:v>Professor T</x:v>
      </x:c>
      <x:c r="G783" s="14" t="str">
        <x:v>tt11981644</x:v>
      </x:c>
      <x:c r="H783" s="14" t="n">
        <x:v>2021</x:v>
      </x:c>
      <x:c r="I783" s="14" t="n">
        <x:v>2025</x:v>
      </x:c>
      <x:c r="J783" s="14" t="str">
        <x:v>Earlier-Production Carry-In Cohort</x:v>
      </x:c>
      <x:c r="K783" s="14" t="n">
        <x:v>2021</x:v>
      </x:c>
      <x:c r="L783" s="14" t="str">
        <x:v>Used in 2025 annual analysis</x:v>
      </x:c>
      <x:c r="M783" s="15" t="n">
        <x:v>210</x:v>
      </x:c>
      <x:c r="N783" s="14" t="str">
        <x:v>Maria Lamont</x:v>
      </x:c>
      <x:c r="O783" s="14" t="str">
        <x:v>nm17592130</x:v>
      </x:c>
      <x:c r="P783" s="14" t="str">
        <x:v>Librarian</x:v>
      </x:c>
      <x:c r="Q783" s="15" t="n">
        <x:v>1</x:v>
      </x:c>
      <x:c r="R783" s="14" t="str">
        <x:v>2025</x:v>
      </x:c>
      <x:c r="S783" s="14" t="n">
        <x:v>2025</x:v>
      </x:c>
      <x:c r="T783" s="14" t="n">
        <x:v>2025</x:v>
      </x:c>
      <x:c r="U783" s="14" t="str">
        <x:v>Post-2021 casting excluded</x:v>
      </x:c>
      <x:c r="V783" s="14" t="str">
        <x:v>Earliest supplied year is 2025, later than the 2021 study year.</x:v>
      </x:c>
      <x:c r="W783" s="14"/>
      <x:c r="X783" s="14" t="str">
        <x:v>Included</x:v>
      </x:c>
      <x:c r="Y783" s="14"/>
      <x:c r="Z783" s="14" t="str">
        <x:v>Professor T.docx</x:v>
      </x:c>
      <x:c r="AA783" s="14" t="str">
        <x:v>HYPERLINK is not implemented. linkLocation=https://www.imdb.com/title/tt11981644/fullcredits/, friendlyName=Open source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ITV / ITVX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7" t="e">
        <x:f>HYPERLINK("https://en.wikipedia.org/wiki/Professor_T.","Open source")</x:f>
        <x:v>HYPERLINK is not implemented. linkLocation=https://en.wikipedia.org/wiki/Professor_T., friendlyName=Open source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 t="str">
        <x:v>No established-register match</x:v>
      </x:c>
      <x:c r="AT783" s="14"/>
      <x:c r="AU783" s="14"/>
      <x:c r="AV783" s="14" t="str">
        <x:v>No established apparent-disability match</x:v>
      </x:c>
      <x:c r="AW783" s="14"/>
      <x:c r="AX783" s="14" t="str">
        <x:v>No</x:v>
      </x:c>
      <x:c r="AY783" s="14" t="str">
        <x:v>Unmatched</x:v>
      </x:c>
      <x:c r="AZ783" s="14" t="str">
        <x:v>Final supplied register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30</x:v>
      </x:c>
      <x:c r="BP783" s="14" t="str">
        <x:v>Maximum eligible IMDb cast-credit total (30), shared by 2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0.03333333333333333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4" t="str">
        <x:v>HYPERLINK is not implemented. linkLocation=https://www.imdb.com/title/tt11981644/fullcredits/, friendlyName=Open source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tt11981644|nm1477786|harman redpath</x:v>
      </x:c>
      <x:c r="B784" s="14" t="str">
        <x:v>02</x:v>
      </x:c>
      <x:c r="C784" s="14" t="str">
        <x:v>2021_IMDb_Cast_Lists_Batch_02(1).xlsx</x:v>
      </x:c>
      <x:c r="D784" s="14" t="str">
        <x:v>Professor T</x:v>
      </x:c>
      <x:c r="E784" s="14" t="n">
        <x:v>228</x:v>
      </x:c>
      <x:c r="F784" s="14" t="str">
        <x:v>Professor T</x:v>
      </x:c>
      <x:c r="G784" s="14" t="str">
        <x:v>tt11981644</x:v>
      </x:c>
      <x:c r="H784" s="14" t="n">
        <x:v>2021</x:v>
      </x:c>
      <x:c r="I784" s="14" t="n">
        <x:v>2025</x:v>
      </x:c>
      <x:c r="J784" s="14" t="str">
        <x:v>Earlier-Production Carry-In Cohort</x:v>
      </x:c>
      <x:c r="K784" s="14" t="n">
        <x:v>2021</x:v>
      </x:c>
      <x:c r="L784" s="14" t="str">
        <x:v>Used in 2025 annual analysis</x:v>
      </x:c>
      <x:c r="M784" s="15" t="n">
        <x:v>221</x:v>
      </x:c>
      <x:c r="N784" s="14" t="str">
        <x:v>Nicholas Asbury</x:v>
      </x:c>
      <x:c r="O784" s="14" t="str">
        <x:v>nm1477786</x:v>
      </x:c>
      <x:c r="P784" s="14" t="str">
        <x:v>Harman Redpath</x:v>
      </x:c>
      <x:c r="Q784" s="15" t="n">
        <x:v>1</x:v>
      </x:c>
      <x:c r="R784" s="14" t="str">
        <x:v>2025</x:v>
      </x:c>
      <x:c r="S784" s="14" t="n">
        <x:v>2025</x:v>
      </x:c>
      <x:c r="T784" s="14" t="n">
        <x:v>2025</x:v>
      </x:c>
      <x:c r="U784" s="14" t="str">
        <x:v>Post-2021 casting excluded</x:v>
      </x:c>
      <x:c r="V784" s="14" t="str">
        <x:v>Earliest supplied year is 2025, later than the 2021 study year.</x:v>
      </x:c>
      <x:c r="W784" s="14"/>
      <x:c r="X784" s="14" t="str">
        <x:v>Included</x:v>
      </x:c>
      <x:c r="Y784" s="14"/>
      <x:c r="Z784" s="14" t="str">
        <x:v>Professor T.docx</x:v>
      </x:c>
      <x:c r="AA784" s="14" t="str">
        <x:v>HYPERLINK is not implemented. linkLocation=https://www.imdb.com/title/tt11981644/fullcredits/, friendlyName=Open source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ITV / ITVX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7" t="e">
        <x:f>HYPERLINK("https://en.wikipedia.org/wiki/Professor_T.","Open source")</x:f>
        <x:v>HYPERLINK is not implemented. linkLocation=https://en.wikipedia.org/wiki/Professor_T., friendlyName=Open source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 t="str">
        <x:v>No established-register match</x:v>
      </x:c>
      <x:c r="AT784" s="14"/>
      <x:c r="AU784" s="14"/>
      <x:c r="AV784" s="14" t="str">
        <x:v>No established apparent-disability match</x:v>
      </x:c>
      <x:c r="AW784" s="14"/>
      <x:c r="AX784" s="14" t="str">
        <x:v>No</x:v>
      </x:c>
      <x:c r="AY784" s="14" t="str">
        <x:v>Unmatched</x:v>
      </x:c>
      <x:c r="AZ784" s="14" t="str">
        <x:v>Final supplied register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30</x:v>
      </x:c>
      <x:c r="BP784" s="14" t="str">
        <x:v>Maximum eligible IMDb cast-credit total (30), shared by 2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0.03333333333333333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4" t="str">
        <x:v>HYPERLINK is not implemented. linkLocation=https://www.imdb.com/title/tt11981644/fullcredits/, friendlyName=Open source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tt11981644|nm4510373|ophelia mcqueen</x:v>
      </x:c>
      <x:c r="B785" s="14" t="str">
        <x:v>02</x:v>
      </x:c>
      <x:c r="C785" s="14" t="str">
        <x:v>2021_IMDb_Cast_Lists_Batch_02(1).xlsx</x:v>
      </x:c>
      <x:c r="D785" s="14" t="str">
        <x:v>Professor T</x:v>
      </x:c>
      <x:c r="E785" s="14" t="n">
        <x:v>229</x:v>
      </x:c>
      <x:c r="F785" s="14" t="str">
        <x:v>Professor T</x:v>
      </x:c>
      <x:c r="G785" s="14" t="str">
        <x:v>tt11981644</x:v>
      </x:c>
      <x:c r="H785" s="14" t="n">
        <x:v>2021</x:v>
      </x:c>
      <x:c r="I785" s="14" t="n">
        <x:v>2025</x:v>
      </x:c>
      <x:c r="J785" s="14" t="str">
        <x:v>Earlier-Production Carry-In Cohort</x:v>
      </x:c>
      <x:c r="K785" s="14" t="n">
        <x:v>2021</x:v>
      </x:c>
      <x:c r="L785" s="14" t="str">
        <x:v>Used in 2025 annual analysis</x:v>
      </x:c>
      <x:c r="M785" s="15" t="n">
        <x:v>222</x:v>
      </x:c>
      <x:c r="N785" s="14" t="str">
        <x:v>Helena Barlow</x:v>
      </x:c>
      <x:c r="O785" s="14" t="str">
        <x:v>nm4510373</x:v>
      </x:c>
      <x:c r="P785" s="14" t="str">
        <x:v>Ophelia McQueen</x:v>
      </x:c>
      <x:c r="Q785" s="15" t="n">
        <x:v>1</x:v>
      </x:c>
      <x:c r="R785" s="14" t="str">
        <x:v>2025</x:v>
      </x:c>
      <x:c r="S785" s="14" t="n">
        <x:v>2025</x:v>
      </x:c>
      <x:c r="T785" s="14" t="n">
        <x:v>2025</x:v>
      </x:c>
      <x:c r="U785" s="14" t="str">
        <x:v>Post-2021 casting excluded</x:v>
      </x:c>
      <x:c r="V785" s="14" t="str">
        <x:v>Earliest supplied year is 2025, later than the 2021 study year.</x:v>
      </x:c>
      <x:c r="W785" s="14"/>
      <x:c r="X785" s="14" t="str">
        <x:v>Included</x:v>
      </x:c>
      <x:c r="Y785" s="14"/>
      <x:c r="Z785" s="14" t="str">
        <x:v>Professor T.docx</x:v>
      </x:c>
      <x:c r="AA785" s="14" t="str">
        <x:v>HYPERLINK is not implemented. linkLocation=https://www.imdb.com/title/tt11981644/fullcredits/, friendlyName=Open source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ITV / ITVX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7" t="e">
        <x:f>HYPERLINK("https://en.wikipedia.org/wiki/Professor_T.","Open source")</x:f>
        <x:v>HYPERLINK is not implemented. linkLocation=https://en.wikipedia.org/wiki/Professor_T., friendlyName=Open source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 t="str">
        <x:v>No established-register match</x:v>
      </x:c>
      <x:c r="AT785" s="14"/>
      <x:c r="AU785" s="14"/>
      <x:c r="AV785" s="14" t="str">
        <x:v>No established apparent-disability match</x:v>
      </x:c>
      <x:c r="AW785" s="14"/>
      <x:c r="AX785" s="14" t="str">
        <x:v>No</x:v>
      </x:c>
      <x:c r="AY785" s="14" t="str">
        <x:v>Unmatched</x:v>
      </x:c>
      <x:c r="AZ785" s="14" t="str">
        <x:v>Final supplied register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30</x:v>
      </x:c>
      <x:c r="BP785" s="14" t="str">
        <x:v>Maximum eligible IMDb cast-credit total (30), shared by 2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0.03333333333333333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4" t="str">
        <x:v>HYPERLINK is not implemented. linkLocation=https://www.imdb.com/title/tt11981644/fullcredits/, friendlyName=Open source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tt11981644|nm17086875|elderly woman 1</x:v>
      </x:c>
      <x:c r="B786" s="14" t="str">
        <x:v>02</x:v>
      </x:c>
      <x:c r="C786" s="14" t="str">
        <x:v>2021_IMDb_Cast_Lists_Batch_02(1).xlsx</x:v>
      </x:c>
      <x:c r="D786" s="14" t="str">
        <x:v>Professor T</x:v>
      </x:c>
      <x:c r="E786" s="14" t="n">
        <x:v>230</x:v>
      </x:c>
      <x:c r="F786" s="14" t="str">
        <x:v>Professor T</x:v>
      </x:c>
      <x:c r="G786" s="14" t="str">
        <x:v>tt11981644</x:v>
      </x:c>
      <x:c r="H786" s="14" t="n">
        <x:v>2021</x:v>
      </x:c>
      <x:c r="I786" s="14" t="n">
        <x:v>2025</x:v>
      </x:c>
      <x:c r="J786" s="14" t="str">
        <x:v>Earlier-Production Carry-In Cohort</x:v>
      </x:c>
      <x:c r="K786" s="14" t="n">
        <x:v>2021</x:v>
      </x:c>
      <x:c r="L786" s="14" t="str">
        <x:v>Used in 2025 annual analysis</x:v>
      </x:c>
      <x:c r="M786" s="15" t="n">
        <x:v>223</x:v>
      </x:c>
      <x:c r="N786" s="14" t="str">
        <x:v>Marion Tomkins</x:v>
      </x:c>
      <x:c r="O786" s="14" t="str">
        <x:v>nm17086875</x:v>
      </x:c>
      <x:c r="P786" s="14" t="str">
        <x:v>Elderly Woman 1</x:v>
      </x:c>
      <x:c r="Q786" s="15" t="n">
        <x:v>1</x:v>
      </x:c>
      <x:c r="R786" s="14" t="str">
        <x:v>2025</x:v>
      </x:c>
      <x:c r="S786" s="14" t="n">
        <x:v>2025</x:v>
      </x:c>
      <x:c r="T786" s="14" t="n">
        <x:v>2025</x:v>
      </x:c>
      <x:c r="U786" s="14" t="str">
        <x:v>Post-2021 casting excluded</x:v>
      </x:c>
      <x:c r="V786" s="14" t="str">
        <x:v>Earliest supplied year is 2025, later than the 2021 study year.</x:v>
      </x:c>
      <x:c r="W786" s="14"/>
      <x:c r="X786" s="14" t="str">
        <x:v>Included</x:v>
      </x:c>
      <x:c r="Y786" s="14"/>
      <x:c r="Z786" s="14" t="str">
        <x:v>Professor T.docx</x:v>
      </x:c>
      <x:c r="AA786" s="14" t="str">
        <x:v>HYPERLINK is not implemented. linkLocation=https://www.imdb.com/title/tt11981644/fullcredits/, friendlyName=Open source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ITV / ITVX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7" t="e">
        <x:f>HYPERLINK("https://en.wikipedia.org/wiki/Professor_T.","Open source")</x:f>
        <x:v>HYPERLINK is not implemented. linkLocation=https://en.wikipedia.org/wiki/Professor_T., friendlyName=Open source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 t="str">
        <x:v>No established-register match</x:v>
      </x:c>
      <x:c r="AT786" s="14"/>
      <x:c r="AU786" s="14"/>
      <x:c r="AV786" s="14" t="str">
        <x:v>No established apparent-disability match</x:v>
      </x:c>
      <x:c r="AW786" s="14"/>
      <x:c r="AX786" s="14" t="str">
        <x:v>No</x:v>
      </x:c>
      <x:c r="AY786" s="14" t="str">
        <x:v>Unmatched</x:v>
      </x:c>
      <x:c r="AZ786" s="14" t="str">
        <x:v>Final supplied register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30</x:v>
      </x:c>
      <x:c r="BP786" s="14" t="str">
        <x:v>Maximum eligible IMDb cast-credit total (30), shared by 2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0.03333333333333333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4" t="str">
        <x:v>HYPERLINK is not implemented. linkLocation=https://www.imdb.com/title/tt11981644/fullcredits/, friendlyName=Open source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tt11981644|nm17086874|elderly woman 2</x:v>
      </x:c>
      <x:c r="B787" s="14" t="str">
        <x:v>02</x:v>
      </x:c>
      <x:c r="C787" s="14" t="str">
        <x:v>2021_IMDb_Cast_Lists_Batch_02(1).xlsx</x:v>
      </x:c>
      <x:c r="D787" s="14" t="str">
        <x:v>Professor T</x:v>
      </x:c>
      <x:c r="E787" s="14" t="n">
        <x:v>238</x:v>
      </x:c>
      <x:c r="F787" s="14" t="str">
        <x:v>Professor T</x:v>
      </x:c>
      <x:c r="G787" s="14" t="str">
        <x:v>tt11981644</x:v>
      </x:c>
      <x:c r="H787" s="14" t="n">
        <x:v>2021</x:v>
      </x:c>
      <x:c r="I787" s="14" t="n">
        <x:v>2025</x:v>
      </x:c>
      <x:c r="J787" s="14" t="str">
        <x:v>Earlier-Production Carry-In Cohort</x:v>
      </x:c>
      <x:c r="K787" s="14" t="n">
        <x:v>2021</x:v>
      </x:c>
      <x:c r="L787" s="14" t="str">
        <x:v>Used in 2025 annual analysis</x:v>
      </x:c>
      <x:c r="M787" s="15" t="n">
        <x:v>231</x:v>
      </x:c>
      <x:c r="N787" s="14" t="str">
        <x:v>Catriona White</x:v>
      </x:c>
      <x:c r="O787" s="14" t="str">
        <x:v>nm17086874</x:v>
      </x:c>
      <x:c r="P787" s="14" t="str">
        <x:v>Elderly Woman 2</x:v>
      </x:c>
      <x:c r="Q787" s="15" t="n">
        <x:v>1</x:v>
      </x:c>
      <x:c r="R787" s="14" t="str">
        <x:v>2025</x:v>
      </x:c>
      <x:c r="S787" s="14" t="n">
        <x:v>2025</x:v>
      </x:c>
      <x:c r="T787" s="14" t="n">
        <x:v>2025</x:v>
      </x:c>
      <x:c r="U787" s="14" t="str">
        <x:v>Post-2021 casting excluded</x:v>
      </x:c>
      <x:c r="V787" s="14" t="str">
        <x:v>Earliest supplied year is 2025, later than the 2021 study year.</x:v>
      </x:c>
      <x:c r="W787" s="14"/>
      <x:c r="X787" s="14" t="str">
        <x:v>Included</x:v>
      </x:c>
      <x:c r="Y787" s="14"/>
      <x:c r="Z787" s="14" t="str">
        <x:v>Professor T.docx</x:v>
      </x:c>
      <x:c r="AA787" s="14" t="str">
        <x:v>HYPERLINK is not implemented. linkLocation=https://www.imdb.com/title/tt11981644/fullcredits/, friendlyName=Open source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ITV / ITVX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7" t="e">
        <x:f>HYPERLINK("https://en.wikipedia.org/wiki/Professor_T.","Open source")</x:f>
        <x:v>HYPERLINK is not implemented. linkLocation=https://en.wikipedia.org/wiki/Professor_T., friendlyName=Open source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 t="str">
        <x:v>No established-register match</x:v>
      </x:c>
      <x:c r="AT787" s="14"/>
      <x:c r="AU787" s="14"/>
      <x:c r="AV787" s="14" t="str">
        <x:v>No established apparent-disability match</x:v>
      </x:c>
      <x:c r="AW787" s="14"/>
      <x:c r="AX787" s="14" t="str">
        <x:v>No</x:v>
      </x:c>
      <x:c r="AY787" s="14" t="str">
        <x:v>Unmatched</x:v>
      </x:c>
      <x:c r="AZ787" s="14" t="str">
        <x:v>Final supplied register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30</x:v>
      </x:c>
      <x:c r="BP787" s="14" t="str">
        <x:v>Maximum eligible IMDb cast-credit total (30), shared by 2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0.03333333333333333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4" t="str">
        <x:v>HYPERLINK is not implemented. linkLocation=https://www.imdb.com/title/tt11981644/fullcredits/, friendlyName=Open source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tt11981644|nm6107587|jill finch's lawyer</x:v>
      </x:c>
      <x:c r="B788" s="14" t="str">
        <x:v>02</x:v>
      </x:c>
      <x:c r="C788" s="14" t="str">
        <x:v>2021_IMDb_Cast_Lists_Batch_02(1).xlsx</x:v>
      </x:c>
      <x:c r="D788" s="14" t="str">
        <x:v>Professor T</x:v>
      </x:c>
      <x:c r="E788" s="14" t="n">
        <x:v>243</x:v>
      </x:c>
      <x:c r="F788" s="14" t="str">
        <x:v>Professor T</x:v>
      </x:c>
      <x:c r="G788" s="14" t="str">
        <x:v>tt11981644</x:v>
      </x:c>
      <x:c r="H788" s="14" t="n">
        <x:v>2021</x:v>
      </x:c>
      <x:c r="I788" s="14" t="n">
        <x:v>2025</x:v>
      </x:c>
      <x:c r="J788" s="14" t="str">
        <x:v>Earlier-Production Carry-In Cohort</x:v>
      </x:c>
      <x:c r="K788" s="14" t="n">
        <x:v>2021</x:v>
      </x:c>
      <x:c r="L788" s="14" t="str">
        <x:v>Used in 2025 annual analysis</x:v>
      </x:c>
      <x:c r="M788" s="15" t="n">
        <x:v>236</x:v>
      </x:c>
      <x:c r="N788" s="14" t="str">
        <x:v>Melina Theo</x:v>
      </x:c>
      <x:c r="O788" s="14" t="str">
        <x:v>nm6107587</x:v>
      </x:c>
      <x:c r="P788" s="14" t="str">
        <x:v>Jill Finch's Lawyer</x:v>
      </x:c>
      <x:c r="Q788" s="15" t="n">
        <x:v>1</x:v>
      </x:c>
      <x:c r="R788" s="14" t="str">
        <x:v>2025</x:v>
      </x:c>
      <x:c r="S788" s="14" t="n">
        <x:v>2025</x:v>
      </x:c>
      <x:c r="T788" s="14" t="n">
        <x:v>2025</x:v>
      </x:c>
      <x:c r="U788" s="14" t="str">
        <x:v>Post-2021 casting excluded</x:v>
      </x:c>
      <x:c r="V788" s="14" t="str">
        <x:v>Earliest supplied year is 2025, later than the 2021 study year.</x:v>
      </x:c>
      <x:c r="W788" s="14"/>
      <x:c r="X788" s="14" t="str">
        <x:v>Included</x:v>
      </x:c>
      <x:c r="Y788" s="14"/>
      <x:c r="Z788" s="14" t="str">
        <x:v>Professor T.docx</x:v>
      </x:c>
      <x:c r="AA788" s="14" t="str">
        <x:v>HYPERLINK is not implemented. linkLocation=https://www.imdb.com/title/tt11981644/fullcredits/, friendlyName=Open source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ITV / ITVX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7" t="e">
        <x:f>HYPERLINK("https://en.wikipedia.org/wiki/Professor_T.","Open source")</x:f>
        <x:v>HYPERLINK is not implemented. linkLocation=https://en.wikipedia.org/wiki/Professor_T., friendlyName=Open source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 t="str">
        <x:v>No established-register match</x:v>
      </x:c>
      <x:c r="AT788" s="14"/>
      <x:c r="AU788" s="14"/>
      <x:c r="AV788" s="14" t="str">
        <x:v>No established apparent-disability match</x:v>
      </x:c>
      <x:c r="AW788" s="14"/>
      <x:c r="AX788" s="14" t="str">
        <x:v>No</x:v>
      </x:c>
      <x:c r="AY788" s="14" t="str">
        <x:v>Unmatched</x:v>
      </x:c>
      <x:c r="AZ788" s="14" t="str">
        <x:v>Final supplied register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30</x:v>
      </x:c>
      <x:c r="BP788" s="14" t="str">
        <x:v>Maximum eligible IMDb cast-credit total (30), shared by 2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0.03333333333333333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4" t="str">
        <x:v>HYPERLINK is not implemented. linkLocation=https://www.imdb.com/title/tt11981644/fullcredits/, friendlyName=Open source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tt11981644|nm12284911|solicitor</x:v>
      </x:c>
      <x:c r="B789" s="14" t="str">
        <x:v>02</x:v>
      </x:c>
      <x:c r="C789" s="14" t="str">
        <x:v>2021_IMDb_Cast_Lists_Batch_02(1).xlsx</x:v>
      </x:c>
      <x:c r="D789" s="14" t="str">
        <x:v>Professor T</x:v>
      </x:c>
      <x:c r="E789" s="14" t="n">
        <x:v>246</x:v>
      </x:c>
      <x:c r="F789" s="14" t="str">
        <x:v>Professor T</x:v>
      </x:c>
      <x:c r="G789" s="14" t="str">
        <x:v>tt11981644</x:v>
      </x:c>
      <x:c r="H789" s="14" t="n">
        <x:v>2021</x:v>
      </x:c>
      <x:c r="I789" s="14" t="n">
        <x:v>2025</x:v>
      </x:c>
      <x:c r="J789" s="14" t="str">
        <x:v>Earlier-Production Carry-In Cohort</x:v>
      </x:c>
      <x:c r="K789" s="14" t="n">
        <x:v>2021</x:v>
      </x:c>
      <x:c r="L789" s="14" t="str">
        <x:v>Used in 2025 annual analysis</x:v>
      </x:c>
      <x:c r="M789" s="15" t="n">
        <x:v>239</x:v>
      </x:c>
      <x:c r="N789" s="14" t="str">
        <x:v>Bernard Gallant</x:v>
      </x:c>
      <x:c r="O789" s="14" t="str">
        <x:v>nm12284911</x:v>
      </x:c>
      <x:c r="P789" s="14" t="str">
        <x:v>Solicitor</x:v>
      </x:c>
      <x:c r="Q789" s="15" t="n">
        <x:v>1</x:v>
      </x:c>
      <x:c r="R789" s="14" t="str">
        <x:v>2025</x:v>
      </x:c>
      <x:c r="S789" s="14" t="n">
        <x:v>2025</x:v>
      </x:c>
      <x:c r="T789" s="14" t="n">
        <x:v>2025</x:v>
      </x:c>
      <x:c r="U789" s="14" t="str">
        <x:v>Post-2021 casting excluded</x:v>
      </x:c>
      <x:c r="V789" s="14" t="str">
        <x:v>Earliest supplied year is 2025, later than the 2021 study year.</x:v>
      </x:c>
      <x:c r="W789" s="14"/>
      <x:c r="X789" s="14" t="str">
        <x:v>Included</x:v>
      </x:c>
      <x:c r="Y789" s="14"/>
      <x:c r="Z789" s="14" t="str">
        <x:v>Professor T.docx</x:v>
      </x:c>
      <x:c r="AA789" s="14" t="str">
        <x:v>HYPERLINK is not implemented. linkLocation=https://www.imdb.com/title/tt11981644/fullcredits/, friendlyName=Open source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ITV / ITVX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7" t="e">
        <x:f>HYPERLINK("https://en.wikipedia.org/wiki/Professor_T.","Open source")</x:f>
        <x:v>HYPERLINK is not implemented. linkLocation=https://en.wikipedia.org/wiki/Professor_T., friendlyName=Open source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 t="str">
        <x:v>No established-register match</x:v>
      </x:c>
      <x:c r="AT789" s="14"/>
      <x:c r="AU789" s="14"/>
      <x:c r="AV789" s="14" t="str">
        <x:v>No established apparent-disability match</x:v>
      </x:c>
      <x:c r="AW789" s="14"/>
      <x:c r="AX789" s="14" t="str">
        <x:v>No</x:v>
      </x:c>
      <x:c r="AY789" s="14" t="str">
        <x:v>Unmatched</x:v>
      </x:c>
      <x:c r="AZ789" s="14" t="str">
        <x:v>Final supplied register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30</x:v>
      </x:c>
      <x:c r="BP789" s="14" t="str">
        <x:v>Maximum eligible IMDb cast-credit total (30), shared by 2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0.03333333333333333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4" t="str">
        <x:v>HYPERLINK is not implemented. linkLocation=https://www.imdb.com/title/tt11981644/fullcredits/, friendlyName=Open source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tt11981644|nm15782750|poppy sommers</x:v>
      </x:c>
      <x:c r="B790" s="14" t="str">
        <x:v>02</x:v>
      </x:c>
      <x:c r="C790" s="14" t="str">
        <x:v>2021_IMDb_Cast_Lists_Batch_02(1).xlsx</x:v>
      </x:c>
      <x:c r="D790" s="14" t="str">
        <x:v>Professor T</x:v>
      </x:c>
      <x:c r="E790" s="14" t="n">
        <x:v>247</x:v>
      </x:c>
      <x:c r="F790" s="14" t="str">
        <x:v>Professor T</x:v>
      </x:c>
      <x:c r="G790" s="14" t="str">
        <x:v>tt11981644</x:v>
      </x:c>
      <x:c r="H790" s="14" t="n">
        <x:v>2021</x:v>
      </x:c>
      <x:c r="I790" s="14" t="n">
        <x:v>2025</x:v>
      </x:c>
      <x:c r="J790" s="14" t="str">
        <x:v>Earlier-Production Carry-In Cohort</x:v>
      </x:c>
      <x:c r="K790" s="14" t="n">
        <x:v>2021</x:v>
      </x:c>
      <x:c r="L790" s="14" t="str">
        <x:v>Used in 2025 annual analysis</x:v>
      </x:c>
      <x:c r="M790" s="15" t="n">
        <x:v>240</x:v>
      </x:c>
      <x:c r="N790" s="14" t="str">
        <x:v>Sam Michiels</x:v>
      </x:c>
      <x:c r="O790" s="14" t="str">
        <x:v>nm15782750</x:v>
      </x:c>
      <x:c r="P790" s="14" t="str">
        <x:v>Poppy Sommers</x:v>
      </x:c>
      <x:c r="Q790" s="15" t="n">
        <x:v>1</x:v>
      </x:c>
      <x:c r="R790" s="14" t="str">
        <x:v>2025</x:v>
      </x:c>
      <x:c r="S790" s="14" t="n">
        <x:v>2025</x:v>
      </x:c>
      <x:c r="T790" s="14" t="n">
        <x:v>2025</x:v>
      </x:c>
      <x:c r="U790" s="14" t="str">
        <x:v>Post-2021 casting excluded</x:v>
      </x:c>
      <x:c r="V790" s="14" t="str">
        <x:v>Earliest supplied year is 2025, later than the 2021 study year.</x:v>
      </x:c>
      <x:c r="W790" s="14"/>
      <x:c r="X790" s="14" t="str">
        <x:v>Included</x:v>
      </x:c>
      <x:c r="Y790" s="14"/>
      <x:c r="Z790" s="14" t="str">
        <x:v>Professor T.docx</x:v>
      </x:c>
      <x:c r="AA790" s="14" t="str">
        <x:v>HYPERLINK is not implemented. linkLocation=https://www.imdb.com/title/tt11981644/fullcredits/, friendlyName=Open source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ITV / ITVX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7" t="e">
        <x:f>HYPERLINK("https://en.wikipedia.org/wiki/Professor_T.","Open source")</x:f>
        <x:v>HYPERLINK is not implemented. linkLocation=https://en.wikipedia.org/wiki/Professor_T., friendlyName=Open source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 t="str">
        <x:v>No established-register match</x:v>
      </x:c>
      <x:c r="AT790" s="14"/>
      <x:c r="AU790" s="14"/>
      <x:c r="AV790" s="14" t="str">
        <x:v>No established apparent-disability match</x:v>
      </x:c>
      <x:c r="AW790" s="14"/>
      <x:c r="AX790" s="14" t="str">
        <x:v>No</x:v>
      </x:c>
      <x:c r="AY790" s="14" t="str">
        <x:v>Unmatched</x:v>
      </x:c>
      <x:c r="AZ790" s="14" t="str">
        <x:v>Final supplied register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30</x:v>
      </x:c>
      <x:c r="BP790" s="14" t="str">
        <x:v>Maximum eligible IMDb cast-credit total (30), shared by 2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0.03333333333333333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4" t="str">
        <x:v>HYPERLINK is not implemented. linkLocation=https://www.imdb.com/title/tt11981644/fullcredits/, friendlyName=Open source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tt11981644|nm7501456|september gardens assistant</x:v>
      </x:c>
      <x:c r="B791" s="14" t="str">
        <x:v>02</x:v>
      </x:c>
      <x:c r="C791" s="14" t="str">
        <x:v>2021_IMDb_Cast_Lists_Batch_02(1).xlsx</x:v>
      </x:c>
      <x:c r="D791" s="14" t="str">
        <x:v>Professor T</x:v>
      </x:c>
      <x:c r="E791" s="14" t="n">
        <x:v>250</x:v>
      </x:c>
      <x:c r="F791" s="14" t="str">
        <x:v>Professor T</x:v>
      </x:c>
      <x:c r="G791" s="14" t="str">
        <x:v>tt11981644</x:v>
      </x:c>
      <x:c r="H791" s="14" t="n">
        <x:v>2021</x:v>
      </x:c>
      <x:c r="I791" s="14" t="n">
        <x:v>2025</x:v>
      </x:c>
      <x:c r="J791" s="14" t="str">
        <x:v>Earlier-Production Carry-In Cohort</x:v>
      </x:c>
      <x:c r="K791" s="14" t="n">
        <x:v>2021</x:v>
      </x:c>
      <x:c r="L791" s="14" t="str">
        <x:v>Used in 2025 annual analysis</x:v>
      </x:c>
      <x:c r="M791" s="15" t="n">
        <x:v>243</x:v>
      </x:c>
      <x:c r="N791" s="14" t="str">
        <x:v>Carina de Vroome</x:v>
      </x:c>
      <x:c r="O791" s="14" t="str">
        <x:v>nm7501456</x:v>
      </x:c>
      <x:c r="P791" s="14" t="str">
        <x:v>September Gardens assistant</x:v>
      </x:c>
      <x:c r="Q791" s="15" t="n">
        <x:v>1</x:v>
      </x:c>
      <x:c r="R791" s="14" t="str">
        <x:v>2025</x:v>
      </x:c>
      <x:c r="S791" s="14" t="n">
        <x:v>2025</x:v>
      </x:c>
      <x:c r="T791" s="14" t="n">
        <x:v>2025</x:v>
      </x:c>
      <x:c r="U791" s="14" t="str">
        <x:v>Post-2021 casting excluded</x:v>
      </x:c>
      <x:c r="V791" s="14" t="str">
        <x:v>Earliest supplied year is 2025, later than the 2021 study year.</x:v>
      </x:c>
      <x:c r="W791" s="14"/>
      <x:c r="X791" s="14" t="str">
        <x:v>Included</x:v>
      </x:c>
      <x:c r="Y791" s="14"/>
      <x:c r="Z791" s="14" t="str">
        <x:v>Professor T.docx</x:v>
      </x:c>
      <x:c r="AA791" s="14" t="str">
        <x:v>HYPERLINK is not implemented. linkLocation=https://www.imdb.com/title/tt11981644/fullcredits/, friendlyName=Open source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ITV / ITVX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7" t="e">
        <x:f>HYPERLINK("https://en.wikipedia.org/wiki/Professor_T.","Open source")</x:f>
        <x:v>HYPERLINK is not implemented. linkLocation=https://en.wikipedia.org/wiki/Professor_T., friendlyName=Open source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 t="str">
        <x:v>No established-register match</x:v>
      </x:c>
      <x:c r="AT791" s="14"/>
      <x:c r="AU791" s="14"/>
      <x:c r="AV791" s="14" t="str">
        <x:v>No established apparent-disability match</x:v>
      </x:c>
      <x:c r="AW791" s="14"/>
      <x:c r="AX791" s="14" t="str">
        <x:v>No</x:v>
      </x:c>
      <x:c r="AY791" s="14" t="str">
        <x:v>Unmatched</x:v>
      </x:c>
      <x:c r="AZ791" s="14" t="str">
        <x:v>Final supplied register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30</x:v>
      </x:c>
      <x:c r="BP791" s="14" t="str">
        <x:v>Maximum eligible IMDb cast-credit total (30), shared by 2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0.03333333333333333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4" t="str">
        <x:v>HYPERLINK is not implemented. linkLocation=https://www.imdb.com/title/tt11981644/fullcredits/, friendlyName=Open source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tt11981644|nm0774160|alaric goldberg</x:v>
      </x:c>
      <x:c r="B792" s="14" t="str">
        <x:v>02</x:v>
      </x:c>
      <x:c r="C792" s="14" t="str">
        <x:v>2021_IMDb_Cast_Lists_Batch_02(1).xlsx</x:v>
      </x:c>
      <x:c r="D792" s="14" t="str">
        <x:v>Professor T</x:v>
      </x:c>
      <x:c r="E792" s="14" t="n">
        <x:v>255</x:v>
      </x:c>
      <x:c r="F792" s="14" t="str">
        <x:v>Professor T</x:v>
      </x:c>
      <x:c r="G792" s="14" t="str">
        <x:v>tt11981644</x:v>
      </x:c>
      <x:c r="H792" s="14" t="n">
        <x:v>2021</x:v>
      </x:c>
      <x:c r="I792" s="14" t="n">
        <x:v>2025</x:v>
      </x:c>
      <x:c r="J792" s="14" t="str">
        <x:v>Earlier-Production Carry-In Cohort</x:v>
      </x:c>
      <x:c r="K792" s="14" t="n">
        <x:v>2021</x:v>
      </x:c>
      <x:c r="L792" s="14" t="str">
        <x:v>Used in 2025 annual analysis</x:v>
      </x:c>
      <x:c r="M792" s="15" t="n">
        <x:v>248</x:v>
      </x:c>
      <x:c r="N792" s="14" t="str">
        <x:v>Jobst Schnibbe</x:v>
      </x:c>
      <x:c r="O792" s="14" t="str">
        <x:v>nm0774160</x:v>
      </x:c>
      <x:c r="P792" s="14" t="str">
        <x:v>Alaric Goldberg</x:v>
      </x:c>
      <x:c r="Q792" s="15" t="n">
        <x:v>1</x:v>
      </x:c>
      <x:c r="R792" s="14" t="str">
        <x:v>2025</x:v>
      </x:c>
      <x:c r="S792" s="14" t="n">
        <x:v>2025</x:v>
      </x:c>
      <x:c r="T792" s="14" t="n">
        <x:v>2025</x:v>
      </x:c>
      <x:c r="U792" s="14" t="str">
        <x:v>Post-2021 casting excluded</x:v>
      </x:c>
      <x:c r="V792" s="14" t="str">
        <x:v>Earliest supplied year is 2025, later than the 2021 study year.</x:v>
      </x:c>
      <x:c r="W792" s="14"/>
      <x:c r="X792" s="14" t="str">
        <x:v>Included</x:v>
      </x:c>
      <x:c r="Y792" s="14"/>
      <x:c r="Z792" s="14" t="str">
        <x:v>Professor T.docx</x:v>
      </x:c>
      <x:c r="AA792" s="14" t="str">
        <x:v>HYPERLINK is not implemented. linkLocation=https://www.imdb.com/title/tt11981644/fullcredits/, friendlyName=Open source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ITV / ITVX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7" t="e">
        <x:f>HYPERLINK("https://en.wikipedia.org/wiki/Professor_T.","Open source")</x:f>
        <x:v>HYPERLINK is not implemented. linkLocation=https://en.wikipedia.org/wiki/Professor_T., friendlyName=Open source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 t="str">
        <x:v>No established-register match</x:v>
      </x:c>
      <x:c r="AT792" s="14"/>
      <x:c r="AU792" s="14"/>
      <x:c r="AV792" s="14" t="str">
        <x:v>No established apparent-disability match</x:v>
      </x:c>
      <x:c r="AW792" s="14"/>
      <x:c r="AX792" s="14" t="str">
        <x:v>No</x:v>
      </x:c>
      <x:c r="AY792" s="14" t="str">
        <x:v>Unmatched</x:v>
      </x:c>
      <x:c r="AZ792" s="14" t="str">
        <x:v>Final supplied register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30</x:v>
      </x:c>
      <x:c r="BP792" s="14" t="str">
        <x:v>Maximum eligible IMDb cast-credit total (30), shared by 2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0.03333333333333333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4" t="str">
        <x:v>HYPERLINK is not implemented. linkLocation=https://www.imdb.com/title/tt11981644/fullcredits/, friendlyName=Open source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tt11981644|nm14569347|maddie</x:v>
      </x:c>
      <x:c r="B793" s="14" t="str">
        <x:v>02</x:v>
      </x:c>
      <x:c r="C793" s="14" t="str">
        <x:v>2021_IMDb_Cast_Lists_Batch_02(1).xlsx</x:v>
      </x:c>
      <x:c r="D793" s="14" t="str">
        <x:v>Professor T</x:v>
      </x:c>
      <x:c r="E793" s="14" t="n">
        <x:v>260</x:v>
      </x:c>
      <x:c r="F793" s="14" t="str">
        <x:v>Professor T</x:v>
      </x:c>
      <x:c r="G793" s="14" t="str">
        <x:v>tt11981644</x:v>
      </x:c>
      <x:c r="H793" s="14" t="n">
        <x:v>2021</x:v>
      </x:c>
      <x:c r="I793" s="14" t="n">
        <x:v>2025</x:v>
      </x:c>
      <x:c r="J793" s="14" t="str">
        <x:v>Earlier-Production Carry-In Cohort</x:v>
      </x:c>
      <x:c r="K793" s="14" t="n">
        <x:v>2021</x:v>
      </x:c>
      <x:c r="L793" s="14" t="str">
        <x:v>Used in 2025 annual analysis</x:v>
      </x:c>
      <x:c r="M793" s="15" t="n">
        <x:v>253</x:v>
      </x:c>
      <x:c r="N793" s="14" t="str">
        <x:v>Samantha Fadahunsi</x:v>
      </x:c>
      <x:c r="O793" s="14" t="str">
        <x:v>nm14569347</x:v>
      </x:c>
      <x:c r="P793" s="14" t="str">
        <x:v>Maddie</x:v>
      </x:c>
      <x:c r="Q793" s="15" t="n">
        <x:v>1</x:v>
      </x:c>
      <x:c r="R793" s="14" t="str">
        <x:v>2025</x:v>
      </x:c>
      <x:c r="S793" s="14" t="n">
        <x:v>2025</x:v>
      </x:c>
      <x:c r="T793" s="14" t="n">
        <x:v>2025</x:v>
      </x:c>
      <x:c r="U793" s="14" t="str">
        <x:v>Post-2021 casting excluded</x:v>
      </x:c>
      <x:c r="V793" s="14" t="str">
        <x:v>Earliest supplied year is 2025, later than the 2021 study year.</x:v>
      </x:c>
      <x:c r="W793" s="14"/>
      <x:c r="X793" s="14" t="str">
        <x:v>Included</x:v>
      </x:c>
      <x:c r="Y793" s="14"/>
      <x:c r="Z793" s="14" t="str">
        <x:v>Professor T.docx</x:v>
      </x:c>
      <x:c r="AA793" s="14" t="str">
        <x:v>HYPERLINK is not implemented. linkLocation=https://www.imdb.com/title/tt11981644/fullcredits/, friendlyName=Open source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ITV / ITVX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7" t="e">
        <x:f>HYPERLINK("https://en.wikipedia.org/wiki/Professor_T.","Open source")</x:f>
        <x:v>HYPERLINK is not implemented. linkLocation=https://en.wikipedia.org/wiki/Professor_T., friendlyName=Open source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 t="str">
        <x:v>No established-register match</x:v>
      </x:c>
      <x:c r="AT793" s="14"/>
      <x:c r="AU793" s="14"/>
      <x:c r="AV793" s="14" t="str">
        <x:v>No established apparent-disability match</x:v>
      </x:c>
      <x:c r="AW793" s="14"/>
      <x:c r="AX793" s="14" t="str">
        <x:v>No</x:v>
      </x:c>
      <x:c r="AY793" s="14" t="str">
        <x:v>Unmatched</x:v>
      </x:c>
      <x:c r="AZ793" s="14" t="str">
        <x:v>Final supplied register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30</x:v>
      </x:c>
      <x:c r="BP793" s="14" t="str">
        <x:v>Maximum eligible IMDb cast-credit total (30), shared by 2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0.03333333333333333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4" t="str">
        <x:v>HYPERLINK is not implemented. linkLocation=https://www.imdb.com/title/tt11981644/fullcredits/, friendlyName=Open source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tt15499118|nm0014735|aurielle alfonse</x:v>
      </x:c>
      <x:c r="B794" s="14" t="str">
        <x:v>03</x:v>
      </x:c>
      <x:c r="C794" s="14" t="str">
        <x:v>2021_IMDb_Cast_Lists_Batch_03(1).xlsx</x:v>
      </x:c>
      <x:c r="D794" s="14" t="str">
        <x:v>The Madame Blanc Mysteries</x:v>
      </x:c>
      <x:c r="E794" s="14" t="n">
        <x:v>36</x:v>
      </x:c>
      <x:c r="F794" s="14" t="str">
        <x:v>The Madame Blanc Mysteries</x:v>
      </x:c>
      <x:c r="G794" s="14" t="str">
        <x:v>tt15499118</x:v>
      </x:c>
      <x:c r="H794" s="14" t="n">
        <x:v>2021</x:v>
      </x:c>
      <x:c r="I794" s="14" t="n">
        <x:v>2025</x:v>
      </x:c>
      <x:c r="J794" s="14" t="str">
        <x:v>Earlier-Production Carry-In Cohort</x:v>
      </x:c>
      <x:c r="K794" s="14" t="n">
        <x:v>2021</x:v>
      </x:c>
      <x:c r="L794" s="14" t="str">
        <x:v>Used in 2025 annual analysis</x:v>
      </x:c>
      <x:c r="M794" s="15" t="n">
        <x:v>29</x:v>
      </x:c>
      <x:c r="N794" s="14" t="str">
        <x:v>Kacey Ainsworth</x:v>
      </x:c>
      <x:c r="O794" s="14" t="str">
        <x:v>nm0014735</x:v>
      </x:c>
      <x:c r="P794" s="14" t="str">
        <x:v>Aurielle Alfonse</x:v>
      </x:c>
      <x:c r="Q794" s="15" t="n">
        <x:v>1</x:v>
      </x:c>
      <x:c r="R794" s="14" t="str">
        <x:v>2025</x:v>
      </x:c>
      <x:c r="S794" s="14" t="n">
        <x:v>2025</x:v>
      </x:c>
      <x:c r="T794" s="14" t="n">
        <x:v>2025</x:v>
      </x:c>
      <x:c r="U794" s="14" t="str">
        <x:v>Post-2021 casting excluded</x:v>
      </x:c>
      <x:c r="V794" s="14" t="str">
        <x:v>Earliest supplied year is 2025, later than the 2021 study year.</x:v>
      </x:c>
      <x:c r="W794" s="14"/>
      <x:c r="X794" s="14" t="str">
        <x:v>Included</x:v>
      </x:c>
      <x:c r="Y794" s="14"/>
      <x:c r="Z794" s="14" t="str">
        <x:v>The Madame Blanc Mysteries.docx</x:v>
      </x:c>
      <x:c r="AA794" s="14" t="str">
        <x:v>HYPERLINK is not implemented. linkLocation=https://www.imdb.com/title/tt15499118/fullcredits/, friendlyName=Open source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Channel 5 / 5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 t="str">
        <x:v>No established-register match</x:v>
      </x:c>
      <x:c r="AT794" s="14"/>
      <x:c r="AU794" s="14"/>
      <x:c r="AV794" s="14" t="str">
        <x:v>No established apparent-disability match</x:v>
      </x:c>
      <x:c r="AW794" s="14"/>
      <x:c r="AX794" s="14" t="str">
        <x:v>No</x:v>
      </x:c>
      <x:c r="AY794" s="14" t="str">
        <x:v>Unmatched</x:v>
      </x:c>
      <x:c r="AZ794" s="14" t="str">
        <x:v>Final supplied register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28</x:v>
      </x:c>
      <x:c r="BP794" s="14" t="str">
        <x:v>Maximum eligible IMDb cast-credit total (28),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0.03571428571428571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4" t="str">
        <x:v>HYPERLINK is not implemented. linkLocation=https://www.imdb.com/title/tt15499118/fullcredits/, friendlyName=Open source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tt15499118|nm9131964|vinnie</x:v>
      </x:c>
      <x:c r="B795" s="14" t="str">
        <x:v>03</x:v>
      </x:c>
      <x:c r="C795" s="14" t="str">
        <x:v>2021_IMDb_Cast_Lists_Batch_03(1).xlsx</x:v>
      </x:c>
      <x:c r="D795" s="14" t="str">
        <x:v>The Madame Blanc Mysteries</x:v>
      </x:c>
      <x:c r="E795" s="14" t="n">
        <x:v>37</x:v>
      </x:c>
      <x:c r="F795" s="14" t="str">
        <x:v>The Madame Blanc Mysteries</x:v>
      </x:c>
      <x:c r="G795" s="14" t="str">
        <x:v>tt15499118</x:v>
      </x:c>
      <x:c r="H795" s="14" t="n">
        <x:v>2021</x:v>
      </x:c>
      <x:c r="I795" s="14" t="n">
        <x:v>2025</x:v>
      </x:c>
      <x:c r="J795" s="14" t="str">
        <x:v>Earlier-Production Carry-In Cohort</x:v>
      </x:c>
      <x:c r="K795" s="14" t="n">
        <x:v>2021</x:v>
      </x:c>
      <x:c r="L795" s="14" t="str">
        <x:v>Used in 2025 annual analysis</x:v>
      </x:c>
      <x:c r="M795" s="15" t="n">
        <x:v>30</x:v>
      </x:c>
      <x:c r="N795" s="14" t="str">
        <x:v>Atilla Akinci</x:v>
      </x:c>
      <x:c r="O795" s="14" t="str">
        <x:v>nm9131964</x:v>
      </x:c>
      <x:c r="P795" s="14" t="str">
        <x:v>Vinnie</x:v>
      </x:c>
      <x:c r="Q795" s="15" t="n">
        <x:v>1</x:v>
      </x:c>
      <x:c r="R795" s="14" t="str">
        <x:v>2025</x:v>
      </x:c>
      <x:c r="S795" s="14" t="n">
        <x:v>2025</x:v>
      </x:c>
      <x:c r="T795" s="14" t="n">
        <x:v>2025</x:v>
      </x:c>
      <x:c r="U795" s="14" t="str">
        <x:v>Post-2021 casting excluded</x:v>
      </x:c>
      <x:c r="V795" s="14" t="str">
        <x:v>Earliest supplied year is 2025, later than the 2021 study year.</x:v>
      </x:c>
      <x:c r="W795" s="14"/>
      <x:c r="X795" s="14" t="str">
        <x:v>Included</x:v>
      </x:c>
      <x:c r="Y795" s="14"/>
      <x:c r="Z795" s="14" t="str">
        <x:v>The Madame Blanc Mysteries.docx</x:v>
      </x:c>
      <x:c r="AA795" s="14" t="str">
        <x:v>HYPERLINK is not implemented. linkLocation=https://www.imdb.com/title/tt15499118/fullcredits/, friendlyName=Open source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Channel 5 / 5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 t="str">
        <x:v>No established-register match</x:v>
      </x:c>
      <x:c r="AT795" s="14"/>
      <x:c r="AU795" s="14"/>
      <x:c r="AV795" s="14" t="str">
        <x:v>No established apparent-disability match</x:v>
      </x:c>
      <x:c r="AW795" s="14"/>
      <x:c r="AX795" s="14" t="str">
        <x:v>No</x:v>
      </x:c>
      <x:c r="AY795" s="14" t="str">
        <x:v>Unmatched</x:v>
      </x:c>
      <x:c r="AZ795" s="14" t="str">
        <x:v>Final supplied register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28</x:v>
      </x:c>
      <x:c r="BP795" s="14" t="str">
        <x:v>Maximum eligible IMDb cast-credit total (28),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0.03571428571428571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4" t="str">
        <x:v>HYPERLINK is not implemented. linkLocation=https://www.imdb.com/title/tt15499118/fullcredits/, friendlyName=Open source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tt15499118|nm0085990|nick</x:v>
      </x:c>
      <x:c r="B796" s="14" t="str">
        <x:v>03</x:v>
      </x:c>
      <x:c r="C796" s="14" t="str">
        <x:v>2021_IMDb_Cast_Lists_Batch_03(1).xlsx</x:v>
      </x:c>
      <x:c r="D796" s="14" t="str">
        <x:v>The Madame Blanc Mysteries</x:v>
      </x:c>
      <x:c r="E796" s="14" t="n">
        <x:v>42</x:v>
      </x:c>
      <x:c r="F796" s="14" t="str">
        <x:v>The Madame Blanc Mysteries</x:v>
      </x:c>
      <x:c r="G796" s="14" t="str">
        <x:v>tt15499118</x:v>
      </x:c>
      <x:c r="H796" s="14" t="n">
        <x:v>2021</x:v>
      </x:c>
      <x:c r="I796" s="14" t="n">
        <x:v>2025</x:v>
      </x:c>
      <x:c r="J796" s="14" t="str">
        <x:v>Earlier-Production Carry-In Cohort</x:v>
      </x:c>
      <x:c r="K796" s="14" t="n">
        <x:v>2021</x:v>
      </x:c>
      <x:c r="L796" s="14" t="str">
        <x:v>Used in 2025 annual analysis</x:v>
      </x:c>
      <x:c r="M796" s="15" t="n">
        <x:v>35</x:v>
      </x:c>
      <x:c r="N796" s="14" t="str">
        <x:v>Richard Blackwood</x:v>
      </x:c>
      <x:c r="O796" s="14" t="str">
        <x:v>nm0085990</x:v>
      </x:c>
      <x:c r="P796" s="14" t="str">
        <x:v>Nick</x:v>
      </x:c>
      <x:c r="Q796" s="15" t="n">
        <x:v>1</x:v>
      </x:c>
      <x:c r="R796" s="14" t="str">
        <x:v>2025</x:v>
      </x:c>
      <x:c r="S796" s="14" t="n">
        <x:v>2025</x:v>
      </x:c>
      <x:c r="T796" s="14" t="n">
        <x:v>2025</x:v>
      </x:c>
      <x:c r="U796" s="14" t="str">
        <x:v>Post-2021 casting excluded</x:v>
      </x:c>
      <x:c r="V796" s="14" t="str">
        <x:v>Earliest supplied year is 2025, later than the 2021 study year.</x:v>
      </x:c>
      <x:c r="W796" s="14"/>
      <x:c r="X796" s="14" t="str">
        <x:v>Included</x:v>
      </x:c>
      <x:c r="Y796" s="14"/>
      <x:c r="Z796" s="14" t="str">
        <x:v>The Madame Blanc Mysteries.docx</x:v>
      </x:c>
      <x:c r="AA796" s="14" t="str">
        <x:v>HYPERLINK is not implemented. linkLocation=https://www.imdb.com/title/tt15499118/fullcredits/, friendlyName=Open source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Channel 5 / 5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 t="str">
        <x:v>No established-register match</x:v>
      </x:c>
      <x:c r="AT796" s="14"/>
      <x:c r="AU796" s="14"/>
      <x:c r="AV796" s="14" t="str">
        <x:v>No established apparent-disability match</x:v>
      </x:c>
      <x:c r="AW796" s="14"/>
      <x:c r="AX796" s="14" t="str">
        <x:v>No</x:v>
      </x:c>
      <x:c r="AY796" s="14" t="str">
        <x:v>Unmatched</x:v>
      </x:c>
      <x:c r="AZ796" s="14" t="str">
        <x:v>Final supplied register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28</x:v>
      </x:c>
      <x:c r="BP796" s="14" t="str">
        <x:v>Maximum eligible IMDb cast-credit total (28),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0.03571428571428571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4" t="str">
        <x:v>HYPERLINK is not implemented. linkLocation=https://www.imdb.com/title/tt15499118/fullcredits/, friendlyName=Open source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tt15499118|nm1513510|colin</x:v>
      </x:c>
      <x:c r="B797" s="14" t="str">
        <x:v>03</x:v>
      </x:c>
      <x:c r="C797" s="14" t="str">
        <x:v>2021_IMDb_Cast_Lists_Batch_03(1).xlsx</x:v>
      </x:c>
      <x:c r="D797" s="14" t="str">
        <x:v>The Madame Blanc Mysteries</x:v>
      </x:c>
      <x:c r="E797" s="14" t="n">
        <x:v>43</x:v>
      </x:c>
      <x:c r="F797" s="14" t="str">
        <x:v>The Madame Blanc Mysteries</x:v>
      </x:c>
      <x:c r="G797" s="14" t="str">
        <x:v>tt15499118</x:v>
      </x:c>
      <x:c r="H797" s="14" t="n">
        <x:v>2021</x:v>
      </x:c>
      <x:c r="I797" s="14" t="n">
        <x:v>2025</x:v>
      </x:c>
      <x:c r="J797" s="14" t="str">
        <x:v>Earlier-Production Carry-In Cohort</x:v>
      </x:c>
      <x:c r="K797" s="14" t="n">
        <x:v>2021</x:v>
      </x:c>
      <x:c r="L797" s="14" t="str">
        <x:v>Used in 2025 annual analysis</x:v>
      </x:c>
      <x:c r="M797" s="15" t="n">
        <x:v>36</x:v>
      </x:c>
      <x:c r="N797" s="14" t="str">
        <x:v>Marc Cabourdin</x:v>
      </x:c>
      <x:c r="O797" s="14" t="str">
        <x:v>nm1513510</x:v>
      </x:c>
      <x:c r="P797" s="14" t="str">
        <x:v>Colin</x:v>
      </x:c>
      <x:c r="Q797" s="15" t="n">
        <x:v>1</x:v>
      </x:c>
      <x:c r="R797" s="14" t="str">
        <x:v>2025</x:v>
      </x:c>
      <x:c r="S797" s="14" t="n">
        <x:v>2025</x:v>
      </x:c>
      <x:c r="T797" s="14" t="n">
        <x:v>2025</x:v>
      </x:c>
      <x:c r="U797" s="14" t="str">
        <x:v>Post-2021 casting excluded</x:v>
      </x:c>
      <x:c r="V797" s="14" t="str">
        <x:v>Earliest supplied year is 2025, later than the 2021 study year.</x:v>
      </x:c>
      <x:c r="W797" s="14"/>
      <x:c r="X797" s="14" t="str">
        <x:v>Included</x:v>
      </x:c>
      <x:c r="Y797" s="14"/>
      <x:c r="Z797" s="14" t="str">
        <x:v>The Madame Blanc Mysteries.docx</x:v>
      </x:c>
      <x:c r="AA797" s="14" t="str">
        <x:v>HYPERLINK is not implemented. linkLocation=https://www.imdb.com/title/tt15499118/fullcredits/, friendlyName=Open source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Channel 5 / 5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 t="str">
        <x:v>No established-register match</x:v>
      </x:c>
      <x:c r="AT797" s="14"/>
      <x:c r="AU797" s="14"/>
      <x:c r="AV797" s="14" t="str">
        <x:v>No established apparent-disability match</x:v>
      </x:c>
      <x:c r="AW797" s="14"/>
      <x:c r="AX797" s="14" t="str">
        <x:v>No</x:v>
      </x:c>
      <x:c r="AY797" s="14" t="str">
        <x:v>Unmatched</x:v>
      </x:c>
      <x:c r="AZ797" s="14" t="str">
        <x:v>Final supplied register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28</x:v>
      </x:c>
      <x:c r="BP797" s="14" t="str">
        <x:v>Maximum eligible IMDb cast-credit total (28),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0.03571428571428571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4" t="str">
        <x:v>HYPERLINK is not implemented. linkLocation=https://www.imdb.com/title/tt15499118/fullcredits/, friendlyName=Open source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tt15499118|nm1561415|elaine</x:v>
      </x:c>
      <x:c r="B798" s="14" t="str">
        <x:v>03</x:v>
      </x:c>
      <x:c r="C798" s="14" t="str">
        <x:v>2021_IMDb_Cast_Lists_Batch_03(1).xlsx</x:v>
      </x:c>
      <x:c r="D798" s="14" t="str">
        <x:v>The Madame Blanc Mysteries</x:v>
      </x:c>
      <x:c r="E798" s="14" t="n">
        <x:v>53</x:v>
      </x:c>
      <x:c r="F798" s="14" t="str">
        <x:v>The Madame Blanc Mysteries</x:v>
      </x:c>
      <x:c r="G798" s="14" t="str">
        <x:v>tt15499118</x:v>
      </x:c>
      <x:c r="H798" s="14" t="n">
        <x:v>2021</x:v>
      </x:c>
      <x:c r="I798" s="14" t="n">
        <x:v>2025</x:v>
      </x:c>
      <x:c r="J798" s="14" t="str">
        <x:v>Earlier-Production Carry-In Cohort</x:v>
      </x:c>
      <x:c r="K798" s="14" t="n">
        <x:v>2021</x:v>
      </x:c>
      <x:c r="L798" s="14" t="str">
        <x:v>Used in 2025 annual analysis</x:v>
      </x:c>
      <x:c r="M798" s="15" t="n">
        <x:v>46</x:v>
      </x:c>
      <x:c r="N798" s="14" t="str">
        <x:v>Lorraine Burroughs</x:v>
      </x:c>
      <x:c r="O798" s="14" t="str">
        <x:v>nm1561415</x:v>
      </x:c>
      <x:c r="P798" s="14" t="str">
        <x:v>Elaine</x:v>
      </x:c>
      <x:c r="Q798" s="15" t="n">
        <x:v>1</x:v>
      </x:c>
      <x:c r="R798" s="14" t="str">
        <x:v>2025</x:v>
      </x:c>
      <x:c r="S798" s="14" t="n">
        <x:v>2025</x:v>
      </x:c>
      <x:c r="T798" s="14" t="n">
        <x:v>2025</x:v>
      </x:c>
      <x:c r="U798" s="14" t="str">
        <x:v>Post-2021 casting excluded</x:v>
      </x:c>
      <x:c r="V798" s="14" t="str">
        <x:v>Earliest supplied year is 2025, later than the 2021 study year.</x:v>
      </x:c>
      <x:c r="W798" s="14"/>
      <x:c r="X798" s="14" t="str">
        <x:v>Included</x:v>
      </x:c>
      <x:c r="Y798" s="14"/>
      <x:c r="Z798" s="14" t="str">
        <x:v>The Madame Blanc Mysteries.docx</x:v>
      </x:c>
      <x:c r="AA798" s="14" t="str">
        <x:v>HYPERLINK is not implemented. linkLocation=https://www.imdb.com/title/tt15499118/fullcredits/, friendlyName=Open source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Channel 5 / 5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 t="str">
        <x:v>No established-register match</x:v>
      </x:c>
      <x:c r="AT798" s="14"/>
      <x:c r="AU798" s="14"/>
      <x:c r="AV798" s="14" t="str">
        <x:v>No established apparent-disability match</x:v>
      </x:c>
      <x:c r="AW798" s="14"/>
      <x:c r="AX798" s="14" t="str">
        <x:v>No</x:v>
      </x:c>
      <x:c r="AY798" s="14" t="str">
        <x:v>Unmatched</x:v>
      </x:c>
      <x:c r="AZ798" s="14" t="str">
        <x:v>Final supplied register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28</x:v>
      </x:c>
      <x:c r="BP798" s="14" t="str">
        <x:v>Maximum eligible IMDb cast-credit total (28),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0.03571428571428571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4" t="str">
        <x:v>HYPERLINK is not implemented. linkLocation=https://www.imdb.com/title/tt15499118/fullcredits/, friendlyName=Open source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tt15499118|nm0003626|pierre</x:v>
      </x:c>
      <x:c r="B799" s="14" t="str">
        <x:v>03</x:v>
      </x:c>
      <x:c r="C799" s="14" t="str">
        <x:v>2021_IMDb_Cast_Lists_Batch_03(1).xlsx</x:v>
      </x:c>
      <x:c r="D799" s="14" t="str">
        <x:v>The Madame Blanc Mysteries</x:v>
      </x:c>
      <x:c r="E799" s="14" t="n">
        <x:v>54</x:v>
      </x:c>
      <x:c r="F799" s="14" t="str">
        <x:v>The Madame Blanc Mysteries</x:v>
      </x:c>
      <x:c r="G799" s="14" t="str">
        <x:v>tt15499118</x:v>
      </x:c>
      <x:c r="H799" s="14" t="n">
        <x:v>2021</x:v>
      </x:c>
      <x:c r="I799" s="14" t="n">
        <x:v>2025</x:v>
      </x:c>
      <x:c r="J799" s="14" t="str">
        <x:v>Earlier-Production Carry-In Cohort</x:v>
      </x:c>
      <x:c r="K799" s="14" t="n">
        <x:v>2021</x:v>
      </x:c>
      <x:c r="L799" s="14" t="str">
        <x:v>Used in 2025 annual analysis</x:v>
      </x:c>
      <x:c r="M799" s="15" t="n">
        <x:v>47</x:v>
      </x:c>
      <x:c r="N799" s="14" t="str">
        <x:v>Charlie Condou</x:v>
      </x:c>
      <x:c r="O799" s="14" t="str">
        <x:v>nm0003626</x:v>
      </x:c>
      <x:c r="P799" s="14" t="str">
        <x:v>Pierre</x:v>
      </x:c>
      <x:c r="Q799" s="15" t="n">
        <x:v>1</x:v>
      </x:c>
      <x:c r="R799" s="14" t="str">
        <x:v>2025</x:v>
      </x:c>
      <x:c r="S799" s="14" t="n">
        <x:v>2025</x:v>
      </x:c>
      <x:c r="T799" s="14" t="n">
        <x:v>2025</x:v>
      </x:c>
      <x:c r="U799" s="14" t="str">
        <x:v>Post-2021 casting excluded</x:v>
      </x:c>
      <x:c r="V799" s="14" t="str">
        <x:v>Earliest supplied year is 2025, later than the 2021 study year.</x:v>
      </x:c>
      <x:c r="W799" s="14"/>
      <x:c r="X799" s="14" t="str">
        <x:v>Included</x:v>
      </x:c>
      <x:c r="Y799" s="14"/>
      <x:c r="Z799" s="14" t="str">
        <x:v>The Madame Blanc Mysteries.docx</x:v>
      </x:c>
      <x:c r="AA799" s="14" t="str">
        <x:v>HYPERLINK is not implemented. linkLocation=https://www.imdb.com/title/tt15499118/fullcredits/, friendlyName=Open source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Channel 5 / 5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 t="str">
        <x:v>No established-register match</x:v>
      </x:c>
      <x:c r="AT799" s="14"/>
      <x:c r="AU799" s="14"/>
      <x:c r="AV799" s="14" t="str">
        <x:v>No established apparent-disability match</x:v>
      </x:c>
      <x:c r="AW799" s="14"/>
      <x:c r="AX799" s="14" t="str">
        <x:v>No</x:v>
      </x:c>
      <x:c r="AY799" s="14" t="str">
        <x:v>Unmatched</x:v>
      </x:c>
      <x:c r="AZ799" s="14" t="str">
        <x:v>Final supplied register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28</x:v>
      </x:c>
      <x:c r="BP799" s="14" t="str">
        <x:v>Maximum eligible IMDb cast-credit total (28),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0.03571428571428571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4" t="str">
        <x:v>HYPERLINK is not implemented. linkLocation=https://www.imdb.com/title/tt15499118/fullcredits/, friendlyName=Open source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tt15499118|nm14743328|hugo leve</x:v>
      </x:c>
      <x:c r="B800" s="14" t="str">
        <x:v>03</x:v>
      </x:c>
      <x:c r="C800" s="14" t="str">
        <x:v>2021_IMDb_Cast_Lists_Batch_03(1).xlsx</x:v>
      </x:c>
      <x:c r="D800" s="14" t="str">
        <x:v>The Madame Blanc Mysteries</x:v>
      </x:c>
      <x:c r="E800" s="14" t="n">
        <x:v>55</x:v>
      </x:c>
      <x:c r="F800" s="14" t="str">
        <x:v>The Madame Blanc Mysteries</x:v>
      </x:c>
      <x:c r="G800" s="14" t="str">
        <x:v>tt15499118</x:v>
      </x:c>
      <x:c r="H800" s="14" t="n">
        <x:v>2021</x:v>
      </x:c>
      <x:c r="I800" s="14" t="n">
        <x:v>2025</x:v>
      </x:c>
      <x:c r="J800" s="14" t="str">
        <x:v>Earlier-Production Carry-In Cohort</x:v>
      </x:c>
      <x:c r="K800" s="14" t="n">
        <x:v>2021</x:v>
      </x:c>
      <x:c r="L800" s="14" t="str">
        <x:v>Used in 2025 annual analysis</x:v>
      </x:c>
      <x:c r="M800" s="15" t="n">
        <x:v>48</x:v>
      </x:c>
      <x:c r="N800" s="14" t="str">
        <x:v>Miguel Formosa</x:v>
      </x:c>
      <x:c r="O800" s="14" t="str">
        <x:v>nm14743328</x:v>
      </x:c>
      <x:c r="P800" s="14" t="str">
        <x:v>Hugo Leve</x:v>
      </x:c>
      <x:c r="Q800" s="15" t="n">
        <x:v>1</x:v>
      </x:c>
      <x:c r="R800" s="14" t="str">
        <x:v>2025</x:v>
      </x:c>
      <x:c r="S800" s="14" t="n">
        <x:v>2025</x:v>
      </x:c>
      <x:c r="T800" s="14" t="n">
        <x:v>2025</x:v>
      </x:c>
      <x:c r="U800" s="14" t="str">
        <x:v>Post-2021 casting excluded</x:v>
      </x:c>
      <x:c r="V800" s="14" t="str">
        <x:v>Earliest supplied year is 2025, later than the 2021 study year.</x:v>
      </x:c>
      <x:c r="W800" s="14"/>
      <x:c r="X800" s="14" t="str">
        <x:v>Included</x:v>
      </x:c>
      <x:c r="Y800" s="14"/>
      <x:c r="Z800" s="14" t="str">
        <x:v>The Madame Blanc Mysteries.docx</x:v>
      </x:c>
      <x:c r="AA800" s="14" t="str">
        <x:v>HYPERLINK is not implemented. linkLocation=https://www.imdb.com/title/tt15499118/fullcredits/, friendlyName=Open source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Channel 5 / 5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 t="str">
        <x:v>No established-register match</x:v>
      </x:c>
      <x:c r="AT800" s="14"/>
      <x:c r="AU800" s="14"/>
      <x:c r="AV800" s="14" t="str">
        <x:v>No established apparent-disability match</x:v>
      </x:c>
      <x:c r="AW800" s="14"/>
      <x:c r="AX800" s="14" t="str">
        <x:v>No</x:v>
      </x:c>
      <x:c r="AY800" s="14" t="str">
        <x:v>Unmatched</x:v>
      </x:c>
      <x:c r="AZ800" s="14" t="str">
        <x:v>Final supplied register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28</x:v>
      </x:c>
      <x:c r="BP800" s="14" t="str">
        <x:v>Maximum eligible IMDb cast-credit total (28),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0.03571428571428571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4" t="str">
        <x:v>HYPERLINK is not implemented. linkLocation=https://www.imdb.com/title/tt15499118/fullcredits/, friendlyName=Open source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tt15499118|nm17183595|matteo</x:v>
      </x:c>
      <x:c r="B801" s="14" t="str">
        <x:v>03</x:v>
      </x:c>
      <x:c r="C801" s="14" t="str">
        <x:v>2021_IMDb_Cast_Lists_Batch_03(1).xlsx</x:v>
      </x:c>
      <x:c r="D801" s="14" t="str">
        <x:v>The Madame Blanc Mysteries</x:v>
      </x:c>
      <x:c r="E801" s="14" t="n">
        <x:v>56</x:v>
      </x:c>
      <x:c r="F801" s="14" t="str">
        <x:v>The Madame Blanc Mysteries</x:v>
      </x:c>
      <x:c r="G801" s="14" t="str">
        <x:v>tt15499118</x:v>
      </x:c>
      <x:c r="H801" s="14" t="n">
        <x:v>2021</x:v>
      </x:c>
      <x:c r="I801" s="14" t="n">
        <x:v>2025</x:v>
      </x:c>
      <x:c r="J801" s="14" t="str">
        <x:v>Earlier-Production Carry-In Cohort</x:v>
      </x:c>
      <x:c r="K801" s="14" t="n">
        <x:v>2021</x:v>
      </x:c>
      <x:c r="L801" s="14" t="str">
        <x:v>Used in 2025 annual analysis</x:v>
      </x:c>
      <x:c r="M801" s="15" t="n">
        <x:v>49</x:v>
      </x:c>
      <x:c r="N801" s="14" t="str">
        <x:v>Lou Busittil</x:v>
      </x:c>
      <x:c r="O801" s="14" t="str">
        <x:v>nm17183595</x:v>
      </x:c>
      <x:c r="P801" s="14" t="str">
        <x:v>Matteo</x:v>
      </x:c>
      <x:c r="Q801" s="15" t="n">
        <x:v>1</x:v>
      </x:c>
      <x:c r="R801" s="14" t="str">
        <x:v>2025</x:v>
      </x:c>
      <x:c r="S801" s="14" t="n">
        <x:v>2025</x:v>
      </x:c>
      <x:c r="T801" s="14" t="n">
        <x:v>2025</x:v>
      </x:c>
      <x:c r="U801" s="14" t="str">
        <x:v>Post-2021 casting excluded</x:v>
      </x:c>
      <x:c r="V801" s="14" t="str">
        <x:v>Earliest supplied year is 2025, later than the 2021 study year.</x:v>
      </x:c>
      <x:c r="W801" s="14"/>
      <x:c r="X801" s="14" t="str">
        <x:v>Included</x:v>
      </x:c>
      <x:c r="Y801" s="14"/>
      <x:c r="Z801" s="14" t="str">
        <x:v>The Madame Blanc Mysteries.docx</x:v>
      </x:c>
      <x:c r="AA801" s="14" t="str">
        <x:v>HYPERLINK is not implemented. linkLocation=https://www.imdb.com/title/tt15499118/fullcredits/, friendlyName=Open source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Channel 5 / 5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 t="str">
        <x:v>No established-register match</x:v>
      </x:c>
      <x:c r="AT801" s="14"/>
      <x:c r="AU801" s="14"/>
      <x:c r="AV801" s="14" t="str">
        <x:v>No established apparent-disability match</x:v>
      </x:c>
      <x:c r="AW801" s="14"/>
      <x:c r="AX801" s="14" t="str">
        <x:v>No</x:v>
      </x:c>
      <x:c r="AY801" s="14" t="str">
        <x:v>Unmatched</x:v>
      </x:c>
      <x:c r="AZ801" s="14" t="str">
        <x:v>Final supplied register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28</x:v>
      </x:c>
      <x:c r="BP801" s="14" t="str">
        <x:v>Maximum eligible IMDb cast-credit total (28),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0.03571428571428571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4" t="str">
        <x:v>HYPERLINK is not implemented. linkLocation=https://www.imdb.com/title/tt15499118/fullcredits/, friendlyName=Open source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tt15499118|nm5727558|thomas</x:v>
      </x:c>
      <x:c r="B802" s="14" t="str">
        <x:v>03</x:v>
      </x:c>
      <x:c r="C802" s="14" t="str">
        <x:v>2021_IMDb_Cast_Lists_Batch_03(1).xlsx</x:v>
      </x:c>
      <x:c r="D802" s="14" t="str">
        <x:v>The Madame Blanc Mysteries</x:v>
      </x:c>
      <x:c r="E802" s="14" t="n">
        <x:v>63</x:v>
      </x:c>
      <x:c r="F802" s="14" t="str">
        <x:v>The Madame Blanc Mysteries</x:v>
      </x:c>
      <x:c r="G802" s="14" t="str">
        <x:v>tt15499118</x:v>
      </x:c>
      <x:c r="H802" s="14" t="n">
        <x:v>2021</x:v>
      </x:c>
      <x:c r="I802" s="14" t="n">
        <x:v>2025</x:v>
      </x:c>
      <x:c r="J802" s="14" t="str">
        <x:v>Earlier-Production Carry-In Cohort</x:v>
      </x:c>
      <x:c r="K802" s="14" t="n">
        <x:v>2021</x:v>
      </x:c>
      <x:c r="L802" s="14" t="str">
        <x:v>Used in 2025 annual analysis</x:v>
      </x:c>
      <x:c r="M802" s="15" t="n">
        <x:v>56</x:v>
      </x:c>
      <x:c r="N802" s="14" t="str">
        <x:v>Henry Zammit Cordina</x:v>
      </x:c>
      <x:c r="O802" s="14" t="str">
        <x:v>nm5727558</x:v>
      </x:c>
      <x:c r="P802" s="14" t="str">
        <x:v>Thomas</x:v>
      </x:c>
      <x:c r="Q802" s="15" t="n">
        <x:v>1</x:v>
      </x:c>
      <x:c r="R802" s="14" t="str">
        <x:v>2025</x:v>
      </x:c>
      <x:c r="S802" s="14" t="n">
        <x:v>2025</x:v>
      </x:c>
      <x:c r="T802" s="14" t="n">
        <x:v>2025</x:v>
      </x:c>
      <x:c r="U802" s="14" t="str">
        <x:v>Post-2021 casting excluded</x:v>
      </x:c>
      <x:c r="V802" s="14" t="str">
        <x:v>Earliest supplied year is 2025, later than the 2021 study year.</x:v>
      </x:c>
      <x:c r="W802" s="14"/>
      <x:c r="X802" s="14" t="str">
        <x:v>Included</x:v>
      </x:c>
      <x:c r="Y802" s="14"/>
      <x:c r="Z802" s="14" t="str">
        <x:v>The Madame Blanc Mysteries.docx</x:v>
      </x:c>
      <x:c r="AA802" s="14" t="str">
        <x:v>HYPERLINK is not implemented. linkLocation=https://www.imdb.com/title/tt15499118/fullcredits/, friendlyName=Open source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Channel 5 / 5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 t="str">
        <x:v>No established-register match</x:v>
      </x:c>
      <x:c r="AT802" s="14"/>
      <x:c r="AU802" s="14"/>
      <x:c r="AV802" s="14" t="str">
        <x:v>No established apparent-disability match</x:v>
      </x:c>
      <x:c r="AW802" s="14"/>
      <x:c r="AX802" s="14" t="str">
        <x:v>No</x:v>
      </x:c>
      <x:c r="AY802" s="14" t="str">
        <x:v>Unmatched</x:v>
      </x:c>
      <x:c r="AZ802" s="14" t="str">
        <x:v>Final supplied register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28</x:v>
      </x:c>
      <x:c r="BP802" s="14" t="str">
        <x:v>Maximum eligible IMDb cast-credit total (28),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0.03571428571428571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4" t="str">
        <x:v>HYPERLINK is not implemented. linkLocation=https://www.imdb.com/title/tt15499118/fullcredits/, friendlyName=Open source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tt15499118|nm2925934|gabriel jelbart</x:v>
      </x:c>
      <x:c r="B803" s="14" t="str">
        <x:v>03</x:v>
      </x:c>
      <x:c r="C803" s="14" t="str">
        <x:v>2021_IMDb_Cast_Lists_Batch_03(1).xlsx</x:v>
      </x:c>
      <x:c r="D803" s="14" t="str">
        <x:v>The Madame Blanc Mysteries</x:v>
      </x:c>
      <x:c r="E803" s="14" t="n">
        <x:v>64</x:v>
      </x:c>
      <x:c r="F803" s="14" t="str">
        <x:v>The Madame Blanc Mysteries</x:v>
      </x:c>
      <x:c r="G803" s="14" t="str">
        <x:v>tt15499118</x:v>
      </x:c>
      <x:c r="H803" s="14" t="n">
        <x:v>2021</x:v>
      </x:c>
      <x:c r="I803" s="14" t="n">
        <x:v>2025</x:v>
      </x:c>
      <x:c r="J803" s="14" t="str">
        <x:v>Earlier-Production Carry-In Cohort</x:v>
      </x:c>
      <x:c r="K803" s="14" t="n">
        <x:v>2021</x:v>
      </x:c>
      <x:c r="L803" s="14" t="str">
        <x:v>Used in 2025 annual analysis</x:v>
      </x:c>
      <x:c r="M803" s="15" t="n">
        <x:v>57</x:v>
      </x:c>
      <x:c r="N803" s="14" t="str">
        <x:v>Bartholomew Boutellis</x:v>
      </x:c>
      <x:c r="O803" s="14" t="str">
        <x:v>nm2925934</x:v>
      </x:c>
      <x:c r="P803" s="14" t="str">
        <x:v>Gabriel Jelbart</x:v>
      </x:c>
      <x:c r="Q803" s="15" t="n">
        <x:v>1</x:v>
      </x:c>
      <x:c r="R803" s="14" t="str">
        <x:v>2025</x:v>
      </x:c>
      <x:c r="S803" s="14" t="n">
        <x:v>2025</x:v>
      </x:c>
      <x:c r="T803" s="14" t="n">
        <x:v>2025</x:v>
      </x:c>
      <x:c r="U803" s="14" t="str">
        <x:v>Post-2021 casting excluded</x:v>
      </x:c>
      <x:c r="V803" s="14" t="str">
        <x:v>Earliest supplied year is 2025, later than the 2021 study year.</x:v>
      </x:c>
      <x:c r="W803" s="14"/>
      <x:c r="X803" s="14" t="str">
        <x:v>Included</x:v>
      </x:c>
      <x:c r="Y803" s="14"/>
      <x:c r="Z803" s="14" t="str">
        <x:v>The Madame Blanc Mysteries.docx</x:v>
      </x:c>
      <x:c r="AA803" s="14" t="str">
        <x:v>HYPERLINK is not implemented. linkLocation=https://www.imdb.com/title/tt15499118/fullcredits/, friendlyName=Open source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Channel 5 / 5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 t="str">
        <x:v>No established-register match</x:v>
      </x:c>
      <x:c r="AT803" s="14"/>
      <x:c r="AU803" s="14"/>
      <x:c r="AV803" s="14" t="str">
        <x:v>No established apparent-disability match</x:v>
      </x:c>
      <x:c r="AW803" s="14"/>
      <x:c r="AX803" s="14" t="str">
        <x:v>No</x:v>
      </x:c>
      <x:c r="AY803" s="14" t="str">
        <x:v>Unmatched</x:v>
      </x:c>
      <x:c r="AZ803" s="14" t="str">
        <x:v>Final supplied register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28</x:v>
      </x:c>
      <x:c r="BP803" s="14" t="str">
        <x:v>Maximum eligible IMDb cast-credit total (28),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0.03571428571428571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4" t="str">
        <x:v>HYPERLINK is not implemented. linkLocation=https://www.imdb.com/title/tt15499118/fullcredits/, friendlyName=Open source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tt15499118|nm17138921|dr. martin</x:v>
      </x:c>
      <x:c r="B804" s="14" t="str">
        <x:v>03</x:v>
      </x:c>
      <x:c r="C804" s="14" t="str">
        <x:v>2021_IMDb_Cast_Lists_Batch_03(1).xlsx</x:v>
      </x:c>
      <x:c r="D804" s="14" t="str">
        <x:v>The Madame Blanc Mysteries</x:v>
      </x:c>
      <x:c r="E804" s="14" t="n">
        <x:v>65</x:v>
      </x:c>
      <x:c r="F804" s="14" t="str">
        <x:v>The Madame Blanc Mysteries</x:v>
      </x:c>
      <x:c r="G804" s="14" t="str">
        <x:v>tt15499118</x:v>
      </x:c>
      <x:c r="H804" s="14" t="n">
        <x:v>2021</x:v>
      </x:c>
      <x:c r="I804" s="14" t="n">
        <x:v>2025</x:v>
      </x:c>
      <x:c r="J804" s="14" t="str">
        <x:v>Earlier-Production Carry-In Cohort</x:v>
      </x:c>
      <x:c r="K804" s="14" t="n">
        <x:v>2021</x:v>
      </x:c>
      <x:c r="L804" s="14" t="str">
        <x:v>Used in 2025 annual analysis</x:v>
      </x:c>
      <x:c r="M804" s="15" t="n">
        <x:v>58</x:v>
      </x:c>
      <x:c r="N804" s="14" t="str">
        <x:v>Malcolm Galeo</x:v>
      </x:c>
      <x:c r="O804" s="14" t="str">
        <x:v>nm17138921</x:v>
      </x:c>
      <x:c r="P804" s="14" t="str">
        <x:v>Dr. Martin</x:v>
      </x:c>
      <x:c r="Q804" s="15" t="n">
        <x:v>1</x:v>
      </x:c>
      <x:c r="R804" s="14" t="str">
        <x:v>2025</x:v>
      </x:c>
      <x:c r="S804" s="14" t="n">
        <x:v>2025</x:v>
      </x:c>
      <x:c r="T804" s="14" t="n">
        <x:v>2025</x:v>
      </x:c>
      <x:c r="U804" s="14" t="str">
        <x:v>Post-2021 casting excluded</x:v>
      </x:c>
      <x:c r="V804" s="14" t="str">
        <x:v>Earliest supplied year is 2025, later than the 2021 study year.</x:v>
      </x:c>
      <x:c r="W804" s="14"/>
      <x:c r="X804" s="14" t="str">
        <x:v>Included</x:v>
      </x:c>
      <x:c r="Y804" s="14"/>
      <x:c r="Z804" s="14" t="str">
        <x:v>The Madame Blanc Mysteries.docx</x:v>
      </x:c>
      <x:c r="AA804" s="14" t="str">
        <x:v>HYPERLINK is not implemented. linkLocation=https://www.imdb.com/title/tt15499118/fullcredits/, friendlyName=Open source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Channel 5 / 5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 t="str">
        <x:v>No established-register match</x:v>
      </x:c>
      <x:c r="AT804" s="14"/>
      <x:c r="AU804" s="14"/>
      <x:c r="AV804" s="14" t="str">
        <x:v>No established apparent-disability match</x:v>
      </x:c>
      <x:c r="AW804" s="14"/>
      <x:c r="AX804" s="14" t="str">
        <x:v>No</x:v>
      </x:c>
      <x:c r="AY804" s="14" t="str">
        <x:v>Unmatched</x:v>
      </x:c>
      <x:c r="AZ804" s="14" t="str">
        <x:v>Final supplied register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28</x:v>
      </x:c>
      <x:c r="BP804" s="14" t="str">
        <x:v>Maximum eligible IMDb cast-credit total (28),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0.03571428571428571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4" t="str">
        <x:v>HYPERLINK is not implemented. linkLocation=https://www.imdb.com/title/tt15499118/fullcredits/, friendlyName=Open source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tt15499118|nm11683717|necklace thief</x:v>
      </x:c>
      <x:c r="B805" s="14" t="str">
        <x:v>03</x:v>
      </x:c>
      <x:c r="C805" s="14" t="str">
        <x:v>2021_IMDb_Cast_Lists_Batch_03(1).xlsx</x:v>
      </x:c>
      <x:c r="D805" s="14" t="str">
        <x:v>The Madame Blanc Mysteries</x:v>
      </x:c>
      <x:c r="E805" s="14" t="n">
        <x:v>73</x:v>
      </x:c>
      <x:c r="F805" s="14" t="str">
        <x:v>The Madame Blanc Mysteries</x:v>
      </x:c>
      <x:c r="G805" s="14" t="str">
        <x:v>tt15499118</x:v>
      </x:c>
      <x:c r="H805" s="14" t="n">
        <x:v>2021</x:v>
      </x:c>
      <x:c r="I805" s="14" t="n">
        <x:v>2025</x:v>
      </x:c>
      <x:c r="J805" s="14" t="str">
        <x:v>Earlier-Production Carry-In Cohort</x:v>
      </x:c>
      <x:c r="K805" s="14" t="n">
        <x:v>2021</x:v>
      </x:c>
      <x:c r="L805" s="14" t="str">
        <x:v>Used in 2025 annual analysis</x:v>
      </x:c>
      <x:c r="M805" s="15" t="n">
        <x:v>66</x:v>
      </x:c>
      <x:c r="N805" s="14" t="str">
        <x:v>Maxime Durand</x:v>
      </x:c>
      <x:c r="O805" s="14" t="str">
        <x:v>nm11683717</x:v>
      </x:c>
      <x:c r="P805" s="14" t="str">
        <x:v>Necklace Thief</x:v>
      </x:c>
      <x:c r="Q805" s="15" t="n">
        <x:v>1</x:v>
      </x:c>
      <x:c r="R805" s="14" t="str">
        <x:v>2025</x:v>
      </x:c>
      <x:c r="S805" s="14" t="n">
        <x:v>2025</x:v>
      </x:c>
      <x:c r="T805" s="14" t="n">
        <x:v>2025</x:v>
      </x:c>
      <x:c r="U805" s="14" t="str">
        <x:v>Post-2021 casting excluded</x:v>
      </x:c>
      <x:c r="V805" s="14" t="str">
        <x:v>Earliest supplied year is 2025, later than the 2021 study year.</x:v>
      </x:c>
      <x:c r="W805" s="14"/>
      <x:c r="X805" s="14" t="str">
        <x:v>Included</x:v>
      </x:c>
      <x:c r="Y805" s="14"/>
      <x:c r="Z805" s="14" t="str">
        <x:v>The Madame Blanc Mysteries.docx</x:v>
      </x:c>
      <x:c r="AA805" s="14" t="str">
        <x:v>HYPERLINK is not implemented. linkLocation=https://www.imdb.com/title/tt15499118/fullcredits/, friendlyName=Open source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Channel 5 / 5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 t="str">
        <x:v>No established-register match</x:v>
      </x:c>
      <x:c r="AT805" s="14"/>
      <x:c r="AU805" s="14"/>
      <x:c r="AV805" s="14" t="str">
        <x:v>No established apparent-disability match</x:v>
      </x:c>
      <x:c r="AW805" s="14"/>
      <x:c r="AX805" s="14" t="str">
        <x:v>No</x:v>
      </x:c>
      <x:c r="AY805" s="14" t="str">
        <x:v>Unmatched</x:v>
      </x:c>
      <x:c r="AZ805" s="14" t="str">
        <x:v>Final supplied register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28</x:v>
      </x:c>
      <x:c r="BP805" s="14" t="str">
        <x:v>Maximum eligible IMDb cast-credit total (28),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0.03571428571428571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4" t="str">
        <x:v>HYPERLINK is not implemented. linkLocation=https://www.imdb.com/title/tt15499118/fullcredits/, friendlyName=Open source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tt15499118|nm6391442|jovan smith</x:v>
      </x:c>
      <x:c r="B806" s="14" t="str">
        <x:v>03</x:v>
      </x:c>
      <x:c r="C806" s="14" t="str">
        <x:v>2021_IMDb_Cast_Lists_Batch_03(1).xlsx</x:v>
      </x:c>
      <x:c r="D806" s="14" t="str">
        <x:v>The Madame Blanc Mysteries</x:v>
      </x:c>
      <x:c r="E806" s="14" t="n">
        <x:v>78</x:v>
      </x:c>
      <x:c r="F806" s="14" t="str">
        <x:v>The Madame Blanc Mysteries</x:v>
      </x:c>
      <x:c r="G806" s="14" t="str">
        <x:v>tt15499118</x:v>
      </x:c>
      <x:c r="H806" s="14" t="n">
        <x:v>2021</x:v>
      </x:c>
      <x:c r="I806" s="14" t="n">
        <x:v>2025</x:v>
      </x:c>
      <x:c r="J806" s="14" t="str">
        <x:v>Earlier-Production Carry-In Cohort</x:v>
      </x:c>
      <x:c r="K806" s="14" t="n">
        <x:v>2021</x:v>
      </x:c>
      <x:c r="L806" s="14" t="str">
        <x:v>Used in 2025 annual analysis</x:v>
      </x:c>
      <x:c r="M806" s="15" t="n">
        <x:v>71</x:v>
      </x:c>
      <x:c r="N806" s="14" t="str">
        <x:v>Danny Hatchard</x:v>
      </x:c>
      <x:c r="O806" s="14" t="str">
        <x:v>nm6391442</x:v>
      </x:c>
      <x:c r="P806" s="14" t="str">
        <x:v>Jovan Smith</x:v>
      </x:c>
      <x:c r="Q806" s="15" t="n">
        <x:v>1</x:v>
      </x:c>
      <x:c r="R806" s="14" t="str">
        <x:v>2025</x:v>
      </x:c>
      <x:c r="S806" s="14" t="n">
        <x:v>2025</x:v>
      </x:c>
      <x:c r="T806" s="14" t="n">
        <x:v>2025</x:v>
      </x:c>
      <x:c r="U806" s="14" t="str">
        <x:v>Post-2021 casting excluded</x:v>
      </x:c>
      <x:c r="V806" s="14" t="str">
        <x:v>Earliest supplied year is 2025, later than the 2021 study year.</x:v>
      </x:c>
      <x:c r="W806" s="14"/>
      <x:c r="X806" s="14" t="str">
        <x:v>Included</x:v>
      </x:c>
      <x:c r="Y806" s="14"/>
      <x:c r="Z806" s="14" t="str">
        <x:v>The Madame Blanc Mysteries.docx</x:v>
      </x:c>
      <x:c r="AA806" s="14" t="str">
        <x:v>HYPERLINK is not implemented. linkLocation=https://www.imdb.com/title/tt15499118/fullcredits/, friendlyName=Open source</x:v>
      </x:c>
      <x:c r="AB806" s="14" t="str">
        <x:v>Existing established-register match</x:v>
      </x:c>
      <x:c r="AC806" s="14"/>
      <x:c r="AD806" s="14" t="str">
        <x:v>Existing register classification: Neurodivergent. Not treated as an apparent-disability finding here.</x:v>
      </x:c>
      <x:c r="AE806" s="14" t="str">
        <x:v>Established_Disability_Category_Register V1.1.xlsx</x:v>
      </x:c>
      <x:c r="AF806" s="14"/>
      <x:c r="AG806" s="14" t="str">
        <x:v>Established user-supplied classification retained for deduplication; evidence was not re-researched in this batch.</x:v>
      </x:c>
      <x:c r="AH806" s="14" t="str">
        <x:v>Channel 5 / 5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 t="str">
        <x:v>Exact IMDb performer ID match</x:v>
      </x:c>
      <x:c r="AT806" s="14" t="str">
        <x:v>nm6391442</x:v>
      </x:c>
      <x:c r="AU806" s="14" t="str">
        <x:v>Neurodivergent</x:v>
      </x:c>
      <x:c r="AV806" s="14" t="str">
        <x:v>No</x:v>
      </x:c>
      <x:c r="AW806" s="14"/>
      <x:c r="AX806" s="14" t="str">
        <x:v>Yes</x:v>
      </x:c>
      <x:c r="AY806" s="14" t="str">
        <x:v>Matched</x:v>
      </x:c>
      <x:c r="AZ806" s="14" t="str">
        <x:v>Final supplied register</x:v>
      </x:c>
      <x:c r="BA806" s="14"/>
      <x:c r="BB806" s="14" t="str">
        <x:v>Exact IMDb performer ID match</x:v>
      </x:c>
      <x:c r="BC806" s="14" t="str">
        <x:v>nm6391442</x:v>
      </x:c>
      <x:c r="BD806" s="14" t="str">
        <x:v>Danny Hatchard</x:v>
      </x:c>
      <x:c r="BE806" s="14" t="str">
        <x:v>Neurodivergent</x:v>
      </x:c>
      <x:c r="BF806" s="14" t="str">
        <x:v>No</x:v>
      </x:c>
      <x:c r="BG806" s="14"/>
      <x:c r="BH806" s="14" t="str">
        <x:v>Yes</x:v>
      </x:c>
      <x:c r="BI806" s="14" t="str">
        <x:v>User-supplied established classification</x:v>
      </x:c>
      <x:c r="BJ806" s="14" t="str">
        <x:v>11_Neurodivergent..csv</x:v>
      </x:c>
      <x:c r="BK806" s="14"/>
      <x:c r="BL806" s="14" t="str">
        <x:v>Matched</x:v>
      </x:c>
      <x:c r="BM806" s="14" t="str">
        <x:v>Final supplied register</x:v>
      </x:c>
      <x:c r="BN806" s="14"/>
      <x:c r="BO806" s="14" t="n">
        <x:v>28</x:v>
      </x:c>
      <x:c r="BP806" s="14" t="str">
        <x:v>Maximum eligible IMDb cast-credit total (28),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0.03571428571428571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4" t="str">
        <x:v>HYPERLINK is not implemented. linkLocation=https://www.imdb.com/title/tt15499118/fullcredits/, friendlyName=Open source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tt15499118|nm5272631|inspector aguis</x:v>
      </x:c>
      <x:c r="B807" s="14" t="str">
        <x:v>03</x:v>
      </x:c>
      <x:c r="C807" s="14" t="str">
        <x:v>2021_IMDb_Cast_Lists_Batch_03(1).xlsx</x:v>
      </x:c>
      <x:c r="D807" s="14" t="str">
        <x:v>The Madame Blanc Mysteries</x:v>
      </x:c>
      <x:c r="E807" s="14" t="n">
        <x:v>79</x:v>
      </x:c>
      <x:c r="F807" s="14" t="str">
        <x:v>The Madame Blanc Mysteries</x:v>
      </x:c>
      <x:c r="G807" s="14" t="str">
        <x:v>tt15499118</x:v>
      </x:c>
      <x:c r="H807" s="14" t="n">
        <x:v>2021</x:v>
      </x:c>
      <x:c r="I807" s="14" t="n">
        <x:v>2025</x:v>
      </x:c>
      <x:c r="J807" s="14" t="str">
        <x:v>Earlier-Production Carry-In Cohort</x:v>
      </x:c>
      <x:c r="K807" s="14" t="n">
        <x:v>2021</x:v>
      </x:c>
      <x:c r="L807" s="14" t="str">
        <x:v>Used in 2025 annual analysis</x:v>
      </x:c>
      <x:c r="M807" s="15" t="n">
        <x:v>72</x:v>
      </x:c>
      <x:c r="N807" s="14" t="str">
        <x:v>Chantelle Micallef Grimaud</x:v>
      </x:c>
      <x:c r="O807" s="14" t="str">
        <x:v>nm5272631</x:v>
      </x:c>
      <x:c r="P807" s="14" t="str">
        <x:v>Inspector Aguis</x:v>
      </x:c>
      <x:c r="Q807" s="15" t="n">
        <x:v>1</x:v>
      </x:c>
      <x:c r="R807" s="14" t="str">
        <x:v>2025</x:v>
      </x:c>
      <x:c r="S807" s="14" t="n">
        <x:v>2025</x:v>
      </x:c>
      <x:c r="T807" s="14" t="n">
        <x:v>2025</x:v>
      </x:c>
      <x:c r="U807" s="14" t="str">
        <x:v>Post-2021 casting excluded</x:v>
      </x:c>
      <x:c r="V807" s="14" t="str">
        <x:v>Earliest supplied year is 2025, later than the 2021 study year.</x:v>
      </x:c>
      <x:c r="W807" s="14"/>
      <x:c r="X807" s="14" t="str">
        <x:v>Included</x:v>
      </x:c>
      <x:c r="Y807" s="14" t="str">
        <x:v>(as Chantelle Grimaud)</x:v>
      </x:c>
      <x:c r="Z807" s="14" t="str">
        <x:v>The Madame Blanc Mysteries.docx</x:v>
      </x:c>
      <x:c r="AA807" s="14" t="str">
        <x:v>HYPERLINK is not implemented. linkLocation=https://www.imdb.com/title/tt15499118/fullcredits/, friendlyName=Open source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Channel 5 / 5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 t="str">
        <x:v>No established-register match</x:v>
      </x:c>
      <x:c r="AT807" s="14"/>
      <x:c r="AU807" s="14"/>
      <x:c r="AV807" s="14" t="str">
        <x:v>No established apparent-disability match</x:v>
      </x:c>
      <x:c r="AW807" s="14"/>
      <x:c r="AX807" s="14" t="str">
        <x:v>No</x:v>
      </x:c>
      <x:c r="AY807" s="14" t="str">
        <x:v>Unmatched</x:v>
      </x:c>
      <x:c r="AZ807" s="14" t="str">
        <x:v>Final supplied register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28</x:v>
      </x:c>
      <x:c r="BP807" s="14" t="str">
        <x:v>Maximum eligible IMDb cast-credit total (28),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0.03571428571428571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4" t="str">
        <x:v>HYPERLINK is not implemented. linkLocation=https://www.imdb.com/title/tt15499118/fullcredits/, friendlyName=Open source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tt15499118|nm17164266|alan</x:v>
      </x:c>
      <x:c r="B808" s="14" t="str">
        <x:v>03</x:v>
      </x:c>
      <x:c r="C808" s="14" t="str">
        <x:v>2021_IMDb_Cast_Lists_Batch_03(1).xlsx</x:v>
      </x:c>
      <x:c r="D808" s="14" t="str">
        <x:v>The Madame Blanc Mysteries</x:v>
      </x:c>
      <x:c r="E808" s="14" t="n">
        <x:v>80</x:v>
      </x:c>
      <x:c r="F808" s="14" t="str">
        <x:v>The Madame Blanc Mysteries</x:v>
      </x:c>
      <x:c r="G808" s="14" t="str">
        <x:v>tt15499118</x:v>
      </x:c>
      <x:c r="H808" s="14" t="n">
        <x:v>2021</x:v>
      </x:c>
      <x:c r="I808" s="14" t="n">
        <x:v>2025</x:v>
      </x:c>
      <x:c r="J808" s="14" t="str">
        <x:v>Earlier-Production Carry-In Cohort</x:v>
      </x:c>
      <x:c r="K808" s="14" t="n">
        <x:v>2021</x:v>
      </x:c>
      <x:c r="L808" s="14" t="str">
        <x:v>Used in 2025 annual analysis</x:v>
      </x:c>
      <x:c r="M808" s="15" t="n">
        <x:v>73</x:v>
      </x:c>
      <x:c r="N808" s="14" t="str">
        <x:v>Simon Green</x:v>
      </x:c>
      <x:c r="O808" s="14" t="str">
        <x:v>nm17164266</x:v>
      </x:c>
      <x:c r="P808" s="14" t="str">
        <x:v>Alan</x:v>
      </x:c>
      <x:c r="Q808" s="15" t="n">
        <x:v>1</x:v>
      </x:c>
      <x:c r="R808" s="14" t="str">
        <x:v>2025</x:v>
      </x:c>
      <x:c r="S808" s="14" t="n">
        <x:v>2025</x:v>
      </x:c>
      <x:c r="T808" s="14" t="n">
        <x:v>2025</x:v>
      </x:c>
      <x:c r="U808" s="14" t="str">
        <x:v>Post-2021 casting excluded</x:v>
      </x:c>
      <x:c r="V808" s="14" t="str">
        <x:v>Earliest supplied year is 2025, later than the 2021 study year.</x:v>
      </x:c>
      <x:c r="W808" s="14"/>
      <x:c r="X808" s="14" t="str">
        <x:v>Included</x:v>
      </x:c>
      <x:c r="Y808" s="14"/>
      <x:c r="Z808" s="14" t="str">
        <x:v>The Madame Blanc Mysteries.docx</x:v>
      </x:c>
      <x:c r="AA808" s="14" t="str">
        <x:v>HYPERLINK is not implemented. linkLocation=https://www.imdb.com/title/tt15499118/fullcredits/, friendlyName=Open source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Channel 5 / 5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 t="str">
        <x:v>No established-register match</x:v>
      </x:c>
      <x:c r="AT808" s="14"/>
      <x:c r="AU808" s="14"/>
      <x:c r="AV808" s="14" t="str">
        <x:v>No established apparent-disability match</x:v>
      </x:c>
      <x:c r="AW808" s="14"/>
      <x:c r="AX808" s="14" t="str">
        <x:v>No</x:v>
      </x:c>
      <x:c r="AY808" s="14" t="str">
        <x:v>Unmatched</x:v>
      </x:c>
      <x:c r="AZ808" s="14" t="str">
        <x:v>Final supplied register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28</x:v>
      </x:c>
      <x:c r="BP808" s="14" t="str">
        <x:v>Maximum eligible IMDb cast-credit total (28),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0.03571428571428571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4" t="str">
        <x:v>HYPERLINK is not implemented. linkLocation=https://www.imdb.com/title/tt15499118/fullcredits/, friendlyName=Open source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tt15499118|nm0370319|nigel</x:v>
      </x:c>
      <x:c r="B809" s="14" t="str">
        <x:v>03</x:v>
      </x:c>
      <x:c r="C809" s="14" t="str">
        <x:v>2021_IMDb_Cast_Lists_Batch_03(1).xlsx</x:v>
      </x:c>
      <x:c r="D809" s="14" t="str">
        <x:v>The Madame Blanc Mysteries</x:v>
      </x:c>
      <x:c r="E809" s="14" t="n">
        <x:v>88</x:v>
      </x:c>
      <x:c r="F809" s="14" t="str">
        <x:v>The Madame Blanc Mysteries</x:v>
      </x:c>
      <x:c r="G809" s="14" t="str">
        <x:v>tt15499118</x:v>
      </x:c>
      <x:c r="H809" s="14" t="n">
        <x:v>2021</x:v>
      </x:c>
      <x:c r="I809" s="14" t="n">
        <x:v>2025</x:v>
      </x:c>
      <x:c r="J809" s="14" t="str">
        <x:v>Earlier-Production Carry-In Cohort</x:v>
      </x:c>
      <x:c r="K809" s="14" t="n">
        <x:v>2021</x:v>
      </x:c>
      <x:c r="L809" s="14" t="str">
        <x:v>Used in 2025 annual analysis</x:v>
      </x:c>
      <x:c r="M809" s="15" t="n">
        <x:v>81</x:v>
      </x:c>
      <x:c r="N809" s="14" t="str">
        <x:v>Graeme Hawley</x:v>
      </x:c>
      <x:c r="O809" s="14" t="str">
        <x:v>nm0370319</x:v>
      </x:c>
      <x:c r="P809" s="14" t="str">
        <x:v>Nigel</x:v>
      </x:c>
      <x:c r="Q809" s="15" t="n">
        <x:v>1</x:v>
      </x:c>
      <x:c r="R809" s="14" t="str">
        <x:v>2025</x:v>
      </x:c>
      <x:c r="S809" s="14" t="n">
        <x:v>2025</x:v>
      </x:c>
      <x:c r="T809" s="14" t="n">
        <x:v>2025</x:v>
      </x:c>
      <x:c r="U809" s="14" t="str">
        <x:v>Post-2021 casting excluded</x:v>
      </x:c>
      <x:c r="V809" s="14" t="str">
        <x:v>Earliest supplied year is 2025, later than the 2021 study year.</x:v>
      </x:c>
      <x:c r="W809" s="14"/>
      <x:c r="X809" s="14" t="str">
        <x:v>Included</x:v>
      </x:c>
      <x:c r="Y809" s="14"/>
      <x:c r="Z809" s="14" t="str">
        <x:v>The Madame Blanc Mysteries.docx</x:v>
      </x:c>
      <x:c r="AA809" s="14" t="str">
        <x:v>HYPERLINK is not implemented. linkLocation=https://www.imdb.com/title/tt15499118/fullcredits/, friendlyName=Open source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Channel 5 / 5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 t="str">
        <x:v>No established-register match</x:v>
      </x:c>
      <x:c r="AT809" s="14"/>
      <x:c r="AU809" s="14"/>
      <x:c r="AV809" s="14" t="str">
        <x:v>No established apparent-disability match</x:v>
      </x:c>
      <x:c r="AW809" s="14"/>
      <x:c r="AX809" s="14" t="str">
        <x:v>No</x:v>
      </x:c>
      <x:c r="AY809" s="14" t="str">
        <x:v>Unmatched</x:v>
      </x:c>
      <x:c r="AZ809" s="14" t="str">
        <x:v>Final supplied register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28</x:v>
      </x:c>
      <x:c r="BP809" s="14" t="str">
        <x:v>Maximum eligible IMDb cast-credit total (28),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0.03571428571428571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4" t="str">
        <x:v>HYPERLINK is not implemented. linkLocation=https://www.imdb.com/title/tt15499118/fullcredits/, friendlyName=Open source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tt15499118|nm12235519|xena</x:v>
      </x:c>
      <x:c r="B810" s="14" t="str">
        <x:v>03</x:v>
      </x:c>
      <x:c r="C810" s="14" t="str">
        <x:v>2021_IMDb_Cast_Lists_Batch_03(1).xlsx</x:v>
      </x:c>
      <x:c r="D810" s="14" t="str">
        <x:v>The Madame Blanc Mysteries</x:v>
      </x:c>
      <x:c r="E810" s="14" t="n">
        <x:v>89</x:v>
      </x:c>
      <x:c r="F810" s="14" t="str">
        <x:v>The Madame Blanc Mysteries</x:v>
      </x:c>
      <x:c r="G810" s="14" t="str">
        <x:v>tt15499118</x:v>
      </x:c>
      <x:c r="H810" s="14" t="n">
        <x:v>2021</x:v>
      </x:c>
      <x:c r="I810" s="14" t="n">
        <x:v>2025</x:v>
      </x:c>
      <x:c r="J810" s="14" t="str">
        <x:v>Earlier-Production Carry-In Cohort</x:v>
      </x:c>
      <x:c r="K810" s="14" t="n">
        <x:v>2021</x:v>
      </x:c>
      <x:c r="L810" s="14" t="str">
        <x:v>Used in 2025 annual analysis</x:v>
      </x:c>
      <x:c r="M810" s="15" t="n">
        <x:v>82</x:v>
      </x:c>
      <x:c r="N810" s="14" t="str">
        <x:v>Greta Holland</x:v>
      </x:c>
      <x:c r="O810" s="14" t="str">
        <x:v>nm12235519</x:v>
      </x:c>
      <x:c r="P810" s="14" t="str">
        <x:v>Xena</x:v>
      </x:c>
      <x:c r="Q810" s="15" t="n">
        <x:v>1</x:v>
      </x:c>
      <x:c r="R810" s="14" t="str">
        <x:v>2025</x:v>
      </x:c>
      <x:c r="S810" s="14" t="n">
        <x:v>2025</x:v>
      </x:c>
      <x:c r="T810" s="14" t="n">
        <x:v>2025</x:v>
      </x:c>
      <x:c r="U810" s="14" t="str">
        <x:v>Post-2021 casting excluded</x:v>
      </x:c>
      <x:c r="V810" s="14" t="str">
        <x:v>Earliest supplied year is 2025, later than the 2021 study year.</x:v>
      </x:c>
      <x:c r="W810" s="14"/>
      <x:c r="X810" s="14" t="str">
        <x:v>Included</x:v>
      </x:c>
      <x:c r="Y810" s="14"/>
      <x:c r="Z810" s="14" t="str">
        <x:v>The Madame Blanc Mysteries.docx</x:v>
      </x:c>
      <x:c r="AA810" s="14" t="str">
        <x:v>HYPERLINK is not implemented. linkLocation=https://www.imdb.com/title/tt15499118/fullcredits/, friendlyName=Open source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Channel 5 / 5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 t="str">
        <x:v>No established-register match</x:v>
      </x:c>
      <x:c r="AT810" s="14"/>
      <x:c r="AU810" s="14"/>
      <x:c r="AV810" s="14" t="str">
        <x:v>No established apparent-disability match</x:v>
      </x:c>
      <x:c r="AW810" s="14"/>
      <x:c r="AX810" s="14" t="str">
        <x:v>No</x:v>
      </x:c>
      <x:c r="AY810" s="14" t="str">
        <x:v>Unmatched</x:v>
      </x:c>
      <x:c r="AZ810" s="14" t="str">
        <x:v>Final supplied register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28</x:v>
      </x:c>
      <x:c r="BP810" s="14" t="str">
        <x:v>Maximum eligible IMDb cast-credit total (28),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0.03571428571428571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4" t="str">
        <x:v>HYPERLINK is not implemented. linkLocation=https://www.imdb.com/title/tt15499118/fullcredits/, friendlyName=Open source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tt15499118|nm4232620|dr. aligiah</x:v>
      </x:c>
      <x:c r="B811" s="14" t="str">
        <x:v>03</x:v>
      </x:c>
      <x:c r="C811" s="14" t="str">
        <x:v>2021_IMDb_Cast_Lists_Batch_03(1).xlsx</x:v>
      </x:c>
      <x:c r="D811" s="14" t="str">
        <x:v>The Madame Blanc Mysteries</x:v>
      </x:c>
      <x:c r="E811" s="14" t="n">
        <x:v>90</x:v>
      </x:c>
      <x:c r="F811" s="14" t="str">
        <x:v>The Madame Blanc Mysteries</x:v>
      </x:c>
      <x:c r="G811" s="14" t="str">
        <x:v>tt15499118</x:v>
      </x:c>
      <x:c r="H811" s="14" t="n">
        <x:v>2021</x:v>
      </x:c>
      <x:c r="I811" s="14" t="n">
        <x:v>2025</x:v>
      </x:c>
      <x:c r="J811" s="14" t="str">
        <x:v>Earlier-Production Carry-In Cohort</x:v>
      </x:c>
      <x:c r="K811" s="14" t="n">
        <x:v>2021</x:v>
      </x:c>
      <x:c r="L811" s="14" t="str">
        <x:v>Used in 2025 annual analysis</x:v>
      </x:c>
      <x:c r="M811" s="15" t="n">
        <x:v>83</x:v>
      </x:c>
      <x:c r="N811" s="14" t="str">
        <x:v>Anthony Ellul</x:v>
      </x:c>
      <x:c r="O811" s="14" t="str">
        <x:v>nm4232620</x:v>
      </x:c>
      <x:c r="P811" s="14" t="str">
        <x:v>Dr. Aligiah</x:v>
      </x:c>
      <x:c r="Q811" s="15" t="n">
        <x:v>1</x:v>
      </x:c>
      <x:c r="R811" s="14" t="str">
        <x:v>2025</x:v>
      </x:c>
      <x:c r="S811" s="14" t="n">
        <x:v>2025</x:v>
      </x:c>
      <x:c r="T811" s="14" t="n">
        <x:v>2025</x:v>
      </x:c>
      <x:c r="U811" s="14" t="str">
        <x:v>Post-2021 casting excluded</x:v>
      </x:c>
      <x:c r="V811" s="14" t="str">
        <x:v>Earliest supplied year is 2025, later than the 2021 study year.</x:v>
      </x:c>
      <x:c r="W811" s="14"/>
      <x:c r="X811" s="14" t="str">
        <x:v>Included</x:v>
      </x:c>
      <x:c r="Y811" s="14"/>
      <x:c r="Z811" s="14" t="str">
        <x:v>The Madame Blanc Mysteries.docx</x:v>
      </x:c>
      <x:c r="AA811" s="14" t="str">
        <x:v>HYPERLINK is not implemented. linkLocation=https://www.imdb.com/title/tt15499118/fullcredits/, friendlyName=Open source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Channel 5 / 5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 t="str">
        <x:v>No established-register match</x:v>
      </x:c>
      <x:c r="AT811" s="14"/>
      <x:c r="AU811" s="14"/>
      <x:c r="AV811" s="14" t="str">
        <x:v>No established apparent-disability match</x:v>
      </x:c>
      <x:c r="AW811" s="14"/>
      <x:c r="AX811" s="14" t="str">
        <x:v>No</x:v>
      </x:c>
      <x:c r="AY811" s="14" t="str">
        <x:v>Unmatched</x:v>
      </x:c>
      <x:c r="AZ811" s="14" t="str">
        <x:v>Final supplied register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28</x:v>
      </x:c>
      <x:c r="BP811" s="14" t="str">
        <x:v>Maximum eligible IMDb cast-credit total (28),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0.03571428571428571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4" t="str">
        <x:v>HYPERLINK is not implemented. linkLocation=https://www.imdb.com/title/tt15499118/fullcredits/, friendlyName=Open source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tt15499118|nm2471942|bobby</x:v>
      </x:c>
      <x:c r="B812" s="14" t="str">
        <x:v>03</x:v>
      </x:c>
      <x:c r="C812" s="14" t="str">
        <x:v>2021_IMDb_Cast_Lists_Batch_03(1).xlsx</x:v>
      </x:c>
      <x:c r="D812" s="14" t="str">
        <x:v>The Madame Blanc Mysteries</x:v>
      </x:c>
      <x:c r="E812" s="14" t="n">
        <x:v>97</x:v>
      </x:c>
      <x:c r="F812" s="14" t="str">
        <x:v>The Madame Blanc Mysteries</x:v>
      </x:c>
      <x:c r="G812" s="14" t="str">
        <x:v>tt15499118</x:v>
      </x:c>
      <x:c r="H812" s="14" t="n">
        <x:v>2021</x:v>
      </x:c>
      <x:c r="I812" s="14" t="n">
        <x:v>2025</x:v>
      </x:c>
      <x:c r="J812" s="14" t="str">
        <x:v>Earlier-Production Carry-In Cohort</x:v>
      </x:c>
      <x:c r="K812" s="14" t="n">
        <x:v>2021</x:v>
      </x:c>
      <x:c r="L812" s="14" t="str">
        <x:v>Used in 2025 annual analysis</x:v>
      </x:c>
      <x:c r="M812" s="15" t="n">
        <x:v>90</x:v>
      </x:c>
      <x:c r="N812" s="14" t="str">
        <x:v>Derek Horsham</x:v>
      </x:c>
      <x:c r="O812" s="14" t="str">
        <x:v>nm2471942</x:v>
      </x:c>
      <x:c r="P812" s="14" t="str">
        <x:v>Bobby</x:v>
      </x:c>
      <x:c r="Q812" s="15" t="n">
        <x:v>1</x:v>
      </x:c>
      <x:c r="R812" s="14" t="str">
        <x:v>2025</x:v>
      </x:c>
      <x:c r="S812" s="14" t="n">
        <x:v>2025</x:v>
      </x:c>
      <x:c r="T812" s="14" t="n">
        <x:v>2025</x:v>
      </x:c>
      <x:c r="U812" s="14" t="str">
        <x:v>Post-2021 casting excluded</x:v>
      </x:c>
      <x:c r="V812" s="14" t="str">
        <x:v>Earliest supplied year is 2025, later than the 2021 study year.</x:v>
      </x:c>
      <x:c r="W812" s="14"/>
      <x:c r="X812" s="14" t="str">
        <x:v>Included</x:v>
      </x:c>
      <x:c r="Y812" s="14"/>
      <x:c r="Z812" s="14" t="str">
        <x:v>The Madame Blanc Mysteries.docx</x:v>
      </x:c>
      <x:c r="AA812" s="14" t="str">
        <x:v>HYPERLINK is not implemented. linkLocation=https://www.imdb.com/title/tt15499118/fullcredits/, friendlyName=Open source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Channel 5 / 5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 t="str">
        <x:v>No established-register match</x:v>
      </x:c>
      <x:c r="AT812" s="14"/>
      <x:c r="AU812" s="14"/>
      <x:c r="AV812" s="14" t="str">
        <x:v>No established apparent-disability match</x:v>
      </x:c>
      <x:c r="AW812" s="14"/>
      <x:c r="AX812" s="14" t="str">
        <x:v>No</x:v>
      </x:c>
      <x:c r="AY812" s="14" t="str">
        <x:v>Unmatched</x:v>
      </x:c>
      <x:c r="AZ812" s="14" t="str">
        <x:v>Final supplied register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28</x:v>
      </x:c>
      <x:c r="BP812" s="14" t="str">
        <x:v>Maximum eligible IMDb cast-credit total (28),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0.03571428571428571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4" t="str">
        <x:v>HYPERLINK is not implemented. linkLocation=https://www.imdb.com/title/tt15499118/fullcredits/, friendlyName=Open source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tt15499118|nm16496242|freddie</x:v>
      </x:c>
      <x:c r="B813" s="14" t="str">
        <x:v>03</x:v>
      </x:c>
      <x:c r="C813" s="14" t="str">
        <x:v>2021_IMDb_Cast_Lists_Batch_03(1).xlsx</x:v>
      </x:c>
      <x:c r="D813" s="14" t="str">
        <x:v>The Madame Blanc Mysteries</x:v>
      </x:c>
      <x:c r="E813" s="14" t="n">
        <x:v>98</x:v>
      </x:c>
      <x:c r="F813" s="14" t="str">
        <x:v>The Madame Blanc Mysteries</x:v>
      </x:c>
      <x:c r="G813" s="14" t="str">
        <x:v>tt15499118</x:v>
      </x:c>
      <x:c r="H813" s="14" t="n">
        <x:v>2021</x:v>
      </x:c>
      <x:c r="I813" s="14" t="n">
        <x:v>2025</x:v>
      </x:c>
      <x:c r="J813" s="14" t="str">
        <x:v>Earlier-Production Carry-In Cohort</x:v>
      </x:c>
      <x:c r="K813" s="14" t="n">
        <x:v>2021</x:v>
      </x:c>
      <x:c r="L813" s="14" t="str">
        <x:v>Used in 2025 annual analysis</x:v>
      </x:c>
      <x:c r="M813" s="15" t="n">
        <x:v>91</x:v>
      </x:c>
      <x:c r="N813" s="14" t="str">
        <x:v>Antony Irons</x:v>
      </x:c>
      <x:c r="O813" s="14" t="str">
        <x:v>nm16496242</x:v>
      </x:c>
      <x:c r="P813" s="14" t="str">
        <x:v>Freddie</x:v>
      </x:c>
      <x:c r="Q813" s="15" t="n">
        <x:v>1</x:v>
      </x:c>
      <x:c r="R813" s="14" t="str">
        <x:v>2025</x:v>
      </x:c>
      <x:c r="S813" s="14" t="n">
        <x:v>2025</x:v>
      </x:c>
      <x:c r="T813" s="14" t="n">
        <x:v>2025</x:v>
      </x:c>
      <x:c r="U813" s="14" t="str">
        <x:v>Post-2021 casting excluded</x:v>
      </x:c>
      <x:c r="V813" s="14" t="str">
        <x:v>Earliest supplied year is 2025, later than the 2021 study year.</x:v>
      </x:c>
      <x:c r="W813" s="14"/>
      <x:c r="X813" s="14" t="str">
        <x:v>Included</x:v>
      </x:c>
      <x:c r="Y813" s="14"/>
      <x:c r="Z813" s="14" t="str">
        <x:v>The Madame Blanc Mysteries.docx</x:v>
      </x:c>
      <x:c r="AA813" s="14" t="str">
        <x:v>HYPERLINK is not implemented. linkLocation=https://www.imdb.com/title/tt15499118/fullcredits/, friendlyName=Open source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Channel 5 / 5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 t="str">
        <x:v>No established-register match</x:v>
      </x:c>
      <x:c r="AT813" s="14"/>
      <x:c r="AU813" s="14"/>
      <x:c r="AV813" s="14" t="str">
        <x:v>No established apparent-disability match</x:v>
      </x:c>
      <x:c r="AW813" s="14"/>
      <x:c r="AX813" s="14" t="str">
        <x:v>No</x:v>
      </x:c>
      <x:c r="AY813" s="14" t="str">
        <x:v>Unmatched</x:v>
      </x:c>
      <x:c r="AZ813" s="14" t="str">
        <x:v>Final supplied register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28</x:v>
      </x:c>
      <x:c r="BP813" s="14" t="str">
        <x:v>Maximum eligible IMDb cast-credit total (28),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0.03571428571428571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4" t="str">
        <x:v>HYPERLINK is not implemented. linkLocation=https://www.imdb.com/title/tt15499118/fullcredits/, friendlyName=Open source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tt15499118|nm0416849|dr. ali pardeep</x:v>
      </x:c>
      <x:c r="B814" s="14" t="str">
        <x:v>03</x:v>
      </x:c>
      <x:c r="C814" s="14" t="str">
        <x:v>2021_IMDb_Cast_Lists_Batch_03(1).xlsx</x:v>
      </x:c>
      <x:c r="D814" s="14" t="str">
        <x:v>The Madame Blanc Mysteries</x:v>
      </x:c>
      <x:c r="E814" s="14" t="n">
        <x:v>105</x:v>
      </x:c>
      <x:c r="F814" s="14" t="str">
        <x:v>The Madame Blanc Mysteries</x:v>
      </x:c>
      <x:c r="G814" s="14" t="str">
        <x:v>tt15499118</x:v>
      </x:c>
      <x:c r="H814" s="14" t="n">
        <x:v>2021</x:v>
      </x:c>
      <x:c r="I814" s="14" t="n">
        <x:v>2025</x:v>
      </x:c>
      <x:c r="J814" s="14" t="str">
        <x:v>Earlier-Production Carry-In Cohort</x:v>
      </x:c>
      <x:c r="K814" s="14" t="n">
        <x:v>2021</x:v>
      </x:c>
      <x:c r="L814" s="14" t="str">
        <x:v>Used in 2025 annual analysis</x:v>
      </x:c>
      <x:c r="M814" s="15" t="n">
        <x:v>98</x:v>
      </x:c>
      <x:c r="N814" s="14" t="str">
        <x:v>Raji James</x:v>
      </x:c>
      <x:c r="O814" s="14" t="str">
        <x:v>nm0416849</x:v>
      </x:c>
      <x:c r="P814" s="14" t="str">
        <x:v>Dr. Ali Pardeep</x:v>
      </x:c>
      <x:c r="Q814" s="15" t="n">
        <x:v>1</x:v>
      </x:c>
      <x:c r="R814" s="14" t="str">
        <x:v>2025</x:v>
      </x:c>
      <x:c r="S814" s="14" t="n">
        <x:v>2025</x:v>
      </x:c>
      <x:c r="T814" s="14" t="n">
        <x:v>2025</x:v>
      </x:c>
      <x:c r="U814" s="14" t="str">
        <x:v>Post-2021 casting excluded</x:v>
      </x:c>
      <x:c r="V814" s="14" t="str">
        <x:v>Earliest supplied year is 2025, later than the 2021 study year.</x:v>
      </x:c>
      <x:c r="W814" s="14"/>
      <x:c r="X814" s="14" t="str">
        <x:v>Included</x:v>
      </x:c>
      <x:c r="Y814" s="14"/>
      <x:c r="Z814" s="14" t="str">
        <x:v>The Madame Blanc Mysteries.docx</x:v>
      </x:c>
      <x:c r="AA814" s="14" t="str">
        <x:v>HYPERLINK is not implemented. linkLocation=https://www.imdb.com/title/tt15499118/fullcredits/, friendlyName=Open source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Channel 5 / 5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 t="str">
        <x:v>No established-register match</x:v>
      </x:c>
      <x:c r="AT814" s="14"/>
      <x:c r="AU814" s="14"/>
      <x:c r="AV814" s="14" t="str">
        <x:v>No established apparent-disability match</x:v>
      </x:c>
      <x:c r="AW814" s="14"/>
      <x:c r="AX814" s="14" t="str">
        <x:v>No</x:v>
      </x:c>
      <x:c r="AY814" s="14" t="str">
        <x:v>Unmatched</x:v>
      </x:c>
      <x:c r="AZ814" s="14" t="str">
        <x:v>Final supplied register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28</x:v>
      </x:c>
      <x:c r="BP814" s="14" t="str">
        <x:v>Maximum eligible IMDb cast-credit total (28), shared by 4 performer(s); not independently verified as a 2021-only episode total.</x:v>
      </x:c>
      <x:c r="BQ814" s="14" t="str">
        <x:v>Medium</x:v>
      </x:c>
      <x:c r="BR814" s="15" t="n">
        <x:v>1</x:v>
      </x:c>
      <x:c r="BS814" s="16" t="n">
        <x:v>0.03571428571428571</x:v>
      </x:c>
      <x:c r="BT814" s="14" t="str">
        <x:v>One episode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4" t="str">
        <x:v>HYPERLINK is not implemented. linkLocation=https://www.imdb.com/title/tt15499118/fullcredits/, friendlyName=Open source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tt15499118|nm2336071|otto moncrief</x:v>
      </x:c>
      <x:c r="B815" s="14" t="str">
        <x:v>03</x:v>
      </x:c>
      <x:c r="C815" s="14" t="str">
        <x:v>2021_IMDb_Cast_Lists_Batch_03(1).xlsx</x:v>
      </x:c>
      <x:c r="D815" s="14" t="str">
        <x:v>The Madame Blanc Mysteries</x:v>
      </x:c>
      <x:c r="E815" s="14" t="n">
        <x:v>106</x:v>
      </x:c>
      <x:c r="F815" s="14" t="str">
        <x:v>The Madame Blanc Mysteries</x:v>
      </x:c>
      <x:c r="G815" s="14" t="str">
        <x:v>tt15499118</x:v>
      </x:c>
      <x:c r="H815" s="14" t="n">
        <x:v>2021</x:v>
      </x:c>
      <x:c r="I815" s="14" t="n">
        <x:v>2025</x:v>
      </x:c>
      <x:c r="J815" s="14" t="str">
        <x:v>Earlier-Production Carry-In Cohort</x:v>
      </x:c>
      <x:c r="K815" s="14" t="n">
        <x:v>2021</x:v>
      </x:c>
      <x:c r="L815" s="14" t="str">
        <x:v>Used in 2025 annual analysis</x:v>
      </x:c>
      <x:c r="M815" s="15" t="n">
        <x:v>99</x:v>
      </x:c>
      <x:c r="N815" s="14" t="str">
        <x:v>Mat Laroche</x:v>
      </x:c>
      <x:c r="O815" s="14" t="str">
        <x:v>nm2336071</x:v>
      </x:c>
      <x:c r="P815" s="14" t="str">
        <x:v>Otto Moncrief</x:v>
      </x:c>
      <x:c r="Q815" s="15" t="n">
        <x:v>1</x:v>
      </x:c>
      <x:c r="R815" s="14" t="str">
        <x:v>2025</x:v>
      </x:c>
      <x:c r="S815" s="14" t="n">
        <x:v>2025</x:v>
      </x:c>
      <x:c r="T815" s="14" t="n">
        <x:v>2025</x:v>
      </x:c>
      <x:c r="U815" s="14" t="str">
        <x:v>Post-2021 casting excluded</x:v>
      </x:c>
      <x:c r="V815" s="14" t="str">
        <x:v>Earliest supplied year is 2025, later than the 2021 study year.</x:v>
      </x:c>
      <x:c r="W815" s="14"/>
      <x:c r="X815" s="14" t="str">
        <x:v>Included</x:v>
      </x:c>
      <x:c r="Y815" s="14"/>
      <x:c r="Z815" s="14" t="str">
        <x:v>The Madame Blanc Mysteries.docx</x:v>
      </x:c>
      <x:c r="AA815" s="14" t="str">
        <x:v>HYPERLINK is not implemented. linkLocation=https://www.imdb.com/title/tt15499118/fullcredits/, friendlyName=Open source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Channel 5 / 5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 t="str">
        <x:v>No established-register match</x:v>
      </x:c>
      <x:c r="AT815" s="14"/>
      <x:c r="AU815" s="14"/>
      <x:c r="AV815" s="14" t="str">
        <x:v>No established apparent-disability match</x:v>
      </x:c>
      <x:c r="AW815" s="14"/>
      <x:c r="AX815" s="14" t="str">
        <x:v>No</x:v>
      </x:c>
      <x:c r="AY815" s="14" t="str">
        <x:v>Unmatched</x:v>
      </x:c>
      <x:c r="AZ815" s="14" t="str">
        <x:v>Final supplied register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28</x:v>
      </x:c>
      <x:c r="BP815" s="14" t="str">
        <x:v>Maximum eligible IMDb cast-credit total (28), shared by 4 performer(s); not independently verified as a 2021-only episode total.</x:v>
      </x:c>
      <x:c r="BQ815" s="14" t="str">
        <x:v>Medium</x:v>
      </x:c>
      <x:c r="BR815" s="15" t="n">
        <x:v>1</x:v>
      </x:c>
      <x:c r="BS815" s="16" t="n">
        <x:v>0.03571428571428571</x:v>
      </x:c>
      <x:c r="BT815" s="14" t="str">
        <x:v>One episode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4" t="str">
        <x:v>HYPERLINK is not implemented. linkLocation=https://www.imdb.com/title/tt15499118/fullcredits/, friendlyName=Open source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tt15499118|nm1353802|nicholas arlez</x:v>
      </x:c>
      <x:c r="B816" s="14" t="str">
        <x:v>03</x:v>
      </x:c>
      <x:c r="C816" s="14" t="str">
        <x:v>2021_IMDb_Cast_Lists_Batch_03(1).xlsx</x:v>
      </x:c>
      <x:c r="D816" s="14" t="str">
        <x:v>The Madame Blanc Mysteries</x:v>
      </x:c>
      <x:c r="E816" s="14" t="n">
        <x:v>107</x:v>
      </x:c>
      <x:c r="F816" s="14" t="str">
        <x:v>The Madame Blanc Mysteries</x:v>
      </x:c>
      <x:c r="G816" s="14" t="str">
        <x:v>tt15499118</x:v>
      </x:c>
      <x:c r="H816" s="14" t="n">
        <x:v>2021</x:v>
      </x:c>
      <x:c r="I816" s="14" t="n">
        <x:v>2025</x:v>
      </x:c>
      <x:c r="J816" s="14" t="str">
        <x:v>Earlier-Production Carry-In Cohort</x:v>
      </x:c>
      <x:c r="K816" s="14" t="n">
        <x:v>2021</x:v>
      </x:c>
      <x:c r="L816" s="14" t="str">
        <x:v>Used in 2025 annual analysis</x:v>
      </x:c>
      <x:c r="M816" s="15" t="n">
        <x:v>100</x:v>
      </x:c>
      <x:c r="N816" s="14" t="str">
        <x:v>Dan March</x:v>
      </x:c>
      <x:c r="O816" s="14" t="str">
        <x:v>nm1353802</x:v>
      </x:c>
      <x:c r="P816" s="14" t="str">
        <x:v>Nicholas Arlez</x:v>
      </x:c>
      <x:c r="Q816" s="15" t="n">
        <x:v>1</x:v>
      </x:c>
      <x:c r="R816" s="14" t="str">
        <x:v>2025</x:v>
      </x:c>
      <x:c r="S816" s="14" t="n">
        <x:v>2025</x:v>
      </x:c>
      <x:c r="T816" s="14" t="n">
        <x:v>2025</x:v>
      </x:c>
      <x:c r="U816" s="14" t="str">
        <x:v>Post-2021 casting excluded</x:v>
      </x:c>
      <x:c r="V816" s="14" t="str">
        <x:v>Earliest supplied year is 2025, later than the 2021 study year.</x:v>
      </x:c>
      <x:c r="W816" s="14"/>
      <x:c r="X816" s="14" t="str">
        <x:v>Included</x:v>
      </x:c>
      <x:c r="Y816" s="14"/>
      <x:c r="Z816" s="14" t="str">
        <x:v>The Madame Blanc Mysteries.docx</x:v>
      </x:c>
      <x:c r="AA816" s="14" t="str">
        <x:v>HYPERLINK is not implemented. linkLocation=https://www.imdb.com/title/tt15499118/fullcredits/, friendlyName=Open source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Channel 5 / 5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6" s="14" t="str">
        <x:v>No qualifying BBC relationship</x:v>
      </x:c>
      <x:c r="AO816" s="14" t="str">
        <x:v>No</x:v>
      </x:c>
      <x:c r="AP816" s="14" t="str">
        <x:v>Out of scope</x:v>
      </x:c>
      <x:c r="AQ816" s="14" t="str">
        <x:v>No</x:v>
      </x:c>
      <x:c r="AR816" s="14" t="str">
        <x:v>Resolved from master register</x:v>
      </x:c>
      <x:c r="AS816" s="14" t="str">
        <x:v>No established-register match</x:v>
      </x:c>
      <x:c r="AT816" s="14"/>
      <x:c r="AU816" s="14"/>
      <x:c r="AV816" s="14" t="str">
        <x:v>No established apparent-disability match</x:v>
      </x:c>
      <x:c r="AW816" s="14"/>
      <x:c r="AX816" s="14" t="str">
        <x:v>No</x:v>
      </x:c>
      <x:c r="AY816" s="14" t="str">
        <x:v>Unmatched</x:v>
      </x:c>
      <x:c r="AZ816" s="14" t="str">
        <x:v>Final supplied register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28</x:v>
      </x:c>
      <x:c r="BP816" s="14" t="str">
        <x:v>Maximum eligible IMDb cast-credit total (28), shared by 4 performer(s); not independently verified as a 2021-only episode total.</x:v>
      </x:c>
      <x:c r="BQ816" s="14" t="str">
        <x:v>Medium</x:v>
      </x:c>
      <x:c r="BR816" s="15" t="n">
        <x:v>1</x:v>
      </x:c>
      <x:c r="BS816" s="16" t="n">
        <x:v>0.03571428571428571</x:v>
      </x:c>
      <x:c r="BT816" s="14" t="str">
        <x:v>One episode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4" t="str">
        <x:v>HYPERLINK is not implemented. linkLocation=https://www.imdb.com/title/tt15499118/fullcredits/, friendlyName=Open source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tt15499118|nm1658459|paul</x:v>
      </x:c>
      <x:c r="B817" s="14" t="str">
        <x:v>03</x:v>
      </x:c>
      <x:c r="C817" s="14" t="str">
        <x:v>2021_IMDb_Cast_Lists_Batch_03(1).xlsx</x:v>
      </x:c>
      <x:c r="D817" s="14" t="str">
        <x:v>The Madame Blanc Mysteries</x:v>
      </x:c>
      <x:c r="E817" s="14" t="n">
        <x:v>112</x:v>
      </x:c>
      <x:c r="F817" s="14" t="str">
        <x:v>The Madame Blanc Mysteries</x:v>
      </x:c>
      <x:c r="G817" s="14" t="str">
        <x:v>tt15499118</x:v>
      </x:c>
      <x:c r="H817" s="14" t="n">
        <x:v>2021</x:v>
      </x:c>
      <x:c r="I817" s="14" t="n">
        <x:v>2025</x:v>
      </x:c>
      <x:c r="J817" s="14" t="str">
        <x:v>Earlier-Production Carry-In Cohort</x:v>
      </x:c>
      <x:c r="K817" s="14" t="n">
        <x:v>2021</x:v>
      </x:c>
      <x:c r="L817" s="14" t="str">
        <x:v>Used in 2025 annual analysis</x:v>
      </x:c>
      <x:c r="M817" s="15" t="n">
        <x:v>105</x:v>
      </x:c>
      <x:c r="N817" s="14" t="str">
        <x:v>Edward MacLiam</x:v>
      </x:c>
      <x:c r="O817" s="14" t="str">
        <x:v>nm1658459</x:v>
      </x:c>
      <x:c r="P817" s="14" t="str">
        <x:v>Paul</x:v>
      </x:c>
      <x:c r="Q817" s="15" t="n">
        <x:v>1</x:v>
      </x:c>
      <x:c r="R817" s="14" t="str">
        <x:v>2025</x:v>
      </x:c>
      <x:c r="S817" s="14" t="n">
        <x:v>2025</x:v>
      </x:c>
      <x:c r="T817" s="14" t="n">
        <x:v>2025</x:v>
      </x:c>
      <x:c r="U817" s="14" t="str">
        <x:v>Post-2021 casting excluded</x:v>
      </x:c>
      <x:c r="V817" s="14" t="str">
        <x:v>Earliest supplied year is 2025, later than the 2021 study year.</x:v>
      </x:c>
      <x:c r="W817" s="14"/>
      <x:c r="X817" s="14" t="str">
        <x:v>Included</x:v>
      </x:c>
      <x:c r="Y817" s="14"/>
      <x:c r="Z817" s="14" t="str">
        <x:v>The Madame Blanc Mysteries.docx</x:v>
      </x:c>
      <x:c r="AA817" s="14" t="str">
        <x:v>HYPERLINK is not implemented. linkLocation=https://www.imdb.com/title/tt15499118/fullcredits/, friendlyName=Open source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Channel 5 / 5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7" s="14" t="str">
        <x:v>No qualifying BBC relationship</x:v>
      </x:c>
      <x:c r="AO817" s="14" t="str">
        <x:v>No</x:v>
      </x:c>
      <x:c r="AP817" s="14" t="str">
        <x:v>Out of scope</x:v>
      </x:c>
      <x:c r="AQ817" s="14" t="str">
        <x:v>No</x:v>
      </x:c>
      <x:c r="AR817" s="14" t="str">
        <x:v>Resolved from master register</x:v>
      </x:c>
      <x:c r="AS817" s="14" t="str">
        <x:v>No established-register match</x:v>
      </x:c>
      <x:c r="AT817" s="14"/>
      <x:c r="AU817" s="14"/>
      <x:c r="AV817" s="14" t="str">
        <x:v>No established apparent-disability match</x:v>
      </x:c>
      <x:c r="AW817" s="14"/>
      <x:c r="AX817" s="14" t="str">
        <x:v>No</x:v>
      </x:c>
      <x:c r="AY817" s="14" t="str">
        <x:v>Unmatched</x:v>
      </x:c>
      <x:c r="AZ817" s="14" t="str">
        <x:v>Final supplied register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28</x:v>
      </x:c>
      <x:c r="BP817" s="14" t="str">
        <x:v>Maximum eligible IMDb cast-credit total (28), shared by 4 performer(s); not independently verified as a 2021-only episode total.</x:v>
      </x:c>
      <x:c r="BQ817" s="14" t="str">
        <x:v>Medium</x:v>
      </x:c>
      <x:c r="BR817" s="15" t="n">
        <x:v>1</x:v>
      </x:c>
      <x:c r="BS817" s="16" t="n">
        <x:v>0.03571428571428571</x:v>
      </x:c>
      <x:c r="BT817" s="14" t="str">
        <x:v>One episode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4" t="str">
        <x:v>HYPERLINK is not implemented. linkLocation=https://www.imdb.com/title/tt15499118/fullcredits/, friendlyName=Open source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tt15499118|nm0552796|marie</x:v>
      </x:c>
      <x:c r="B818" s="14" t="str">
        <x:v>03</x:v>
      </x:c>
      <x:c r="C818" s="14" t="str">
        <x:v>2021_IMDb_Cast_Lists_Batch_03(1).xlsx</x:v>
      </x:c>
      <x:c r="D818" s="14" t="str">
        <x:v>The Madame Blanc Mysteries</x:v>
      </x:c>
      <x:c r="E818" s="14" t="n">
        <x:v>113</x:v>
      </x:c>
      <x:c r="F818" s="14" t="str">
        <x:v>The Madame Blanc Mysteries</x:v>
      </x:c>
      <x:c r="G818" s="14" t="str">
        <x:v>tt15499118</x:v>
      </x:c>
      <x:c r="H818" s="14" t="n">
        <x:v>2021</x:v>
      </x:c>
      <x:c r="I818" s="14" t="n">
        <x:v>2025</x:v>
      </x:c>
      <x:c r="J818" s="14" t="str">
        <x:v>Earlier-Production Carry-In Cohort</x:v>
      </x:c>
      <x:c r="K818" s="14" t="n">
        <x:v>2021</x:v>
      </x:c>
      <x:c r="L818" s="14" t="str">
        <x:v>Used in 2025 annual analysis</x:v>
      </x:c>
      <x:c r="M818" s="15" t="n">
        <x:v>106</x:v>
      </x:c>
      <x:c r="N818" s="14" t="str">
        <x:v>Michelle Martin</x:v>
      </x:c>
      <x:c r="O818" s="14" t="str">
        <x:v>nm0552796</x:v>
      </x:c>
      <x:c r="P818" s="14" t="str">
        <x:v>Marie</x:v>
      </x:c>
      <x:c r="Q818" s="15" t="n">
        <x:v>1</x:v>
      </x:c>
      <x:c r="R818" s="14" t="str">
        <x:v>2025</x:v>
      </x:c>
      <x:c r="S818" s="14" t="n">
        <x:v>2025</x:v>
      </x:c>
      <x:c r="T818" s="14" t="n">
        <x:v>2025</x:v>
      </x:c>
      <x:c r="U818" s="14" t="str">
        <x:v>Post-2021 casting excluded</x:v>
      </x:c>
      <x:c r="V818" s="14" t="str">
        <x:v>Earliest supplied year is 2025, later than the 2021 study year.</x:v>
      </x:c>
      <x:c r="W818" s="14"/>
      <x:c r="X818" s="14" t="str">
        <x:v>Included</x:v>
      </x:c>
      <x:c r="Y818" s="14"/>
      <x:c r="Z818" s="14" t="str">
        <x:v>The Madame Blanc Mysteries.docx</x:v>
      </x:c>
      <x:c r="AA818" s="14" t="str">
        <x:v>HYPERLINK is not implemented. linkLocation=https://www.imdb.com/title/tt15499118/fullcredits/, friendlyName=Open source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Channel 5 / 5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8" s="14" t="str">
        <x:v>No qualifying BBC relationship</x:v>
      </x:c>
      <x:c r="AO818" s="14" t="str">
        <x:v>No</x:v>
      </x:c>
      <x:c r="AP818" s="14" t="str">
        <x:v>Out of scope</x:v>
      </x:c>
      <x:c r="AQ818" s="14" t="str">
        <x:v>No</x:v>
      </x:c>
      <x:c r="AR818" s="14" t="str">
        <x:v>Resolved from master register</x:v>
      </x:c>
      <x:c r="AS818" s="14" t="str">
        <x:v>No established-register match</x:v>
      </x:c>
      <x:c r="AT818" s="14"/>
      <x:c r="AU818" s="14"/>
      <x:c r="AV818" s="14" t="str">
        <x:v>No established apparent-disability match</x:v>
      </x:c>
      <x:c r="AW818" s="14"/>
      <x:c r="AX818" s="14" t="str">
        <x:v>No</x:v>
      </x:c>
      <x:c r="AY818" s="14" t="str">
        <x:v>Unmatched</x:v>
      </x:c>
      <x:c r="AZ818" s="14" t="str">
        <x:v>Final supplied register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28</x:v>
      </x:c>
      <x:c r="BP818" s="14" t="str">
        <x:v>Maximum eligible IMDb cast-credit total (28), shared by 4 performer(s); not independently verified as a 2021-only episode total.</x:v>
      </x:c>
      <x:c r="BQ818" s="14" t="str">
        <x:v>Medium</x:v>
      </x:c>
      <x:c r="BR818" s="15" t="n">
        <x:v>1</x:v>
      </x:c>
      <x:c r="BS818" s="16" t="n">
        <x:v>0.03571428571428571</x:v>
      </x:c>
      <x:c r="BT818" s="14" t="str">
        <x:v>One episode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4" t="str">
        <x:v>HYPERLINK is not implemented. linkLocation=https://www.imdb.com/title/tt15499118/fullcredits/, friendlyName=Open source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tt15499118|nm11784683|ellie</x:v>
      </x:c>
      <x:c r="B819" s="14" t="str">
        <x:v>03</x:v>
      </x:c>
      <x:c r="C819" s="14" t="str">
        <x:v>2021_IMDb_Cast_Lists_Batch_03(1).xlsx</x:v>
      </x:c>
      <x:c r="D819" s="14" t="str">
        <x:v>The Madame Blanc Mysteries</x:v>
      </x:c>
      <x:c r="E819" s="14" t="n">
        <x:v>120</x:v>
      </x:c>
      <x:c r="F819" s="14" t="str">
        <x:v>The Madame Blanc Mysteries</x:v>
      </x:c>
      <x:c r="G819" s="14" t="str">
        <x:v>tt15499118</x:v>
      </x:c>
      <x:c r="H819" s="14" t="n">
        <x:v>2021</x:v>
      </x:c>
      <x:c r="I819" s="14" t="n">
        <x:v>2025</x:v>
      </x:c>
      <x:c r="J819" s="14" t="str">
        <x:v>Earlier-Production Carry-In Cohort</x:v>
      </x:c>
      <x:c r="K819" s="14" t="n">
        <x:v>2021</x:v>
      </x:c>
      <x:c r="L819" s="14" t="str">
        <x:v>Used in 2025 annual analysis</x:v>
      </x:c>
      <x:c r="M819" s="15" t="n">
        <x:v>113</x:v>
      </x:c>
      <x:c r="N819" s="14" t="str">
        <x:v>Jacqueline Moré</x:v>
      </x:c>
      <x:c r="O819" s="14" t="str">
        <x:v>nm11784683</x:v>
      </x:c>
      <x:c r="P819" s="14" t="str">
        <x:v>Ellie</x:v>
      </x:c>
      <x:c r="Q819" s="15" t="n">
        <x:v>1</x:v>
      </x:c>
      <x:c r="R819" s="14" t="str">
        <x:v>2025</x:v>
      </x:c>
      <x:c r="S819" s="14" t="n">
        <x:v>2025</x:v>
      </x:c>
      <x:c r="T819" s="14" t="n">
        <x:v>2025</x:v>
      </x:c>
      <x:c r="U819" s="14" t="str">
        <x:v>Post-2021 casting excluded</x:v>
      </x:c>
      <x:c r="V819" s="14" t="str">
        <x:v>Earliest supplied year is 2025, later than the 2021 study year.</x:v>
      </x:c>
      <x:c r="W819" s="14"/>
      <x:c r="X819" s="14" t="str">
        <x:v>Included</x:v>
      </x:c>
      <x:c r="Y819" s="14"/>
      <x:c r="Z819" s="14" t="str">
        <x:v>The Madame Blanc Mysteries.docx</x:v>
      </x:c>
      <x:c r="AA819" s="14" t="str">
        <x:v>HYPERLINK is not implemented. linkLocation=https://www.imdb.com/title/tt15499118/fullcredits/, friendlyName=Open source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Channel 5 / 5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9" s="14" t="str">
        <x:v>No qualifying BBC relationship</x:v>
      </x:c>
      <x:c r="AO819" s="14" t="str">
        <x:v>No</x:v>
      </x:c>
      <x:c r="AP819" s="14" t="str">
        <x:v>Out of scope</x:v>
      </x:c>
      <x:c r="AQ819" s="14" t="str">
        <x:v>No</x:v>
      </x:c>
      <x:c r="AR819" s="14" t="str">
        <x:v>Resolved from master register</x:v>
      </x:c>
      <x:c r="AS819" s="14" t="str">
        <x:v>No established-register match</x:v>
      </x:c>
      <x:c r="AT819" s="14"/>
      <x:c r="AU819" s="14"/>
      <x:c r="AV819" s="14" t="str">
        <x:v>No established apparent-disability match</x:v>
      </x:c>
      <x:c r="AW819" s="14"/>
      <x:c r="AX819" s="14" t="str">
        <x:v>No</x:v>
      </x:c>
      <x:c r="AY819" s="14" t="str">
        <x:v>Unmatched</x:v>
      </x:c>
      <x:c r="AZ819" s="14" t="str">
        <x:v>Final supplied register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28</x:v>
      </x:c>
      <x:c r="BP819" s="14" t="str">
        <x:v>Maximum eligible IMDb cast-credit total (28), shared by 4 performer(s); not independently verified as a 2021-only episode total.</x:v>
      </x:c>
      <x:c r="BQ819" s="14" t="str">
        <x:v>Medium</x:v>
      </x:c>
      <x:c r="BR819" s="15" t="n">
        <x:v>1</x:v>
      </x:c>
      <x:c r="BS819" s="16" t="n">
        <x:v>0.03571428571428571</x:v>
      </x:c>
      <x:c r="BT819" s="14" t="str">
        <x:v>One episode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4" t="str">
        <x:v>HYPERLINK is not implemented. linkLocation=https://www.imdb.com/title/tt15499118/fullcredits/, friendlyName=Open source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tt15499118|nm0622505|antoine lefevre</x:v>
      </x:c>
      <x:c r="B820" s="14" t="str">
        <x:v>03</x:v>
      </x:c>
      <x:c r="C820" s="14" t="str">
        <x:v>2021_IMDb_Cast_Lists_Batch_03(1).xlsx</x:v>
      </x:c>
      <x:c r="D820" s="14" t="str">
        <x:v>The Madame Blanc Mysteries</x:v>
      </x:c>
      <x:c r="E820" s="14" t="n">
        <x:v>121</x:v>
      </x:c>
      <x:c r="F820" s="14" t="str">
        <x:v>The Madame Blanc Mysteries</x:v>
      </x:c>
      <x:c r="G820" s="14" t="str">
        <x:v>tt15499118</x:v>
      </x:c>
      <x:c r="H820" s="14" t="n">
        <x:v>2021</x:v>
      </x:c>
      <x:c r="I820" s="14" t="n">
        <x:v>2025</x:v>
      </x:c>
      <x:c r="J820" s="14" t="str">
        <x:v>Earlier-Production Carry-In Cohort</x:v>
      </x:c>
      <x:c r="K820" s="14" t="n">
        <x:v>2021</x:v>
      </x:c>
      <x:c r="L820" s="14" t="str">
        <x:v>Used in 2025 annual analysis</x:v>
      </x:c>
      <x:c r="M820" s="15" t="n">
        <x:v>114</x:v>
      </x:c>
      <x:c r="N820" s="14" t="str">
        <x:v>Nicky Naudé</x:v>
      </x:c>
      <x:c r="O820" s="14" t="str">
        <x:v>nm0622505</x:v>
      </x:c>
      <x:c r="P820" s="14" t="str">
        <x:v>Antoine Lefevre</x:v>
      </x:c>
      <x:c r="Q820" s="15" t="n">
        <x:v>1</x:v>
      </x:c>
      <x:c r="R820" s="14" t="str">
        <x:v>2025</x:v>
      </x:c>
      <x:c r="S820" s="14" t="n">
        <x:v>2025</x:v>
      </x:c>
      <x:c r="T820" s="14" t="n">
        <x:v>2025</x:v>
      </x:c>
      <x:c r="U820" s="14" t="str">
        <x:v>Post-2021 casting excluded</x:v>
      </x:c>
      <x:c r="V820" s="14" t="str">
        <x:v>Earliest supplied year is 2025, later than the 2021 study year.</x:v>
      </x:c>
      <x:c r="W820" s="14"/>
      <x:c r="X820" s="14" t="str">
        <x:v>Included</x:v>
      </x:c>
      <x:c r="Y820" s="14"/>
      <x:c r="Z820" s="14" t="str">
        <x:v>The Madame Blanc Mysteries.docx</x:v>
      </x:c>
      <x:c r="AA820" s="14" t="str">
        <x:v>HYPERLINK is not implemented. linkLocation=https://www.imdb.com/title/tt15499118/fullcredits/, friendlyName=Open source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Channel 5 / 5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0" s="14" t="str">
        <x:v>No qualifying BBC relationship</x:v>
      </x:c>
      <x:c r="AO820" s="14" t="str">
        <x:v>No</x:v>
      </x:c>
      <x:c r="AP820" s="14" t="str">
        <x:v>Out of scope</x:v>
      </x:c>
      <x:c r="AQ820" s="14" t="str">
        <x:v>No</x:v>
      </x:c>
      <x:c r="AR820" s="14" t="str">
        <x:v>Resolved from master register</x:v>
      </x:c>
      <x:c r="AS820" s="14" t="str">
        <x:v>No established-register match</x:v>
      </x:c>
      <x:c r="AT820" s="14"/>
      <x:c r="AU820" s="14"/>
      <x:c r="AV820" s="14" t="str">
        <x:v>No established apparent-disability match</x:v>
      </x:c>
      <x:c r="AW820" s="14"/>
      <x:c r="AX820" s="14" t="str">
        <x:v>No</x:v>
      </x:c>
      <x:c r="AY820" s="14" t="str">
        <x:v>Unmatched</x:v>
      </x:c>
      <x:c r="AZ820" s="14" t="str">
        <x:v>Final supplied register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28</x:v>
      </x:c>
      <x:c r="BP820" s="14" t="str">
        <x:v>Maximum eligible IMDb cast-credit total (28), shared by 4 performer(s); not independently verified as a 2021-only episode total.</x:v>
      </x:c>
      <x:c r="BQ820" s="14" t="str">
        <x:v>Medium</x:v>
      </x:c>
      <x:c r="BR820" s="15" t="n">
        <x:v>1</x:v>
      </x:c>
      <x:c r="BS820" s="16" t="n">
        <x:v>0.03571428571428571</x:v>
      </x:c>
      <x:c r="BT820" s="14" t="str">
        <x:v>One episode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4" t="str">
        <x:v>HYPERLINK is not implemented. linkLocation=https://www.imdb.com/title/tt15499118/fullcredits/, friendlyName=Open source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tt15499118|nm17164267|fifi</x:v>
      </x:c>
      <x:c r="B821" s="14" t="str">
        <x:v>03</x:v>
      </x:c>
      <x:c r="C821" s="14" t="str">
        <x:v>2021_IMDb_Cast_Lists_Batch_03(1).xlsx</x:v>
      </x:c>
      <x:c r="D821" s="14" t="str">
        <x:v>The Madame Blanc Mysteries</x:v>
      </x:c>
      <x:c r="E821" s="14" t="n">
        <x:v>122</x:v>
      </x:c>
      <x:c r="F821" s="14" t="str">
        <x:v>The Madame Blanc Mysteries</x:v>
      </x:c>
      <x:c r="G821" s="14" t="str">
        <x:v>tt15499118</x:v>
      </x:c>
      <x:c r="H821" s="14" t="n">
        <x:v>2021</x:v>
      </x:c>
      <x:c r="I821" s="14" t="n">
        <x:v>2025</x:v>
      </x:c>
      <x:c r="J821" s="14" t="str">
        <x:v>Earlier-Production Carry-In Cohort</x:v>
      </x:c>
      <x:c r="K821" s="14" t="n">
        <x:v>2021</x:v>
      </x:c>
      <x:c r="L821" s="14" t="str">
        <x:v>Used in 2025 annual analysis</x:v>
      </x:c>
      <x:c r="M821" s="15" t="n">
        <x:v>115</x:v>
      </x:c>
      <x:c r="N821" s="14" t="str">
        <x:v>Marcella Teuma</x:v>
      </x:c>
      <x:c r="O821" s="14" t="str">
        <x:v>nm17164267</x:v>
      </x:c>
      <x:c r="P821" s="14" t="str">
        <x:v>Fifi</x:v>
      </x:c>
      <x:c r="Q821" s="15" t="n">
        <x:v>1</x:v>
      </x:c>
      <x:c r="R821" s="14" t="str">
        <x:v>2025</x:v>
      </x:c>
      <x:c r="S821" s="14" t="n">
        <x:v>2025</x:v>
      </x:c>
      <x:c r="T821" s="14" t="n">
        <x:v>2025</x:v>
      </x:c>
      <x:c r="U821" s="14" t="str">
        <x:v>Post-2021 casting excluded</x:v>
      </x:c>
      <x:c r="V821" s="14" t="str">
        <x:v>Earliest supplied year is 2025, later than the 2021 study year.</x:v>
      </x:c>
      <x:c r="W821" s="14"/>
      <x:c r="X821" s="14" t="str">
        <x:v>Included</x:v>
      </x:c>
      <x:c r="Y821" s="14"/>
      <x:c r="Z821" s="14" t="str">
        <x:v>The Madame Blanc Mysteries.docx</x:v>
      </x:c>
      <x:c r="AA821" s="14" t="str">
        <x:v>HYPERLINK is not implemented. linkLocation=https://www.imdb.com/title/tt15499118/fullcredits/, friendlyName=Open source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Channel 5 / 5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1" s="14" t="str">
        <x:v>No qualifying BBC relationship</x:v>
      </x:c>
      <x:c r="AO821" s="14" t="str">
        <x:v>No</x:v>
      </x:c>
      <x:c r="AP821" s="14" t="str">
        <x:v>Out of scope</x:v>
      </x:c>
      <x:c r="AQ821" s="14" t="str">
        <x:v>No</x:v>
      </x:c>
      <x:c r="AR821" s="14" t="str">
        <x:v>Resolved from master register</x:v>
      </x:c>
      <x:c r="AS821" s="14" t="str">
        <x:v>No established-register match</x:v>
      </x:c>
      <x:c r="AT821" s="14"/>
      <x:c r="AU821" s="14"/>
      <x:c r="AV821" s="14" t="str">
        <x:v>No established apparent-disability match</x:v>
      </x:c>
      <x:c r="AW821" s="14"/>
      <x:c r="AX821" s="14" t="str">
        <x:v>No</x:v>
      </x:c>
      <x:c r="AY821" s="14" t="str">
        <x:v>Unmatched</x:v>
      </x:c>
      <x:c r="AZ821" s="14" t="str">
        <x:v>Final supplied register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28</x:v>
      </x:c>
      <x:c r="BP821" s="14" t="str">
        <x:v>Maximum eligible IMDb cast-credit total (28), shared by 4 performer(s); not independently verified as a 2021-only episode total.</x:v>
      </x:c>
      <x:c r="BQ821" s="14" t="str">
        <x:v>Medium</x:v>
      </x:c>
      <x:c r="BR821" s="15" t="n">
        <x:v>1</x:v>
      </x:c>
      <x:c r="BS821" s="16" t="n">
        <x:v>0.03571428571428571</x:v>
      </x:c>
      <x:c r="BT821" s="14" t="str">
        <x:v>One episode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4" t="str">
        <x:v>HYPERLINK is not implemented. linkLocation=https://www.imdb.com/title/tt15499118/fullcredits/, friendlyName=Open source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tt15499118|nm3296197|mr. attard</x:v>
      </x:c>
      <x:c r="B822" s="14" t="str">
        <x:v>03</x:v>
      </x:c>
      <x:c r="C822" s="14" t="str">
        <x:v>2021_IMDb_Cast_Lists_Batch_03(1).xlsx</x:v>
      </x:c>
      <x:c r="D822" s="14" t="str">
        <x:v>The Madame Blanc Mysteries</x:v>
      </x:c>
      <x:c r="E822" s="14" t="n">
        <x:v>123</x:v>
      </x:c>
      <x:c r="F822" s="14" t="str">
        <x:v>The Madame Blanc Mysteries</x:v>
      </x:c>
      <x:c r="G822" s="14" t="str">
        <x:v>tt15499118</x:v>
      </x:c>
      <x:c r="H822" s="14" t="n">
        <x:v>2021</x:v>
      </x:c>
      <x:c r="I822" s="14" t="n">
        <x:v>2025</x:v>
      </x:c>
      <x:c r="J822" s="14" t="str">
        <x:v>Earlier-Production Carry-In Cohort</x:v>
      </x:c>
      <x:c r="K822" s="14" t="n">
        <x:v>2021</x:v>
      </x:c>
      <x:c r="L822" s="14" t="str">
        <x:v>Used in 2025 annual analysis</x:v>
      </x:c>
      <x:c r="M822" s="15" t="n">
        <x:v>116</x:v>
      </x:c>
      <x:c r="N822" s="14" t="str">
        <x:v>Charles Sammut</x:v>
      </x:c>
      <x:c r="O822" s="14" t="str">
        <x:v>nm3296197</x:v>
      </x:c>
      <x:c r="P822" s="14" t="str">
        <x:v>Mr. Attard</x:v>
      </x:c>
      <x:c r="Q822" s="15" t="n">
        <x:v>1</x:v>
      </x:c>
      <x:c r="R822" s="14" t="str">
        <x:v>2025</x:v>
      </x:c>
      <x:c r="S822" s="14" t="n">
        <x:v>2025</x:v>
      </x:c>
      <x:c r="T822" s="14" t="n">
        <x:v>2025</x:v>
      </x:c>
      <x:c r="U822" s="14" t="str">
        <x:v>Post-2021 casting excluded</x:v>
      </x:c>
      <x:c r="V822" s="14" t="str">
        <x:v>Earliest supplied year is 2025, later than the 2021 study year.</x:v>
      </x:c>
      <x:c r="W822" s="14"/>
      <x:c r="X822" s="14" t="str">
        <x:v>Included</x:v>
      </x:c>
      <x:c r="Y822" s="14" t="str">
        <x:v>(as Carmel Sammut)</x:v>
      </x:c>
      <x:c r="Z822" s="14" t="str">
        <x:v>The Madame Blanc Mysteries.docx</x:v>
      </x:c>
      <x:c r="AA822" s="14" t="str">
        <x:v>HYPERLINK is not implemented. linkLocation=https://www.imdb.com/title/tt15499118/fullcredits/, friendlyName=Open source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Channel 5 / 5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2" s="14" t="str">
        <x:v>No qualifying BBC relationship</x:v>
      </x:c>
      <x:c r="AO822" s="14" t="str">
        <x:v>No</x:v>
      </x:c>
      <x:c r="AP822" s="14" t="str">
        <x:v>Out of scope</x:v>
      </x:c>
      <x:c r="AQ822" s="14" t="str">
        <x:v>No</x:v>
      </x:c>
      <x:c r="AR822" s="14" t="str">
        <x:v>Resolved from master register</x:v>
      </x:c>
      <x:c r="AS822" s="14" t="str">
        <x:v>No established-register match</x:v>
      </x:c>
      <x:c r="AT822" s="14"/>
      <x:c r="AU822" s="14"/>
      <x:c r="AV822" s="14" t="str">
        <x:v>No established apparent-disability match</x:v>
      </x:c>
      <x:c r="AW822" s="14"/>
      <x:c r="AX822" s="14" t="str">
        <x:v>No</x:v>
      </x:c>
      <x:c r="AY822" s="14" t="str">
        <x:v>Unmatched</x:v>
      </x:c>
      <x:c r="AZ822" s="14" t="str">
        <x:v>Final supplied register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28</x:v>
      </x:c>
      <x:c r="BP822" s="14" t="str">
        <x:v>Maximum eligible IMDb cast-credit total (28), shared by 4 performer(s); not independently verified as a 2021-only episode total.</x:v>
      </x:c>
      <x:c r="BQ822" s="14" t="str">
        <x:v>Medium</x:v>
      </x:c>
      <x:c r="BR822" s="15" t="n">
        <x:v>1</x:v>
      </x:c>
      <x:c r="BS822" s="16" t="n">
        <x:v>0.03571428571428571</x:v>
      </x:c>
      <x:c r="BT822" s="14" t="str">
        <x:v>One episode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4" t="str">
        <x:v>HYPERLINK is not implemented. linkLocation=https://www.imdb.com/title/tt15499118/fullcredits/, friendlyName=Open source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tt15499118|nm0694459|marilyn feo</x:v>
      </x:c>
      <x:c r="B823" s="14" t="str">
        <x:v>03</x:v>
      </x:c>
      <x:c r="C823" s="14" t="str">
        <x:v>2021_IMDb_Cast_Lists_Batch_03(1).xlsx</x:v>
      </x:c>
      <x:c r="D823" s="14" t="str">
        <x:v>The Madame Blanc Mysteries</x:v>
      </x:c>
      <x:c r="E823" s="14" t="n">
        <x:v>131</x:v>
      </x:c>
      <x:c r="F823" s="14" t="str">
        <x:v>The Madame Blanc Mysteries</x:v>
      </x:c>
      <x:c r="G823" s="14" t="str">
        <x:v>tt15499118</x:v>
      </x:c>
      <x:c r="H823" s="14" t="n">
        <x:v>2021</x:v>
      </x:c>
      <x:c r="I823" s="14" t="n">
        <x:v>2025</x:v>
      </x:c>
      <x:c r="J823" s="14" t="str">
        <x:v>Earlier-Production Carry-In Cohort</x:v>
      </x:c>
      <x:c r="K823" s="14" t="n">
        <x:v>2021</x:v>
      </x:c>
      <x:c r="L823" s="14" t="str">
        <x:v>Used in 2025 annual analysis</x:v>
      </x:c>
      <x:c r="M823" s="15" t="n">
        <x:v>124</x:v>
      </x:c>
      <x:c r="N823" s="14" t="str">
        <x:v>Samantha Power</x:v>
      </x:c>
      <x:c r="O823" s="14" t="str">
        <x:v>nm0694459</x:v>
      </x:c>
      <x:c r="P823" s="14" t="str">
        <x:v>Marilyn Feo</x:v>
      </x:c>
      <x:c r="Q823" s="15" t="n">
        <x:v>1</x:v>
      </x:c>
      <x:c r="R823" s="14" t="str">
        <x:v>2025</x:v>
      </x:c>
      <x:c r="S823" s="14" t="n">
        <x:v>2025</x:v>
      </x:c>
      <x:c r="T823" s="14" t="n">
        <x:v>2025</x:v>
      </x:c>
      <x:c r="U823" s="14" t="str">
        <x:v>Post-2021 casting excluded</x:v>
      </x:c>
      <x:c r="V823" s="14" t="str">
        <x:v>Earliest supplied year is 2025, later than the 2021 study year.</x:v>
      </x:c>
      <x:c r="W823" s="14"/>
      <x:c r="X823" s="14" t="str">
        <x:v>Included</x:v>
      </x:c>
      <x:c r="Y823" s="14"/>
      <x:c r="Z823" s="14" t="str">
        <x:v>The Madame Blanc Mysteries.docx</x:v>
      </x:c>
      <x:c r="AA823" s="14" t="str">
        <x:v>HYPERLINK is not implemented. linkLocation=https://www.imdb.com/title/tt15499118/fullcredits/, friendlyName=Open source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Channel 5 / 5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3" s="14" t="str">
        <x:v>No qualifying BBC relationship</x:v>
      </x:c>
      <x:c r="AO823" s="14" t="str">
        <x:v>No</x:v>
      </x:c>
      <x:c r="AP823" s="14" t="str">
        <x:v>Out of scope</x:v>
      </x:c>
      <x:c r="AQ823" s="14" t="str">
        <x:v>No</x:v>
      </x:c>
      <x:c r="AR823" s="14" t="str">
        <x:v>Resolved from master register</x:v>
      </x:c>
      <x:c r="AS823" s="14" t="str">
        <x:v>No established-register match</x:v>
      </x:c>
      <x:c r="AT823" s="14"/>
      <x:c r="AU823" s="14"/>
      <x:c r="AV823" s="14" t="str">
        <x:v>No established apparent-disability match</x:v>
      </x:c>
      <x:c r="AW823" s="14"/>
      <x:c r="AX823" s="14" t="str">
        <x:v>No</x:v>
      </x:c>
      <x:c r="AY823" s="14" t="str">
        <x:v>Unmatched</x:v>
      </x:c>
      <x:c r="AZ823" s="14" t="str">
        <x:v>Final supplied register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28</x:v>
      </x:c>
      <x:c r="BP823" s="14" t="str">
        <x:v>Maximum eligible IMDb cast-credit total (28), shared by 4 performer(s); not independently verified as a 2021-only episode total.</x:v>
      </x:c>
      <x:c r="BQ823" s="14" t="str">
        <x:v>Medium</x:v>
      </x:c>
      <x:c r="BR823" s="15" t="n">
        <x:v>1</x:v>
      </x:c>
      <x:c r="BS823" s="16" t="n">
        <x:v>0.03571428571428571</x:v>
      </x:c>
      <x:c r="BT823" s="14" t="str">
        <x:v>One episode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4" t="str">
        <x:v>HYPERLINK is not implemented. linkLocation=https://www.imdb.com/title/tt15499118/fullcredits/, friendlyName=Open source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tt15499118|nm4223008|yves condu</x:v>
      </x:c>
      <x:c r="B824" s="14" t="str">
        <x:v>03</x:v>
      </x:c>
      <x:c r="C824" s="14" t="str">
        <x:v>2021_IMDb_Cast_Lists_Batch_03(1).xlsx</x:v>
      </x:c>
      <x:c r="D824" s="14" t="str">
        <x:v>The Madame Blanc Mysteries</x:v>
      </x:c>
      <x:c r="E824" s="14" t="n">
        <x:v>132</x:v>
      </x:c>
      <x:c r="F824" s="14" t="str">
        <x:v>The Madame Blanc Mysteries</x:v>
      </x:c>
      <x:c r="G824" s="14" t="str">
        <x:v>tt15499118</x:v>
      </x:c>
      <x:c r="H824" s="14" t="n">
        <x:v>2021</x:v>
      </x:c>
      <x:c r="I824" s="14" t="n">
        <x:v>2025</x:v>
      </x:c>
      <x:c r="J824" s="14" t="str">
        <x:v>Earlier-Production Carry-In Cohort</x:v>
      </x:c>
      <x:c r="K824" s="14" t="n">
        <x:v>2021</x:v>
      </x:c>
      <x:c r="L824" s="14" t="str">
        <x:v>Used in 2025 annual analysis</x:v>
      </x:c>
      <x:c r="M824" s="15" t="n">
        <x:v>125</x:v>
      </x:c>
      <x:c r="N824" s="14" t="str">
        <x:v>Thierry Picaut</x:v>
      </x:c>
      <x:c r="O824" s="14" t="str">
        <x:v>nm4223008</x:v>
      </x:c>
      <x:c r="P824" s="14" t="str">
        <x:v>Yves Condu</x:v>
      </x:c>
      <x:c r="Q824" s="15" t="n">
        <x:v>1</x:v>
      </x:c>
      <x:c r="R824" s="14" t="str">
        <x:v>2025</x:v>
      </x:c>
      <x:c r="S824" s="14" t="n">
        <x:v>2025</x:v>
      </x:c>
      <x:c r="T824" s="14" t="n">
        <x:v>2025</x:v>
      </x:c>
      <x:c r="U824" s="14" t="str">
        <x:v>Post-2021 casting excluded</x:v>
      </x:c>
      <x:c r="V824" s="14" t="str">
        <x:v>Earliest supplied year is 2025, later than the 2021 study year.</x:v>
      </x:c>
      <x:c r="W824" s="14"/>
      <x:c r="X824" s="14" t="str">
        <x:v>Included</x:v>
      </x:c>
      <x:c r="Y824" s="14"/>
      <x:c r="Z824" s="14" t="str">
        <x:v>The Madame Blanc Mysteries.docx</x:v>
      </x:c>
      <x:c r="AA824" s="14" t="str">
        <x:v>HYPERLINK is not implemented. linkLocation=https://www.imdb.com/title/tt15499118/fullcredits/, friendlyName=Open source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Channel 5 / 5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4" s="14" t="str">
        <x:v>No qualifying BBC relationship</x:v>
      </x:c>
      <x:c r="AO824" s="14" t="str">
        <x:v>No</x:v>
      </x:c>
      <x:c r="AP824" s="14" t="str">
        <x:v>Out of scope</x:v>
      </x:c>
      <x:c r="AQ824" s="14" t="str">
        <x:v>No</x:v>
      </x:c>
      <x:c r="AR824" s="14" t="str">
        <x:v>Resolved from master register</x:v>
      </x:c>
      <x:c r="AS824" s="14" t="str">
        <x:v>No established-register match</x:v>
      </x:c>
      <x:c r="AT824" s="14"/>
      <x:c r="AU824" s="14"/>
      <x:c r="AV824" s="14" t="str">
        <x:v>No established apparent-disability match</x:v>
      </x:c>
      <x:c r="AW824" s="14"/>
      <x:c r="AX824" s="14" t="str">
        <x:v>No</x:v>
      </x:c>
      <x:c r="AY824" s="14" t="str">
        <x:v>Unmatched</x:v>
      </x:c>
      <x:c r="AZ824" s="14" t="str">
        <x:v>Final supplied register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28</x:v>
      </x:c>
      <x:c r="BP824" s="14" t="str">
        <x:v>Maximum eligible IMDb cast-credit total (28), shared by 4 performer(s); not independently verified as a 2021-only episode total.</x:v>
      </x:c>
      <x:c r="BQ824" s="14" t="str">
        <x:v>Medium</x:v>
      </x:c>
      <x:c r="BR824" s="15" t="n">
        <x:v>1</x:v>
      </x:c>
      <x:c r="BS824" s="16" t="n">
        <x:v>0.03571428571428571</x:v>
      </x:c>
      <x:c r="BT824" s="14" t="str">
        <x:v>One episode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4" t="str">
        <x:v>HYPERLINK is not implemented. linkLocation=https://www.imdb.com/title/tt15499118/fullcredits/, friendlyName=Open source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tt15499118|nm1042014|mrs. attard</x:v>
      </x:c>
      <x:c r="B825" s="14" t="str">
        <x:v>03</x:v>
      </x:c>
      <x:c r="C825" s="14" t="str">
        <x:v>2021_IMDb_Cast_Lists_Batch_03(1).xlsx</x:v>
      </x:c>
      <x:c r="D825" s="14" t="str">
        <x:v>The Madame Blanc Mysteries</x:v>
      </x:c>
      <x:c r="E825" s="14" t="n">
        <x:v>137</x:v>
      </x:c>
      <x:c r="F825" s="14" t="str">
        <x:v>The Madame Blanc Mysteries</x:v>
      </x:c>
      <x:c r="G825" s="14" t="str">
        <x:v>tt15499118</x:v>
      </x:c>
      <x:c r="H825" s="14" t="n">
        <x:v>2021</x:v>
      </x:c>
      <x:c r="I825" s="14" t="n">
        <x:v>2025</x:v>
      </x:c>
      <x:c r="J825" s="14" t="str">
        <x:v>Earlier-Production Carry-In Cohort</x:v>
      </x:c>
      <x:c r="K825" s="14" t="n">
        <x:v>2021</x:v>
      </x:c>
      <x:c r="L825" s="14" t="str">
        <x:v>Used in 2025 annual analysis</x:v>
      </x:c>
      <x:c r="M825" s="15" t="n">
        <x:v>130</x:v>
      </x:c>
      <x:c r="N825" s="14" t="str">
        <x:v>Pia Zammit</x:v>
      </x:c>
      <x:c r="O825" s="14" t="str">
        <x:v>nm1042014</x:v>
      </x:c>
      <x:c r="P825" s="14" t="str">
        <x:v>Mrs. Attard</x:v>
      </x:c>
      <x:c r="Q825" s="15" t="n">
        <x:v>1</x:v>
      </x:c>
      <x:c r="R825" s="14" t="str">
        <x:v>2025</x:v>
      </x:c>
      <x:c r="S825" s="14" t="n">
        <x:v>2025</x:v>
      </x:c>
      <x:c r="T825" s="14" t="n">
        <x:v>2025</x:v>
      </x:c>
      <x:c r="U825" s="14" t="str">
        <x:v>Post-2021 casting excluded</x:v>
      </x:c>
      <x:c r="V825" s="14" t="str">
        <x:v>Earliest supplied year is 2025, later than the 2021 study year.</x:v>
      </x:c>
      <x:c r="W825" s="14"/>
      <x:c r="X825" s="14" t="str">
        <x:v>Included</x:v>
      </x:c>
      <x:c r="Y825" s="14"/>
      <x:c r="Z825" s="14" t="str">
        <x:v>The Madame Blanc Mysteries.docx</x:v>
      </x:c>
      <x:c r="AA825" s="14" t="str">
        <x:v>HYPERLINK is not implemented. linkLocation=https://www.imdb.com/title/tt15499118/fullcredits/, friendlyName=Open source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Channel 5 / 5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5" s="14" t="str">
        <x:v>No qualifying BBC relationship</x:v>
      </x:c>
      <x:c r="AO825" s="14" t="str">
        <x:v>No</x:v>
      </x:c>
      <x:c r="AP825" s="14" t="str">
        <x:v>Out of scope</x:v>
      </x:c>
      <x:c r="AQ825" s="14" t="str">
        <x:v>No</x:v>
      </x:c>
      <x:c r="AR825" s="14" t="str">
        <x:v>Resolved from master register</x:v>
      </x:c>
      <x:c r="AS825" s="14" t="str">
        <x:v>No established-register match</x:v>
      </x:c>
      <x:c r="AT825" s="14"/>
      <x:c r="AU825" s="14"/>
      <x:c r="AV825" s="14" t="str">
        <x:v>No established apparent-disability match</x:v>
      </x:c>
      <x:c r="AW825" s="14"/>
      <x:c r="AX825" s="14" t="str">
        <x:v>No</x:v>
      </x:c>
      <x:c r="AY825" s="14" t="str">
        <x:v>Unmatched</x:v>
      </x:c>
      <x:c r="AZ825" s="14" t="str">
        <x:v>Final supplied register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28</x:v>
      </x:c>
      <x:c r="BP825" s="14" t="str">
        <x:v>Maximum eligible IMDb cast-credit total (28), shared by 4 performer(s); not independently verified as a 2021-only episode total.</x:v>
      </x:c>
      <x:c r="BQ825" s="14" t="str">
        <x:v>Medium</x:v>
      </x:c>
      <x:c r="BR825" s="15" t="n">
        <x:v>1</x:v>
      </x:c>
      <x:c r="BS825" s="16" t="n">
        <x:v>0.03571428571428571</x:v>
      </x:c>
      <x:c r="BT825" s="14" t="str">
        <x:v>One episode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4" t="str">
        <x:v>HYPERLINK is not implemented. linkLocation=https://www.imdb.com/title/tt15499118/fullcredits/, friendlyName=Open source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tt15499118|nm11782525|ines</x:v>
      </x:c>
      <x:c r="B826" s="14" t="str">
        <x:v>03</x:v>
      </x:c>
      <x:c r="C826" s="14" t="str">
        <x:v>2021_IMDb_Cast_Lists_Batch_03(1).xlsx</x:v>
      </x:c>
      <x:c r="D826" s="14" t="str">
        <x:v>The Madame Blanc Mysteries</x:v>
      </x:c>
      <x:c r="E826" s="14" t="n">
        <x:v>138</x:v>
      </x:c>
      <x:c r="F826" s="14" t="str">
        <x:v>The Madame Blanc Mysteries</x:v>
      </x:c>
      <x:c r="G826" s="14" t="str">
        <x:v>tt15499118</x:v>
      </x:c>
      <x:c r="H826" s="14" t="n">
        <x:v>2021</x:v>
      </x:c>
      <x:c r="I826" s="14" t="n">
        <x:v>2025</x:v>
      </x:c>
      <x:c r="J826" s="14" t="str">
        <x:v>Earlier-Production Carry-In Cohort</x:v>
      </x:c>
      <x:c r="K826" s="14" t="n">
        <x:v>2021</x:v>
      </x:c>
      <x:c r="L826" s="14" t="str">
        <x:v>Used in 2025 annual analysis</x:v>
      </x:c>
      <x:c r="M826" s="15" t="n">
        <x:v>131</x:v>
      </x:c>
      <x:c r="N826" s="14" t="str">
        <x:v>Annabelle Williams</x:v>
      </x:c>
      <x:c r="O826" s="14" t="str">
        <x:v>nm11782525</x:v>
      </x:c>
      <x:c r="P826" s="14" t="str">
        <x:v>Ines</x:v>
      </x:c>
      <x:c r="Q826" s="15" t="n">
        <x:v>1</x:v>
      </x:c>
      <x:c r="R826" s="14" t="str">
        <x:v>2025</x:v>
      </x:c>
      <x:c r="S826" s="14" t="n">
        <x:v>2025</x:v>
      </x:c>
      <x:c r="T826" s="14" t="n">
        <x:v>2025</x:v>
      </x:c>
      <x:c r="U826" s="14" t="str">
        <x:v>Post-2021 casting excluded</x:v>
      </x:c>
      <x:c r="V826" s="14" t="str">
        <x:v>Earliest supplied year is 2025, later than the 2021 study year.</x:v>
      </x:c>
      <x:c r="W826" s="14"/>
      <x:c r="X826" s="14" t="str">
        <x:v>Included</x:v>
      </x:c>
      <x:c r="Y826" s="14"/>
      <x:c r="Z826" s="14" t="str">
        <x:v>The Madame Blanc Mysteries.docx</x:v>
      </x:c>
      <x:c r="AA826" s="14" t="str">
        <x:v>HYPERLINK is not implemented. linkLocation=https://www.imdb.com/title/tt15499118/fullcredits/, friendlyName=Open source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Channel 5 / 5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6" s="14" t="str">
        <x:v>No qualifying BBC relationship</x:v>
      </x:c>
      <x:c r="AO826" s="14" t="str">
        <x:v>No</x:v>
      </x:c>
      <x:c r="AP826" s="14" t="str">
        <x:v>Out of scope</x:v>
      </x:c>
      <x:c r="AQ826" s="14" t="str">
        <x:v>No</x:v>
      </x:c>
      <x:c r="AR826" s="14" t="str">
        <x:v>Resolved from master register</x:v>
      </x:c>
      <x:c r="AS826" s="14" t="str">
        <x:v>No established-register match</x:v>
      </x:c>
      <x:c r="AT826" s="14"/>
      <x:c r="AU826" s="14"/>
      <x:c r="AV826" s="14" t="str">
        <x:v>No established apparent-disability match</x:v>
      </x:c>
      <x:c r="AW826" s="14"/>
      <x:c r="AX826" s="14" t="str">
        <x:v>No</x:v>
      </x:c>
      <x:c r="AY826" s="14" t="str">
        <x:v>Unmatched</x:v>
      </x:c>
      <x:c r="AZ826" s="14" t="str">
        <x:v>Final supplied register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28</x:v>
      </x:c>
      <x:c r="BP826" s="14" t="str">
        <x:v>Maximum eligible IMDb cast-credit total (28), shared by 4 performer(s); not independently verified as a 2021-only episode total.</x:v>
      </x:c>
      <x:c r="BQ826" s="14" t="str">
        <x:v>Medium</x:v>
      </x:c>
      <x:c r="BR826" s="15" t="n">
        <x:v>1</x:v>
      </x:c>
      <x:c r="BS826" s="16" t="n">
        <x:v>0.03571428571428571</x:v>
      </x:c>
      <x:c r="BT826" s="14" t="str">
        <x:v>One episode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4" t="str">
        <x:v>HYPERLINK is not implemented. linkLocation=https://www.imdb.com/title/tt15499118/fullcredits/, friendlyName=Open source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tt15499118|nm15183311|gaynor</x:v>
      </x:c>
      <x:c r="B827" s="14" t="str">
        <x:v>03</x:v>
      </x:c>
      <x:c r="C827" s="14" t="str">
        <x:v>2021_IMDb_Cast_Lists_Batch_03(1).xlsx</x:v>
      </x:c>
      <x:c r="D827" s="14" t="str">
        <x:v>The Madame Blanc Mysteries</x:v>
      </x:c>
      <x:c r="E827" s="14" t="n">
        <x:v>139</x:v>
      </x:c>
      <x:c r="F827" s="14" t="str">
        <x:v>The Madame Blanc Mysteries</x:v>
      </x:c>
      <x:c r="G827" s="14" t="str">
        <x:v>tt15499118</x:v>
      </x:c>
      <x:c r="H827" s="14" t="n">
        <x:v>2021</x:v>
      </x:c>
      <x:c r="I827" s="14" t="n">
        <x:v>2025</x:v>
      </x:c>
      <x:c r="J827" s="14" t="str">
        <x:v>Earlier-Production Carry-In Cohort</x:v>
      </x:c>
      <x:c r="K827" s="14" t="n">
        <x:v>2021</x:v>
      </x:c>
      <x:c r="L827" s="14" t="str">
        <x:v>Used in 2025 annual analysis</x:v>
      </x:c>
      <x:c r="M827" s="15" t="n">
        <x:v>132</x:v>
      </x:c>
      <x:c r="N827" s="14" t="str">
        <x:v>Marelyn Pielago</x:v>
      </x:c>
      <x:c r="O827" s="14" t="str">
        <x:v>nm15183311</x:v>
      </x:c>
      <x:c r="P827" s="14" t="str">
        <x:v>Gaynor</x:v>
      </x:c>
      <x:c r="Q827" s="15" t="n">
        <x:v>1</x:v>
      </x:c>
      <x:c r="R827" s="14" t="str">
        <x:v>2025</x:v>
      </x:c>
      <x:c r="S827" s="14" t="n">
        <x:v>2025</x:v>
      </x:c>
      <x:c r="T827" s="14" t="n">
        <x:v>2025</x:v>
      </x:c>
      <x:c r="U827" s="14" t="str">
        <x:v>Post-2021 casting excluded</x:v>
      </x:c>
      <x:c r="V827" s="14" t="str">
        <x:v>Earliest supplied year is 2025, later than the 2021 study year.</x:v>
      </x:c>
      <x:c r="W827" s="14"/>
      <x:c r="X827" s="14" t="str">
        <x:v>Included</x:v>
      </x:c>
      <x:c r="Y827" s="14"/>
      <x:c r="Z827" s="14" t="str">
        <x:v>The Madame Blanc Mysteries.docx</x:v>
      </x:c>
      <x:c r="AA827" s="14" t="str">
        <x:v>HYPERLINK is not implemented. linkLocation=https://www.imdb.com/title/tt15499118/fullcredits/, friendlyName=Open source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Channel 5 / 5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7" s="14" t="str">
        <x:v>No qualifying BBC relationship</x:v>
      </x:c>
      <x:c r="AO827" s="14" t="str">
        <x:v>No</x:v>
      </x:c>
      <x:c r="AP827" s="14" t="str">
        <x:v>Out of scope</x:v>
      </x:c>
      <x:c r="AQ827" s="14" t="str">
        <x:v>No</x:v>
      </x:c>
      <x:c r="AR827" s="14" t="str">
        <x:v>Resolved from master register</x:v>
      </x:c>
      <x:c r="AS827" s="14" t="str">
        <x:v>No established-register match</x:v>
      </x:c>
      <x:c r="AT827" s="14"/>
      <x:c r="AU827" s="14"/>
      <x:c r="AV827" s="14" t="str">
        <x:v>No established apparent-disability match</x:v>
      </x:c>
      <x:c r="AW827" s="14"/>
      <x:c r="AX827" s="14" t="str">
        <x:v>No</x:v>
      </x:c>
      <x:c r="AY827" s="14" t="str">
        <x:v>Unmatched</x:v>
      </x:c>
      <x:c r="AZ827" s="14" t="str">
        <x:v>Final supplied register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28</x:v>
      </x:c>
      <x:c r="BP827" s="14" t="str">
        <x:v>Maximum eligible IMDb cast-credit total (28), shared by 4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0.03571428571428571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4" t="str">
        <x:v>HYPERLINK is not implemented. linkLocation=https://www.imdb.com/title/tt15499118/fullcredits/, friendlyName=Open source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tt15499118|nm0861027|george alfonse</x:v>
      </x:c>
      <x:c r="B828" s="14" t="str">
        <x:v>03</x:v>
      </x:c>
      <x:c r="C828" s="14" t="str">
        <x:v>2021_IMDb_Cast_Lists_Batch_03(1).xlsx</x:v>
      </x:c>
      <x:c r="D828" s="14" t="str">
        <x:v>The Madame Blanc Mysteries</x:v>
      </x:c>
      <x:c r="E828" s="14" t="n">
        <x:v>144</x:v>
      </x:c>
      <x:c r="F828" s="14" t="str">
        <x:v>The Madame Blanc Mysteries</x:v>
      </x:c>
      <x:c r="G828" s="14" t="str">
        <x:v>tt15499118</x:v>
      </x:c>
      <x:c r="H828" s="14" t="n">
        <x:v>2021</x:v>
      </x:c>
      <x:c r="I828" s="14" t="n">
        <x:v>2025</x:v>
      </x:c>
      <x:c r="J828" s="14" t="str">
        <x:v>Earlier-Production Carry-In Cohort</x:v>
      </x:c>
      <x:c r="K828" s="14" t="n">
        <x:v>2021</x:v>
      </x:c>
      <x:c r="L828" s="14" t="str">
        <x:v>Used in 2025 annual analysis</x:v>
      </x:c>
      <x:c r="M828" s="15" t="n">
        <x:v>137</x:v>
      </x:c>
      <x:c r="N828" s="14" t="str">
        <x:v>John Thomson</x:v>
      </x:c>
      <x:c r="O828" s="14" t="str">
        <x:v>nm0861027</x:v>
      </x:c>
      <x:c r="P828" s="14" t="str">
        <x:v>George Alfonse</x:v>
      </x:c>
      <x:c r="Q828" s="15" t="n">
        <x:v>1</x:v>
      </x:c>
      <x:c r="R828" s="14" t="str">
        <x:v>2025</x:v>
      </x:c>
      <x:c r="S828" s="14" t="n">
        <x:v>2025</x:v>
      </x:c>
      <x:c r="T828" s="14" t="n">
        <x:v>2025</x:v>
      </x:c>
      <x:c r="U828" s="14" t="str">
        <x:v>Post-2021 casting excluded</x:v>
      </x:c>
      <x:c r="V828" s="14" t="str">
        <x:v>Earliest supplied year is 2025, later than the 2021 study year.</x:v>
      </x:c>
      <x:c r="W828" s="14"/>
      <x:c r="X828" s="14" t="str">
        <x:v>Included</x:v>
      </x:c>
      <x:c r="Y828" s="14"/>
      <x:c r="Z828" s="14" t="str">
        <x:v>The Madame Blanc Mysteries.docx</x:v>
      </x:c>
      <x:c r="AA828" s="14" t="str">
        <x:v>HYPERLINK is not implemented. linkLocation=https://www.imdb.com/title/tt15499118/fullcredits/, friendlyName=Open source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Channel 5 / 5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8" s="14" t="str">
        <x:v>No qualifying BBC relationship</x:v>
      </x:c>
      <x:c r="AO828" s="14" t="str">
        <x:v>No</x:v>
      </x:c>
      <x:c r="AP828" s="14" t="str">
        <x:v>Out of scope</x:v>
      </x:c>
      <x:c r="AQ828" s="14" t="str">
        <x:v>No</x:v>
      </x:c>
      <x:c r="AR828" s="14" t="str">
        <x:v>Resolved from master register</x:v>
      </x:c>
      <x:c r="AS828" s="14" t="str">
        <x:v>No established-register match</x:v>
      </x:c>
      <x:c r="AT828" s="14"/>
      <x:c r="AU828" s="14"/>
      <x:c r="AV828" s="14" t="str">
        <x:v>No established apparent-disability match</x:v>
      </x:c>
      <x:c r="AW828" s="14"/>
      <x:c r="AX828" s="14" t="str">
        <x:v>No</x:v>
      </x:c>
      <x:c r="AY828" s="14" t="str">
        <x:v>Unmatched</x:v>
      </x:c>
      <x:c r="AZ828" s="14" t="str">
        <x:v>Final supplied register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28</x:v>
      </x:c>
      <x:c r="BP828" s="14" t="str">
        <x:v>Maximum eligible IMDb cast-credit total (28), shared by 4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0.03571428571428571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4" t="str">
        <x:v>HYPERLINK is not implemented. linkLocation=https://www.imdb.com/title/tt15499118/fullcredits/, friendlyName=Open source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tt15499118|nm7111262|nellie ocase</x:v>
      </x:c>
      <x:c r="B829" s="14" t="str">
        <x:v>03</x:v>
      </x:c>
      <x:c r="C829" s="14" t="str">
        <x:v>2021_IMDb_Cast_Lists_Batch_03(1).xlsx</x:v>
      </x:c>
      <x:c r="D829" s="14" t="str">
        <x:v>The Madame Blanc Mysteries</x:v>
      </x:c>
      <x:c r="E829" s="14" t="n">
        <x:v>145</x:v>
      </x:c>
      <x:c r="F829" s="14" t="str">
        <x:v>The Madame Blanc Mysteries</x:v>
      </x:c>
      <x:c r="G829" s="14" t="str">
        <x:v>tt15499118</x:v>
      </x:c>
      <x:c r="H829" s="14" t="n">
        <x:v>2021</x:v>
      </x:c>
      <x:c r="I829" s="14" t="n">
        <x:v>2025</x:v>
      </x:c>
      <x:c r="J829" s="14" t="str">
        <x:v>Earlier-Production Carry-In Cohort</x:v>
      </x:c>
      <x:c r="K829" s="14" t="n">
        <x:v>2021</x:v>
      </x:c>
      <x:c r="L829" s="14" t="str">
        <x:v>Used in 2025 annual analysis</x:v>
      </x:c>
      <x:c r="M829" s="15" t="n">
        <x:v>138</x:v>
      </x:c>
      <x:c r="N829" s="14" t="str">
        <x:v>Tegen Short</x:v>
      </x:c>
      <x:c r="O829" s="14" t="str">
        <x:v>nm7111262</x:v>
      </x:c>
      <x:c r="P829" s="14" t="str">
        <x:v>Nellie Ocase</x:v>
      </x:c>
      <x:c r="Q829" s="15" t="n">
        <x:v>1</x:v>
      </x:c>
      <x:c r="R829" s="14" t="str">
        <x:v>2025</x:v>
      </x:c>
      <x:c r="S829" s="14" t="n">
        <x:v>2025</x:v>
      </x:c>
      <x:c r="T829" s="14" t="n">
        <x:v>2025</x:v>
      </x:c>
      <x:c r="U829" s="14" t="str">
        <x:v>Post-2021 casting excluded</x:v>
      </x:c>
      <x:c r="V829" s="14" t="str">
        <x:v>Earliest supplied year is 2025, later than the 2021 study year.</x:v>
      </x:c>
      <x:c r="W829" s="14"/>
      <x:c r="X829" s="14" t="str">
        <x:v>Included</x:v>
      </x:c>
      <x:c r="Y829" s="14"/>
      <x:c r="Z829" s="14" t="str">
        <x:v>The Madame Blanc Mysteries.docx</x:v>
      </x:c>
      <x:c r="AA829" s="14" t="str">
        <x:v>HYPERLINK is not implemented. linkLocation=https://www.imdb.com/title/tt15499118/fullcredits/, friendlyName=Open source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Channel 5 / 5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9" s="14" t="str">
        <x:v>No qualifying BBC relationship</x:v>
      </x:c>
      <x:c r="AO829" s="14" t="str">
        <x:v>No</x:v>
      </x:c>
      <x:c r="AP829" s="14" t="str">
        <x:v>Out of scope</x:v>
      </x:c>
      <x:c r="AQ829" s="14" t="str">
        <x:v>No</x:v>
      </x:c>
      <x:c r="AR829" s="14" t="str">
        <x:v>Resolved from master register</x:v>
      </x:c>
      <x:c r="AS829" s="14" t="str">
        <x:v>No established-register match</x:v>
      </x:c>
      <x:c r="AT829" s="14"/>
      <x:c r="AU829" s="14"/>
      <x:c r="AV829" s="14" t="str">
        <x:v>No established apparent-disability match</x:v>
      </x:c>
      <x:c r="AW829" s="14"/>
      <x:c r="AX829" s="14" t="str">
        <x:v>No</x:v>
      </x:c>
      <x:c r="AY829" s="14" t="str">
        <x:v>Unmatched</x:v>
      </x:c>
      <x:c r="AZ829" s="14" t="str">
        <x:v>Final supplied register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28</x:v>
      </x:c>
      <x:c r="BP829" s="14" t="str">
        <x:v>Maximum eligible IMDb cast-credit total (28), shared by 4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0.03571428571428571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4" t="str">
        <x:v>HYPERLINK is not implemented. linkLocation=https://www.imdb.com/title/tt15499118/fullcredits/, friendlyName=Open source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tt15499118|nm12415996|suzanne</x:v>
      </x:c>
      <x:c r="B830" s="14" t="str">
        <x:v>03</x:v>
      </x:c>
      <x:c r="C830" s="14" t="str">
        <x:v>2021_IMDb_Cast_Lists_Batch_03(1).xlsx</x:v>
      </x:c>
      <x:c r="D830" s="14" t="str">
        <x:v>The Madame Blanc Mysteries</x:v>
      </x:c>
      <x:c r="E830" s="14" t="n">
        <x:v>147</x:v>
      </x:c>
      <x:c r="F830" s="14" t="str">
        <x:v>The Madame Blanc Mysteries</x:v>
      </x:c>
      <x:c r="G830" s="14" t="str">
        <x:v>tt15499118</x:v>
      </x:c>
      <x:c r="H830" s="14" t="n">
        <x:v>2021</x:v>
      </x:c>
      <x:c r="I830" s="14" t="n">
        <x:v>2025</x:v>
      </x:c>
      <x:c r="J830" s="14" t="str">
        <x:v>Earlier-Production Carry-In Cohort</x:v>
      </x:c>
      <x:c r="K830" s="14" t="n">
        <x:v>2021</x:v>
      </x:c>
      <x:c r="L830" s="14" t="str">
        <x:v>Used in 2025 annual analysis</x:v>
      </x:c>
      <x:c r="M830" s="15" t="n">
        <x:v>140</x:v>
      </x:c>
      <x:c r="N830" s="14" t="str">
        <x:v>Marta Vella</x:v>
      </x:c>
      <x:c r="O830" s="14" t="str">
        <x:v>nm12415996</x:v>
      </x:c>
      <x:c r="P830" s="14" t="str">
        <x:v>Suzanne</x:v>
      </x:c>
      <x:c r="Q830" s="15" t="n">
        <x:v>1</x:v>
      </x:c>
      <x:c r="R830" s="14" t="str">
        <x:v>2025</x:v>
      </x:c>
      <x:c r="S830" s="14" t="n">
        <x:v>2025</x:v>
      </x:c>
      <x:c r="T830" s="14" t="n">
        <x:v>2025</x:v>
      </x:c>
      <x:c r="U830" s="14" t="str">
        <x:v>Post-2021 casting excluded</x:v>
      </x:c>
      <x:c r="V830" s="14" t="str">
        <x:v>Earliest supplied year is 2025, later than the 2021 study year.</x:v>
      </x:c>
      <x:c r="W830" s="14"/>
      <x:c r="X830" s="14" t="str">
        <x:v>Included</x:v>
      </x:c>
      <x:c r="Y830" s="14"/>
      <x:c r="Z830" s="14" t="str">
        <x:v>The Madame Blanc Mysteries.docx</x:v>
      </x:c>
      <x:c r="AA830" s="14" t="str">
        <x:v>HYPERLINK is not implemented. linkLocation=https://www.imdb.com/title/tt15499118/fullcredits/, friendlyName=Open source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Channel 5 / 5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0" s="14" t="str">
        <x:v>No qualifying BBC relationship</x:v>
      </x:c>
      <x:c r="AO830" s="14" t="str">
        <x:v>No</x:v>
      </x:c>
      <x:c r="AP830" s="14" t="str">
        <x:v>Out of scope</x:v>
      </x:c>
      <x:c r="AQ830" s="14" t="str">
        <x:v>No</x:v>
      </x:c>
      <x:c r="AR830" s="14" t="str">
        <x:v>Resolved from master register</x:v>
      </x:c>
      <x:c r="AS830" s="14" t="str">
        <x:v>No established-register match</x:v>
      </x:c>
      <x:c r="AT830" s="14"/>
      <x:c r="AU830" s="14"/>
      <x:c r="AV830" s="14" t="str">
        <x:v>No established apparent-disability match</x:v>
      </x:c>
      <x:c r="AW830" s="14"/>
      <x:c r="AX830" s="14" t="str">
        <x:v>No</x:v>
      </x:c>
      <x:c r="AY830" s="14" t="str">
        <x:v>Unmatched</x:v>
      </x:c>
      <x:c r="AZ830" s="14" t="str">
        <x:v>Final supplied register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28</x:v>
      </x:c>
      <x:c r="BP830" s="14" t="str">
        <x:v>Maximum eligible IMDb cast-credit total (28), shared by 4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0.03571428571428571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4" t="str">
        <x:v>HYPERLINK is not implemented. linkLocation=https://www.imdb.com/title/tt15499118/fullcredits/, friendlyName=Open source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tt15499118|nm1528671|sangita pardeep</x:v>
      </x:c>
      <x:c r="B831" s="14" t="str">
        <x:v>03</x:v>
      </x:c>
      <x:c r="C831" s="14" t="str">
        <x:v>2021_IMDb_Cast_Lists_Batch_03(1).xlsx</x:v>
      </x:c>
      <x:c r="D831" s="14" t="str">
        <x:v>The Madame Blanc Mysteries</x:v>
      </x:c>
      <x:c r="E831" s="14" t="n">
        <x:v>148</x:v>
      </x:c>
      <x:c r="F831" s="14" t="str">
        <x:v>The Madame Blanc Mysteries</x:v>
      </x:c>
      <x:c r="G831" s="14" t="str">
        <x:v>tt15499118</x:v>
      </x:c>
      <x:c r="H831" s="14" t="n">
        <x:v>2021</x:v>
      </x:c>
      <x:c r="I831" s="14" t="n">
        <x:v>2025</x:v>
      </x:c>
      <x:c r="J831" s="14" t="str">
        <x:v>Earlier-Production Carry-In Cohort</x:v>
      </x:c>
      <x:c r="K831" s="14" t="n">
        <x:v>2021</x:v>
      </x:c>
      <x:c r="L831" s="14" t="str">
        <x:v>Used in 2025 annual analysis</x:v>
      </x:c>
      <x:c r="M831" s="15" t="n">
        <x:v>141</x:v>
      </x:c>
      <x:c r="N831" s="14" t="str">
        <x:v>Manjinder Virk</x:v>
      </x:c>
      <x:c r="O831" s="14" t="str">
        <x:v>nm1528671</x:v>
      </x:c>
      <x:c r="P831" s="14" t="str">
        <x:v>Sangita Pardeep</x:v>
      </x:c>
      <x:c r="Q831" s="15" t="n">
        <x:v>1</x:v>
      </x:c>
      <x:c r="R831" s="14" t="str">
        <x:v>2025</x:v>
      </x:c>
      <x:c r="S831" s="14" t="n">
        <x:v>2025</x:v>
      </x:c>
      <x:c r="T831" s="14" t="n">
        <x:v>2025</x:v>
      </x:c>
      <x:c r="U831" s="14" t="str">
        <x:v>Post-2021 casting excluded</x:v>
      </x:c>
      <x:c r="V831" s="14" t="str">
        <x:v>Earliest supplied year is 2025, later than the 2021 study year.</x:v>
      </x:c>
      <x:c r="W831" s="14"/>
      <x:c r="X831" s="14" t="str">
        <x:v>Included</x:v>
      </x:c>
      <x:c r="Y831" s="14"/>
      <x:c r="Z831" s="14" t="str">
        <x:v>The Madame Blanc Mysteries.docx</x:v>
      </x:c>
      <x:c r="AA831" s="14" t="str">
        <x:v>HYPERLINK is not implemented. linkLocation=https://www.imdb.com/title/tt15499118/fullcredits/, friendlyName=Open source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Channel 5 / 5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1" s="14" t="str">
        <x:v>No qualifying BBC relationship</x:v>
      </x:c>
      <x:c r="AO831" s="14" t="str">
        <x:v>No</x:v>
      </x:c>
      <x:c r="AP831" s="14" t="str">
        <x:v>Out of scope</x:v>
      </x:c>
      <x:c r="AQ831" s="14" t="str">
        <x:v>No</x:v>
      </x:c>
      <x:c r="AR831" s="14" t="str">
        <x:v>Resolved from master register</x:v>
      </x:c>
      <x:c r="AS831" s="14" t="str">
        <x:v>No established-register match</x:v>
      </x:c>
      <x:c r="AT831" s="14"/>
      <x:c r="AU831" s="14"/>
      <x:c r="AV831" s="14" t="str">
        <x:v>No established apparent-disability match</x:v>
      </x:c>
      <x:c r="AW831" s="14"/>
      <x:c r="AX831" s="14" t="str">
        <x:v>No</x:v>
      </x:c>
      <x:c r="AY831" s="14" t="str">
        <x:v>Unmatched</x:v>
      </x:c>
      <x:c r="AZ831" s="14" t="str">
        <x:v>Final supplied register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28</x:v>
      </x:c>
      <x:c r="BP831" s="14" t="str">
        <x:v>Maximum eligible IMDb cast-credit total (28), shared by 4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0.03571428571428571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4" t="str">
        <x:v>HYPERLINK is not implemented. linkLocation=https://www.imdb.com/title/tt15499118/fullcredits/, friendlyName=Open source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ef890d1d04414c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5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Inherited 2025 first appearances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826 records were available from the completed 2024 cumulative ledger and promoted into the 2025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tt21438656|nm5371681|devonye</x:v>
      </x:c>
      <x:c r="B6" s="14" t="str">
        <x:v>01</x:v>
      </x:c>
      <x:c r="C6" s="14" t="str">
        <x:v>2024_IMDb_Cast_Lists_Batch_01(1).xlsx</x:v>
      </x:c>
      <x:c r="D6" s="14" t="str">
        <x:v>Boarders</x:v>
      </x:c>
      <x:c r="E6" s="14" t="n">
        <x:v>25</x:v>
      </x:c>
      <x:c r="F6" s="14" t="str">
        <x:v>Boarders</x:v>
      </x:c>
      <x:c r="G6" s="14" t="str">
        <x:v>tt21438656</x:v>
      </x:c>
      <x:c r="H6" s="14" t="n">
        <x:v>2024</x:v>
      </x:c>
      <x:c r="I6" s="14" t="n">
        <x:v>2025</x:v>
      </x:c>
      <x:c r="J6" s="14" t="str">
        <x:v>Earlier-Production Carry-In Cohort</x:v>
      </x:c>
      <x:c r="K6" s="14" t="n">
        <x:v>2024</x:v>
      </x:c>
      <x:c r="L6" s="14" t="str">
        <x:v>Not inherited</x:v>
      </x:c>
      <x:c r="M6" s="15" t="n">
        <x:v>18</x:v>
      </x:c>
      <x:c r="N6" s="14" t="str">
        <x:v>Kendra Brown</x:v>
      </x:c>
      <x:c r="O6" s="14" t="str">
        <x:v>nm5371681</x:v>
      </x:c>
      <x:c r="P6" s="14" t="str">
        <x:v>Devonye</x:v>
      </x:c>
      <x:c r="Q6" s="15" t="n">
        <x:v>12</x:v>
      </x:c>
      <x:c r="R6" s="14" t="str">
        <x:v>2025–2026</x:v>
      </x:c>
      <x:c r="S6" s="14" t="n">
        <x:v>2025</x:v>
      </x:c>
      <x:c r="T6" s="14" t="n">
        <x:v>2025</x:v>
      </x:c>
      <x:c r="U6" s="14" t="str">
        <x:v>Explicit source first year retained</x:v>
      </x:c>
      <x:c r="V6" s="14" t="str">
        <x:v>Earliest supplied year is 2025.</x:v>
      </x:c>
      <x:c r="W6" s="14"/>
      <x:c r="X6" s="14" t="str">
        <x:v>Included</x:v>
      </x:c>
      <x:c r="Y6" s="14"/>
      <x:c r="Z6" s="14" t="str">
        <x:v>Boarders.docx</x:v>
      </x:c>
      <x:c r="AA6" s="14" t="str">
        <x:v>HYPERLINK is not implemented. linkLocation=https://www.imdb.com/title/tt21438656/fullcredits/,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HYPERLINK("https://en.wikipedia.org/wiki/Boarders","Open source")</x:f>
        <x:v>HYPERLINK is not implemented. linkLocation=https://en.wikipedia.org/wiki/Boarders,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 t="str">
        <x:v>No established-register match</x:v>
      </x:c>
      <x:c r="AT6" s="14"/>
      <x:c r="AU6" s="14"/>
      <x:c r="AV6" s="14" t="str">
        <x:v>No established apparent-disability match</x:v>
      </x:c>
      <x:c r="AW6" s="14"/>
      <x:c r="AX6" s="14" t="str">
        <x:v>No</x:v>
      </x:c>
      <x:c r="AY6" s="14" t="str">
        <x:v>Unmatched</x:v>
      </x:c>
      <x:c r="AZ6" s="14" t="str">
        <x:v>Final supplied register</x:v>
      </x:c>
      <x:c r="BA6" s="14" t="str">
        <x:v>Absence from the register is not evidence that the performer is not disabled.</x:v>
      </x:c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18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12</x:v>
      </x:c>
      <x:c r="BS6" s="16" t="n">
        <x:v>0.6666666666666666</x:v>
      </x:c>
      <x:c r="BT6" s="14" t="str">
        <x:v>Majority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HYPERLINK is not implemented. linkLocation=https://www.imdb.com/title/tt21438656/fullcredits/,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tt21438656|nm13595767|jonny / masked raisinette</x:v>
      </x:c>
      <x:c r="B7" s="14" t="str">
        <x:v>01</x:v>
      </x:c>
      <x:c r="C7" s="14" t="str">
        <x:v>2024_IMDb_Cast_Lists_Batch_01(1).xlsx</x:v>
      </x:c>
      <x:c r="D7" s="14" t="str">
        <x:v>Boarders</x:v>
      </x:c>
      <x:c r="E7" s="14" t="n">
        <x:v>29</x:v>
      </x:c>
      <x:c r="F7" s="14" t="str">
        <x:v>Boarders</x:v>
      </x:c>
      <x:c r="G7" s="14" t="str">
        <x:v>tt21438656</x:v>
      </x:c>
      <x:c r="H7" s="14" t="n">
        <x:v>2024</x:v>
      </x:c>
      <x:c r="I7" s="14" t="n">
        <x:v>2025</x:v>
      </x:c>
      <x:c r="J7" s="14" t="str">
        <x:v>Earlier-Production Carry-In Cohort</x:v>
      </x:c>
      <x:c r="K7" s="14" t="n">
        <x:v>2024</x:v>
      </x:c>
      <x:c r="L7" s="14" t="str">
        <x:v>Not inherited</x:v>
      </x:c>
      <x:c r="M7" s="15" t="n">
        <x:v>22</x:v>
      </x:c>
      <x:c r="N7" s="14" t="str">
        <x:v>Louis Thresher</x:v>
      </x:c>
      <x:c r="O7" s="14" t="str">
        <x:v>nm13595767</x:v>
      </x:c>
      <x:c r="P7" s="14" t="str">
        <x:v>Jonny / Masked Raisinette</x:v>
      </x:c>
      <x:c r="Q7" s="15" t="n">
        <x:v>10</x:v>
      </x:c>
      <x:c r="R7" s="14" t="str">
        <x:v>2025–2026</x:v>
      </x:c>
      <x:c r="S7" s="14" t="n">
        <x:v>2025</x:v>
      </x:c>
      <x:c r="T7" s="14" t="n">
        <x:v>2025</x:v>
      </x:c>
      <x:c r="U7" s="14" t="str">
        <x:v>Explicit source first year retained</x:v>
      </x:c>
      <x:c r="V7" s="14" t="str">
        <x:v>Earliest supplied year is 2025.</x:v>
      </x:c>
      <x:c r="W7" s="14"/>
      <x:c r="X7" s="14" t="str">
        <x:v>Included</x:v>
      </x:c>
      <x:c r="Y7" s="14"/>
      <x:c r="Z7" s="14" t="str">
        <x:v>Boarders.docx</x:v>
      </x:c>
      <x:c r="AA7" s="14" t="str">
        <x:v>HYPERLINK is not implemented. linkLocation=https://www.imdb.com/title/tt21438656/fullcredits/,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HYPERLINK("https://en.wikipedia.org/wiki/Boarders","Open source")</x:f>
        <x:v>HYPERLINK is not implemented. linkLocation=https://en.wikipedia.org/wiki/Boarders,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 t="str">
        <x:v>No established-register match</x:v>
      </x:c>
      <x:c r="AT7" s="14"/>
      <x:c r="AU7" s="14"/>
      <x:c r="AV7" s="14" t="str">
        <x:v>No established apparent-disability match</x:v>
      </x:c>
      <x:c r="AW7" s="14"/>
      <x:c r="AX7" s="14" t="str">
        <x:v>No</x:v>
      </x:c>
      <x:c r="AY7" s="14" t="str">
        <x:v>Unmatched</x:v>
      </x:c>
      <x:c r="AZ7" s="14" t="str">
        <x:v>Final supplied register</x:v>
      </x:c>
      <x:c r="BA7" s="14" t="str">
        <x:v>Absence from the register is not evidence that the performer is not disabled.</x:v>
      </x:c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18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10</x:v>
      </x:c>
      <x:c r="BS7" s="16" t="n">
        <x:v>0.5555555555555556</x:v>
      </x:c>
      <x:c r="BT7" s="14" t="str">
        <x:v>Majority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HYPERLINK is not implemented. linkLocation=https://www.imdb.com/title/tt21438656/fullcredits/,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tt21438656|nm4925834|jude</x:v>
      </x:c>
      <x:c r="B8" s="14" t="str">
        <x:v>01</x:v>
      </x:c>
      <x:c r="C8" s="14" t="str">
        <x:v>2024_IMDb_Cast_Lists_Batch_01(1).xlsx</x:v>
      </x:c>
      <x:c r="D8" s="14" t="str">
        <x:v>Boarders</x:v>
      </x:c>
      <x:c r="E8" s="14" t="n">
        <x:v>39</x:v>
      </x:c>
      <x:c r="F8" s="14" t="str">
        <x:v>Boarders</x:v>
      </x:c>
      <x:c r="G8" s="14" t="str">
        <x:v>tt21438656</x:v>
      </x:c>
      <x:c r="H8" s="14" t="n">
        <x:v>2024</x:v>
      </x:c>
      <x:c r="I8" s="14" t="n">
        <x:v>2025</x:v>
      </x:c>
      <x:c r="J8" s="14" t="str">
        <x:v>Earlier-Production Carry-In Cohort</x:v>
      </x:c>
      <x:c r="K8" s="14" t="n">
        <x:v>2024</x:v>
      </x:c>
      <x:c r="L8" s="14" t="str">
        <x:v>Not inherited</x:v>
      </x:c>
      <x:c r="M8" s="15" t="n">
        <x:v>32</x:v>
      </x:c>
      <x:c r="N8" s="14" t="str">
        <x:v>Cara Theobold</x:v>
      </x:c>
      <x:c r="O8" s="14" t="str">
        <x:v>nm4925834</x:v>
      </x:c>
      <x:c r="P8" s="14" t="str">
        <x:v>Jude</x:v>
      </x:c>
      <x:c r="Q8" s="15" t="n">
        <x:v>6</x:v>
      </x:c>
      <x:c r="R8" s="14" t="str">
        <x:v>2025</x:v>
      </x:c>
      <x:c r="S8" s="14" t="n">
        <x:v>2025</x:v>
      </x:c>
      <x:c r="T8" s="14" t="n">
        <x:v>2025</x:v>
      </x:c>
      <x:c r="U8" s="14" t="str">
        <x:v>Explicit source first year retained</x:v>
      </x:c>
      <x:c r="V8" s="14" t="str">
        <x:v>Earliest supplied year is 2025.</x:v>
      </x:c>
      <x:c r="W8" s="14"/>
      <x:c r="X8" s="14" t="str">
        <x:v>Included</x:v>
      </x:c>
      <x:c r="Y8" s="14"/>
      <x:c r="Z8" s="14" t="str">
        <x:v>Boarders.docx</x:v>
      </x:c>
      <x:c r="AA8" s="14" t="str">
        <x:v>HYPERLINK is not implemented. linkLocation=https://www.imdb.com/title/tt21438656/fullcredits/,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HYPERLINK("https://en.wikipedia.org/wiki/Boarders","Open source")</x:f>
        <x:v>HYPERLINK is not implemented. linkLocation=https://en.wikipedia.org/wiki/Boarders,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 t="str">
        <x:v>No established-register match</x:v>
      </x:c>
      <x:c r="AT8" s="14"/>
      <x:c r="AU8" s="14"/>
      <x:c r="AV8" s="14" t="str">
        <x:v>No established apparent-disability match</x:v>
      </x:c>
      <x:c r="AW8" s="14"/>
      <x:c r="AX8" s="14" t="str">
        <x:v>No</x:v>
      </x:c>
      <x:c r="AY8" s="14" t="str">
        <x:v>Unmatched</x:v>
      </x:c>
      <x:c r="AZ8" s="14" t="str">
        <x:v>Final supplied register</x:v>
      </x:c>
      <x:c r="BA8" s="14" t="str">
        <x:v>Absence from the register is not evidence that the performer is not disabled.</x:v>
      </x:c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18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6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HYPERLINK is not implemented. linkLocation=https://www.imdb.com/title/tt21438656/fullcredits/,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tt21438656|nm16981922|yusef</x:v>
      </x:c>
      <x:c r="B9" s="14" t="str">
        <x:v>01</x:v>
      </x:c>
      <x:c r="C9" s="14" t="str">
        <x:v>2024_IMDb_Cast_Lists_Batch_01(1).xlsx</x:v>
      </x:c>
      <x:c r="D9" s="14" t="str">
        <x:v>Boarders</x:v>
      </x:c>
      <x:c r="E9" s="14" t="n">
        <x:v>43</x:v>
      </x:c>
      <x:c r="F9" s="14" t="str">
        <x:v>Boarders</x:v>
      </x:c>
      <x:c r="G9" s="14" t="str">
        <x:v>tt21438656</x:v>
      </x:c>
      <x:c r="H9" s="14" t="n">
        <x:v>2024</x:v>
      </x:c>
      <x:c r="I9" s="14" t="n">
        <x:v>2025</x:v>
      </x:c>
      <x:c r="J9" s="14" t="str">
        <x:v>Earlier-Production Carry-In Cohort</x:v>
      </x:c>
      <x:c r="K9" s="14" t="n">
        <x:v>2024</x:v>
      </x:c>
      <x:c r="L9" s="14" t="str">
        <x:v>Not inherited</x:v>
      </x:c>
      <x:c r="M9" s="15" t="n">
        <x:v>36</x:v>
      </x:c>
      <x:c r="N9" s="14" t="str">
        <x:v>Nagaieh Dad</x:v>
      </x:c>
      <x:c r="O9" s="14" t="str">
        <x:v>nm16981922</x:v>
      </x:c>
      <x:c r="P9" s="14" t="str">
        <x:v>Yusef</x:v>
      </x:c>
      <x:c r="Q9" s="15" t="n">
        <x:v>5</x:v>
      </x:c>
      <x:c r="R9" s="14" t="str">
        <x:v>2025–2026</x:v>
      </x:c>
      <x:c r="S9" s="14" t="n">
        <x:v>2025</x:v>
      </x:c>
      <x:c r="T9" s="14" t="n">
        <x:v>2025</x:v>
      </x:c>
      <x:c r="U9" s="14" t="str">
        <x:v>Explicit source first year retained</x:v>
      </x:c>
      <x:c r="V9" s="14" t="str">
        <x:v>Earliest supplied year is 2025.</x:v>
      </x:c>
      <x:c r="W9" s="14"/>
      <x:c r="X9" s="14" t="str">
        <x:v>Included</x:v>
      </x:c>
      <x:c r="Y9" s="14"/>
      <x:c r="Z9" s="14" t="str">
        <x:v>Boarders.docx</x:v>
      </x:c>
      <x:c r="AA9" s="14" t="str">
        <x:v>HYPERLINK is not implemented. linkLocation=https://www.imdb.com/title/tt21438656/fullcredits/,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HYPERLINK("https://en.wikipedia.org/wiki/Boarders","Open source")</x:f>
        <x:v>HYPERLINK is not implemented. linkLocation=https://en.wikipedia.org/wiki/Boarders,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 t="str">
        <x:v>No established-register match</x:v>
      </x:c>
      <x:c r="AT9" s="14"/>
      <x:c r="AU9" s="14"/>
      <x:c r="AV9" s="14" t="str">
        <x:v>No established apparent-disability match</x:v>
      </x:c>
      <x:c r="AW9" s="14"/>
      <x:c r="AX9" s="14" t="str">
        <x:v>No</x:v>
      </x:c>
      <x:c r="AY9" s="14" t="str">
        <x:v>Unmatched</x:v>
      </x:c>
      <x:c r="AZ9" s="14" t="str">
        <x:v>Final supplied register</x:v>
      </x:c>
      <x:c r="BA9" s="14" t="str">
        <x:v>Absence from the register is not evidence that the performer is not disabled.</x:v>
      </x:c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18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5</x:v>
      </x:c>
      <x:c r="BS9" s="16" t="n">
        <x:v>0.2777777777777778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HYPERLINK is not implemented. linkLocation=https://www.imdb.com/title/tt21438656/fullcredits/,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tt21438656|nm2148911|grace</x:v>
      </x:c>
      <x:c r="B10" s="14" t="str">
        <x:v>01</x:v>
      </x:c>
      <x:c r="C10" s="14" t="str">
        <x:v>2024_IMDb_Cast_Lists_Batch_01(1).xlsx</x:v>
      </x:c>
      <x:c r="D10" s="14" t="str">
        <x:v>Boarders</x:v>
      </x:c>
      <x:c r="E10" s="14" t="n">
        <x:v>45</x:v>
      </x:c>
      <x:c r="F10" s="14" t="str">
        <x:v>Boarders</x:v>
      </x:c>
      <x:c r="G10" s="14" t="str">
        <x:v>tt21438656</x:v>
      </x:c>
      <x:c r="H10" s="14" t="n">
        <x:v>2024</x:v>
      </x:c>
      <x:c r="I10" s="14" t="n">
        <x:v>2025</x:v>
      </x:c>
      <x:c r="J10" s="14" t="str">
        <x:v>Earlier-Production Carry-In Cohort</x:v>
      </x:c>
      <x:c r="K10" s="14" t="n">
        <x:v>2024</x:v>
      </x:c>
      <x:c r="L10" s="14" t="str">
        <x:v>Not inherited</x:v>
      </x:c>
      <x:c r="M10" s="15" t="n">
        <x:v>38</x:v>
      </x:c>
      <x:c r="N10" s="14" t="str">
        <x:v>Wunmi Mosaku</x:v>
      </x:c>
      <x:c r="O10" s="14" t="str">
        <x:v>nm2148911</x:v>
      </x:c>
      <x:c r="P10" s="14" t="str">
        <x:v>Grace</x:v>
      </x:c>
      <x:c r="Q10" s="15" t="n">
        <x:v>4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Explicit source first year retained</x:v>
      </x:c>
      <x:c r="V10" s="14" t="str">
        <x:v>Earliest supplied year is 2025.</x:v>
      </x:c>
      <x:c r="W10" s="14"/>
      <x:c r="X10" s="14" t="str">
        <x:v>Included</x:v>
      </x:c>
      <x:c r="Y10" s="14"/>
      <x:c r="Z10" s="14" t="str">
        <x:v>Boarders.docx</x:v>
      </x:c>
      <x:c r="AA10" s="14" t="str">
        <x:v>HYPERLINK is not implemented. linkLocation=https://www.imdb.com/title/tt21438656/fullcredits/,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HYPERLINK("https://en.wikipedia.org/wiki/Boarders","Open source")</x:f>
        <x:v>HYPERLINK is not implemented. linkLocation=https://en.wikipedia.org/wiki/Boarders,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 t="str">
        <x:v>No established-register match</x:v>
      </x:c>
      <x:c r="AT10" s="14"/>
      <x:c r="AU10" s="14"/>
      <x:c r="AV10" s="14" t="str">
        <x:v>No established apparent-disability match</x:v>
      </x:c>
      <x:c r="AW10" s="14"/>
      <x:c r="AX10" s="14" t="str">
        <x:v>No</x:v>
      </x:c>
      <x:c r="AY10" s="14" t="str">
        <x:v>Unmatched</x:v>
      </x:c>
      <x:c r="AZ10" s="14" t="str">
        <x:v>Final supplied register</x:v>
      </x:c>
      <x:c r="BA10" s="14" t="str">
        <x:v>Absence from the register is not evidence that the performer is not disabled.</x:v>
      </x:c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18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4</x:v>
      </x:c>
      <x:c r="BS10" s="16" t="n">
        <x:v>0.2222222222222222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HYPERLINK is not implemented. linkLocation=https://www.imdb.com/title/tt21438656/fullcredits/,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tt21438656|nm4931318|uncle teju</x:v>
      </x:c>
      <x:c r="B11" s="14" t="str">
        <x:v>01</x:v>
      </x:c>
      <x:c r="C11" s="14" t="str">
        <x:v>2024_IMDb_Cast_Lists_Batch_01(1).xlsx</x:v>
      </x:c>
      <x:c r="D11" s="14" t="str">
        <x:v>Boarders</x:v>
      </x:c>
      <x:c r="E11" s="14" t="n">
        <x:v>48</x:v>
      </x:c>
      <x:c r="F11" s="14" t="str">
        <x:v>Boarders</x:v>
      </x:c>
      <x:c r="G11" s="14" t="str">
        <x:v>tt21438656</x:v>
      </x:c>
      <x:c r="H11" s="14" t="n">
        <x:v>2024</x:v>
      </x:c>
      <x:c r="I11" s="14" t="n">
        <x:v>2025</x:v>
      </x:c>
      <x:c r="J11" s="14" t="str">
        <x:v>Earlier-Production Carry-In Cohort</x:v>
      </x:c>
      <x:c r="K11" s="14" t="n">
        <x:v>2024</x:v>
      </x:c>
      <x:c r="L11" s="14" t="str">
        <x:v>Not inherited</x:v>
      </x:c>
      <x:c r="M11" s="15" t="n">
        <x:v>41</x:v>
      </x:c>
      <x:c r="N11" s="14" t="str">
        <x:v>Michael Salami</x:v>
      </x:c>
      <x:c r="O11" s="14" t="str">
        <x:v>nm4931318</x:v>
      </x:c>
      <x:c r="P11" s="14" t="str">
        <x:v>Uncle Teju</x:v>
      </x:c>
      <x:c r="Q11" s="15" t="n">
        <x:v>4</x:v>
      </x:c>
      <x:c r="R11" s="14" t="str">
        <x:v>2025–2026</x:v>
      </x:c>
      <x:c r="S11" s="14" t="n">
        <x:v>2025</x:v>
      </x:c>
      <x:c r="T11" s="14" t="n">
        <x:v>2025</x:v>
      </x:c>
      <x:c r="U11" s="14" t="str">
        <x:v>Explicit source first year retained</x:v>
      </x:c>
      <x:c r="V11" s="14" t="str">
        <x:v>Earliest supplied year is 2025.</x:v>
      </x:c>
      <x:c r="W11" s="14"/>
      <x:c r="X11" s="14" t="str">
        <x:v>Included</x:v>
      </x:c>
      <x:c r="Y11" s="14"/>
      <x:c r="Z11" s="14" t="str">
        <x:v>Boarders.docx</x:v>
      </x:c>
      <x:c r="AA11" s="14" t="str">
        <x:v>HYPERLINK is not implemented. linkLocation=https://www.imdb.com/title/tt21438656/fullcredits/,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HYPERLINK("https://en.wikipedia.org/wiki/Boarders","Open source")</x:f>
        <x:v>HYPERLINK is not implemented. linkLocation=https://en.wikipedia.org/wiki/Boarders,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 t="str">
        <x:v>No established-register match</x:v>
      </x:c>
      <x:c r="AT11" s="14"/>
      <x:c r="AU11" s="14"/>
      <x:c r="AV11" s="14" t="str">
        <x:v>No established apparent-disability match</x:v>
      </x:c>
      <x:c r="AW11" s="14"/>
      <x:c r="AX11" s="14" t="str">
        <x:v>No</x:v>
      </x:c>
      <x:c r="AY11" s="14" t="str">
        <x:v>Unmatched</x:v>
      </x:c>
      <x:c r="AZ11" s="14" t="str">
        <x:v>Final supplied register</x:v>
      </x:c>
      <x:c r="BA11" s="14" t="str">
        <x:v>Absence from the register is not evidence that the performer is not disabled.</x:v>
      </x:c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18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4</x:v>
      </x:c>
      <x:c r="BS11" s="16" t="n">
        <x:v>0.2222222222222222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HYPERLINK is not implemented. linkLocation=https://www.imdb.com/title/tt21438656/fullcredits/,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tt21438656|nm17640611|cab driver</x:v>
      </x:c>
      <x:c r="B12" s="14" t="str">
        <x:v>01</x:v>
      </x:c>
      <x:c r="C12" s="14" t="str">
        <x:v>2024_IMDb_Cast_Lists_Batch_01(1).xlsx</x:v>
      </x:c>
      <x:c r="D12" s="14" t="str">
        <x:v>Boarders</x:v>
      </x:c>
      <x:c r="E12" s="14" t="n">
        <x:v>57</x:v>
      </x:c>
      <x:c r="F12" s="14" t="str">
        <x:v>Boarders</x:v>
      </x:c>
      <x:c r="G12" s="14" t="str">
        <x:v>tt21438656</x:v>
      </x:c>
      <x:c r="H12" s="14" t="n">
        <x:v>2024</x:v>
      </x:c>
      <x:c r="I12" s="14" t="n">
        <x:v>2025</x:v>
      </x:c>
      <x:c r="J12" s="14" t="str">
        <x:v>Earlier-Production Carry-In Cohort</x:v>
      </x:c>
      <x:c r="K12" s="14" t="n">
        <x:v>2024</x:v>
      </x:c>
      <x:c r="L12" s="14" t="str">
        <x:v>Not inherited</x:v>
      </x:c>
      <x:c r="M12" s="15" t="n">
        <x:v>50</x:v>
      </x:c>
      <x:c r="N12" s="14" t="str">
        <x:v>Junaid Faizullah-Ward</x:v>
      </x:c>
      <x:c r="O12" s="14" t="str">
        <x:v>nm17640611</x:v>
      </x:c>
      <x:c r="P12" s="14" t="str">
        <x:v>Cab Driver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Explicit source first year retained</x:v>
      </x:c>
      <x:c r="V12" s="14" t="str">
        <x:v>Earliest supplied year is 2025.</x:v>
      </x:c>
      <x:c r="W12" s="14"/>
      <x:c r="X12" s="14" t="str">
        <x:v>Included</x:v>
      </x:c>
      <x:c r="Y12" s="14"/>
      <x:c r="Z12" s="14" t="str">
        <x:v>Boarders.docx</x:v>
      </x:c>
      <x:c r="AA12" s="14" t="str">
        <x:v>HYPERLINK is not implemented. linkLocation=https://www.imdb.com/title/tt21438656/fullcredits/,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HYPERLINK("https://en.wikipedia.org/wiki/Boarders","Open source")</x:f>
        <x:v>HYPERLINK is not implemented. linkLocation=https://en.wikipedia.org/wiki/Boarders,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 t="str">
        <x:v>No established-register match</x:v>
      </x:c>
      <x:c r="AT12" s="14"/>
      <x:c r="AU12" s="14"/>
      <x:c r="AV12" s="14" t="str">
        <x:v>No established apparent-disability match</x:v>
      </x:c>
      <x:c r="AW12" s="14"/>
      <x:c r="AX12" s="14" t="str">
        <x:v>No</x:v>
      </x:c>
      <x:c r="AY12" s="14" t="str">
        <x:v>Unmatched</x:v>
      </x:c>
      <x:c r="AZ12" s="14" t="str">
        <x:v>Final supplied register</x:v>
      </x:c>
      <x:c r="BA12" s="14" t="str">
        <x:v>Absence from the register is not evidence that the performer is not disabled.</x:v>
      </x:c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18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0.05555555555555555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HYPERLINK is not implemented. linkLocation=https://www.imdb.com/title/tt21438656/fullcredits/,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tt21438656|nm0001086|alan</x:v>
      </x:c>
      <x:c r="B13" s="14" t="str">
        <x:v>01</x:v>
      </x:c>
      <x:c r="C13" s="14" t="str">
        <x:v>2024_IMDb_Cast_Lists_Batch_01(1).xlsx</x:v>
      </x:c>
      <x:c r="D13" s="14" t="str">
        <x:v>Boarders</x:v>
      </x:c>
      <x:c r="E13" s="14" t="n">
        <x:v>60</x:v>
      </x:c>
      <x:c r="F13" s="14" t="str">
        <x:v>Boarders</x:v>
      </x:c>
      <x:c r="G13" s="14" t="str">
        <x:v>tt21438656</x:v>
      </x:c>
      <x:c r="H13" s="14" t="n">
        <x:v>2024</x:v>
      </x:c>
      <x:c r="I13" s="14" t="n">
        <x:v>2025</x:v>
      </x:c>
      <x:c r="J13" s="14" t="str">
        <x:v>Earlier-Production Carry-In Cohort</x:v>
      </x:c>
      <x:c r="K13" s="14" t="n">
        <x:v>2024</x:v>
      </x:c>
      <x:c r="L13" s="14" t="str">
        <x:v>Not inherited</x:v>
      </x:c>
      <x:c r="M13" s="15" t="n">
        <x:v>53</x:v>
      </x:c>
      <x:c r="N13" s="14" t="str">
        <x:v>Alan Cumming</x:v>
      </x:c>
      <x:c r="O13" s="14" t="str">
        <x:v>nm0001086</x:v>
      </x:c>
      <x:c r="P13" s="14" t="str">
        <x:v>Alan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Explicit source first year retained</x:v>
      </x:c>
      <x:c r="V13" s="14" t="str">
        <x:v>Earliest supplied year is 2025.</x:v>
      </x:c>
      <x:c r="W13" s="14"/>
      <x:c r="X13" s="14" t="str">
        <x:v>Included</x:v>
      </x:c>
      <x:c r="Y13" s="14"/>
      <x:c r="Z13" s="14" t="str">
        <x:v>Boarders.docx</x:v>
      </x:c>
      <x:c r="AA13" s="14" t="str">
        <x:v>HYPERLINK is not implemented. linkLocation=https://www.imdb.com/title/tt21438656/fullcredits/,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HYPERLINK("https://en.wikipedia.org/wiki/Boarders","Open source")</x:f>
        <x:v>HYPERLINK is not implemented. linkLocation=https://en.wikipedia.org/wiki/Boarders,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 t="str">
        <x:v>No established-register match</x:v>
      </x:c>
      <x:c r="AT13" s="14"/>
      <x:c r="AU13" s="14"/>
      <x:c r="AV13" s="14" t="str">
        <x:v>No established apparent-disability match</x:v>
      </x:c>
      <x:c r="AW13" s="14"/>
      <x:c r="AX13" s="14" t="str">
        <x:v>No</x:v>
      </x:c>
      <x:c r="AY13" s="14" t="str">
        <x:v>Unmatched</x:v>
      </x:c>
      <x:c r="AZ13" s="14" t="str">
        <x:v>Final supplied register</x:v>
      </x:c>
      <x:c r="BA13" s="14" t="str">
        <x:v>Absence from the register is not evidence that the performer is not disabled.</x:v>
      </x:c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18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0.05555555555555555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HYPERLINK is not implemented. linkLocation=https://www.imdb.com/title/tt21438656/fullcredits/,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tt21438656|nm0144231|sharon hail</x:v>
      </x:c>
      <x:c r="B14" s="14" t="str">
        <x:v>01</x:v>
      </x:c>
      <x:c r="C14" s="14" t="str">
        <x:v>2024_IMDb_Cast_Lists_Batch_01(1).xlsx</x:v>
      </x:c>
      <x:c r="D14" s="14" t="str">
        <x:v>Boarders</x:v>
      </x:c>
      <x:c r="E14" s="14" t="n">
        <x:v>66</x:v>
      </x:c>
      <x:c r="F14" s="14" t="str">
        <x:v>Boarders</x:v>
      </x:c>
      <x:c r="G14" s="14" t="str">
        <x:v>tt21438656</x:v>
      </x:c>
      <x:c r="H14" s="14" t="n">
        <x:v>2024</x:v>
      </x:c>
      <x:c r="I14" s="14" t="n">
        <x:v>2025</x:v>
      </x:c>
      <x:c r="J14" s="14" t="str">
        <x:v>Earlier-Production Carry-In Cohort</x:v>
      </x:c>
      <x:c r="K14" s="14" t="n">
        <x:v>2024</x:v>
      </x:c>
      <x:c r="L14" s="14" t="str">
        <x:v>Not inherited</x:v>
      </x:c>
      <x:c r="M14" s="15" t="n">
        <x:v>59</x:v>
      </x:c>
      <x:c r="N14" s="14" t="str">
        <x:v>Natalie Cassidy</x:v>
      </x:c>
      <x:c r="O14" s="14" t="str">
        <x:v>nm0144231</x:v>
      </x:c>
      <x:c r="P14" s="14" t="str">
        <x:v>Sharon Hail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Explicit source first year retained</x:v>
      </x:c>
      <x:c r="V14" s="14" t="str">
        <x:v>Earliest supplied year is 2025.</x:v>
      </x:c>
      <x:c r="W14" s="14"/>
      <x:c r="X14" s="14" t="str">
        <x:v>Included</x:v>
      </x:c>
      <x:c r="Y14" s="14"/>
      <x:c r="Z14" s="14" t="str">
        <x:v>Boarders.docx</x:v>
      </x:c>
      <x:c r="AA14" s="14" t="str">
        <x:v>HYPERLINK is not implemented. linkLocation=https://www.imdb.com/title/tt21438656/fullcredits/,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HYPERLINK("https://en.wikipedia.org/wiki/Boarders","Open source")</x:f>
        <x:v>HYPERLINK is not implemented. linkLocation=https://en.wikipedia.org/wiki/Boarders,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 t="str">
        <x:v>No established-register match</x:v>
      </x:c>
      <x:c r="AT14" s="14"/>
      <x:c r="AU14" s="14"/>
      <x:c r="AV14" s="14" t="str">
        <x:v>No established apparent-disability match</x:v>
      </x:c>
      <x:c r="AW14" s="14"/>
      <x:c r="AX14" s="14" t="str">
        <x:v>No</x:v>
      </x:c>
      <x:c r="AY14" s="14" t="str">
        <x:v>Unmatched</x:v>
      </x:c>
      <x:c r="AZ14" s="14" t="str">
        <x:v>Final supplied register</x:v>
      </x:c>
      <x:c r="BA14" s="14" t="str">
        <x:v>Absence from the register is not evidence that the performer is not disabled.</x:v>
      </x:c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18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0.05555555555555555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HYPERLINK is not implemented. linkLocation=https://www.imdb.com/title/tt21438656/fullcredits/,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tt21438656|nm13000243|unknown t</x:v>
      </x:c>
      <x:c r="B15" s="14" t="str">
        <x:v>01</x:v>
      </x:c>
      <x:c r="C15" s="14" t="str">
        <x:v>2024_IMDb_Cast_Lists_Batch_01(1).xlsx</x:v>
      </x:c>
      <x:c r="D15" s="14" t="str">
        <x:v>Boarders</x:v>
      </x:c>
      <x:c r="E15" s="14" t="n">
        <x:v>67</x:v>
      </x:c>
      <x:c r="F15" s="14" t="str">
        <x:v>Boarders</x:v>
      </x:c>
      <x:c r="G15" s="14" t="str">
        <x:v>tt21438656</x:v>
      </x:c>
      <x:c r="H15" s="14" t="n">
        <x:v>2024</x:v>
      </x:c>
      <x:c r="I15" s="14" t="n">
        <x:v>2025</x:v>
      </x:c>
      <x:c r="J15" s="14" t="str">
        <x:v>Earlier-Production Carry-In Cohort</x:v>
      </x:c>
      <x:c r="K15" s="14" t="n">
        <x:v>2024</x:v>
      </x:c>
      <x:c r="L15" s="14" t="str">
        <x:v>Not inherited</x:v>
      </x:c>
      <x:c r="M15" s="15" t="n">
        <x:v>60</x:v>
      </x:c>
      <x:c r="N15" s="14" t="str">
        <x:v>Unknown T</x:v>
      </x:c>
      <x:c r="O15" s="14" t="str">
        <x:v>nm13000243</x:v>
      </x:c>
      <x:c r="P15" s="14" t="str">
        <x:v>Unknown T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Explicit source first year retained</x:v>
      </x:c>
      <x:c r="V15" s="14" t="str">
        <x:v>Earliest supplied year is 2025.</x:v>
      </x:c>
      <x:c r="W15" s="14"/>
      <x:c r="X15" s="14" t="str">
        <x:v>Included</x:v>
      </x:c>
      <x:c r="Y15" s="14"/>
      <x:c r="Z15" s="14" t="str">
        <x:v>Boarders.docx</x:v>
      </x:c>
      <x:c r="AA15" s="14" t="str">
        <x:v>HYPERLINK is not implemented. linkLocation=https://www.imdb.com/title/tt21438656/fullcredits/,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HYPERLINK("https://en.wikipedia.org/wiki/Boarders","Open source")</x:f>
        <x:v>HYPERLINK is not implemented. linkLocation=https://en.wikipedia.org/wiki/Boarders,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 t="str">
        <x:v>No established-register match</x:v>
      </x:c>
      <x:c r="AT15" s="14"/>
      <x:c r="AU15" s="14"/>
      <x:c r="AV15" s="14" t="str">
        <x:v>No established apparent-disability match</x:v>
      </x:c>
      <x:c r="AW15" s="14"/>
      <x:c r="AX15" s="14" t="str">
        <x:v>No</x:v>
      </x:c>
      <x:c r="AY15" s="14" t="str">
        <x:v>Unmatched</x:v>
      </x:c>
      <x:c r="AZ15" s="14" t="str">
        <x:v>Final supplied register</x:v>
      </x:c>
      <x:c r="BA15" s="14" t="str">
        <x:v>Absence from the register is not evidence that the performer is not disabled.</x:v>
      </x:c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18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0.05555555555555555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HYPERLINK is not implemented. linkLocation=https://www.imdb.com/title/tt21438656/fullcredits/,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tt21438656|nm12630586|remi burgz</x:v>
      </x:c>
      <x:c r="B16" s="14" t="str">
        <x:v>01</x:v>
      </x:c>
      <x:c r="C16" s="14" t="str">
        <x:v>2024_IMDb_Cast_Lists_Batch_01(1).xlsx</x:v>
      </x:c>
      <x:c r="D16" s="14" t="str">
        <x:v>Boarders</x:v>
      </x:c>
      <x:c r="E16" s="14" t="n">
        <x:v>68</x:v>
      </x:c>
      <x:c r="F16" s="14" t="str">
        <x:v>Boarders</x:v>
      </x:c>
      <x:c r="G16" s="14" t="str">
        <x:v>tt21438656</x:v>
      </x:c>
      <x:c r="H16" s="14" t="n">
        <x:v>2024</x:v>
      </x:c>
      <x:c r="I16" s="14" t="n">
        <x:v>2025</x:v>
      </x:c>
      <x:c r="J16" s="14" t="str">
        <x:v>Earlier-Production Carry-In Cohort</x:v>
      </x:c>
      <x:c r="K16" s="14" t="n">
        <x:v>2024</x:v>
      </x:c>
      <x:c r="L16" s="14" t="str">
        <x:v>Not inherited</x:v>
      </x:c>
      <x:c r="M16" s="15" t="n">
        <x:v>61</x:v>
      </x:c>
      <x:c r="N16" s="14" t="str">
        <x:v>Remi Burgz</x:v>
      </x:c>
      <x:c r="O16" s="14" t="str">
        <x:v>nm12630586</x:v>
      </x:c>
      <x:c r="P16" s="14" t="str">
        <x:v>Remi Burgz</x:v>
      </x:c>
      <x:c r="Q16" s="15" t="n">
        <x:v>1</x:v>
      </x:c>
      <x:c r="R16" s="14" t="str">
        <x:v>2025</x:v>
      </x:c>
      <x:c r="S16" s="14" t="n">
        <x:v>2025</x:v>
      </x:c>
      <x:c r="T16" s="14" t="n">
        <x:v>2025</x:v>
      </x:c>
      <x:c r="U16" s="14" t="str">
        <x:v>Explicit source first year retained</x:v>
      </x:c>
      <x:c r="V16" s="14" t="str">
        <x:v>Earliest supplied year is 2025.</x:v>
      </x:c>
      <x:c r="W16" s="14"/>
      <x:c r="X16" s="14" t="str">
        <x:v>Included</x:v>
      </x:c>
      <x:c r="Y16" s="14"/>
      <x:c r="Z16" s="14" t="str">
        <x:v>Boarders.docx</x:v>
      </x:c>
      <x:c r="AA16" s="14" t="str">
        <x:v>HYPERLINK is not implemented. linkLocation=https://www.imdb.com/title/tt21438656/fullcredits/,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HYPERLINK("https://en.wikipedia.org/wiki/Boarders","Open source")</x:f>
        <x:v>HYPERLINK is not implemented. linkLocation=https://en.wikipedia.org/wiki/Boarders,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 t="str">
        <x:v>No established-register match</x:v>
      </x:c>
      <x:c r="AT16" s="14"/>
      <x:c r="AU16" s="14"/>
      <x:c r="AV16" s="14" t="str">
        <x:v>No established apparent-disability match</x:v>
      </x:c>
      <x:c r="AW16" s="14"/>
      <x:c r="AX16" s="14" t="str">
        <x:v>No</x:v>
      </x:c>
      <x:c r="AY16" s="14" t="str">
        <x:v>Unmatched</x:v>
      </x:c>
      <x:c r="AZ16" s="14" t="str">
        <x:v>Final supplied register</x:v>
      </x:c>
      <x:c r="BA16" s="14" t="str">
        <x:v>Absence from the register is not evidence that the performer is not disabled.</x:v>
      </x:c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18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0.05555555555555555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HYPERLINK is not implemented. linkLocation=https://www.imdb.com/title/tt21438656/fullcredits/,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tt30450743|nm0084107|tommy</x:v>
      </x:c>
      <x:c r="B17" s="14" t="str">
        <x:v>01</x:v>
      </x:c>
      <x:c r="C17" s="14" t="str">
        <x:v>2024_IMDb_Cast_Lists_Batch_01(1).xlsx</x:v>
      </x:c>
      <x:c r="D17" s="14" t="str">
        <x:v>Daddy Issues</x:v>
      </x:c>
      <x:c r="E17" s="14" t="n">
        <x:v>17</x:v>
      </x:c>
      <x:c r="F17" s="14" t="str">
        <x:v>Daddy Issues</x:v>
      </x:c>
      <x:c r="G17" s="14" t="str">
        <x:v>tt30450743</x:v>
      </x:c>
      <x:c r="H17" s="14" t="n">
        <x:v>2024</x:v>
      </x:c>
      <x:c r="I17" s="14" t="n">
        <x:v>2025</x:v>
      </x:c>
      <x:c r="J17" s="14" t="str">
        <x:v>Earlier-Production Carry-In Cohort</x:v>
      </x:c>
      <x:c r="K17" s="14" t="n">
        <x:v>2024</x:v>
      </x:c>
      <x:c r="L17" s="14" t="str">
        <x:v>Not inherited</x:v>
      </x:c>
      <x:c r="M17" s="15" t="n">
        <x:v>10</x:v>
      </x:c>
      <x:c r="N17" s="14" t="str">
        <x:v>Kevin Bishop</x:v>
      </x:c>
      <x:c r="O17" s="14" t="str">
        <x:v>nm0084107</x:v>
      </x:c>
      <x:c r="P17" s="14" t="str">
        <x:v>Tommy</x:v>
      </x:c>
      <x:c r="Q17" s="15" t="n">
        <x:v>2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Explicit source first year retained</x:v>
      </x:c>
      <x:c r="V17" s="14" t="str">
        <x:v>Earliest supplied year is 2025.</x:v>
      </x:c>
      <x:c r="W17" s="14"/>
      <x:c r="X17" s="14" t="str">
        <x:v>Included</x:v>
      </x:c>
      <x:c r="Y17" s="14"/>
      <x:c r="Z17" s="14" t="str">
        <x:v>Daddy Issues.docx</x:v>
      </x:c>
      <x:c r="AA17" s="14" t="str">
        <x:v>HYPERLINK is not implemented. linkLocation=https://www.imdb.com/title/tt30450743/fullcredits/,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HYPERLINK("https://en.wikipedia.org/wiki/Daddy_Issues","Open source")</x:f>
        <x:v>HYPERLINK is not implemented. linkLocation=https://en.wikipedia.org/wiki/Daddy_Issues,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 t="str">
        <x:v>No established-register match</x:v>
      </x:c>
      <x:c r="AT17" s="14"/>
      <x:c r="AU17" s="14"/>
      <x:c r="AV17" s="14" t="str">
        <x:v>No established apparent-disability match</x:v>
      </x:c>
      <x:c r="AW17" s="14"/>
      <x:c r="AX17" s="14" t="str">
        <x:v>No</x:v>
      </x:c>
      <x:c r="AY17" s="14" t="str">
        <x:v>Unmatched</x:v>
      </x:c>
      <x:c r="AZ17" s="14" t="str">
        <x:v>Final supplied register</x:v>
      </x:c>
      <x:c r="BA17" s="14" t="str">
        <x:v>Absence from the register is not evidence that the performer is not disabled.</x:v>
      </x:c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12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2</x:v>
      </x:c>
      <x:c r="BS17" s="16" t="n">
        <x:v>0.16666666666666666</x:v>
      </x:c>
      <x:c r="BT17" s="14" t="str">
        <x:v>Minority of episodes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HYPERLINK is not implemented. linkLocation=https://www.imdb.com/title/tt30450743/fullcredits/,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tt30450743|nm0413946|jackie</x:v>
      </x:c>
      <x:c r="B18" s="14" t="str">
        <x:v>01</x:v>
      </x:c>
      <x:c r="C18" s="14" t="str">
        <x:v>2024_IMDb_Cast_Lists_Batch_01(1).xlsx</x:v>
      </x:c>
      <x:c r="D18" s="14" t="str">
        <x:v>Daddy Issues</x:v>
      </x:c>
      <x:c r="E18" s="14" t="n">
        <x:v>18</x:v>
      </x:c>
      <x:c r="F18" s="14" t="str">
        <x:v>Daddy Issues</x:v>
      </x:c>
      <x:c r="G18" s="14" t="str">
        <x:v>tt30450743</x:v>
      </x:c>
      <x:c r="H18" s="14" t="n">
        <x:v>2024</x:v>
      </x:c>
      <x:c r="I18" s="14" t="n">
        <x:v>2025</x:v>
      </x:c>
      <x:c r="J18" s="14" t="str">
        <x:v>Earlier-Production Carry-In Cohort</x:v>
      </x:c>
      <x:c r="K18" s="14" t="n">
        <x:v>2024</x:v>
      </x:c>
      <x:c r="L18" s="14" t="str">
        <x:v>Not inherited</x:v>
      </x:c>
      <x:c r="M18" s="15" t="n">
        <x:v>11</x:v>
      </x:c>
      <x:c r="N18" s="14" t="str">
        <x:v>Philip Jackson</x:v>
      </x:c>
      <x:c r="O18" s="14" t="str">
        <x:v>nm0413946</x:v>
      </x:c>
      <x:c r="P18" s="14" t="str">
        <x:v>Jackie</x:v>
      </x:c>
      <x:c r="Q18" s="15" t="n">
        <x:v>2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Explicit source first year retained</x:v>
      </x:c>
      <x:c r="V18" s="14" t="str">
        <x:v>Earliest supplied year is 2025.</x:v>
      </x:c>
      <x:c r="W18" s="14"/>
      <x:c r="X18" s="14" t="str">
        <x:v>Included</x:v>
      </x:c>
      <x:c r="Y18" s="14"/>
      <x:c r="Z18" s="14" t="str">
        <x:v>Daddy Issues.docx</x:v>
      </x:c>
      <x:c r="AA18" s="14" t="str">
        <x:v>HYPERLINK is not implemented. linkLocation=https://www.imdb.com/title/tt30450743/fullcredits/,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HYPERLINK("https://en.wikipedia.org/wiki/Daddy_Issues","Open source")</x:f>
        <x:v>HYPERLINK is not implemented. linkLocation=https://en.wikipedia.org/wiki/Daddy_Issues,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 t="str">
        <x:v>No established-register match</x:v>
      </x:c>
      <x:c r="AT18" s="14"/>
      <x:c r="AU18" s="14"/>
      <x:c r="AV18" s="14" t="str">
        <x:v>No established apparent-disability match</x:v>
      </x:c>
      <x:c r="AW18" s="14"/>
      <x:c r="AX18" s="14" t="str">
        <x:v>No</x:v>
      </x:c>
      <x:c r="AY18" s="14" t="str">
        <x:v>Unmatched</x:v>
      </x:c>
      <x:c r="AZ18" s="14" t="str">
        <x:v>Final supplied register</x:v>
      </x:c>
      <x:c r="BA18" s="14" t="str">
        <x:v>Absence from the register is not evidence that the performer is not disabled.</x:v>
      </x:c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12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2</x:v>
      </x:c>
      <x:c r="BS18" s="16" t="n">
        <x:v>0.16666666666666666</x:v>
      </x:c>
      <x:c r="BT18" s="14" t="str">
        <x:v>Minority of episodes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HYPERLINK is not implemented. linkLocation=https://www.imdb.com/title/tt30450743/fullcredits/,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tt30450743|nm3978118|charmaine</x:v>
      </x:c>
      <x:c r="B19" s="14" t="str">
        <x:v>01</x:v>
      </x:c>
      <x:c r="C19" s="14" t="str">
        <x:v>2024_IMDb_Cast_Lists_Batch_01(1).xlsx</x:v>
      </x:c>
      <x:c r="D19" s="14" t="str">
        <x:v>Daddy Issues</x:v>
      </x:c>
      <x:c r="E19" s="14" t="n">
        <x:v>24</x:v>
      </x:c>
      <x:c r="F19" s="14" t="str">
        <x:v>Daddy Issues</x:v>
      </x:c>
      <x:c r="G19" s="14" t="str">
        <x:v>tt30450743</x:v>
      </x:c>
      <x:c r="H19" s="14" t="n">
        <x:v>2024</x:v>
      </x:c>
      <x:c r="I19" s="14" t="n">
        <x:v>2025</x:v>
      </x:c>
      <x:c r="J19" s="14" t="str">
        <x:v>Earlier-Production Carry-In Cohort</x:v>
      </x:c>
      <x:c r="K19" s="14" t="n">
        <x:v>2024</x:v>
      </x:c>
      <x:c r="L19" s="14" t="str">
        <x:v>Not inherited</x:v>
      </x:c>
      <x:c r="M19" s="15" t="n">
        <x:v>17</x:v>
      </x:c>
      <x:c r="N19" s="14" t="str">
        <x:v>Ruth Madeley</x:v>
      </x:c>
      <x:c r="O19" s="14" t="str">
        <x:v>nm3978118</x:v>
      </x:c>
      <x:c r="P19" s="14" t="str">
        <x:v>Charmaine</x:v>
      </x:c>
      <x:c r="Q19" s="15" t="n">
        <x:v>1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Explicit source first year retained</x:v>
      </x:c>
      <x:c r="V19" s="14" t="str">
        <x:v>Earliest supplied year is 2025.</x:v>
      </x:c>
      <x:c r="W19" s="14"/>
      <x:c r="X19" s="14" t="str">
        <x:v>Included</x:v>
      </x:c>
      <x:c r="Y19" s="14"/>
      <x:c r="Z19" s="14" t="str">
        <x:v>Daddy Issues.docx</x:v>
      </x:c>
      <x:c r="AA19" s="14" t="str">
        <x:v>HYPERLINK is not implemented. linkLocation=https://www.imdb.com/title/tt30450743/fullcredits/, friendlyName=Open source</x:v>
      </x:c>
      <x:c r="AB19" s="14" t="str">
        <x:v>Existing established-register match</x:v>
      </x:c>
      <x:c r="AC19" s="14" t="str">
        <x:v>Wheelchair user | Physical disability</x:v>
      </x:c>
      <x:c r="AD19" s="14" t="str">
        <x:v>Existing register classification: Wheelchair user | Physical disability</x:v>
      </x:c>
      <x:c r="AE19" s="14" t="str">
        <x:v>Established_Disability_Category_Register V1.2.xlsx</x:v>
      </x:c>
      <x:c r="AF19" s="14"/>
      <x:c r="AG19" s="14" t="str">
        <x:v>Established user-supplied classification retained for deduplication; evidence was not re-researched in this batch.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HYPERLINK("https://en.wikipedia.org/wiki/Daddy_Issues","Open source")</x:f>
        <x:v>HYPERLINK is not implemented. linkLocation=https://en.wikipedia.org/wiki/Daddy_Issues,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 t="str">
        <x:v>Exact IMDb performer ID match</x:v>
      </x:c>
      <x:c r="AT19" s="14" t="str">
        <x:v>nm3978118</x:v>
      </x:c>
      <x:c r="AU19" s="14" t="str">
        <x:v>Wheelchair user | Physical disability</x:v>
      </x:c>
      <x:c r="AV19" s="14" t="str">
        <x:v>Yes</x:v>
      </x:c>
      <x:c r="AW19" s="14" t="str">
        <x:v>Wheelchair user | Physical disability</x:v>
      </x:c>
      <x:c r="AX19" s="14" t="str">
        <x:v>No</x:v>
      </x:c>
      <x:c r="AY19" s="14" t="str">
        <x:v>Matched</x:v>
      </x:c>
      <x:c r="AZ19" s="14" t="str">
        <x:v>Final supplied register</x:v>
      </x:c>
      <x:c r="BA19" s="14"/>
      <x:c r="BB19" s="14" t="str">
        <x:v>Exact IMDb performer ID match</x:v>
      </x:c>
      <x:c r="BC19" s="14" t="str">
        <x:v>nm3978118</x:v>
      </x:c>
      <x:c r="BD19" s="14" t="str">
        <x:v>Ruth Madeley</x:v>
      </x:c>
      <x:c r="BE19" s="14" t="str">
        <x:v>Wheelchair user | Physical disability</x:v>
      </x:c>
      <x:c r="BF19" s="14" t="str">
        <x:v>Yes</x:v>
      </x:c>
      <x:c r="BG19" s="14" t="str">
        <x:v>Wheelchair user | Physical disability</x:v>
      </x:c>
      <x:c r="BH19" s="14" t="str">
        <x:v>No</x:v>
      </x:c>
      <x:c r="BI19" s="14" t="str">
        <x:v>User-supplied established classification</x:v>
      </x:c>
      <x:c r="BJ19" s="14" t="str">
        <x:v>03_Wheelchair_user.csv | 04_Physical_disability.csv</x:v>
      </x:c>
      <x:c r="BK19" s="14"/>
      <x:c r="BL19" s="14" t="str">
        <x:v>Matched</x:v>
      </x:c>
      <x:c r="BM19" s="14" t="str">
        <x:v>Final supplied register</x:v>
      </x:c>
      <x:c r="BN19" s="14"/>
      <x:c r="BO19" s="14" t="n">
        <x:v>12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0.08333333333333333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HYPERLINK is not implemented. linkLocation=https://www.imdb.com/title/tt30450743/fullcredits/,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tt30450743|nm0355163|davina</x:v>
      </x:c>
      <x:c r="B20" s="14" t="str">
        <x:v>01</x:v>
      </x:c>
      <x:c r="C20" s="14" t="str">
        <x:v>2024_IMDb_Cast_Lists_Batch_01(1).xlsx</x:v>
      </x:c>
      <x:c r="D20" s="14" t="str">
        <x:v>Daddy Issues</x:v>
      </x:c>
      <x:c r="E20" s="14" t="n">
        <x:v>27</x:v>
      </x:c>
      <x:c r="F20" s="14" t="str">
        <x:v>Daddy Issues</x:v>
      </x:c>
      <x:c r="G20" s="14" t="str">
        <x:v>tt30450743</x:v>
      </x:c>
      <x:c r="H20" s="14" t="n">
        <x:v>2024</x:v>
      </x:c>
      <x:c r="I20" s="14" t="n">
        <x:v>2025</x:v>
      </x:c>
      <x:c r="J20" s="14" t="str">
        <x:v>Earlier-Production Carry-In Cohort</x:v>
      </x:c>
      <x:c r="K20" s="14" t="n">
        <x:v>2024</x:v>
      </x:c>
      <x:c r="L20" s="14" t="str">
        <x:v>Not inherited</x:v>
      </x:c>
      <x:c r="M20" s="15" t="n">
        <x:v>20</x:v>
      </x:c>
      <x:c r="N20" s="14" t="str">
        <x:v>Jill Halfpenny</x:v>
      </x:c>
      <x:c r="O20" s="14" t="str">
        <x:v>nm0355163</x:v>
      </x:c>
      <x:c r="P20" s="14" t="str">
        <x:v>Davina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Explicit source first year retained</x:v>
      </x:c>
      <x:c r="V20" s="14" t="str">
        <x:v>Earliest supplied year is 2025.</x:v>
      </x:c>
      <x:c r="W20" s="14"/>
      <x:c r="X20" s="14" t="str">
        <x:v>Included</x:v>
      </x:c>
      <x:c r="Y20" s="14"/>
      <x:c r="Z20" s="14" t="str">
        <x:v>Daddy Issues.docx</x:v>
      </x:c>
      <x:c r="AA20" s="14" t="str">
        <x:v>HYPERLINK is not implemented. linkLocation=https://www.imdb.com/title/tt30450743/fullcredits/,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HYPERLINK("https://en.wikipedia.org/wiki/Daddy_Issues","Open source")</x:f>
        <x:v>HYPERLINK is not implemented. linkLocation=https://en.wikipedia.org/wiki/Daddy_Issues,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 t="str">
        <x:v>No established-register match</x:v>
      </x:c>
      <x:c r="AT20" s="14"/>
      <x:c r="AU20" s="14"/>
      <x:c r="AV20" s="14" t="str">
        <x:v>No established apparent-disability match</x:v>
      </x:c>
      <x:c r="AW20" s="14"/>
      <x:c r="AX20" s="14" t="str">
        <x:v>No</x:v>
      </x:c>
      <x:c r="AY20" s="14" t="str">
        <x:v>Unmatched</x:v>
      </x:c>
      <x:c r="AZ20" s="14" t="str">
        <x:v>Final supplied register</x:v>
      </x:c>
      <x:c r="BA20" s="14" t="str">
        <x:v>Absence from the register is not evidence that the performer is not disabled.</x:v>
      </x:c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12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0.08333333333333333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HYPERLINK is not implemented. linkLocation=https://www.imdb.com/title/tt30450743/fullcredits/,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tt30450743|nm5990392|rosetta</x:v>
      </x:c>
      <x:c r="B21" s="14" t="str">
        <x:v>01</x:v>
      </x:c>
      <x:c r="C21" s="14" t="str">
        <x:v>2024_IMDb_Cast_Lists_Batch_01(1).xlsx</x:v>
      </x:c>
      <x:c r="D21" s="14" t="str">
        <x:v>Daddy Issues</x:v>
      </x:c>
      <x:c r="E21" s="14" t="n">
        <x:v>30</x:v>
      </x:c>
      <x:c r="F21" s="14" t="str">
        <x:v>Daddy Issues</x:v>
      </x:c>
      <x:c r="G21" s="14" t="str">
        <x:v>tt30450743</x:v>
      </x:c>
      <x:c r="H21" s="14" t="n">
        <x:v>2024</x:v>
      </x:c>
      <x:c r="I21" s="14" t="n">
        <x:v>2025</x:v>
      </x:c>
      <x:c r="J21" s="14" t="str">
        <x:v>Earlier-Production Carry-In Cohort</x:v>
      </x:c>
      <x:c r="K21" s="14" t="n">
        <x:v>2024</x:v>
      </x:c>
      <x:c r="L21" s="14" t="str">
        <x:v>Not inherited</x:v>
      </x:c>
      <x:c r="M21" s="15" t="n">
        <x:v>23</x:v>
      </x:c>
      <x:c r="N21" s="14" t="str">
        <x:v>Claire Calverley</x:v>
      </x:c>
      <x:c r="O21" s="14" t="str">
        <x:v>nm5990392</x:v>
      </x:c>
      <x:c r="P21" s="14" t="str">
        <x:v>Rosetta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Explicit source first year retained</x:v>
      </x:c>
      <x:c r="V21" s="14" t="str">
        <x:v>Earliest supplied year is 2025.</x:v>
      </x:c>
      <x:c r="W21" s="14"/>
      <x:c r="X21" s="14" t="str">
        <x:v>Included</x:v>
      </x:c>
      <x:c r="Y21" s="14"/>
      <x:c r="Z21" s="14" t="str">
        <x:v>Daddy Issues.docx</x:v>
      </x:c>
      <x:c r="AA21" s="14" t="str">
        <x:v>HYPERLINK is not implemented. linkLocation=https://www.imdb.com/title/tt30450743/fullcredits/,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HYPERLINK("https://en.wikipedia.org/wiki/Daddy_Issues","Open source")</x:f>
        <x:v>HYPERLINK is not implemented. linkLocation=https://en.wikipedia.org/wiki/Daddy_Issues,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 t="str">
        <x:v>No established-register match</x:v>
      </x:c>
      <x:c r="AT21" s="14"/>
      <x:c r="AU21" s="14"/>
      <x:c r="AV21" s="14" t="str">
        <x:v>No established apparent-disability match</x:v>
      </x:c>
      <x:c r="AW21" s="14"/>
      <x:c r="AX21" s="14" t="str">
        <x:v>No</x:v>
      </x:c>
      <x:c r="AY21" s="14" t="str">
        <x:v>Unmatched</x:v>
      </x:c>
      <x:c r="AZ21" s="14" t="str">
        <x:v>Final supplied register</x:v>
      </x:c>
      <x:c r="BA21" s="14" t="str">
        <x:v>Absence from the register is not evidence that the performer is not disabled.</x:v>
      </x:c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12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0.08333333333333333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HYPERLINK is not implemented. linkLocation=https://www.imdb.com/title/tt30450743/fullcredits/,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tt30450743|nm2198515|fluffy</x:v>
      </x:c>
      <x:c r="B22" s="14" t="str">
        <x:v>01</x:v>
      </x:c>
      <x:c r="C22" s="14" t="str">
        <x:v>2024_IMDb_Cast_Lists_Batch_01(1).xlsx</x:v>
      </x:c>
      <x:c r="D22" s="14" t="str">
        <x:v>Daddy Issues</x:v>
      </x:c>
      <x:c r="E22" s="14" t="n">
        <x:v>32</x:v>
      </x:c>
      <x:c r="F22" s="14" t="str">
        <x:v>Daddy Issues</x:v>
      </x:c>
      <x:c r="G22" s="14" t="str">
        <x:v>tt30450743</x:v>
      </x:c>
      <x:c r="H22" s="14" t="n">
        <x:v>2024</x:v>
      </x:c>
      <x:c r="I22" s="14" t="n">
        <x:v>2025</x:v>
      </x:c>
      <x:c r="J22" s="14" t="str">
        <x:v>Earlier-Production Carry-In Cohort</x:v>
      </x:c>
      <x:c r="K22" s="14" t="n">
        <x:v>2024</x:v>
      </x:c>
      <x:c r="L22" s="14" t="str">
        <x:v>Not inherited</x:v>
      </x:c>
      <x:c r="M22" s="15" t="n">
        <x:v>25</x:v>
      </x:c>
      <x:c r="N22" s="14" t="str">
        <x:v>Muzz Khan</x:v>
      </x:c>
      <x:c r="O22" s="14" t="str">
        <x:v>nm2198515</x:v>
      </x:c>
      <x:c r="P22" s="14" t="str">
        <x:v>Fluffy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Explicit source first year retained</x:v>
      </x:c>
      <x:c r="V22" s="14" t="str">
        <x:v>Earliest supplied year is 2025.</x:v>
      </x:c>
      <x:c r="W22" s="14"/>
      <x:c r="X22" s="14" t="str">
        <x:v>Included</x:v>
      </x:c>
      <x:c r="Y22" s="14"/>
      <x:c r="Z22" s="14" t="str">
        <x:v>Daddy Issues.docx</x:v>
      </x:c>
      <x:c r="AA22" s="14" t="str">
        <x:v>HYPERLINK is not implemented. linkLocation=https://www.imdb.com/title/tt30450743/fullcredits/,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HYPERLINK("https://en.wikipedia.org/wiki/Daddy_Issues","Open source")</x:f>
        <x:v>HYPERLINK is not implemented. linkLocation=https://en.wikipedia.org/wiki/Daddy_Issues,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 t="str">
        <x:v>No established-register match</x:v>
      </x:c>
      <x:c r="AT22" s="14"/>
      <x:c r="AU22" s="14"/>
      <x:c r="AV22" s="14" t="str">
        <x:v>No established apparent-disability match</x:v>
      </x:c>
      <x:c r="AW22" s="14"/>
      <x:c r="AX22" s="14" t="str">
        <x:v>No</x:v>
      </x:c>
      <x:c r="AY22" s="14" t="str">
        <x:v>Unmatched</x:v>
      </x:c>
      <x:c r="AZ22" s="14" t="str">
        <x:v>Final supplied register</x:v>
      </x:c>
      <x:c r="BA22" s="14" t="str">
        <x:v>Absence from the register is not evidence that the performer is not disabled.</x:v>
      </x:c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12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0.08333333333333333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HYPERLINK is not implemented. linkLocation=https://www.imdb.com/title/tt30450743/fullcredits/,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tt30450743|nm14559272|bus driver</x:v>
      </x:c>
      <x:c r="B23" s="14" t="str">
        <x:v>01</x:v>
      </x:c>
      <x:c r="C23" s="14" t="str">
        <x:v>2024_IMDb_Cast_Lists_Batch_01(1).xlsx</x:v>
      </x:c>
      <x:c r="D23" s="14" t="str">
        <x:v>Daddy Issues</x:v>
      </x:c>
      <x:c r="E23" s="14" t="n">
        <x:v>33</x:v>
      </x:c>
      <x:c r="F23" s="14" t="str">
        <x:v>Daddy Issues</x:v>
      </x:c>
      <x:c r="G23" s="14" t="str">
        <x:v>tt30450743</x:v>
      </x:c>
      <x:c r="H23" s="14" t="n">
        <x:v>2024</x:v>
      </x:c>
      <x:c r="I23" s="14" t="n">
        <x:v>2025</x:v>
      </x:c>
      <x:c r="J23" s="14" t="str">
        <x:v>Earlier-Production Carry-In Cohort</x:v>
      </x:c>
      <x:c r="K23" s="14" t="n">
        <x:v>2024</x:v>
      </x:c>
      <x:c r="L23" s="14" t="str">
        <x:v>Not inherited</x:v>
      </x:c>
      <x:c r="M23" s="15" t="n">
        <x:v>26</x:v>
      </x:c>
      <x:c r="N23" s="14" t="str">
        <x:v>Sophie Lucas</x:v>
      </x:c>
      <x:c r="O23" s="14" t="str">
        <x:v>nm14559272</x:v>
      </x:c>
      <x:c r="P23" s="14" t="str">
        <x:v>Bus Driver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Explicit source first year retained</x:v>
      </x:c>
      <x:c r="V23" s="14" t="str">
        <x:v>Earliest supplied year is 2025.</x:v>
      </x:c>
      <x:c r="W23" s="14"/>
      <x:c r="X23" s="14" t="str">
        <x:v>Included</x:v>
      </x:c>
      <x:c r="Y23" s="14"/>
      <x:c r="Z23" s="14" t="str">
        <x:v>Daddy Issues.docx</x:v>
      </x:c>
      <x:c r="AA23" s="14" t="str">
        <x:v>HYPERLINK is not implemented. linkLocation=https://www.imdb.com/title/tt30450743/fullcredits/,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HYPERLINK("https://en.wikipedia.org/wiki/Daddy_Issues","Open source")</x:f>
        <x:v>HYPERLINK is not implemented. linkLocation=https://en.wikipedia.org/wiki/Daddy_Issues,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 t="str">
        <x:v>No established-register match</x:v>
      </x:c>
      <x:c r="AT23" s="14"/>
      <x:c r="AU23" s="14"/>
      <x:c r="AV23" s="14" t="str">
        <x:v>No established apparent-disability match</x:v>
      </x:c>
      <x:c r="AW23" s="14"/>
      <x:c r="AX23" s="14" t="str">
        <x:v>No</x:v>
      </x:c>
      <x:c r="AY23" s="14" t="str">
        <x:v>Unmatched</x:v>
      </x:c>
      <x:c r="AZ23" s="14" t="str">
        <x:v>Final supplied register</x:v>
      </x:c>
      <x:c r="BA23" s="14" t="str">
        <x:v>Absence from the register is not evidence that the performer is not disabled.</x:v>
      </x:c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12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0.08333333333333333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HYPERLINK is not implemented. linkLocation=https://www.imdb.com/title/tt30450743/fullcredits/,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tt30450743|nm11248760|gav</x:v>
      </x:c>
      <x:c r="B24" s="14" t="str">
        <x:v>01</x:v>
      </x:c>
      <x:c r="C24" s="14" t="str">
        <x:v>2024_IMDb_Cast_Lists_Batch_01(1).xlsx</x:v>
      </x:c>
      <x:c r="D24" s="14" t="str">
        <x:v>Daddy Issues</x:v>
      </x:c>
      <x:c r="E24" s="14" t="n">
        <x:v>34</x:v>
      </x:c>
      <x:c r="F24" s="14" t="str">
        <x:v>Daddy Issues</x:v>
      </x:c>
      <x:c r="G24" s="14" t="str">
        <x:v>tt30450743</x:v>
      </x:c>
      <x:c r="H24" s="14" t="n">
        <x:v>2024</x:v>
      </x:c>
      <x:c r="I24" s="14" t="n">
        <x:v>2025</x:v>
      </x:c>
      <x:c r="J24" s="14" t="str">
        <x:v>Earlier-Production Carry-In Cohort</x:v>
      </x:c>
      <x:c r="K24" s="14" t="n">
        <x:v>2024</x:v>
      </x:c>
      <x:c r="L24" s="14" t="str">
        <x:v>Not inherited</x:v>
      </x:c>
      <x:c r="M24" s="15" t="n">
        <x:v>27</x:v>
      </x:c>
      <x:c r="N24" s="14" t="str">
        <x:v>Scott Bennett</x:v>
      </x:c>
      <x:c r="O24" s="14" t="str">
        <x:v>nm11248760</x:v>
      </x:c>
      <x:c r="P24" s="14" t="str">
        <x:v>Gav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Explicit source first year retained</x:v>
      </x:c>
      <x:c r="V24" s="14" t="str">
        <x:v>Earliest supplied year is 2025.</x:v>
      </x:c>
      <x:c r="W24" s="14"/>
      <x:c r="X24" s="14" t="str">
        <x:v>Included</x:v>
      </x:c>
      <x:c r="Y24" s="14"/>
      <x:c r="Z24" s="14" t="str">
        <x:v>Daddy Issues.docx</x:v>
      </x:c>
      <x:c r="AA24" s="14" t="str">
        <x:v>HYPERLINK is not implemented. linkLocation=https://www.imdb.com/title/tt30450743/fullcredits/,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HYPERLINK("https://en.wikipedia.org/wiki/Daddy_Issues","Open source")</x:f>
        <x:v>HYPERLINK is not implemented. linkLocation=https://en.wikipedia.org/wiki/Daddy_Issues,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 t="str">
        <x:v>No established-register match</x:v>
      </x:c>
      <x:c r="AT24" s="14"/>
      <x:c r="AU24" s="14"/>
      <x:c r="AV24" s="14" t="str">
        <x:v>No established apparent-disability match</x:v>
      </x:c>
      <x:c r="AW24" s="14"/>
      <x:c r="AX24" s="14" t="str">
        <x:v>No</x:v>
      </x:c>
      <x:c r="AY24" s="14" t="str">
        <x:v>Unmatched</x:v>
      </x:c>
      <x:c r="AZ24" s="14" t="str">
        <x:v>Final supplied register</x:v>
      </x:c>
      <x:c r="BA24" s="14" t="str">
        <x:v>Absence from the register is not evidence that the performer is not disabled.</x:v>
      </x:c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12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0.08333333333333333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HYPERLINK is not implemented. linkLocation=https://www.imdb.com/title/tt30450743/fullcredits/,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tt30450743|nm7926702|dustin</x:v>
      </x:c>
      <x:c r="B25" s="14" t="str">
        <x:v>01</x:v>
      </x:c>
      <x:c r="C25" s="14" t="str">
        <x:v>2024_IMDb_Cast_Lists_Batch_01(1).xlsx</x:v>
      </x:c>
      <x:c r="D25" s="14" t="str">
        <x:v>Daddy Issues</x:v>
      </x:c>
      <x:c r="E25" s="14" t="n">
        <x:v>40</x:v>
      </x:c>
      <x:c r="F25" s="14" t="str">
        <x:v>Daddy Issues</x:v>
      </x:c>
      <x:c r="G25" s="14" t="str">
        <x:v>tt30450743</x:v>
      </x:c>
      <x:c r="H25" s="14" t="n">
        <x:v>2024</x:v>
      </x:c>
      <x:c r="I25" s="14" t="n">
        <x:v>2025</x:v>
      </x:c>
      <x:c r="J25" s="14" t="str">
        <x:v>Earlier-Production Carry-In Cohort</x:v>
      </x:c>
      <x:c r="K25" s="14" t="n">
        <x:v>2024</x:v>
      </x:c>
      <x:c r="L25" s="14" t="str">
        <x:v>Not inherited</x:v>
      </x:c>
      <x:c r="M25" s="15" t="n">
        <x:v>33</x:v>
      </x:c>
      <x:c r="N25" s="14" t="str">
        <x:v>Nathan Foad</x:v>
      </x:c>
      <x:c r="O25" s="14" t="str">
        <x:v>nm7926702</x:v>
      </x:c>
      <x:c r="P25" s="14" t="str">
        <x:v>Dustin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Explicit source first year retained</x:v>
      </x:c>
      <x:c r="V25" s="14" t="str">
        <x:v>Earliest supplied year is 2025.</x:v>
      </x:c>
      <x:c r="W25" s="14"/>
      <x:c r="X25" s="14" t="str">
        <x:v>Included</x:v>
      </x:c>
      <x:c r="Y25" s="14"/>
      <x:c r="Z25" s="14" t="str">
        <x:v>Daddy Issues.docx</x:v>
      </x:c>
      <x:c r="AA25" s="14" t="str">
        <x:v>HYPERLINK is not implemented. linkLocation=https://www.imdb.com/title/tt30450743/fullcredits/,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HYPERLINK("https://en.wikipedia.org/wiki/Daddy_Issues","Open source")</x:f>
        <x:v>HYPERLINK is not implemented. linkLocation=https://en.wikipedia.org/wiki/Daddy_Issues,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 t="str">
        <x:v>No established-register match</x:v>
      </x:c>
      <x:c r="AT25" s="14"/>
      <x:c r="AU25" s="14"/>
      <x:c r="AV25" s="14" t="str">
        <x:v>No established apparent-disability match</x:v>
      </x:c>
      <x:c r="AW25" s="14"/>
      <x:c r="AX25" s="14" t="str">
        <x:v>No</x:v>
      </x:c>
      <x:c r="AY25" s="14" t="str">
        <x:v>Unmatched</x:v>
      </x:c>
      <x:c r="AZ25" s="14" t="str">
        <x:v>Final supplied register</x:v>
      </x:c>
      <x:c r="BA25" s="14" t="str">
        <x:v>Absence from the register is not evidence that the performer is not disabled.</x:v>
      </x:c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12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0.08333333333333333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HYPERLINK is not implemented. linkLocation=https://www.imdb.com/title/tt30450743/fullcredits/,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tt30450743|nm13221179|agatha</x:v>
      </x:c>
      <x:c r="B26" s="14" t="str">
        <x:v>01</x:v>
      </x:c>
      <x:c r="C26" s="14" t="str">
        <x:v>2024_IMDb_Cast_Lists_Batch_01(1).xlsx</x:v>
      </x:c>
      <x:c r="D26" s="14" t="str">
        <x:v>Daddy Issues</x:v>
      </x:c>
      <x:c r="E26" s="14" t="n">
        <x:v>41</x:v>
      </x:c>
      <x:c r="F26" s="14" t="str">
        <x:v>Daddy Issues</x:v>
      </x:c>
      <x:c r="G26" s="14" t="str">
        <x:v>tt30450743</x:v>
      </x:c>
      <x:c r="H26" s="14" t="n">
        <x:v>2024</x:v>
      </x:c>
      <x:c r="I26" s="14" t="n">
        <x:v>2025</x:v>
      </x:c>
      <x:c r="J26" s="14" t="str">
        <x:v>Earlier-Production Carry-In Cohort</x:v>
      </x:c>
      <x:c r="K26" s="14" t="n">
        <x:v>2024</x:v>
      </x:c>
      <x:c r="L26" s="14" t="str">
        <x:v>Not inherited</x:v>
      </x:c>
      <x:c r="M26" s="15" t="n">
        <x:v>34</x:v>
      </x:c>
      <x:c r="N26" s="14" t="str">
        <x:v>Lily Best</x:v>
      </x:c>
      <x:c r="O26" s="14" t="str">
        <x:v>nm13221179</x:v>
      </x:c>
      <x:c r="P26" s="14" t="str">
        <x:v>Agatha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Explicit source first year retained</x:v>
      </x:c>
      <x:c r="V26" s="14" t="str">
        <x:v>Earliest supplied year is 2025.</x:v>
      </x:c>
      <x:c r="W26" s="14"/>
      <x:c r="X26" s="14" t="str">
        <x:v>Included</x:v>
      </x:c>
      <x:c r="Y26" s="14"/>
      <x:c r="Z26" s="14" t="str">
        <x:v>Daddy Issues.docx</x:v>
      </x:c>
      <x:c r="AA26" s="14" t="str">
        <x:v>HYPERLINK is not implemented. linkLocation=https://www.imdb.com/title/tt30450743/fullcredits/,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HYPERLINK("https://en.wikipedia.org/wiki/Daddy_Issues","Open source")</x:f>
        <x:v>HYPERLINK is not implemented. linkLocation=https://en.wikipedia.org/wiki/Daddy_Issues, friendlyName=Open source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 t="str">
        <x:v>No established-register match</x:v>
      </x:c>
      <x:c r="AT26" s="14"/>
      <x:c r="AU26" s="14"/>
      <x:c r="AV26" s="14" t="str">
        <x:v>No established apparent-disability match</x:v>
      </x:c>
      <x:c r="AW26" s="14"/>
      <x:c r="AX26" s="14" t="str">
        <x:v>No</x:v>
      </x:c>
      <x:c r="AY26" s="14" t="str">
        <x:v>Unmatched</x:v>
      </x:c>
      <x:c r="AZ26" s="14" t="str">
        <x:v>Final supplied register</x:v>
      </x:c>
      <x:c r="BA26" s="14" t="str">
        <x:v>Absence from the register is not evidence that the performer is not disabled.</x:v>
      </x:c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12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0.08333333333333333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HYPERLINK is not implemented. linkLocation=https://www.imdb.com/title/tt30450743/fullcredits/,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tt30450743|nm8891071|johan</x:v>
      </x:c>
      <x:c r="B27" s="14" t="str">
        <x:v>01</x:v>
      </x:c>
      <x:c r="C27" s="14" t="str">
        <x:v>2024_IMDb_Cast_Lists_Batch_01(1).xlsx</x:v>
      </x:c>
      <x:c r="D27" s="14" t="str">
        <x:v>Daddy Issues</x:v>
      </x:c>
      <x:c r="E27" s="14" t="n">
        <x:v>42</x:v>
      </x:c>
      <x:c r="F27" s="14" t="str">
        <x:v>Daddy Issues</x:v>
      </x:c>
      <x:c r="G27" s="14" t="str">
        <x:v>tt30450743</x:v>
      </x:c>
      <x:c r="H27" s="14" t="n">
        <x:v>2024</x:v>
      </x:c>
      <x:c r="I27" s="14" t="n">
        <x:v>2025</x:v>
      </x:c>
      <x:c r="J27" s="14" t="str">
        <x:v>Earlier-Production Carry-In Cohort</x:v>
      </x:c>
      <x:c r="K27" s="14" t="n">
        <x:v>2024</x:v>
      </x:c>
      <x:c r="L27" s="14" t="str">
        <x:v>Not inherited</x:v>
      </x:c>
      <x:c r="M27" s="15" t="n">
        <x:v>35</x:v>
      </x:c>
      <x:c r="N27" s="14" t="str">
        <x:v>Benjamin Black</x:v>
      </x:c>
      <x:c r="O27" s="14" t="str">
        <x:v>nm8891071</x:v>
      </x:c>
      <x:c r="P27" s="14" t="str">
        <x:v>Johan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Explicit source first year retained</x:v>
      </x:c>
      <x:c r="V27" s="14" t="str">
        <x:v>Earliest supplied year is 2025.</x:v>
      </x:c>
      <x:c r="W27" s="14"/>
      <x:c r="X27" s="14" t="str">
        <x:v>Included</x:v>
      </x:c>
      <x:c r="Y27" s="14"/>
      <x:c r="Z27" s="14" t="str">
        <x:v>Daddy Issues.docx</x:v>
      </x:c>
      <x:c r="AA27" s="14" t="str">
        <x:v>HYPERLINK is not implemented. linkLocation=https://www.imdb.com/title/tt30450743/fullcredits/,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HYPERLINK("https://en.wikipedia.org/wiki/Daddy_Issues","Open source")</x:f>
        <x:v>HYPERLINK is not implemented. linkLocation=https://en.wikipedia.org/wiki/Daddy_Issues, friendlyName=Open source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 t="str">
        <x:v>No established-register match</x:v>
      </x:c>
      <x:c r="AT27" s="14"/>
      <x:c r="AU27" s="14"/>
      <x:c r="AV27" s="14" t="str">
        <x:v>No established apparent-disability match</x:v>
      </x:c>
      <x:c r="AW27" s="14"/>
      <x:c r="AX27" s="14" t="str">
        <x:v>No</x:v>
      </x:c>
      <x:c r="AY27" s="14" t="str">
        <x:v>Unmatched</x:v>
      </x:c>
      <x:c r="AZ27" s="14" t="str">
        <x:v>Final supplied register</x:v>
      </x:c>
      <x:c r="BA27" s="14" t="str">
        <x:v>Absence from the register is not evidence that the performer is not disabled.</x:v>
      </x:c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12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0.08333333333333333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HYPERLINK is not implemented. linkLocation=https://www.imdb.com/title/tt30450743/fullcredits/,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tt30450743|nm7179033|cerys</x:v>
      </x:c>
      <x:c r="B28" s="14" t="str">
        <x:v>01</x:v>
      </x:c>
      <x:c r="C28" s="14" t="str">
        <x:v>2024_IMDb_Cast_Lists_Batch_01(1).xlsx</x:v>
      </x:c>
      <x:c r="D28" s="14" t="str">
        <x:v>Daddy Issues</x:v>
      </x:c>
      <x:c r="E28" s="14" t="n">
        <x:v>43</x:v>
      </x:c>
      <x:c r="F28" s="14" t="str">
        <x:v>Daddy Issues</x:v>
      </x:c>
      <x:c r="G28" s="14" t="str">
        <x:v>tt30450743</x:v>
      </x:c>
      <x:c r="H28" s="14" t="n">
        <x:v>2024</x:v>
      </x:c>
      <x:c r="I28" s="14" t="n">
        <x:v>2025</x:v>
      </x:c>
      <x:c r="J28" s="14" t="str">
        <x:v>Earlier-Production Carry-In Cohort</x:v>
      </x:c>
      <x:c r="K28" s="14" t="n">
        <x:v>2024</x:v>
      </x:c>
      <x:c r="L28" s="14" t="str">
        <x:v>Not inherited</x:v>
      </x:c>
      <x:c r="M28" s="15" t="n">
        <x:v>36</x:v>
      </x:c>
      <x:c r="N28" s="14" t="str">
        <x:v>Cate Lovett</x:v>
      </x:c>
      <x:c r="O28" s="14" t="str">
        <x:v>nm7179033</x:v>
      </x:c>
      <x:c r="P28" s="14" t="str">
        <x:v>Cerys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Explicit source first year retained</x:v>
      </x:c>
      <x:c r="V28" s="14" t="str">
        <x:v>Earliest supplied year is 2025.</x:v>
      </x:c>
      <x:c r="W28" s="14"/>
      <x:c r="X28" s="14" t="str">
        <x:v>Included</x:v>
      </x:c>
      <x:c r="Y28" s="14"/>
      <x:c r="Z28" s="14" t="str">
        <x:v>Daddy Issues.docx</x:v>
      </x:c>
      <x:c r="AA28" s="14" t="str">
        <x:v>HYPERLINK is not implemented. linkLocation=https://www.imdb.com/title/tt30450743/fullcredits/,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HYPERLINK("https://en.wikipedia.org/wiki/Daddy_Issues","Open source")</x:f>
        <x:v>HYPERLINK is not implemented. linkLocation=https://en.wikipedia.org/wiki/Daddy_Issues, friendlyName=Open source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 t="str">
        <x:v>No established-register match</x:v>
      </x:c>
      <x:c r="AT28" s="14"/>
      <x:c r="AU28" s="14"/>
      <x:c r="AV28" s="14" t="str">
        <x:v>No established apparent-disability match</x:v>
      </x:c>
      <x:c r="AW28" s="14"/>
      <x:c r="AX28" s="14" t="str">
        <x:v>No</x:v>
      </x:c>
      <x:c r="AY28" s="14" t="str">
        <x:v>Unmatched</x:v>
      </x:c>
      <x:c r="AZ28" s="14" t="str">
        <x:v>Final supplied register</x:v>
      </x:c>
      <x:c r="BA28" s="14" t="str">
        <x:v>Absence from the register is not evidence that the performer is not disabled.</x:v>
      </x:c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12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0.08333333333333333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HYPERLINK is not implemented. linkLocation=https://www.imdb.com/title/tt30450743/fullcredits/,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tt30450743|nm3038987|lawrence</x:v>
      </x:c>
      <x:c r="B29" s="14" t="str">
        <x:v>01</x:v>
      </x:c>
      <x:c r="C29" s="14" t="str">
        <x:v>2024_IMDb_Cast_Lists_Batch_01(1).xlsx</x:v>
      </x:c>
      <x:c r="D29" s="14" t="str">
        <x:v>Daddy Issues</x:v>
      </x:c>
      <x:c r="E29" s="14" t="n">
        <x:v>48</x:v>
      </x:c>
      <x:c r="F29" s="14" t="str">
        <x:v>Daddy Issues</x:v>
      </x:c>
      <x:c r="G29" s="14" t="str">
        <x:v>tt30450743</x:v>
      </x:c>
      <x:c r="H29" s="14" t="n">
        <x:v>2024</x:v>
      </x:c>
      <x:c r="I29" s="14" t="n">
        <x:v>2025</x:v>
      </x:c>
      <x:c r="J29" s="14" t="str">
        <x:v>Earlier-Production Carry-In Cohort</x:v>
      </x:c>
      <x:c r="K29" s="14" t="n">
        <x:v>2024</x:v>
      </x:c>
      <x:c r="L29" s="14" t="str">
        <x:v>Not inherited</x:v>
      </x:c>
      <x:c r="M29" s="15" t="n">
        <x:v>41</x:v>
      </x:c>
      <x:c r="N29" s="14" t="str">
        <x:v>Thom Tuck</x:v>
      </x:c>
      <x:c r="O29" s="14" t="str">
        <x:v>nm3038987</x:v>
      </x:c>
      <x:c r="P29" s="14" t="str">
        <x:v>Lawrence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Explicit source first year retained</x:v>
      </x:c>
      <x:c r="V29" s="14" t="str">
        <x:v>Earliest supplied year is 2025.</x:v>
      </x:c>
      <x:c r="W29" s="14"/>
      <x:c r="X29" s="14" t="str">
        <x:v>Included</x:v>
      </x:c>
      <x:c r="Y29" s="14"/>
      <x:c r="Z29" s="14" t="str">
        <x:v>Daddy Issues.docx</x:v>
      </x:c>
      <x:c r="AA29" s="14" t="str">
        <x:v>HYPERLINK is not implemented. linkLocation=https://www.imdb.com/title/tt30450743/fullcredits/,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HYPERLINK("https://en.wikipedia.org/wiki/Daddy_Issues","Open source")</x:f>
        <x:v>HYPERLINK is not implemented. linkLocation=https://en.wikipedia.org/wiki/Daddy_Issues, friendlyName=Open source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 t="str">
        <x:v>No established-register match</x:v>
      </x:c>
      <x:c r="AT29" s="14"/>
      <x:c r="AU29" s="14"/>
      <x:c r="AV29" s="14" t="str">
        <x:v>No established apparent-disability match</x:v>
      </x:c>
      <x:c r="AW29" s="14"/>
      <x:c r="AX29" s="14" t="str">
        <x:v>No</x:v>
      </x:c>
      <x:c r="AY29" s="14" t="str">
        <x:v>Unmatched</x:v>
      </x:c>
      <x:c r="AZ29" s="14" t="str">
        <x:v>Final supplied register</x:v>
      </x:c>
      <x:c r="BA29" s="14" t="str">
        <x:v>Absence from the register is not evidence that the performer is not disabled.</x:v>
      </x:c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12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0.08333333333333333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HYPERLINK is not implemented. linkLocation=https://www.imdb.com/title/tt30450743/fullcredits/,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tt30450743|nm8575384|hodge</x:v>
      </x:c>
      <x:c r="B30" s="14" t="str">
        <x:v>01</x:v>
      </x:c>
      <x:c r="C30" s="14" t="str">
        <x:v>2024_IMDb_Cast_Lists_Batch_01(1).xlsx</x:v>
      </x:c>
      <x:c r="D30" s="14" t="str">
        <x:v>Daddy Issues</x:v>
      </x:c>
      <x:c r="E30" s="14" t="n">
        <x:v>49</x:v>
      </x:c>
      <x:c r="F30" s="14" t="str">
        <x:v>Daddy Issues</x:v>
      </x:c>
      <x:c r="G30" s="14" t="str">
        <x:v>tt30450743</x:v>
      </x:c>
      <x:c r="H30" s="14" t="n">
        <x:v>2024</x:v>
      </x:c>
      <x:c r="I30" s="14" t="n">
        <x:v>2025</x:v>
      </x:c>
      <x:c r="J30" s="14" t="str">
        <x:v>Earlier-Production Carry-In Cohort</x:v>
      </x:c>
      <x:c r="K30" s="14" t="n">
        <x:v>2024</x:v>
      </x:c>
      <x:c r="L30" s="14" t="str">
        <x:v>Not inherited</x:v>
      </x:c>
      <x:c r="M30" s="15" t="n">
        <x:v>42</x:v>
      </x:c>
      <x:c r="N30" s="14" t="str">
        <x:v>Joel Harper-Jackson</x:v>
      </x:c>
      <x:c r="O30" s="14" t="str">
        <x:v>nm8575384</x:v>
      </x:c>
      <x:c r="P30" s="14" t="str">
        <x:v>Hodge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Explicit source first year retained</x:v>
      </x:c>
      <x:c r="V30" s="14" t="str">
        <x:v>Earliest supplied year is 2025.</x:v>
      </x:c>
      <x:c r="W30" s="14"/>
      <x:c r="X30" s="14" t="str">
        <x:v>Included</x:v>
      </x:c>
      <x:c r="Y30" s="14"/>
      <x:c r="Z30" s="14" t="str">
        <x:v>Daddy Issues.docx</x:v>
      </x:c>
      <x:c r="AA30" s="14" t="str">
        <x:v>HYPERLINK is not implemented. linkLocation=https://www.imdb.com/title/tt30450743/fullcredits/,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HYPERLINK("https://en.wikipedia.org/wiki/Daddy_Issues","Open source")</x:f>
        <x:v>HYPERLINK is not implemented. linkLocation=https://en.wikipedia.org/wiki/Daddy_Issues, friendlyName=Open source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 t="str">
        <x:v>No established-register match</x:v>
      </x:c>
      <x:c r="AT30" s="14"/>
      <x:c r="AU30" s="14"/>
      <x:c r="AV30" s="14" t="str">
        <x:v>No established apparent-disability match</x:v>
      </x:c>
      <x:c r="AW30" s="14"/>
      <x:c r="AX30" s="14" t="str">
        <x:v>No</x:v>
      </x:c>
      <x:c r="AY30" s="14" t="str">
        <x:v>Unmatched</x:v>
      </x:c>
      <x:c r="AZ30" s="14" t="str">
        <x:v>Final supplied register</x:v>
      </x:c>
      <x:c r="BA30" s="14" t="str">
        <x:v>Absence from the register is not evidence that the performer is not disabled.</x:v>
      </x:c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12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0.08333333333333333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HYPERLINK is not implemented. linkLocation=https://www.imdb.com/title/tt30450743/fullcredits/,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tt30450743|nm0232780|angry man</x:v>
      </x:c>
      <x:c r="B31" s="14" t="str">
        <x:v>01</x:v>
      </x:c>
      <x:c r="C31" s="14" t="str">
        <x:v>2024_IMDb_Cast_Lists_Batch_01(1).xlsx</x:v>
      </x:c>
      <x:c r="D31" s="14" t="str">
        <x:v>Daddy Issues</x:v>
      </x:c>
      <x:c r="E31" s="14" t="n">
        <x:v>50</x:v>
      </x:c>
      <x:c r="F31" s="14" t="str">
        <x:v>Daddy Issues</x:v>
      </x:c>
      <x:c r="G31" s="14" t="str">
        <x:v>tt30450743</x:v>
      </x:c>
      <x:c r="H31" s="14" t="n">
        <x:v>2024</x:v>
      </x:c>
      <x:c r="I31" s="14" t="n">
        <x:v>2025</x:v>
      </x:c>
      <x:c r="J31" s="14" t="str">
        <x:v>Earlier-Production Carry-In Cohort</x:v>
      </x:c>
      <x:c r="K31" s="14" t="n">
        <x:v>2024</x:v>
      </x:c>
      <x:c r="L31" s="14" t="str">
        <x:v>Not inherited</x:v>
      </x:c>
      <x:c r="M31" s="15" t="n">
        <x:v>43</x:v>
      </x:c>
      <x:c r="N31" s="14" t="str">
        <x:v>Warren Donnelly</x:v>
      </x:c>
      <x:c r="O31" s="14" t="str">
        <x:v>nm0232780</x:v>
      </x:c>
      <x:c r="P31" s="14" t="str">
        <x:v>Angry Man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Explicit source first year retained</x:v>
      </x:c>
      <x:c r="V31" s="14" t="str">
        <x:v>Earliest supplied year is 2025.</x:v>
      </x:c>
      <x:c r="W31" s="14"/>
      <x:c r="X31" s="14" t="str">
        <x:v>Included</x:v>
      </x:c>
      <x:c r="Y31" s="14"/>
      <x:c r="Z31" s="14" t="str">
        <x:v>Daddy Issues.docx</x:v>
      </x:c>
      <x:c r="AA31" s="14" t="str">
        <x:v>HYPERLINK is not implemented. linkLocation=https://www.imdb.com/title/tt30450743/fullcredits/,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HYPERLINK("https://en.wikipedia.org/wiki/Daddy_Issues","Open source")</x:f>
        <x:v>HYPERLINK is not implemented. linkLocation=https://en.wikipedia.org/wiki/Daddy_Issues, friendlyName=Open source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 t="str">
        <x:v>No established-register match</x:v>
      </x:c>
      <x:c r="AT31" s="14"/>
      <x:c r="AU31" s="14"/>
      <x:c r="AV31" s="14" t="str">
        <x:v>No established apparent-disability match</x:v>
      </x:c>
      <x:c r="AW31" s="14"/>
      <x:c r="AX31" s="14" t="str">
        <x:v>No</x:v>
      </x:c>
      <x:c r="AY31" s="14" t="str">
        <x:v>Unmatched</x:v>
      </x:c>
      <x:c r="AZ31" s="14" t="str">
        <x:v>Final supplied register</x:v>
      </x:c>
      <x:c r="BA31" s="14" t="str">
        <x:v>Absence from the register is not evidence that the performer is not disabled.</x:v>
      </x:c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12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0.08333333333333333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HYPERLINK is not implemented. linkLocation=https://www.imdb.com/title/tt30450743/fullcredits/,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tt30450743|nm4066548|shop assistant</x:v>
      </x:c>
      <x:c r="B32" s="14" t="str">
        <x:v>01</x:v>
      </x:c>
      <x:c r="C32" s="14" t="str">
        <x:v>2024_IMDb_Cast_Lists_Batch_01(1).xlsx</x:v>
      </x:c>
      <x:c r="D32" s="14" t="str">
        <x:v>Daddy Issues</x:v>
      </x:c>
      <x:c r="E32" s="14" t="n">
        <x:v>51</x:v>
      </x:c>
      <x:c r="F32" s="14" t="str">
        <x:v>Daddy Issues</x:v>
      </x:c>
      <x:c r="G32" s="14" t="str">
        <x:v>tt30450743</x:v>
      </x:c>
      <x:c r="H32" s="14" t="n">
        <x:v>2024</x:v>
      </x:c>
      <x:c r="I32" s="14" t="n">
        <x:v>2025</x:v>
      </x:c>
      <x:c r="J32" s="14" t="str">
        <x:v>Earlier-Production Carry-In Cohort</x:v>
      </x:c>
      <x:c r="K32" s="14" t="n">
        <x:v>2024</x:v>
      </x:c>
      <x:c r="L32" s="14" t="str">
        <x:v>Not inherited</x:v>
      </x:c>
      <x:c r="M32" s="15" t="n">
        <x:v>44</x:v>
      </x:c>
      <x:c r="N32" s="14" t="str">
        <x:v>Ross Grant</x:v>
      </x:c>
      <x:c r="O32" s="14" t="str">
        <x:v>nm4066548</x:v>
      </x:c>
      <x:c r="P32" s="14" t="str">
        <x:v>Shop Assistant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Explicit source first year retained</x:v>
      </x:c>
      <x:c r="V32" s="14" t="str">
        <x:v>Earliest supplied year is 2025.</x:v>
      </x:c>
      <x:c r="W32" s="14"/>
      <x:c r="X32" s="14" t="str">
        <x:v>Included</x:v>
      </x:c>
      <x:c r="Y32" s="14"/>
      <x:c r="Z32" s="14" t="str">
        <x:v>Daddy Issues.docx</x:v>
      </x:c>
      <x:c r="AA32" s="14" t="str">
        <x:v>HYPERLINK is not implemented. linkLocation=https://www.imdb.com/title/tt30450743/fullcredits/, friendlyName=Open source</x:v>
      </x:c>
      <x:c r="AB32" s="14" t="str">
        <x:v>Existing established-register match</x:v>
      </x:c>
      <x:c r="AC32" s="14" t="str">
        <x:v>Blind or vision impaired</x:v>
      </x:c>
      <x:c r="AD32" s="14" t="str">
        <x:v>Existing register classification: Blind or vision impaired</x:v>
      </x:c>
      <x:c r="AE32" s="14" t="str">
        <x:v>Established_Disability_Category_Register V1.2.xlsx</x:v>
      </x:c>
      <x:c r="AF32" s="14"/>
      <x:c r="AG32" s="14" t="str">
        <x:v>Established user-supplied classification retained for deduplication; evidence was not re-researched in this batch.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HYPERLINK("https://en.wikipedia.org/wiki/Daddy_Issues","Open source")</x:f>
        <x:v>HYPERLINK is not implemented. linkLocation=https://en.wikipedia.org/wiki/Daddy_Issues, friendlyName=Open source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 t="str">
        <x:v>Exact IMDb performer ID match</x:v>
      </x:c>
      <x:c r="AT32" s="14" t="str">
        <x:v>nm4066548</x:v>
      </x:c>
      <x:c r="AU32" s="14" t="str">
        <x:v>Blind or vision impaired</x:v>
      </x:c>
      <x:c r="AV32" s="14" t="str">
        <x:v>Yes</x:v>
      </x:c>
      <x:c r="AW32" s="14" t="str">
        <x:v>Blind or vision impaired</x:v>
      </x:c>
      <x:c r="AX32" s="14" t="str">
        <x:v>No</x:v>
      </x:c>
      <x:c r="AY32" s="14" t="str">
        <x:v>Matched</x:v>
      </x:c>
      <x:c r="AZ32" s="14" t="str">
        <x:v>Final supplied register</x:v>
      </x:c>
      <x:c r="BA32" s="14"/>
      <x:c r="BB32" s="14" t="str">
        <x:v>Exact IMDb performer ID match</x:v>
      </x:c>
      <x:c r="BC32" s="14" t="str">
        <x:v>nm4066548</x:v>
      </x:c>
      <x:c r="BD32" s="14" t="str">
        <x:v>Ross Grant</x:v>
      </x:c>
      <x:c r="BE32" s="14" t="str">
        <x:v>Blind or vision impaired</x:v>
      </x:c>
      <x:c r="BF32" s="14" t="str">
        <x:v>Yes</x:v>
      </x:c>
      <x:c r="BG32" s="14" t="str">
        <x:v>Blind or vision impaired</x:v>
      </x:c>
      <x:c r="BH32" s="14" t="str">
        <x:v>No</x:v>
      </x:c>
      <x:c r="BI32" s="14" t="str">
        <x:v>User-supplied established classification</x:v>
      </x:c>
      <x:c r="BJ32" s="14" t="str">
        <x:v>09_Blind_or_vision_impaired.csv</x:v>
      </x:c>
      <x:c r="BK32" s="14"/>
      <x:c r="BL32" s="14" t="str">
        <x:v>Matched</x:v>
      </x:c>
      <x:c r="BM32" s="14" t="str">
        <x:v>Final supplied register</x:v>
      </x:c>
      <x:c r="BN32" s="14"/>
      <x:c r="BO32" s="14" t="n">
        <x:v>12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0.08333333333333333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HYPERLINK is not implemented. linkLocation=https://www.imdb.com/title/tt30450743/fullcredits/,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tt30450743|nm7600297|angry mum</x:v>
      </x:c>
      <x:c r="B33" s="14" t="str">
        <x:v>01</x:v>
      </x:c>
      <x:c r="C33" s="14" t="str">
        <x:v>2024_IMDb_Cast_Lists_Batch_01(1).xlsx</x:v>
      </x:c>
      <x:c r="D33" s="14" t="str">
        <x:v>Daddy Issues</x:v>
      </x:c>
      <x:c r="E33" s="14" t="n">
        <x:v>52</x:v>
      </x:c>
      <x:c r="F33" s="14" t="str">
        <x:v>Daddy Issues</x:v>
      </x:c>
      <x:c r="G33" s="14" t="str">
        <x:v>tt30450743</x:v>
      </x:c>
      <x:c r="H33" s="14" t="n">
        <x:v>2024</x:v>
      </x:c>
      <x:c r="I33" s="14" t="n">
        <x:v>2025</x:v>
      </x:c>
      <x:c r="J33" s="14" t="str">
        <x:v>Earlier-Production Carry-In Cohort</x:v>
      </x:c>
      <x:c r="K33" s="14" t="n">
        <x:v>2024</x:v>
      </x:c>
      <x:c r="L33" s="14" t="str">
        <x:v>Not inherited</x:v>
      </x:c>
      <x:c r="M33" s="15" t="n">
        <x:v>45</x:v>
      </x:c>
      <x:c r="N33" s="14" t="str">
        <x:v>Louise Willoughby</x:v>
      </x:c>
      <x:c r="O33" s="14" t="str">
        <x:v>nm7600297</x:v>
      </x:c>
      <x:c r="P33" s="14" t="str">
        <x:v>Angry Mum</x:v>
      </x:c>
      <x:c r="Q33" s="15" t="n">
        <x:v>1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Explicit source first year retained</x:v>
      </x:c>
      <x:c r="V33" s="14" t="str">
        <x:v>Earliest supplied year is 2025.</x:v>
      </x:c>
      <x:c r="W33" s="14"/>
      <x:c r="X33" s="14" t="str">
        <x:v>Included</x:v>
      </x:c>
      <x:c r="Y33" s="14"/>
      <x:c r="Z33" s="14" t="str">
        <x:v>Daddy Issues.docx</x:v>
      </x:c>
      <x:c r="AA33" s="14" t="str">
        <x:v>HYPERLINK is not implemented. linkLocation=https://www.imdb.com/title/tt30450743/fullcredits/,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HYPERLINK("https://en.wikipedia.org/wiki/Daddy_Issues","Open source")</x:f>
        <x:v>HYPERLINK is not implemented. linkLocation=https://en.wikipedia.org/wiki/Daddy_Issues, friendlyName=Open source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 t="str">
        <x:v>No established-register match</x:v>
      </x:c>
      <x:c r="AT33" s="14"/>
      <x:c r="AU33" s="14"/>
      <x:c r="AV33" s="14" t="str">
        <x:v>No established apparent-disability match</x:v>
      </x:c>
      <x:c r="AW33" s="14"/>
      <x:c r="AX33" s="14" t="str">
        <x:v>No</x:v>
      </x:c>
      <x:c r="AY33" s="14" t="str">
        <x:v>Unmatched</x:v>
      </x:c>
      <x:c r="AZ33" s="14" t="str">
        <x:v>Final supplied register</x:v>
      </x:c>
      <x:c r="BA33" s="14" t="str">
        <x:v>Absence from the register is not evidence that the performer is not disabled.</x:v>
      </x:c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12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1</x:v>
      </x:c>
      <x:c r="BS33" s="16" t="n">
        <x:v>0.08333333333333333</x:v>
      </x:c>
      <x:c r="BT33" s="14" t="str">
        <x:v>One episode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HYPERLINK is not implemented. linkLocation=https://www.imdb.com/title/tt30450743/fullcredits/,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tt30450743|nm1517523|role not listed</x:v>
      </x:c>
      <x:c r="B34" s="14" t="str">
        <x:v>01</x:v>
      </x:c>
      <x:c r="C34" s="14" t="str">
        <x:v>2024_IMDb_Cast_Lists_Batch_01(1).xlsx</x:v>
      </x:c>
      <x:c r="D34" s="14" t="str">
        <x:v>Daddy Issues</x:v>
      </x:c>
      <x:c r="E34" s="14" t="n">
        <x:v>57</x:v>
      </x:c>
      <x:c r="F34" s="14" t="str">
        <x:v>Daddy Issues</x:v>
      </x:c>
      <x:c r="G34" s="14" t="str">
        <x:v>tt30450743</x:v>
      </x:c>
      <x:c r="H34" s="14" t="n">
        <x:v>2024</x:v>
      </x:c>
      <x:c r="I34" s="14" t="n">
        <x:v>2025</x:v>
      </x:c>
      <x:c r="J34" s="14" t="str">
        <x:v>Earlier-Production Carry-In Cohort</x:v>
      </x:c>
      <x:c r="K34" s="14" t="n">
        <x:v>2024</x:v>
      </x:c>
      <x:c r="L34" s="14" t="str">
        <x:v>Not inherited</x:v>
      </x:c>
      <x:c r="M34" s="15" t="n">
        <x:v>50</x:v>
      </x:c>
      <x:c r="N34" s="14" t="str">
        <x:v>Justin Edwards</x:v>
      </x:c>
      <x:c r="O34" s="14" t="str">
        <x:v>nm1517523</x:v>
      </x:c>
      <x:c r="P34" s="14" t="str">
        <x:v>Role not listed</x:v>
      </x:c>
      <x:c r="Q34" s="15" t="n">
        <x:v>1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Explicit source first year retained</x:v>
      </x:c>
      <x:c r="V34" s="14" t="str">
        <x:v>Earliest supplied year is 2025.</x:v>
      </x:c>
      <x:c r="W34" s="14"/>
      <x:c r="X34" s="14" t="str">
        <x:v>Included</x:v>
      </x:c>
      <x:c r="Y34" s="14"/>
      <x:c r="Z34" s="14" t="str">
        <x:v>Daddy Issues.docx</x:v>
      </x:c>
      <x:c r="AA34" s="14" t="str">
        <x:v>HYPERLINK is not implemented. linkLocation=https://www.imdb.com/title/tt30450743/fullcredits/,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HYPERLINK("https://en.wikipedia.org/wiki/Daddy_Issues","Open source")</x:f>
        <x:v>HYPERLINK is not implemented. linkLocation=https://en.wikipedia.org/wiki/Daddy_Issues, friendlyName=Open source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 t="str">
        <x:v>No established-register match</x:v>
      </x:c>
      <x:c r="AT34" s="14"/>
      <x:c r="AU34" s="14"/>
      <x:c r="AV34" s="14" t="str">
        <x:v>No established apparent-disability match</x:v>
      </x:c>
      <x:c r="AW34" s="14"/>
      <x:c r="AX34" s="14" t="str">
        <x:v>No</x:v>
      </x:c>
      <x:c r="AY34" s="14" t="str">
        <x:v>Unmatched</x:v>
      </x:c>
      <x:c r="AZ34" s="14" t="str">
        <x:v>Final supplied register</x:v>
      </x:c>
      <x:c r="BA34" s="14" t="str">
        <x:v>Absence from the register is not evidence that the performer is not disabled.</x:v>
      </x:c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12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1</x:v>
      </x:c>
      <x:c r="BS34" s="16" t="n">
        <x:v>0.08333333333333333</x:v>
      </x:c>
      <x:c r="BT34" s="14" t="str">
        <x:v>One episode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HYPERLINK is not implemented. linkLocation=https://www.imdb.com/title/tt30450743/fullcredits/,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tt30450743|nm0456429|mr. price</x:v>
      </x:c>
      <x:c r="B35" s="14" t="str">
        <x:v>01</x:v>
      </x:c>
      <x:c r="C35" s="14" t="str">
        <x:v>2024_IMDb_Cast_Lists_Batch_01(1).xlsx</x:v>
      </x:c>
      <x:c r="D35" s="14" t="str">
        <x:v>Daddy Issues</x:v>
      </x:c>
      <x:c r="E35" s="14" t="n">
        <x:v>58</x:v>
      </x:c>
      <x:c r="F35" s="14" t="str">
        <x:v>Daddy Issues</x:v>
      </x:c>
      <x:c r="G35" s="14" t="str">
        <x:v>tt30450743</x:v>
      </x:c>
      <x:c r="H35" s="14" t="n">
        <x:v>2024</x:v>
      </x:c>
      <x:c r="I35" s="14" t="n">
        <x:v>2025</x:v>
      </x:c>
      <x:c r="J35" s="14" t="str">
        <x:v>Earlier-Production Carry-In Cohort</x:v>
      </x:c>
      <x:c r="K35" s="14" t="n">
        <x:v>2024</x:v>
      </x:c>
      <x:c r="L35" s="14" t="str">
        <x:v>Not inherited</x:v>
      </x:c>
      <x:c r="M35" s="15" t="n">
        <x:v>51</x:v>
      </x:c>
      <x:c r="N35" s="14" t="str">
        <x:v>Alexander Kirk</x:v>
      </x:c>
      <x:c r="O35" s="14" t="str">
        <x:v>nm0456429</x:v>
      </x:c>
      <x:c r="P35" s="14" t="str">
        <x:v>Mr. Price</x:v>
      </x:c>
      <x:c r="Q35" s="15" t="n">
        <x:v>1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Explicit source first year retained</x:v>
      </x:c>
      <x:c r="V35" s="14" t="str">
        <x:v>Earliest supplied year is 2025.</x:v>
      </x:c>
      <x:c r="W35" s="14"/>
      <x:c r="X35" s="14" t="str">
        <x:v>Included</x:v>
      </x:c>
      <x:c r="Y35" s="14"/>
      <x:c r="Z35" s="14" t="str">
        <x:v>Daddy Issues.docx</x:v>
      </x:c>
      <x:c r="AA35" s="14" t="str">
        <x:v>HYPERLINK is not implemented. linkLocation=https://www.imdb.com/title/tt30450743/fullcredits/,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HYPERLINK("https://en.wikipedia.org/wiki/Daddy_Issues","Open source")</x:f>
        <x:v>HYPERLINK is not implemented. linkLocation=https://en.wikipedia.org/wiki/Daddy_Issues, friendlyName=Open source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 t="str">
        <x:v>No established-register match</x:v>
      </x:c>
      <x:c r="AT35" s="14"/>
      <x:c r="AU35" s="14"/>
      <x:c r="AV35" s="14" t="str">
        <x:v>No established apparent-disability match</x:v>
      </x:c>
      <x:c r="AW35" s="14"/>
      <x:c r="AX35" s="14" t="str">
        <x:v>No</x:v>
      </x:c>
      <x:c r="AY35" s="14" t="str">
        <x:v>Unmatched</x:v>
      </x:c>
      <x:c r="AZ35" s="14" t="str">
        <x:v>Final supplied register</x:v>
      </x:c>
      <x:c r="BA35" s="14" t="str">
        <x:v>Absence from the register is not evidence that the performer is not disabled.</x:v>
      </x:c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12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1</x:v>
      </x:c>
      <x:c r="BS35" s="16" t="n">
        <x:v>0.08333333333333333</x:v>
      </x:c>
      <x:c r="BT35" s="14" t="str">
        <x:v>One episode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HYPERLINK is not implemented. linkLocation=https://www.imdb.com/title/tt30450743/fullcredits/,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tt30450743|nm12099796|foz</x:v>
      </x:c>
      <x:c r="B36" s="14" t="str">
        <x:v>01</x:v>
      </x:c>
      <x:c r="C36" s="14" t="str">
        <x:v>2024_IMDb_Cast_Lists_Batch_01(1).xlsx</x:v>
      </x:c>
      <x:c r="D36" s="14" t="str">
        <x:v>Daddy Issues</x:v>
      </x:c>
      <x:c r="E36" s="14" t="n">
        <x:v>59</x:v>
      </x:c>
      <x:c r="F36" s="14" t="str">
        <x:v>Daddy Issues</x:v>
      </x:c>
      <x:c r="G36" s="14" t="str">
        <x:v>tt30450743</x:v>
      </x:c>
      <x:c r="H36" s="14" t="n">
        <x:v>2024</x:v>
      </x:c>
      <x:c r="I36" s="14" t="n">
        <x:v>2025</x:v>
      </x:c>
      <x:c r="J36" s="14" t="str">
        <x:v>Earlier-Production Carry-In Cohort</x:v>
      </x:c>
      <x:c r="K36" s="14" t="n">
        <x:v>2024</x:v>
      </x:c>
      <x:c r="L36" s="14" t="str">
        <x:v>Not inherited</x:v>
      </x:c>
      <x:c r="M36" s="15" t="n">
        <x:v>52</x:v>
      </x:c>
      <x:c r="N36" s="14" t="str">
        <x:v>Abdin Khan</x:v>
      </x:c>
      <x:c r="O36" s="14" t="str">
        <x:v>nm12099796</x:v>
      </x:c>
      <x:c r="P36" s="14" t="str">
        <x:v>Foz</x:v>
      </x:c>
      <x:c r="Q36" s="15" t="n">
        <x:v>1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Explicit source first year retained</x:v>
      </x:c>
      <x:c r="V36" s="14" t="str">
        <x:v>Earliest supplied year is 2025.</x:v>
      </x:c>
      <x:c r="W36" s="14"/>
      <x:c r="X36" s="14" t="str">
        <x:v>Included</x:v>
      </x:c>
      <x:c r="Y36" s="14"/>
      <x:c r="Z36" s="14" t="str">
        <x:v>Daddy Issues.docx</x:v>
      </x:c>
      <x:c r="AA36" s="14" t="str">
        <x:v>HYPERLINK is not implemented. linkLocation=https://www.imdb.com/title/tt30450743/fullcredits/,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HYPERLINK("https://en.wikipedia.org/wiki/Daddy_Issues","Open source")</x:f>
        <x:v>HYPERLINK is not implemented. linkLocation=https://en.wikipedia.org/wiki/Daddy_Issues, friendlyName=Open source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 t="str">
        <x:v>No established-register match</x:v>
      </x:c>
      <x:c r="AT36" s="14"/>
      <x:c r="AU36" s="14"/>
      <x:c r="AV36" s="14" t="str">
        <x:v>No established apparent-disability match</x:v>
      </x:c>
      <x:c r="AW36" s="14"/>
      <x:c r="AX36" s="14" t="str">
        <x:v>No</x:v>
      </x:c>
      <x:c r="AY36" s="14" t="str">
        <x:v>Unmatched</x:v>
      </x:c>
      <x:c r="AZ36" s="14" t="str">
        <x:v>Final supplied register</x:v>
      </x:c>
      <x:c r="BA36" s="14" t="str">
        <x:v>Absence from the register is not evidence that the performer is not disabled.</x:v>
      </x:c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12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0.08333333333333333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HYPERLINK is not implemented. linkLocation=https://www.imdb.com/title/tt30450743/fullcredits/,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tt30450743|nm12107527|rocky</x:v>
      </x:c>
      <x:c r="B37" s="14" t="str">
        <x:v>01</x:v>
      </x:c>
      <x:c r="C37" s="14" t="str">
        <x:v>2024_IMDb_Cast_Lists_Batch_01(1).xlsx</x:v>
      </x:c>
      <x:c r="D37" s="14" t="str">
        <x:v>Daddy Issues</x:v>
      </x:c>
      <x:c r="E37" s="14" t="n">
        <x:v>63</x:v>
      </x:c>
      <x:c r="F37" s="14" t="str">
        <x:v>Daddy Issues</x:v>
      </x:c>
      <x:c r="G37" s="14" t="str">
        <x:v>tt30450743</x:v>
      </x:c>
      <x:c r="H37" s="14" t="n">
        <x:v>2024</x:v>
      </x:c>
      <x:c r="I37" s="14" t="n">
        <x:v>2025</x:v>
      </x:c>
      <x:c r="J37" s="14" t="str">
        <x:v>Earlier-Production Carry-In Cohort</x:v>
      </x:c>
      <x:c r="K37" s="14" t="n">
        <x:v>2024</x:v>
      </x:c>
      <x:c r="L37" s="14" t="str">
        <x:v>Not inherited</x:v>
      </x:c>
      <x:c r="M37" s="15" t="n">
        <x:v>56</x:v>
      </x:c>
      <x:c r="N37" s="14" t="str">
        <x:v>Corey Mylchreest</x:v>
      </x:c>
      <x:c r="O37" s="14" t="str">
        <x:v>nm12107527</x:v>
      </x:c>
      <x:c r="P37" s="14" t="str">
        <x:v>Rocky</x:v>
      </x:c>
      <x:c r="Q37" s="15" t="n">
        <x:v>1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Explicit source first year retained</x:v>
      </x:c>
      <x:c r="V37" s="14" t="str">
        <x:v>Earliest supplied year is 2025.</x:v>
      </x:c>
      <x:c r="W37" s="14"/>
      <x:c r="X37" s="14" t="str">
        <x:v>Included</x:v>
      </x:c>
      <x:c r="Y37" s="14"/>
      <x:c r="Z37" s="14" t="str">
        <x:v>Daddy Issues.docx</x:v>
      </x:c>
      <x:c r="AA37" s="14" t="str">
        <x:v>HYPERLINK is not implemented. linkLocation=https://www.imdb.com/title/tt30450743/fullcredits/,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HYPERLINK("https://en.wikipedia.org/wiki/Daddy_Issues","Open source")</x:f>
        <x:v>HYPERLINK is not implemented. linkLocation=https://en.wikipedia.org/wiki/Daddy_Issues, friendlyName=Open source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 t="str">
        <x:v>No established-register match</x:v>
      </x:c>
      <x:c r="AT37" s="14"/>
      <x:c r="AU37" s="14"/>
      <x:c r="AV37" s="14" t="str">
        <x:v>No established apparent-disability match</x:v>
      </x:c>
      <x:c r="AW37" s="14"/>
      <x:c r="AX37" s="14" t="str">
        <x:v>No</x:v>
      </x:c>
      <x:c r="AY37" s="14" t="str">
        <x:v>Unmatched</x:v>
      </x:c>
      <x:c r="AZ37" s="14" t="str">
        <x:v>Final supplied register</x:v>
      </x:c>
      <x:c r="BA37" s="14" t="str">
        <x:v>Absence from the register is not evidence that the performer is not disabled.</x:v>
      </x:c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12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0.08333333333333333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HYPERLINK is not implemented. linkLocation=https://www.imdb.com/title/tt30450743/fullcredits/,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tt30450743|nm8318716|suki</x:v>
      </x:c>
      <x:c r="B38" s="14" t="str">
        <x:v>01</x:v>
      </x:c>
      <x:c r="C38" s="14" t="str">
        <x:v>2024_IMDb_Cast_Lists_Batch_01(1).xlsx</x:v>
      </x:c>
      <x:c r="D38" s="14" t="str">
        <x:v>Daddy Issues</x:v>
      </x:c>
      <x:c r="E38" s="14" t="n">
        <x:v>64</x:v>
      </x:c>
      <x:c r="F38" s="14" t="str">
        <x:v>Daddy Issues</x:v>
      </x:c>
      <x:c r="G38" s="14" t="str">
        <x:v>tt30450743</x:v>
      </x:c>
      <x:c r="H38" s="14" t="n">
        <x:v>2024</x:v>
      </x:c>
      <x:c r="I38" s="14" t="n">
        <x:v>2025</x:v>
      </x:c>
      <x:c r="J38" s="14" t="str">
        <x:v>Earlier-Production Carry-In Cohort</x:v>
      </x:c>
      <x:c r="K38" s="14" t="n">
        <x:v>2024</x:v>
      </x:c>
      <x:c r="L38" s="14" t="str">
        <x:v>Not inherited</x:v>
      </x:c>
      <x:c r="M38" s="15" t="n">
        <x:v>57</x:v>
      </x:c>
      <x:c r="N38" s="14" t="str">
        <x:v>Soph Galustian</x:v>
      </x:c>
      <x:c r="O38" s="14" t="str">
        <x:v>nm8318716</x:v>
      </x:c>
      <x:c r="P38" s="14" t="str">
        <x:v>Suki</x:v>
      </x:c>
      <x:c r="Q38" s="15" t="n">
        <x:v>1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Explicit source first year retained</x:v>
      </x:c>
      <x:c r="V38" s="14" t="str">
        <x:v>Earliest supplied year is 2025.</x:v>
      </x:c>
      <x:c r="W38" s="14"/>
      <x:c r="X38" s="14" t="str">
        <x:v>Included</x:v>
      </x:c>
      <x:c r="Y38" s="14"/>
      <x:c r="Z38" s="14" t="str">
        <x:v>Daddy Issues.docx</x:v>
      </x:c>
      <x:c r="AA38" s="14" t="str">
        <x:v>HYPERLINK is not implemented. linkLocation=https://www.imdb.com/title/tt30450743/fullcredits/,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HYPERLINK("https://en.wikipedia.org/wiki/Daddy_Issues","Open source")</x:f>
        <x:v>HYPERLINK is not implemented. linkLocation=https://en.wikipedia.org/wiki/Daddy_Issues, friendlyName=Open source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 t="str">
        <x:v>No established-register match</x:v>
      </x:c>
      <x:c r="AT38" s="14"/>
      <x:c r="AU38" s="14"/>
      <x:c r="AV38" s="14" t="str">
        <x:v>No established apparent-disability match</x:v>
      </x:c>
      <x:c r="AW38" s="14"/>
      <x:c r="AX38" s="14" t="str">
        <x:v>No</x:v>
      </x:c>
      <x:c r="AY38" s="14" t="str">
        <x:v>Unmatched</x:v>
      </x:c>
      <x:c r="AZ38" s="14" t="str">
        <x:v>Final supplied register</x:v>
      </x:c>
      <x:c r="BA38" s="14" t="str">
        <x:v>Absence from the register is not evidence that the performer is not disabled.</x:v>
      </x:c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0.08333333333333333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HYPERLINK is not implemented. linkLocation=https://www.imdb.com/title/tt30450743/fullcredits/,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tt30450743|nm3605304|security guard</x:v>
      </x:c>
      <x:c r="B39" s="14" t="str">
        <x:v>01</x:v>
      </x:c>
      <x:c r="C39" s="14" t="str">
        <x:v>2024_IMDb_Cast_Lists_Batch_01(1).xlsx</x:v>
      </x:c>
      <x:c r="D39" s="14" t="str">
        <x:v>Daddy Issues</x:v>
      </x:c>
      <x:c r="E39" s="14" t="n">
        <x:v>65</x:v>
      </x:c>
      <x:c r="F39" s="14" t="str">
        <x:v>Daddy Issues</x:v>
      </x:c>
      <x:c r="G39" s="14" t="str">
        <x:v>tt30450743</x:v>
      </x:c>
      <x:c r="H39" s="14" t="n">
        <x:v>2024</x:v>
      </x:c>
      <x:c r="I39" s="14" t="n">
        <x:v>2025</x:v>
      </x:c>
      <x:c r="J39" s="14" t="str">
        <x:v>Earlier-Production Carry-In Cohort</x:v>
      </x:c>
      <x:c r="K39" s="14" t="n">
        <x:v>2024</x:v>
      </x:c>
      <x:c r="L39" s="14" t="str">
        <x:v>Not inherited</x:v>
      </x:c>
      <x:c r="M39" s="15" t="n">
        <x:v>58</x:v>
      </x:c>
      <x:c r="N39" s="14" t="str">
        <x:v>Kate Malyon</x:v>
      </x:c>
      <x:c r="O39" s="14" t="str">
        <x:v>nm3605304</x:v>
      </x:c>
      <x:c r="P39" s="14" t="str">
        <x:v>Security Guard</x:v>
      </x:c>
      <x:c r="Q39" s="15" t="n">
        <x:v>1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Explicit source first year retained</x:v>
      </x:c>
      <x:c r="V39" s="14" t="str">
        <x:v>Earliest supplied year is 2025.</x:v>
      </x:c>
      <x:c r="W39" s="14"/>
      <x:c r="X39" s="14" t="str">
        <x:v>Included</x:v>
      </x:c>
      <x:c r="Y39" s="14"/>
      <x:c r="Z39" s="14" t="str">
        <x:v>Daddy Issues.docx</x:v>
      </x:c>
      <x:c r="AA39" s="14" t="str">
        <x:v>HYPERLINK is not implemented. linkLocation=https://www.imdb.com/title/tt30450743/fullcredits/,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HYPERLINK("https://en.wikipedia.org/wiki/Daddy_Issues","Open source")</x:f>
        <x:v>HYPERLINK is not implemented. linkLocation=https://en.wikipedia.org/wiki/Daddy_Issues, friendlyName=Open source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 t="str">
        <x:v>No established-register match</x:v>
      </x:c>
      <x:c r="AT39" s="14"/>
      <x:c r="AU39" s="14"/>
      <x:c r="AV39" s="14" t="str">
        <x:v>No established apparent-disability match</x:v>
      </x:c>
      <x:c r="AW39" s="14"/>
      <x:c r="AX39" s="14" t="str">
        <x:v>No</x:v>
      </x:c>
      <x:c r="AY39" s="14" t="str">
        <x:v>Unmatched</x:v>
      </x:c>
      <x:c r="AZ39" s="14" t="str">
        <x:v>Final supplied register</x:v>
      </x:c>
      <x:c r="BA39" s="14" t="str">
        <x:v>Absence from the register is not evidence that the performer is not disabled.</x:v>
      </x:c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0.08333333333333333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HYPERLINK is not implemented. linkLocation=https://www.imdb.com/title/tt30450743/fullcredits/,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tt30450743|nm9195817|gary</x:v>
      </x:c>
      <x:c r="B40" s="14" t="str">
        <x:v>01</x:v>
      </x:c>
      <x:c r="C40" s="14" t="str">
        <x:v>2024_IMDb_Cast_Lists_Batch_01(1).xlsx</x:v>
      </x:c>
      <x:c r="D40" s="14" t="str">
        <x:v>Daddy Issues</x:v>
      </x:c>
      <x:c r="E40" s="14" t="n">
        <x:v>69</x:v>
      </x:c>
      <x:c r="F40" s="14" t="str">
        <x:v>Daddy Issues</x:v>
      </x:c>
      <x:c r="G40" s="14" t="str">
        <x:v>tt30450743</x:v>
      </x:c>
      <x:c r="H40" s="14" t="n">
        <x:v>2024</x:v>
      </x:c>
      <x:c r="I40" s="14" t="n">
        <x:v>2025</x:v>
      </x:c>
      <x:c r="J40" s="14" t="str">
        <x:v>Earlier-Production Carry-In Cohort</x:v>
      </x:c>
      <x:c r="K40" s="14" t="n">
        <x:v>2024</x:v>
      </x:c>
      <x:c r="L40" s="14" t="str">
        <x:v>Not inherited</x:v>
      </x:c>
      <x:c r="M40" s="15" t="n">
        <x:v>62</x:v>
      </x:c>
      <x:c r="N40" s="14" t="str">
        <x:v>Ed Jones</x:v>
      </x:c>
      <x:c r="O40" s="14" t="str">
        <x:v>nm9195817</x:v>
      </x:c>
      <x:c r="P40" s="14" t="str">
        <x:v>Gary</x:v>
      </x:c>
      <x:c r="Q40" s="15" t="n">
        <x:v>1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Explicit source first year retained</x:v>
      </x:c>
      <x:c r="V40" s="14" t="str">
        <x:v>Earliest supplied year is 2025.</x:v>
      </x:c>
      <x:c r="W40" s="14"/>
      <x:c r="X40" s="14" t="str">
        <x:v>Included</x:v>
      </x:c>
      <x:c r="Y40" s="14"/>
      <x:c r="Z40" s="14" t="str">
        <x:v>Daddy Issues.docx</x:v>
      </x:c>
      <x:c r="AA40" s="14" t="str">
        <x:v>HYPERLINK is not implemented. linkLocation=https://www.imdb.com/title/tt30450743/fullcredits/,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HYPERLINK("https://en.wikipedia.org/wiki/Daddy_Issues","Open source")</x:f>
        <x:v>HYPERLINK is not implemented. linkLocation=https://en.wikipedia.org/wiki/Daddy_Issues, friendlyName=Open source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 t="str">
        <x:v>No established-register match</x:v>
      </x:c>
      <x:c r="AT40" s="14"/>
      <x:c r="AU40" s="14"/>
      <x:c r="AV40" s="14" t="str">
        <x:v>No established apparent-disability match</x:v>
      </x:c>
      <x:c r="AW40" s="14"/>
      <x:c r="AX40" s="14" t="str">
        <x:v>No</x:v>
      </x:c>
      <x:c r="AY40" s="14" t="str">
        <x:v>Unmatched</x:v>
      </x:c>
      <x:c r="AZ40" s="14" t="str">
        <x:v>Final supplied register</x:v>
      </x:c>
      <x:c r="BA40" s="14" t="str">
        <x:v>Absence from the register is not evidence that the performer is not disabled.</x:v>
      </x:c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0.08333333333333333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HYPERLINK is not implemented. linkLocation=https://www.imdb.com/title/tt30450743/fullcredits/,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tt30450743|nm0700312|hal ford</x:v>
      </x:c>
      <x:c r="B41" s="14" t="str">
        <x:v>01</x:v>
      </x:c>
      <x:c r="C41" s="14" t="str">
        <x:v>2024_IMDb_Cast_Lists_Batch_01(1).xlsx</x:v>
      </x:c>
      <x:c r="D41" s="14" t="str">
        <x:v>Daddy Issues</x:v>
      </x:c>
      <x:c r="E41" s="14" t="n">
        <x:v>70</x:v>
      </x:c>
      <x:c r="F41" s="14" t="str">
        <x:v>Daddy Issues</x:v>
      </x:c>
      <x:c r="G41" s="14" t="str">
        <x:v>tt30450743</x:v>
      </x:c>
      <x:c r="H41" s="14" t="n">
        <x:v>2024</x:v>
      </x:c>
      <x:c r="I41" s="14" t="n">
        <x:v>2025</x:v>
      </x:c>
      <x:c r="J41" s="14" t="str">
        <x:v>Earlier-Production Carry-In Cohort</x:v>
      </x:c>
      <x:c r="K41" s="14" t="n">
        <x:v>2024</x:v>
      </x:c>
      <x:c r="L41" s="14" t="str">
        <x:v>Not inherited</x:v>
      </x:c>
      <x:c r="M41" s="15" t="n">
        <x:v>63</x:v>
      </x:c>
      <x:c r="N41" s="14" t="str">
        <x:v>Ian Puleston-Davies</x:v>
      </x:c>
      <x:c r="O41" s="14" t="str">
        <x:v>nm0700312</x:v>
      </x:c>
      <x:c r="P41" s="14" t="str">
        <x:v>Hal Ford</x:v>
      </x:c>
      <x:c r="Q41" s="15" t="n">
        <x:v>1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Explicit source first year retained</x:v>
      </x:c>
      <x:c r="V41" s="14" t="str">
        <x:v>Earliest supplied year is 2025.</x:v>
      </x:c>
      <x:c r="W41" s="14"/>
      <x:c r="X41" s="14" t="str">
        <x:v>Included</x:v>
      </x:c>
      <x:c r="Y41" s="14"/>
      <x:c r="Z41" s="14" t="str">
        <x:v>Daddy Issues.docx</x:v>
      </x:c>
      <x:c r="AA41" s="14" t="str">
        <x:v>HYPERLINK is not implemented. linkLocation=https://www.imdb.com/title/tt30450743/fullcredits/,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HYPERLINK("https://en.wikipedia.org/wiki/Daddy_Issues","Open source")</x:f>
        <x:v>HYPERLINK is not implemented. linkLocation=https://en.wikipedia.org/wiki/Daddy_Issues, friendlyName=Open source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 t="str">
        <x:v>No established-register match</x:v>
      </x:c>
      <x:c r="AT41" s="14"/>
      <x:c r="AU41" s="14"/>
      <x:c r="AV41" s="14" t="str">
        <x:v>No established apparent-disability match</x:v>
      </x:c>
      <x:c r="AW41" s="14"/>
      <x:c r="AX41" s="14" t="str">
        <x:v>No</x:v>
      </x:c>
      <x:c r="AY41" s="14" t="str">
        <x:v>Unmatched</x:v>
      </x:c>
      <x:c r="AZ41" s="14" t="str">
        <x:v>Final supplied register</x:v>
      </x:c>
      <x:c r="BA41" s="14" t="str">
        <x:v>Absence from the register is not evidence that the performer is not disabled.</x:v>
      </x:c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12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0.08333333333333333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HYPERLINK is not implemented. linkLocation=https://www.imdb.com/title/tt30450743/fullcredits/,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tt30450743|nm0752800|debs</x:v>
      </x:c>
      <x:c r="B42" s="14" t="str">
        <x:v>01</x:v>
      </x:c>
      <x:c r="C42" s="14" t="str">
        <x:v>2024_IMDb_Cast_Lists_Batch_01(1).xlsx</x:v>
      </x:c>
      <x:c r="D42" s="14" t="str">
        <x:v>Daddy Issues</x:v>
      </x:c>
      <x:c r="E42" s="14" t="n">
        <x:v>71</x:v>
      </x:c>
      <x:c r="F42" s="14" t="str">
        <x:v>Daddy Issues</x:v>
      </x:c>
      <x:c r="G42" s="14" t="str">
        <x:v>tt30450743</x:v>
      </x:c>
      <x:c r="H42" s="14" t="n">
        <x:v>2024</x:v>
      </x:c>
      <x:c r="I42" s="14" t="n">
        <x:v>2025</x:v>
      </x:c>
      <x:c r="J42" s="14" t="str">
        <x:v>Earlier-Production Carry-In Cohort</x:v>
      </x:c>
      <x:c r="K42" s="14" t="n">
        <x:v>2024</x:v>
      </x:c>
      <x:c r="L42" s="14" t="str">
        <x:v>Not inherited</x:v>
      </x:c>
      <x:c r="M42" s="15" t="n">
        <x:v>64</x:v>
      </x:c>
      <x:c r="N42" s="14" t="str">
        <x:v>Rebecca Ryan</x:v>
      </x:c>
      <x:c r="O42" s="14" t="str">
        <x:v>nm0752800</x:v>
      </x:c>
      <x:c r="P42" s="14" t="str">
        <x:v>Debs</x:v>
      </x:c>
      <x:c r="Q42" s="15" t="n">
        <x:v>1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Explicit source first year retained</x:v>
      </x:c>
      <x:c r="V42" s="14" t="str">
        <x:v>Earliest supplied year is 2025.</x:v>
      </x:c>
      <x:c r="W42" s="14"/>
      <x:c r="X42" s="14" t="str">
        <x:v>Included</x:v>
      </x:c>
      <x:c r="Y42" s="14"/>
      <x:c r="Z42" s="14" t="str">
        <x:v>Daddy Issues.docx</x:v>
      </x:c>
      <x:c r="AA42" s="14" t="str">
        <x:v>HYPERLINK is not implemented. linkLocation=https://www.imdb.com/title/tt30450743/fullcredits/,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HYPERLINK("https://en.wikipedia.org/wiki/Daddy_Issues","Open source")</x:f>
        <x:v>HYPERLINK is not implemented. linkLocation=https://en.wikipedia.org/wiki/Daddy_Issues, friendlyName=Open source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 t="str">
        <x:v>No established-register match</x:v>
      </x:c>
      <x:c r="AT42" s="14"/>
      <x:c r="AU42" s="14"/>
      <x:c r="AV42" s="14" t="str">
        <x:v>No established apparent-disability match</x:v>
      </x:c>
      <x:c r="AW42" s="14"/>
      <x:c r="AX42" s="14" t="str">
        <x:v>No</x:v>
      </x:c>
      <x:c r="AY42" s="14" t="str">
        <x:v>Unmatched</x:v>
      </x:c>
      <x:c r="AZ42" s="14" t="str">
        <x:v>Final supplied register</x:v>
      </x:c>
      <x:c r="BA42" s="14" t="str">
        <x:v>Absence from the register is not evidence that the performer is not disabled.</x:v>
      </x:c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0.08333333333333333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HYPERLINK is not implemented. linkLocation=https://www.imdb.com/title/tt30450743/fullcredits/,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tt30450743|nm13339986|becky</x:v>
      </x:c>
      <x:c r="B43" s="14" t="str">
        <x:v>01</x:v>
      </x:c>
      <x:c r="C43" s="14" t="str">
        <x:v>2024_IMDb_Cast_Lists_Batch_01(1).xlsx</x:v>
      </x:c>
      <x:c r="D43" s="14" t="str">
        <x:v>Daddy Issues</x:v>
      </x:c>
      <x:c r="E43" s="14" t="n">
        <x:v>72</x:v>
      </x:c>
      <x:c r="F43" s="14" t="str">
        <x:v>Daddy Issues</x:v>
      </x:c>
      <x:c r="G43" s="14" t="str">
        <x:v>tt30450743</x:v>
      </x:c>
      <x:c r="H43" s="14" t="n">
        <x:v>2024</x:v>
      </x:c>
      <x:c r="I43" s="14" t="n">
        <x:v>2025</x:v>
      </x:c>
      <x:c r="J43" s="14" t="str">
        <x:v>Earlier-Production Carry-In Cohort</x:v>
      </x:c>
      <x:c r="K43" s="14" t="n">
        <x:v>2024</x:v>
      </x:c>
      <x:c r="L43" s="14" t="str">
        <x:v>Not inherited</x:v>
      </x:c>
      <x:c r="M43" s="15" t="n">
        <x:v>65</x:v>
      </x:c>
      <x:c r="N43" s="14" t="str">
        <x:v>Rumi Sutton</x:v>
      </x:c>
      <x:c r="O43" s="14" t="str">
        <x:v>nm13339986</x:v>
      </x:c>
      <x:c r="P43" s="14" t="str">
        <x:v>Becky</x:v>
      </x:c>
      <x:c r="Q43" s="15" t="n">
        <x:v>1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Explicit source first year retained</x:v>
      </x:c>
      <x:c r="V43" s="14" t="str">
        <x:v>Earliest supplied year is 2025.</x:v>
      </x:c>
      <x:c r="W43" s="14"/>
      <x:c r="X43" s="14" t="str">
        <x:v>Included</x:v>
      </x:c>
      <x:c r="Y43" s="14"/>
      <x:c r="Z43" s="14" t="str">
        <x:v>Daddy Issues.docx</x:v>
      </x:c>
      <x:c r="AA43" s="14" t="str">
        <x:v>HYPERLINK is not implemented. linkLocation=https://www.imdb.com/title/tt30450743/fullcredits/,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HYPERLINK("https://en.wikipedia.org/wiki/Daddy_Issues","Open source")</x:f>
        <x:v>HYPERLINK is not implemented. linkLocation=https://en.wikipedia.org/wiki/Daddy_Issues, friendlyName=Open source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 t="str">
        <x:v>No established-register match</x:v>
      </x:c>
      <x:c r="AT43" s="14"/>
      <x:c r="AU43" s="14"/>
      <x:c r="AV43" s="14" t="str">
        <x:v>No established apparent-disability match</x:v>
      </x:c>
      <x:c r="AW43" s="14"/>
      <x:c r="AX43" s="14" t="str">
        <x:v>No</x:v>
      </x:c>
      <x:c r="AY43" s="14" t="str">
        <x:v>Unmatched</x:v>
      </x:c>
      <x:c r="AZ43" s="14" t="str">
        <x:v>Final supplied register</x:v>
      </x:c>
      <x:c r="BA43" s="14" t="str">
        <x:v>Absence from the register is not evidence that the performer is not disabled.</x:v>
      </x:c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0.08333333333333333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HYPERLINK is not implemented. linkLocation=https://www.imdb.com/title/tt30450743/fullcredits/,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tt30450743|nm2382197|sue</x:v>
      </x:c>
      <x:c r="B44" s="14" t="str">
        <x:v>01</x:v>
      </x:c>
      <x:c r="C44" s="14" t="str">
        <x:v>2024_IMDb_Cast_Lists_Batch_01(1).xlsx</x:v>
      </x:c>
      <x:c r="D44" s="14" t="str">
        <x:v>Daddy Issues</x:v>
      </x:c>
      <x:c r="E44" s="14" t="n">
        <x:v>75</x:v>
      </x:c>
      <x:c r="F44" s="14" t="str">
        <x:v>Daddy Issues</x:v>
      </x:c>
      <x:c r="G44" s="14" t="str">
        <x:v>tt30450743</x:v>
      </x:c>
      <x:c r="H44" s="14" t="n">
        <x:v>2024</x:v>
      </x:c>
      <x:c r="I44" s="14" t="n">
        <x:v>2025</x:v>
      </x:c>
      <x:c r="J44" s="14" t="str">
        <x:v>Earlier-Production Carry-In Cohort</x:v>
      </x:c>
      <x:c r="K44" s="14" t="n">
        <x:v>2024</x:v>
      </x:c>
      <x:c r="L44" s="14" t="str">
        <x:v>Not inherited</x:v>
      </x:c>
      <x:c r="M44" s="15" t="n">
        <x:v>68</x:v>
      </x:c>
      <x:c r="N44" s="14" t="str">
        <x:v>Debbie Rush</x:v>
      </x:c>
      <x:c r="O44" s="14" t="str">
        <x:v>nm2382197</x:v>
      </x:c>
      <x:c r="P44" s="14" t="str">
        <x:v>Sue</x:v>
      </x:c>
      <x:c r="Q44" s="15" t="n">
        <x:v>1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Explicit source first year retained</x:v>
      </x:c>
      <x:c r="V44" s="14" t="str">
        <x:v>Earliest supplied year is 2025.</x:v>
      </x:c>
      <x:c r="W44" s="14"/>
      <x:c r="X44" s="14" t="str">
        <x:v>Included</x:v>
      </x:c>
      <x:c r="Y44" s="14"/>
      <x:c r="Z44" s="14" t="str">
        <x:v>Daddy Issues.docx</x:v>
      </x:c>
      <x:c r="AA44" s="14" t="str">
        <x:v>HYPERLINK is not implemented. linkLocation=https://www.imdb.com/title/tt30450743/fullcredits/,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HYPERLINK("https://en.wikipedia.org/wiki/Daddy_Issues","Open source")</x:f>
        <x:v>HYPERLINK is not implemented. linkLocation=https://en.wikipedia.org/wiki/Daddy_Issues, friendlyName=Open source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 t="str">
        <x:v>No established-register match</x:v>
      </x:c>
      <x:c r="AT44" s="14"/>
      <x:c r="AU44" s="14"/>
      <x:c r="AV44" s="14" t="str">
        <x:v>No established apparent-disability match</x:v>
      </x:c>
      <x:c r="AW44" s="14"/>
      <x:c r="AX44" s="14" t="str">
        <x:v>No</x:v>
      </x:c>
      <x:c r="AY44" s="14" t="str">
        <x:v>Unmatched</x:v>
      </x:c>
      <x:c r="AZ44" s="14" t="str">
        <x:v>Final supplied register</x:v>
      </x:c>
      <x:c r="BA44" s="14" t="str">
        <x:v>Absence from the register is not evidence that the performer is not disabled.</x:v>
      </x:c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0.08333333333333333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HYPERLINK is not implemented. linkLocation=https://www.imdb.com/title/tt30450743/fullcredits/,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tt30450743|nm3146378|red lion patron</x:v>
      </x:c>
      <x:c r="B45" s="14" t="str">
        <x:v>01</x:v>
      </x:c>
      <x:c r="C45" s="14" t="str">
        <x:v>2024_IMDb_Cast_Lists_Batch_01(1).xlsx</x:v>
      </x:c>
      <x:c r="D45" s="14" t="str">
        <x:v>Daddy Issues</x:v>
      </x:c>
      <x:c r="E45" s="14" t="n">
        <x:v>76</x:v>
      </x:c>
      <x:c r="F45" s="14" t="str">
        <x:v>Daddy Issues</x:v>
      </x:c>
      <x:c r="G45" s="14" t="str">
        <x:v>tt30450743</x:v>
      </x:c>
      <x:c r="H45" s="14" t="n">
        <x:v>2024</x:v>
      </x:c>
      <x:c r="I45" s="14" t="n">
        <x:v>2025</x:v>
      </x:c>
      <x:c r="J45" s="14" t="str">
        <x:v>Earlier-Production Carry-In Cohort</x:v>
      </x:c>
      <x:c r="K45" s="14" t="n">
        <x:v>2024</x:v>
      </x:c>
      <x:c r="L45" s="14" t="str">
        <x:v>Not inherited</x:v>
      </x:c>
      <x:c r="M45" s="15" t="n">
        <x:v>69</x:v>
      </x:c>
      <x:c r="N45" s="14" t="str">
        <x:v>Mark Sheals</x:v>
      </x:c>
      <x:c r="O45" s="14" t="str">
        <x:v>nm3146378</x:v>
      </x:c>
      <x:c r="P45" s="14" t="str">
        <x:v>Red Lion Patron</x:v>
      </x:c>
      <x:c r="Q45" s="15" t="n">
        <x:v>1</x:v>
      </x:c>
      <x:c r="R45" s="14" t="str">
        <x:v>2025</x:v>
      </x:c>
      <x:c r="S45" s="14" t="n">
        <x:v>2025</x:v>
      </x:c>
      <x:c r="T45" s="14" t="n">
        <x:v>2025</x:v>
      </x:c>
      <x:c r="U45" s="14" t="str">
        <x:v>Explicit source first year retained</x:v>
      </x:c>
      <x:c r="V45" s="14" t="str">
        <x:v>Earliest supplied year is 2025.</x:v>
      </x:c>
      <x:c r="W45" s="14"/>
      <x:c r="X45" s="14" t="str">
        <x:v>Included</x:v>
      </x:c>
      <x:c r="Y45" s="14"/>
      <x:c r="Z45" s="14" t="str">
        <x:v>Daddy Issues.docx</x:v>
      </x:c>
      <x:c r="AA45" s="14" t="str">
        <x:v>HYPERLINK is not implemented. linkLocation=https://www.imdb.com/title/tt30450743/fullcredits/,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HYPERLINK("https://en.wikipedia.org/wiki/Daddy_Issues","Open source")</x:f>
        <x:v>HYPERLINK is not implemented. linkLocation=https://en.wikipedia.org/wiki/Daddy_Issues, friendlyName=Open source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 t="str">
        <x:v>No established-register match</x:v>
      </x:c>
      <x:c r="AT45" s="14"/>
      <x:c r="AU45" s="14"/>
      <x:c r="AV45" s="14" t="str">
        <x:v>No established apparent-disability match</x:v>
      </x:c>
      <x:c r="AW45" s="14"/>
      <x:c r="AX45" s="14" t="str">
        <x:v>No</x:v>
      </x:c>
      <x:c r="AY45" s="14" t="str">
        <x:v>Unmatched</x:v>
      </x:c>
      <x:c r="AZ45" s="14" t="str">
        <x:v>Final supplied register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0.08333333333333333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HYPERLINK is not implemented. linkLocation=https://www.imdb.com/title/tt30450743/fullcredits/,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tt30450743|nm5037326|young jackie</x:v>
      </x:c>
      <x:c r="B46" s="14" t="str">
        <x:v>01</x:v>
      </x:c>
      <x:c r="C46" s="14" t="str">
        <x:v>2024_IMDb_Cast_Lists_Batch_01(1).xlsx</x:v>
      </x:c>
      <x:c r="D46" s="14" t="str">
        <x:v>Daddy Issues</x:v>
      </x:c>
      <x:c r="E46" s="14" t="n">
        <x:v>77</x:v>
      </x:c>
      <x:c r="F46" s="14" t="str">
        <x:v>Daddy Issues</x:v>
      </x:c>
      <x:c r="G46" s="14" t="str">
        <x:v>tt30450743</x:v>
      </x:c>
      <x:c r="H46" s="14" t="n">
        <x:v>2024</x:v>
      </x:c>
      <x:c r="I46" s="14" t="n">
        <x:v>2025</x:v>
      </x:c>
      <x:c r="J46" s="14" t="str">
        <x:v>Earlier-Production Carry-In Cohort</x:v>
      </x:c>
      <x:c r="K46" s="14" t="n">
        <x:v>2024</x:v>
      </x:c>
      <x:c r="L46" s="14" t="str">
        <x:v>Not inherited</x:v>
      </x:c>
      <x:c r="M46" s="15" t="n">
        <x:v>70</x:v>
      </x:c>
      <x:c r="N46" s="14" t="str">
        <x:v>Tom Machell</x:v>
      </x:c>
      <x:c r="O46" s="14" t="str">
        <x:v>nm5037326</x:v>
      </x:c>
      <x:c r="P46" s="14" t="str">
        <x:v>Young Jackie</x:v>
      </x:c>
      <x:c r="Q46" s="15" t="n">
        <x:v>1</x:v>
      </x:c>
      <x:c r="R46" s="14" t="str">
        <x:v>2025</x:v>
      </x:c>
      <x:c r="S46" s="14" t="n">
        <x:v>2025</x:v>
      </x:c>
      <x:c r="T46" s="14" t="n">
        <x:v>2025</x:v>
      </x:c>
      <x:c r="U46" s="14" t="str">
        <x:v>Explicit source first year retained</x:v>
      </x:c>
      <x:c r="V46" s="14" t="str">
        <x:v>Earliest supplied year is 2025.</x:v>
      </x:c>
      <x:c r="W46" s="14"/>
      <x:c r="X46" s="14" t="str">
        <x:v>Included</x:v>
      </x:c>
      <x:c r="Y46" s="14"/>
      <x:c r="Z46" s="14" t="str">
        <x:v>Daddy Issues.docx</x:v>
      </x:c>
      <x:c r="AA46" s="14" t="str">
        <x:v>HYPERLINK is not implemented. linkLocation=https://www.imdb.com/title/tt30450743/fullcredits/,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HYPERLINK("https://en.wikipedia.org/wiki/Daddy_Issues","Open source")</x:f>
        <x:v>HYPERLINK is not implemented. linkLocation=https://en.wikipedia.org/wiki/Daddy_Issues, friendlyName=Open source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 t="str">
        <x:v>No established-register match</x:v>
      </x:c>
      <x:c r="AT46" s="14"/>
      <x:c r="AU46" s="14"/>
      <x:c r="AV46" s="14" t="str">
        <x:v>No established apparent-disability match</x:v>
      </x:c>
      <x:c r="AW46" s="14"/>
      <x:c r="AX46" s="14" t="str">
        <x:v>No</x:v>
      </x:c>
      <x:c r="AY46" s="14" t="str">
        <x:v>Unmatched</x:v>
      </x:c>
      <x:c r="AZ46" s="14" t="str">
        <x:v>Final supplied register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0.08333333333333333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HYPERLINK is not implemented. linkLocation=https://www.imdb.com/title/tt30450743/fullcredits/,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tt30450743|nm2050746|cyndi</x:v>
      </x:c>
      <x:c r="B47" s="14" t="str">
        <x:v>01</x:v>
      </x:c>
      <x:c r="C47" s="14" t="str">
        <x:v>2024_IMDb_Cast_Lists_Batch_01(1).xlsx</x:v>
      </x:c>
      <x:c r="D47" s="14" t="str">
        <x:v>Daddy Issues</x:v>
      </x:c>
      <x:c r="E47" s="14" t="n">
        <x:v>80</x:v>
      </x:c>
      <x:c r="F47" s="14" t="str">
        <x:v>Daddy Issues</x:v>
      </x:c>
      <x:c r="G47" s="14" t="str">
        <x:v>tt30450743</x:v>
      </x:c>
      <x:c r="H47" s="14" t="n">
        <x:v>2024</x:v>
      </x:c>
      <x:c r="I47" s="14" t="n">
        <x:v>2025</x:v>
      </x:c>
      <x:c r="J47" s="14" t="str">
        <x:v>Earlier-Production Carry-In Cohort</x:v>
      </x:c>
      <x:c r="K47" s="14" t="n">
        <x:v>2024</x:v>
      </x:c>
      <x:c r="L47" s="14" t="str">
        <x:v>Not inherited</x:v>
      </x:c>
      <x:c r="M47" s="15" t="n">
        <x:v>73</x:v>
      </x:c>
      <x:c r="N47" s="14" t="str">
        <x:v>Emma Rigby</x:v>
      </x:c>
      <x:c r="O47" s="14" t="str">
        <x:v>nm2050746</x:v>
      </x:c>
      <x:c r="P47" s="14" t="str">
        <x:v>Cyndi</x:v>
      </x:c>
      <x:c r="Q47" s="15" t="n">
        <x:v>1</x:v>
      </x:c>
      <x:c r="R47" s="14" t="str">
        <x:v>2025</x:v>
      </x:c>
      <x:c r="S47" s="14" t="n">
        <x:v>2025</x:v>
      </x:c>
      <x:c r="T47" s="14" t="n">
        <x:v>2025</x:v>
      </x:c>
      <x:c r="U47" s="14" t="str">
        <x:v>Explicit source first year retained</x:v>
      </x:c>
      <x:c r="V47" s="14" t="str">
        <x:v>Earliest supplied year is 2025.</x:v>
      </x:c>
      <x:c r="W47" s="14"/>
      <x:c r="X47" s="14" t="str">
        <x:v>Included</x:v>
      </x:c>
      <x:c r="Y47" s="14"/>
      <x:c r="Z47" s="14" t="str">
        <x:v>Daddy Issues.docx</x:v>
      </x:c>
      <x:c r="AA47" s="14" t="str">
        <x:v>HYPERLINK is not implemented. linkLocation=https://www.imdb.com/title/tt30450743/fullcredits/,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HYPERLINK("https://en.wikipedia.org/wiki/Daddy_Issues","Open source")</x:f>
        <x:v>HYPERLINK is not implemented. linkLocation=https://en.wikipedia.org/wiki/Daddy_Issues, friendlyName=Open source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 t="str">
        <x:v>No established-register match</x:v>
      </x:c>
      <x:c r="AT47" s="14"/>
      <x:c r="AU47" s="14"/>
      <x:c r="AV47" s="14" t="str">
        <x:v>No established apparent-disability match</x:v>
      </x:c>
      <x:c r="AW47" s="14"/>
      <x:c r="AX47" s="14" t="str">
        <x:v>No</x:v>
      </x:c>
      <x:c r="AY47" s="14" t="str">
        <x:v>Unmatched</x:v>
      </x:c>
      <x:c r="AZ47" s="14" t="str">
        <x:v>Final supplied register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0.08333333333333333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HYPERLINK is not implemented. linkLocation=https://www.imdb.com/title/tt30450743/fullcredits/,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tt30450743|nm1277450|elodie</x:v>
      </x:c>
      <x:c r="B48" s="14" t="str">
        <x:v>01</x:v>
      </x:c>
      <x:c r="C48" s="14" t="str">
        <x:v>2024_IMDb_Cast_Lists_Batch_01(1).xlsx</x:v>
      </x:c>
      <x:c r="D48" s="14" t="str">
        <x:v>Daddy Issues</x:v>
      </x:c>
      <x:c r="E48" s="14" t="n">
        <x:v>82</x:v>
      </x:c>
      <x:c r="F48" s="14" t="str">
        <x:v>Daddy Issues</x:v>
      </x:c>
      <x:c r="G48" s="14" t="str">
        <x:v>tt30450743</x:v>
      </x:c>
      <x:c r="H48" s="14" t="n">
        <x:v>2024</x:v>
      </x:c>
      <x:c r="I48" s="14" t="n">
        <x:v>2025</x:v>
      </x:c>
      <x:c r="J48" s="14" t="str">
        <x:v>Earlier-Production Carry-In Cohort</x:v>
      </x:c>
      <x:c r="K48" s="14" t="n">
        <x:v>2024</x:v>
      </x:c>
      <x:c r="L48" s="14" t="str">
        <x:v>Not inherited</x:v>
      </x:c>
      <x:c r="M48" s="15" t="n">
        <x:v>75</x:v>
      </x:c>
      <x:c r="N48" s="14" t="str">
        <x:v>Kellie Shirley</x:v>
      </x:c>
      <x:c r="O48" s="14" t="str">
        <x:v>nm1277450</x:v>
      </x:c>
      <x:c r="P48" s="14" t="str">
        <x:v>Elodie</x:v>
      </x:c>
      <x:c r="Q48" s="15" t="n">
        <x:v>1</x:v>
      </x:c>
      <x:c r="R48" s="14" t="str">
        <x:v>2025</x:v>
      </x:c>
      <x:c r="S48" s="14" t="n">
        <x:v>2025</x:v>
      </x:c>
      <x:c r="T48" s="14" t="n">
        <x:v>2025</x:v>
      </x:c>
      <x:c r="U48" s="14" t="str">
        <x:v>Explicit source first year retained</x:v>
      </x:c>
      <x:c r="V48" s="14" t="str">
        <x:v>Earliest supplied year is 2025.</x:v>
      </x:c>
      <x:c r="W48" s="14"/>
      <x:c r="X48" s="14" t="str">
        <x:v>Included</x:v>
      </x:c>
      <x:c r="Y48" s="14"/>
      <x:c r="Z48" s="14" t="str">
        <x:v>Daddy Issues.docx</x:v>
      </x:c>
      <x:c r="AA48" s="14" t="str">
        <x:v>HYPERLINK is not implemented. linkLocation=https://www.imdb.com/title/tt30450743/fullcredits/,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HYPERLINK("https://en.wikipedia.org/wiki/Daddy_Issues","Open source")</x:f>
        <x:v>HYPERLINK is not implemented. linkLocation=https://en.wikipedia.org/wiki/Daddy_Issues, friendlyName=Open source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 t="str">
        <x:v>No established-register match</x:v>
      </x:c>
      <x:c r="AT48" s="14"/>
      <x:c r="AU48" s="14"/>
      <x:c r="AV48" s="14" t="str">
        <x:v>No established apparent-disability match</x:v>
      </x:c>
      <x:c r="AW48" s="14"/>
      <x:c r="AX48" s="14" t="str">
        <x:v>No</x:v>
      </x:c>
      <x:c r="AY48" s="14" t="str">
        <x:v>Unmatched</x:v>
      </x:c>
      <x:c r="AZ48" s="14" t="str">
        <x:v>Final supplied register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0.08333333333333333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HYPERLINK is not implemented. linkLocation=https://www.imdb.com/title/tt30450743/fullcredits/,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tt30226479|nm0377905|pam</x:v>
      </x:c>
      <x:c r="B49" s="14" t="str">
        <x:v>03</x:v>
      </x:c>
      <x:c r="C49" s="14" t="str">
        <x:v>2024_IMDb_Cast_Lists_Batch_03(1).xlsx</x:v>
      </x:c>
      <x:c r="D49" s="14" t="str">
        <x:v>Mr Bigstuff</x:v>
      </x:c>
      <x:c r="E49" s="14" t="n">
        <x:v>18</x:v>
      </x:c>
      <x:c r="F49" s="14" t="str">
        <x:v>Mr Bigstuff</x:v>
      </x:c>
      <x:c r="G49" s="14" t="str">
        <x:v>tt30226479</x:v>
      </x:c>
      <x:c r="H49" s="14" t="n">
        <x:v>2024</x:v>
      </x:c>
      <x:c r="I49" s="14" t="n">
        <x:v>2025</x:v>
      </x:c>
      <x:c r="J49" s="14" t="str">
        <x:v>Earlier-Production Carry-In Cohort</x:v>
      </x:c>
      <x:c r="K49" s="14" t="n">
        <x:v>2024</x:v>
      </x:c>
      <x:c r="L49" s="14" t="str">
        <x:v>Not inherited</x:v>
      </x:c>
      <x:c r="M49" s="15" t="n">
        <x:v>11</x:v>
      </x:c>
      <x:c r="N49" s="14" t="str">
        <x:v>Linda Henry</x:v>
      </x:c>
      <x:c r="O49" s="14" t="str">
        <x:v>nm0377905</x:v>
      </x:c>
      <x:c r="P49" s="14" t="str">
        <x:v>Pam</x:v>
      </x:c>
      <x:c r="Q49" s="15" t="n">
        <x:v>3</x:v>
      </x:c>
      <x:c r="R49" s="14" t="str">
        <x:v>2025</x:v>
      </x:c>
      <x:c r="S49" s="14" t="n">
        <x:v>2025</x:v>
      </x:c>
      <x:c r="T49" s="14" t="n">
        <x:v>2025</x:v>
      </x:c>
      <x:c r="U49" s="14" t="str">
        <x:v>Explicit source first year retained</x:v>
      </x:c>
      <x:c r="V49" s="14" t="str">
        <x:v>Earliest supplied year is 2025.</x:v>
      </x:c>
      <x:c r="W49" s="14"/>
      <x:c r="X49" s="14" t="str">
        <x:v>Included</x:v>
      </x:c>
      <x:c r="Y49" s="14"/>
      <x:c r="Z49" s="14" t="str">
        <x:v>Mr Bigstuff(1).docx</x:v>
      </x:c>
      <x:c r="AA49" s="14" t="str">
        <x:v>HYPERLINK is not implemented. linkLocation=https://www.imdb.com/title/tt30226479/fullcredits/,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Sky / NOW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HYPERLINK("https://en.wikipedia.org/wiki/Mr._Bigstuff","Open source")</x:f>
        <x:v>HYPERLINK is not implemented. linkLocation=https://en.wikipedia.org/wiki/Mr._Bigstuff, friendlyName=Open source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 t="str">
        <x:v>No established-register match</x:v>
      </x:c>
      <x:c r="AT49" s="14"/>
      <x:c r="AU49" s="14"/>
      <x:c r="AV49" s="14" t="str">
        <x:v>No established apparent-disability match</x:v>
      </x:c>
      <x:c r="AW49" s="14"/>
      <x:c r="AX49" s="14" t="str">
        <x:v>No</x:v>
      </x:c>
      <x:c r="AY49" s="14" t="str">
        <x:v>Unmatched</x:v>
      </x:c>
      <x:c r="AZ49" s="14" t="str">
        <x:v>Final supplied register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HYPERLINK is not implemented. linkLocation=https://www.imdb.com/title/tt30226479/fullcredits/,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tt30226479|nm4176253|el-baz</x:v>
      </x:c>
      <x:c r="B50" s="14" t="str">
        <x:v>03</x:v>
      </x:c>
      <x:c r="C50" s="14" t="str">
        <x:v>2024_IMDb_Cast_Lists_Batch_03(1).xlsx</x:v>
      </x:c>
      <x:c r="D50" s="14" t="str">
        <x:v>Mr Bigstuff</x:v>
      </x:c>
      <x:c r="E50" s="14" t="n">
        <x:v>19</x:v>
      </x:c>
      <x:c r="F50" s="14" t="str">
        <x:v>Mr Bigstuff</x:v>
      </x:c>
      <x:c r="G50" s="14" t="str">
        <x:v>tt30226479</x:v>
      </x:c>
      <x:c r="H50" s="14" t="n">
        <x:v>2024</x:v>
      </x:c>
      <x:c r="I50" s="14" t="n">
        <x:v>2025</x:v>
      </x:c>
      <x:c r="J50" s="14" t="str">
        <x:v>Earlier-Production Carry-In Cohort</x:v>
      </x:c>
      <x:c r="K50" s="14" t="n">
        <x:v>2024</x:v>
      </x:c>
      <x:c r="L50" s="14" t="str">
        <x:v>Not inherited</x:v>
      </x:c>
      <x:c r="M50" s="15" t="n">
        <x:v>12</x:v>
      </x:c>
      <x:c r="N50" s="14" t="str">
        <x:v>David Mumeni</x:v>
      </x:c>
      <x:c r="O50" s="14" t="str">
        <x:v>nm4176253</x:v>
      </x:c>
      <x:c r="P50" s="14" t="str">
        <x:v>El-Baz</x:v>
      </x:c>
      <x:c r="Q50" s="15" t="n">
        <x:v>2</x:v>
      </x:c>
      <x:c r="R50" s="14" t="str">
        <x:v>2025</x:v>
      </x:c>
      <x:c r="S50" s="14" t="n">
        <x:v>2025</x:v>
      </x:c>
      <x:c r="T50" s="14" t="n">
        <x:v>2025</x:v>
      </x:c>
      <x:c r="U50" s="14" t="str">
        <x:v>Explicit source first year retained</x:v>
      </x:c>
      <x:c r="V50" s="14" t="str">
        <x:v>Earliest supplied year is 2025.</x:v>
      </x:c>
      <x:c r="W50" s="14"/>
      <x:c r="X50" s="14" t="str">
        <x:v>Included</x:v>
      </x:c>
      <x:c r="Y50" s="14"/>
      <x:c r="Z50" s="14" t="str">
        <x:v>Mr Bigstuff(1).docx</x:v>
      </x:c>
      <x:c r="AA50" s="14" t="str">
        <x:v>HYPERLINK is not implemented. linkLocation=https://www.imdb.com/title/tt30226479/fullcredits/,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Sky / NOW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HYPERLINK("https://en.wikipedia.org/wiki/Mr._Bigstuff","Open source")</x:f>
        <x:v>HYPERLINK is not implemented. linkLocation=https://en.wikipedia.org/wiki/Mr._Bigstuff, friendlyName=Open source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 t="str">
        <x:v>No established-register match</x:v>
      </x:c>
      <x:c r="AT50" s="14"/>
      <x:c r="AU50" s="14"/>
      <x:c r="AV50" s="14" t="str">
        <x:v>No established apparent-disability match</x:v>
      </x:c>
      <x:c r="AW50" s="14"/>
      <x:c r="AX50" s="14" t="str">
        <x:v>No</x:v>
      </x:c>
      <x:c r="AY50" s="14" t="str">
        <x:v>Unmatched</x:v>
      </x:c>
      <x:c r="AZ50" s="14" t="str">
        <x:v>Final supplied register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2</x:v>
      </x:c>
      <x:c r="BS50" s="16" t="n">
        <x:v>0.16666666666666666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HYPERLINK is not implemented. linkLocation=https://www.imdb.com/title/tt30226479/fullcredits/,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tt30226479|nm0285495|frank</x:v>
      </x:c>
      <x:c r="B51" s="14" t="str">
        <x:v>03</x:v>
      </x:c>
      <x:c r="C51" s="14" t="str">
        <x:v>2024_IMDb_Cast_Lists_Batch_03(1).xlsx</x:v>
      </x:c>
      <x:c r="D51" s="14" t="str">
        <x:v>Mr Bigstuff</x:v>
      </x:c>
      <x:c r="E51" s="14" t="n">
        <x:v>23</x:v>
      </x:c>
      <x:c r="F51" s="14" t="str">
        <x:v>Mr Bigstuff</x:v>
      </x:c>
      <x:c r="G51" s="14" t="str">
        <x:v>tt30226479</x:v>
      </x:c>
      <x:c r="H51" s="14" t="n">
        <x:v>2024</x:v>
      </x:c>
      <x:c r="I51" s="14" t="n">
        <x:v>2025</x:v>
      </x:c>
      <x:c r="J51" s="14" t="str">
        <x:v>Earlier-Production Carry-In Cohort</x:v>
      </x:c>
      <x:c r="K51" s="14" t="n">
        <x:v>2024</x:v>
      </x:c>
      <x:c r="L51" s="14" t="str">
        <x:v>Not inherited</x:v>
      </x:c>
      <x:c r="M51" s="15" t="n">
        <x:v>16</x:v>
      </x:c>
      <x:c r="N51" s="14" t="str">
        <x:v>Alan Ford</x:v>
      </x:c>
      <x:c r="O51" s="14" t="str">
        <x:v>nm0285495</x:v>
      </x:c>
      <x:c r="P51" s="14" t="str">
        <x:v>Frank</x:v>
      </x:c>
      <x:c r="Q51" s="15" t="n">
        <x:v>1</x:v>
      </x:c>
      <x:c r="R51" s="14" t="str">
        <x:v>2025</x:v>
      </x:c>
      <x:c r="S51" s="14" t="n">
        <x:v>2025</x:v>
      </x:c>
      <x:c r="T51" s="14" t="n">
        <x:v>2025</x:v>
      </x:c>
      <x:c r="U51" s="14" t="str">
        <x:v>Explicit source first year retained</x:v>
      </x:c>
      <x:c r="V51" s="14" t="str">
        <x:v>Earliest supplied year is 2025.</x:v>
      </x:c>
      <x:c r="W51" s="14"/>
      <x:c r="X51" s="14" t="str">
        <x:v>Included</x:v>
      </x:c>
      <x:c r="Y51" s="14"/>
      <x:c r="Z51" s="14" t="str">
        <x:v>Mr Bigstuff(1).docx</x:v>
      </x:c>
      <x:c r="AA51" s="14" t="str">
        <x:v>HYPERLINK is not implemented. linkLocation=https://www.imdb.com/title/tt30226479/fullcredits/,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Sky / NOW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HYPERLINK("https://en.wikipedia.org/wiki/Mr._Bigstuff","Open source")</x:f>
        <x:v>HYPERLINK is not implemented. linkLocation=https://en.wikipedia.org/wiki/Mr._Bigstuff, friendlyName=Open source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 t="str">
        <x:v>No established-register match</x:v>
      </x:c>
      <x:c r="AT51" s="14"/>
      <x:c r="AU51" s="14"/>
      <x:c r="AV51" s="14" t="str">
        <x:v>No established apparent-disability match</x:v>
      </x:c>
      <x:c r="AW51" s="14"/>
      <x:c r="AX51" s="14" t="str">
        <x:v>No</x:v>
      </x:c>
      <x:c r="AY51" s="14" t="str">
        <x:v>Unmatched</x:v>
      </x:c>
      <x:c r="AZ51" s="14" t="str">
        <x:v>Final supplied register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0.08333333333333333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HYPERLINK is not implemented. linkLocation=https://www.imdb.com/title/tt30226479/fullcredits/,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tt30226479|nm7735920|petrol cashier</x:v>
      </x:c>
      <x:c r="B52" s="14" t="str">
        <x:v>03</x:v>
      </x:c>
      <x:c r="C52" s="14" t="str">
        <x:v>2024_IMDb_Cast_Lists_Batch_03(1).xlsx</x:v>
      </x:c>
      <x:c r="D52" s="14" t="str">
        <x:v>Mr Bigstuff</x:v>
      </x:c>
      <x:c r="E52" s="14" t="n">
        <x:v>27</x:v>
      </x:c>
      <x:c r="F52" s="14" t="str">
        <x:v>Mr Bigstuff</x:v>
      </x:c>
      <x:c r="G52" s="14" t="str">
        <x:v>tt30226479</x:v>
      </x:c>
      <x:c r="H52" s="14" t="n">
        <x:v>2024</x:v>
      </x:c>
      <x:c r="I52" s="14" t="n">
        <x:v>2025</x:v>
      </x:c>
      <x:c r="J52" s="14" t="str">
        <x:v>Earlier-Production Carry-In Cohort</x:v>
      </x:c>
      <x:c r="K52" s="14" t="n">
        <x:v>2024</x:v>
      </x:c>
      <x:c r="L52" s="14" t="str">
        <x:v>Not inherited</x:v>
      </x:c>
      <x:c r="M52" s="15" t="n">
        <x:v>20</x:v>
      </x:c>
      <x:c r="N52" s="14" t="str">
        <x:v>Mark Silcox</x:v>
      </x:c>
      <x:c r="O52" s="14" t="str">
        <x:v>nm7735920</x:v>
      </x:c>
      <x:c r="P52" s="14" t="str">
        <x:v>Petrol Cashier</x:v>
      </x:c>
      <x:c r="Q52" s="15" t="n">
        <x:v>1</x:v>
      </x:c>
      <x:c r="R52" s="14" t="str">
        <x:v>2025</x:v>
      </x:c>
      <x:c r="S52" s="14" t="n">
        <x:v>2025</x:v>
      </x:c>
      <x:c r="T52" s="14" t="n">
        <x:v>2025</x:v>
      </x:c>
      <x:c r="U52" s="14" t="str">
        <x:v>Explicit source first year retained</x:v>
      </x:c>
      <x:c r="V52" s="14" t="str">
        <x:v>Earliest supplied year is 2025.</x:v>
      </x:c>
      <x:c r="W52" s="14"/>
      <x:c r="X52" s="14" t="str">
        <x:v>Included</x:v>
      </x:c>
      <x:c r="Y52" s="14"/>
      <x:c r="Z52" s="14" t="str">
        <x:v>Mr Bigstuff(1).docx</x:v>
      </x:c>
      <x:c r="AA52" s="14" t="str">
        <x:v>HYPERLINK is not implemented. linkLocation=https://www.imdb.com/title/tt30226479/fullcredits/,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Sky / NOW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HYPERLINK("https://en.wikipedia.org/wiki/Mr._Bigstuff","Open source")</x:f>
        <x:v>HYPERLINK is not implemented. linkLocation=https://en.wikipedia.org/wiki/Mr._Bigstuff, friendlyName=Open source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 t="str">
        <x:v>No established-register match</x:v>
      </x:c>
      <x:c r="AT52" s="14"/>
      <x:c r="AU52" s="14"/>
      <x:c r="AV52" s="14" t="str">
        <x:v>No established apparent-disability match</x:v>
      </x:c>
      <x:c r="AW52" s="14"/>
      <x:c r="AX52" s="14" t="str">
        <x:v>No</x:v>
      </x:c>
      <x:c r="AY52" s="14" t="str">
        <x:v>Unmatched</x:v>
      </x:c>
      <x:c r="AZ52" s="14" t="str">
        <x:v>Final supplied register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0.08333333333333333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HYPERLINK is not implemented. linkLocation=https://www.imdb.com/title/tt30226479/fullcredits/,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tt30226479|nm17531917|schoolkid</x:v>
      </x:c>
      <x:c r="B53" s="14" t="str">
        <x:v>03</x:v>
      </x:c>
      <x:c r="C53" s="14" t="str">
        <x:v>2024_IMDb_Cast_Lists_Batch_03(1).xlsx</x:v>
      </x:c>
      <x:c r="D53" s="14" t="str">
        <x:v>Mr Bigstuff</x:v>
      </x:c>
      <x:c r="E53" s="14" t="n">
        <x:v>32</x:v>
      </x:c>
      <x:c r="F53" s="14" t="str">
        <x:v>Mr Bigstuff</x:v>
      </x:c>
      <x:c r="G53" s="14" t="str">
        <x:v>tt30226479</x:v>
      </x:c>
      <x:c r="H53" s="14" t="n">
        <x:v>2024</x:v>
      </x:c>
      <x:c r="I53" s="14" t="n">
        <x:v>2025</x:v>
      </x:c>
      <x:c r="J53" s="14" t="str">
        <x:v>Earlier-Production Carry-In Cohort</x:v>
      </x:c>
      <x:c r="K53" s="14" t="n">
        <x:v>2024</x:v>
      </x:c>
      <x:c r="L53" s="14" t="str">
        <x:v>Not inherited</x:v>
      </x:c>
      <x:c r="M53" s="15" t="n">
        <x:v>25</x:v>
      </x:c>
      <x:c r="N53" s="14" t="str">
        <x:v>Akinlolu Akinsaya</x:v>
      </x:c>
      <x:c r="O53" s="14" t="str">
        <x:v>nm17531917</x:v>
      </x:c>
      <x:c r="P53" s="14" t="str">
        <x:v>Schoolkid</x:v>
      </x:c>
      <x:c r="Q53" s="15" t="n">
        <x:v>1</x:v>
      </x:c>
      <x:c r="R53" s="14" t="str">
        <x:v>2025</x:v>
      </x:c>
      <x:c r="S53" s="14" t="n">
        <x:v>2025</x:v>
      </x:c>
      <x:c r="T53" s="14" t="n">
        <x:v>2025</x:v>
      </x:c>
      <x:c r="U53" s="14" t="str">
        <x:v>Explicit source first year retained</x:v>
      </x:c>
      <x:c r="V53" s="14" t="str">
        <x:v>Earliest supplied year is 2025.</x:v>
      </x:c>
      <x:c r="W53" s="14"/>
      <x:c r="X53" s="14" t="str">
        <x:v>Included</x:v>
      </x:c>
      <x:c r="Y53" s="14"/>
      <x:c r="Z53" s="14" t="str">
        <x:v>Mr Bigstuff(1).docx</x:v>
      </x:c>
      <x:c r="AA53" s="14" t="str">
        <x:v>HYPERLINK is not implemented. linkLocation=https://www.imdb.com/title/tt30226479/fullcredits/,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Sky / NOW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HYPERLINK("https://en.wikipedia.org/wiki/Mr._Bigstuff","Open source")</x:f>
        <x:v>HYPERLINK is not implemented. linkLocation=https://en.wikipedia.org/wiki/Mr._Bigstuff, friendlyName=Open source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 t="str">
        <x:v>No established-register match</x:v>
      </x:c>
      <x:c r="AT53" s="14"/>
      <x:c r="AU53" s="14"/>
      <x:c r="AV53" s="14" t="str">
        <x:v>No established apparent-disability match</x:v>
      </x:c>
      <x:c r="AW53" s="14"/>
      <x:c r="AX53" s="14" t="str">
        <x:v>No</x:v>
      </x:c>
      <x:c r="AY53" s="14" t="str">
        <x:v>Unmatched</x:v>
      </x:c>
      <x:c r="AZ53" s="14" t="str">
        <x:v>Final supplied register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0.08333333333333333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HYPERLINK is not implemented. linkLocation=https://www.imdb.com/title/tt30226479/fullcredits/,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tt30226479|nm0502218|rita</x:v>
      </x:c>
      <x:c r="B54" s="14" t="str">
        <x:v>03</x:v>
      </x:c>
      <x:c r="C54" s="14" t="str">
        <x:v>2024_IMDb_Cast_Lists_Batch_03(1).xlsx</x:v>
      </x:c>
      <x:c r="D54" s="14" t="str">
        <x:v>Mr Bigstuff</x:v>
      </x:c>
      <x:c r="E54" s="14" t="n">
        <x:v>37</x:v>
      </x:c>
      <x:c r="F54" s="14" t="str">
        <x:v>Mr Bigstuff</x:v>
      </x:c>
      <x:c r="G54" s="14" t="str">
        <x:v>tt30226479</x:v>
      </x:c>
      <x:c r="H54" s="14" t="n">
        <x:v>2024</x:v>
      </x:c>
      <x:c r="I54" s="14" t="n">
        <x:v>2025</x:v>
      </x:c>
      <x:c r="J54" s="14" t="str">
        <x:v>Earlier-Production Carry-In Cohort</x:v>
      </x:c>
      <x:c r="K54" s="14" t="n">
        <x:v>2024</x:v>
      </x:c>
      <x:c r="L54" s="14" t="str">
        <x:v>Not inherited</x:v>
      </x:c>
      <x:c r="M54" s="15" t="n">
        <x:v>30</x:v>
      </x:c>
      <x:c r="N54" s="14" t="str">
        <x:v>Rula Lenska</x:v>
      </x:c>
      <x:c r="O54" s="14" t="str">
        <x:v>nm0502218</x:v>
      </x:c>
      <x:c r="P54" s="14" t="str">
        <x:v>Rita</x:v>
      </x:c>
      <x:c r="Q54" s="15" t="n">
        <x:v>1</x:v>
      </x:c>
      <x:c r="R54" s="14" t="str">
        <x:v>2025</x:v>
      </x:c>
      <x:c r="S54" s="14" t="n">
        <x:v>2025</x:v>
      </x:c>
      <x:c r="T54" s="14" t="n">
        <x:v>2025</x:v>
      </x:c>
      <x:c r="U54" s="14" t="str">
        <x:v>Explicit source first year retained</x:v>
      </x:c>
      <x:c r="V54" s="14" t="str">
        <x:v>Earliest supplied year is 2025.</x:v>
      </x:c>
      <x:c r="W54" s="14"/>
      <x:c r="X54" s="14" t="str">
        <x:v>Included</x:v>
      </x:c>
      <x:c r="Y54" s="14"/>
      <x:c r="Z54" s="14" t="str">
        <x:v>Mr Bigstuff(1).docx</x:v>
      </x:c>
      <x:c r="AA54" s="14" t="str">
        <x:v>HYPERLINK is not implemented. linkLocation=https://www.imdb.com/title/tt30226479/fullcredits/,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Sky / NOW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HYPERLINK("https://en.wikipedia.org/wiki/Mr._Bigstuff","Open source")</x:f>
        <x:v>HYPERLINK is not implemented. linkLocation=https://en.wikipedia.org/wiki/Mr._Bigstuff, friendlyName=Open source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 t="str">
        <x:v>No established-register match</x:v>
      </x:c>
      <x:c r="AT54" s="14"/>
      <x:c r="AU54" s="14"/>
      <x:c r="AV54" s="14" t="str">
        <x:v>No established apparent-disability match</x:v>
      </x:c>
      <x:c r="AW54" s="14"/>
      <x:c r="AX54" s="14" t="str">
        <x:v>No</x:v>
      </x:c>
      <x:c r="AY54" s="14" t="str">
        <x:v>Unmatched</x:v>
      </x:c>
      <x:c r="AZ54" s="14" t="str">
        <x:v>Final supplied register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0.08333333333333333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HYPERLINK is not implemented. linkLocation=https://www.imdb.com/title/tt30226479/fullcredits/,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tt30226479|nm2351696|woman</x:v>
      </x:c>
      <x:c r="B55" s="14" t="str">
        <x:v>03</x:v>
      </x:c>
      <x:c r="C55" s="14" t="str">
        <x:v>2024_IMDb_Cast_Lists_Batch_03(1).xlsx</x:v>
      </x:c>
      <x:c r="D55" s="14" t="str">
        <x:v>Mr Bigstuff</x:v>
      </x:c>
      <x:c r="E55" s="14" t="n">
        <x:v>38</x:v>
      </x:c>
      <x:c r="F55" s="14" t="str">
        <x:v>Mr Bigstuff</x:v>
      </x:c>
      <x:c r="G55" s="14" t="str">
        <x:v>tt30226479</x:v>
      </x:c>
      <x:c r="H55" s="14" t="n">
        <x:v>2024</x:v>
      </x:c>
      <x:c r="I55" s="14" t="n">
        <x:v>2025</x:v>
      </x:c>
      <x:c r="J55" s="14" t="str">
        <x:v>Earlier-Production Carry-In Cohort</x:v>
      </x:c>
      <x:c r="K55" s="14" t="n">
        <x:v>2024</x:v>
      </x:c>
      <x:c r="L55" s="14" t="str">
        <x:v>Not inherited</x:v>
      </x:c>
      <x:c r="M55" s="15" t="n">
        <x:v>31</x:v>
      </x:c>
      <x:c r="N55" s="14" t="str">
        <x:v>Kim Barry</x:v>
      </x:c>
      <x:c r="O55" s="14" t="str">
        <x:v>nm2351696</x:v>
      </x:c>
      <x:c r="P55" s="14" t="str">
        <x:v>Woman</x:v>
      </x:c>
      <x:c r="Q55" s="15" t="n">
        <x:v>1</x:v>
      </x:c>
      <x:c r="R55" s="14" t="str">
        <x:v>2025</x:v>
      </x:c>
      <x:c r="S55" s="14" t="n">
        <x:v>2025</x:v>
      </x:c>
      <x:c r="T55" s="14" t="n">
        <x:v>2025</x:v>
      </x:c>
      <x:c r="U55" s="14" t="str">
        <x:v>Explicit source first year retained</x:v>
      </x:c>
      <x:c r="V55" s="14" t="str">
        <x:v>Earliest supplied year is 2025.</x:v>
      </x:c>
      <x:c r="W55" s="14"/>
      <x:c r="X55" s="14" t="str">
        <x:v>Included</x:v>
      </x:c>
      <x:c r="Y55" s="14"/>
      <x:c r="Z55" s="14" t="str">
        <x:v>Mr Bigstuff(1).docx</x:v>
      </x:c>
      <x:c r="AA55" s="14" t="str">
        <x:v>HYPERLINK is not implemented. linkLocation=https://www.imdb.com/title/tt30226479/fullcredits/,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Sky / NOW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HYPERLINK("https://en.wikipedia.org/wiki/Mr._Bigstuff","Open source")</x:f>
        <x:v>HYPERLINK is not implemented. linkLocation=https://en.wikipedia.org/wiki/Mr._Bigstuff, friendlyName=Open source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 t="str">
        <x:v>No established-register match</x:v>
      </x:c>
      <x:c r="AT55" s="14"/>
      <x:c r="AU55" s="14"/>
      <x:c r="AV55" s="14" t="str">
        <x:v>No established apparent-disability match</x:v>
      </x:c>
      <x:c r="AW55" s="14"/>
      <x:c r="AX55" s="14" t="str">
        <x:v>No</x:v>
      </x:c>
      <x:c r="AY55" s="14" t="str">
        <x:v>Unmatched</x:v>
      </x:c>
      <x:c r="AZ55" s="14" t="str">
        <x:v>Final supplied register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0.08333333333333333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HYPERLINK is not implemented. linkLocation=https://www.imdb.com/title/tt30226479/fullcredits/,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tt30226479|nm0614120|sweet old man</x:v>
      </x:c>
      <x:c r="B56" s="14" t="str">
        <x:v>03</x:v>
      </x:c>
      <x:c r="C56" s="14" t="str">
        <x:v>2024_IMDb_Cast_Lists_Batch_03(1).xlsx</x:v>
      </x:c>
      <x:c r="D56" s="14" t="str">
        <x:v>Mr Bigstuff</x:v>
      </x:c>
      <x:c r="E56" s="14" t="n">
        <x:v>41</x:v>
      </x:c>
      <x:c r="F56" s="14" t="str">
        <x:v>Mr Bigstuff</x:v>
      </x:c>
      <x:c r="G56" s="14" t="str">
        <x:v>tt30226479</x:v>
      </x:c>
      <x:c r="H56" s="14" t="n">
        <x:v>2024</x:v>
      </x:c>
      <x:c r="I56" s="14" t="n">
        <x:v>2025</x:v>
      </x:c>
      <x:c r="J56" s="14" t="str">
        <x:v>Earlier-Production Carry-In Cohort</x:v>
      </x:c>
      <x:c r="K56" s="14" t="n">
        <x:v>2024</x:v>
      </x:c>
      <x:c r="L56" s="14" t="str">
        <x:v>Not inherited</x:v>
      </x:c>
      <x:c r="M56" s="15" t="n">
        <x:v>34</x:v>
      </x:c>
      <x:c r="N56" s="14" t="str">
        <x:v>Brian Murphy</x:v>
      </x:c>
      <x:c r="O56" s="14" t="str">
        <x:v>nm0614120</x:v>
      </x:c>
      <x:c r="P56" s="14" t="str">
        <x:v>Sweet Old Man</x:v>
      </x:c>
      <x:c r="Q56" s="15" t="n">
        <x:v>1</x:v>
      </x:c>
      <x:c r="R56" s="14" t="str">
        <x:v>2025</x:v>
      </x:c>
      <x:c r="S56" s="14" t="n">
        <x:v>2025</x:v>
      </x:c>
      <x:c r="T56" s="14" t="n">
        <x:v>2025</x:v>
      </x:c>
      <x:c r="U56" s="14" t="str">
        <x:v>Explicit source first year retained</x:v>
      </x:c>
      <x:c r="V56" s="14" t="str">
        <x:v>Earliest supplied year is 2025.</x:v>
      </x:c>
      <x:c r="W56" s="14"/>
      <x:c r="X56" s="14" t="str">
        <x:v>Included</x:v>
      </x:c>
      <x:c r="Y56" s="14"/>
      <x:c r="Z56" s="14" t="str">
        <x:v>Mr Bigstuff(1).docx</x:v>
      </x:c>
      <x:c r="AA56" s="14" t="str">
        <x:v>HYPERLINK is not implemented. linkLocation=https://www.imdb.com/title/tt30226479/fullcredits/,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Sky / NOW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HYPERLINK("https://en.wikipedia.org/wiki/Mr._Bigstuff","Open source")</x:f>
        <x:v>HYPERLINK is not implemented. linkLocation=https://en.wikipedia.org/wiki/Mr._Bigstuff, friendlyName=Open source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 t="str">
        <x:v>No established-register match</x:v>
      </x:c>
      <x:c r="AT56" s="14"/>
      <x:c r="AU56" s="14"/>
      <x:c r="AV56" s="14" t="str">
        <x:v>No established apparent-disability match</x:v>
      </x:c>
      <x:c r="AW56" s="14"/>
      <x:c r="AX56" s="14" t="str">
        <x:v>No</x:v>
      </x:c>
      <x:c r="AY56" s="14" t="str">
        <x:v>Unmatched</x:v>
      </x:c>
      <x:c r="AZ56" s="14" t="str">
        <x:v>Final supplied register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HYPERLINK is not implemented. linkLocation=https://www.imdb.com/title/tt30226479/fullcredits/,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tt30226479|nm5720829|female customer</x:v>
      </x:c>
      <x:c r="B57" s="14" t="str">
        <x:v>03</x:v>
      </x:c>
      <x:c r="C57" s="14" t="str">
        <x:v>2024_IMDb_Cast_Lists_Batch_03(1).xlsx</x:v>
      </x:c>
      <x:c r="D57" s="14" t="str">
        <x:v>Mr Bigstuff</x:v>
      </x:c>
      <x:c r="E57" s="14" t="n">
        <x:v>42</x:v>
      </x:c>
      <x:c r="F57" s="14" t="str">
        <x:v>Mr Bigstuff</x:v>
      </x:c>
      <x:c r="G57" s="14" t="str">
        <x:v>tt30226479</x:v>
      </x:c>
      <x:c r="H57" s="14" t="n">
        <x:v>2024</x:v>
      </x:c>
      <x:c r="I57" s="14" t="n">
        <x:v>2025</x:v>
      </x:c>
      <x:c r="J57" s="14" t="str">
        <x:v>Earlier-Production Carry-In Cohort</x:v>
      </x:c>
      <x:c r="K57" s="14" t="n">
        <x:v>2024</x:v>
      </x:c>
      <x:c r="L57" s="14" t="str">
        <x:v>Not inherited</x:v>
      </x:c>
      <x:c r="M57" s="15" t="n">
        <x:v>35</x:v>
      </x:c>
      <x:c r="N57" s="14" t="str">
        <x:v>Kathryn Bond</x:v>
      </x:c>
      <x:c r="O57" s="14" t="str">
        <x:v>nm5720829</x:v>
      </x:c>
      <x:c r="P57" s="14" t="str">
        <x:v>Female Customer</x:v>
      </x:c>
      <x:c r="Q57" s="15" t="n">
        <x:v>1</x:v>
      </x:c>
      <x:c r="R57" s="14" t="str">
        <x:v>2025</x:v>
      </x:c>
      <x:c r="S57" s="14" t="n">
        <x:v>2025</x:v>
      </x:c>
      <x:c r="T57" s="14" t="n">
        <x:v>2025</x:v>
      </x:c>
      <x:c r="U57" s="14" t="str">
        <x:v>Explicit source first year retained</x:v>
      </x:c>
      <x:c r="V57" s="14" t="str">
        <x:v>Earliest supplied year is 2025.</x:v>
      </x:c>
      <x:c r="W57" s="14"/>
      <x:c r="X57" s="14" t="str">
        <x:v>Included</x:v>
      </x:c>
      <x:c r="Y57" s="14"/>
      <x:c r="Z57" s="14" t="str">
        <x:v>Mr Bigstuff(1).docx</x:v>
      </x:c>
      <x:c r="AA57" s="14" t="str">
        <x:v>HYPERLINK is not implemented. linkLocation=https://www.imdb.com/title/tt30226479/fullcredits/,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Sky / NOW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HYPERLINK("https://en.wikipedia.org/wiki/Mr._Bigstuff","Open source")</x:f>
        <x:v>HYPERLINK is not implemented. linkLocation=https://en.wikipedia.org/wiki/Mr._Bigstuff, friendlyName=Open source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 t="str">
        <x:v>No established-register match</x:v>
      </x:c>
      <x:c r="AT57" s="14"/>
      <x:c r="AU57" s="14"/>
      <x:c r="AV57" s="14" t="str">
        <x:v>No established apparent-disability match</x:v>
      </x:c>
      <x:c r="AW57" s="14"/>
      <x:c r="AX57" s="14" t="str">
        <x:v>No</x:v>
      </x:c>
      <x:c r="AY57" s="14" t="str">
        <x:v>Unmatched</x:v>
      </x:c>
      <x:c r="AZ57" s="14" t="str">
        <x:v>Final supplied register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HYPERLINK is not implemented. linkLocation=https://www.imdb.com/title/tt30226479/fullcredits/,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tt30226479|nm0244086|des cusanelli</x:v>
      </x:c>
      <x:c r="B58" s="14" t="str">
        <x:v>03</x:v>
      </x:c>
      <x:c r="C58" s="14" t="str">
        <x:v>2024_IMDb_Cast_Lists_Batch_03(1).xlsx</x:v>
      </x:c>
      <x:c r="D58" s="14" t="str">
        <x:v>Mr Bigstuff</x:v>
      </x:c>
      <x:c r="E58" s="14" t="n">
        <x:v>45</x:v>
      </x:c>
      <x:c r="F58" s="14" t="str">
        <x:v>Mr Bigstuff</x:v>
      </x:c>
      <x:c r="G58" s="14" t="str">
        <x:v>tt30226479</x:v>
      </x:c>
      <x:c r="H58" s="14" t="n">
        <x:v>2024</x:v>
      </x:c>
      <x:c r="I58" s="14" t="n">
        <x:v>2025</x:v>
      </x:c>
      <x:c r="J58" s="14" t="str">
        <x:v>Earlier-Production Carry-In Cohort</x:v>
      </x:c>
      <x:c r="K58" s="14" t="n">
        <x:v>2024</x:v>
      </x:c>
      <x:c r="L58" s="14" t="str">
        <x:v>Not inherited</x:v>
      </x:c>
      <x:c r="M58" s="15" t="n">
        <x:v>38</x:v>
      </x:c>
      <x:c r="N58" s="14" t="str">
        <x:v>Kim Durham</x:v>
      </x:c>
      <x:c r="O58" s="14" t="str">
        <x:v>nm0244086</x:v>
      </x:c>
      <x:c r="P58" s="14" t="str">
        <x:v>Des Cusanelli</x:v>
      </x:c>
      <x:c r="Q58" s="15" t="n">
        <x:v>1</x:v>
      </x:c>
      <x:c r="R58" s="14" t="str">
        <x:v>2025</x:v>
      </x:c>
      <x:c r="S58" s="14" t="n">
        <x:v>2025</x:v>
      </x:c>
      <x:c r="T58" s="14" t="n">
        <x:v>2025</x:v>
      </x:c>
      <x:c r="U58" s="14" t="str">
        <x:v>Explicit source first year retained</x:v>
      </x:c>
      <x:c r="V58" s="14" t="str">
        <x:v>Earliest supplied year is 2025.</x:v>
      </x:c>
      <x:c r="W58" s="14"/>
      <x:c r="X58" s="14" t="str">
        <x:v>Included</x:v>
      </x:c>
      <x:c r="Y58" s="14"/>
      <x:c r="Z58" s="14" t="str">
        <x:v>Mr Bigstuff(1).docx</x:v>
      </x:c>
      <x:c r="AA58" s="14" t="str">
        <x:v>HYPERLINK is not implemented. linkLocation=https://www.imdb.com/title/tt30226479/fullcredits/,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Sky / NOW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HYPERLINK("https://en.wikipedia.org/wiki/Mr._Bigstuff","Open source")</x:f>
        <x:v>HYPERLINK is not implemented. linkLocation=https://en.wikipedia.org/wiki/Mr._Bigstuff, friendlyName=Open source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 t="str">
        <x:v>No established-register match</x:v>
      </x:c>
      <x:c r="AT58" s="14"/>
      <x:c r="AU58" s="14"/>
      <x:c r="AV58" s="14" t="str">
        <x:v>No established apparent-disability match</x:v>
      </x:c>
      <x:c r="AW58" s="14"/>
      <x:c r="AX58" s="14" t="str">
        <x:v>No</x:v>
      </x:c>
      <x:c r="AY58" s="14" t="str">
        <x:v>Unmatched</x:v>
      </x:c>
      <x:c r="AZ58" s="14" t="str">
        <x:v>Final supplied register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0.08333333333333333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HYPERLINK is not implemented. linkLocation=https://www.imdb.com/title/tt30226479/fullcredits/,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tt30226479|nm6596413|tyler</x:v>
      </x:c>
      <x:c r="B59" s="14" t="str">
        <x:v>03</x:v>
      </x:c>
      <x:c r="C59" s="14" t="str">
        <x:v>2024_IMDb_Cast_Lists_Batch_03(1).xlsx</x:v>
      </x:c>
      <x:c r="D59" s="14" t="str">
        <x:v>Mr Bigstuff</x:v>
      </x:c>
      <x:c r="E59" s="14" t="n">
        <x:v>52</x:v>
      </x:c>
      <x:c r="F59" s="14" t="str">
        <x:v>Mr Bigstuff</x:v>
      </x:c>
      <x:c r="G59" s="14" t="str">
        <x:v>tt30226479</x:v>
      </x:c>
      <x:c r="H59" s="14" t="n">
        <x:v>2024</x:v>
      </x:c>
      <x:c r="I59" s="14" t="n">
        <x:v>2025</x:v>
      </x:c>
      <x:c r="J59" s="14" t="str">
        <x:v>Earlier-Production Carry-In Cohort</x:v>
      </x:c>
      <x:c r="K59" s="14" t="n">
        <x:v>2024</x:v>
      </x:c>
      <x:c r="L59" s="14" t="str">
        <x:v>Not inherited</x:v>
      </x:c>
      <x:c r="M59" s="15" t="n">
        <x:v>45</x:v>
      </x:c>
      <x:c r="N59" s="14" t="str">
        <x:v>Tom Hanson</x:v>
      </x:c>
      <x:c r="O59" s="14" t="str">
        <x:v>nm6596413</x:v>
      </x:c>
      <x:c r="P59" s="14" t="str">
        <x:v>Tyler</x:v>
      </x:c>
      <x:c r="Q59" s="15" t="n">
        <x:v>1</x:v>
      </x:c>
      <x:c r="R59" s="14" t="str">
        <x:v>2025</x:v>
      </x:c>
      <x:c r="S59" s="14" t="n">
        <x:v>2025</x:v>
      </x:c>
      <x:c r="T59" s="14" t="n">
        <x:v>2025</x:v>
      </x:c>
      <x:c r="U59" s="14" t="str">
        <x:v>Explicit source first year retained</x:v>
      </x:c>
      <x:c r="V59" s="14" t="str">
        <x:v>Earliest supplied year is 2025.</x:v>
      </x:c>
      <x:c r="W59" s="14"/>
      <x:c r="X59" s="14" t="str">
        <x:v>Included</x:v>
      </x:c>
      <x:c r="Y59" s="14"/>
      <x:c r="Z59" s="14" t="str">
        <x:v>Mr Bigstuff(1).docx</x:v>
      </x:c>
      <x:c r="AA59" s="14" t="str">
        <x:v>HYPERLINK is not implemented. linkLocation=https://www.imdb.com/title/tt30226479/fullcredits/,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Sky / NOW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HYPERLINK("https://en.wikipedia.org/wiki/Mr._Bigstuff","Open source")</x:f>
        <x:v>HYPERLINK is not implemented. linkLocation=https://en.wikipedia.org/wiki/Mr._Bigstuff, friendlyName=Open source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 t="str">
        <x:v>No established-register match</x:v>
      </x:c>
      <x:c r="AT59" s="14"/>
      <x:c r="AU59" s="14"/>
      <x:c r="AV59" s="14" t="str">
        <x:v>No established apparent-disability match</x:v>
      </x:c>
      <x:c r="AW59" s="14"/>
      <x:c r="AX59" s="14" t="str">
        <x:v>No</x:v>
      </x:c>
      <x:c r="AY59" s="14" t="str">
        <x:v>Unmatched</x:v>
      </x:c>
      <x:c r="AZ59" s="14" t="str">
        <x:v>Final supplied register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HYPERLINK is not implemented. linkLocation=https://www.imdb.com/title/tt30226479/fullcredits/,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tt30226479|nm7276747|julian</x:v>
      </x:c>
      <x:c r="B60" s="14" t="str">
        <x:v>03</x:v>
      </x:c>
      <x:c r="C60" s="14" t="str">
        <x:v>2024_IMDb_Cast_Lists_Batch_03(1).xlsx</x:v>
      </x:c>
      <x:c r="D60" s="14" t="str">
        <x:v>Mr Bigstuff</x:v>
      </x:c>
      <x:c r="E60" s="14" t="n">
        <x:v>53</x:v>
      </x:c>
      <x:c r="F60" s="14" t="str">
        <x:v>Mr Bigstuff</x:v>
      </x:c>
      <x:c r="G60" s="14" t="str">
        <x:v>tt30226479</x:v>
      </x:c>
      <x:c r="H60" s="14" t="n">
        <x:v>2024</x:v>
      </x:c>
      <x:c r="I60" s="14" t="n">
        <x:v>2025</x:v>
      </x:c>
      <x:c r="J60" s="14" t="str">
        <x:v>Earlier-Production Carry-In Cohort</x:v>
      </x:c>
      <x:c r="K60" s="14" t="n">
        <x:v>2024</x:v>
      </x:c>
      <x:c r="L60" s="14" t="str">
        <x:v>Not inherited</x:v>
      </x:c>
      <x:c r="M60" s="15" t="n">
        <x:v>46</x:v>
      </x:c>
      <x:c r="N60" s="14" t="str">
        <x:v>Parth Thakerar</x:v>
      </x:c>
      <x:c r="O60" s="14" t="str">
        <x:v>nm7276747</x:v>
      </x:c>
      <x:c r="P60" s="14" t="str">
        <x:v>Julian</x:v>
      </x:c>
      <x:c r="Q60" s="15" t="n">
        <x:v>1</x:v>
      </x:c>
      <x:c r="R60" s="14" t="str">
        <x:v>2025</x:v>
      </x:c>
      <x:c r="S60" s="14" t="n">
        <x:v>2025</x:v>
      </x:c>
      <x:c r="T60" s="14" t="n">
        <x:v>2025</x:v>
      </x:c>
      <x:c r="U60" s="14" t="str">
        <x:v>Explicit source first year retained</x:v>
      </x:c>
      <x:c r="V60" s="14" t="str">
        <x:v>Earliest supplied year is 2025.</x:v>
      </x:c>
      <x:c r="W60" s="14"/>
      <x:c r="X60" s="14" t="str">
        <x:v>Included</x:v>
      </x:c>
      <x:c r="Y60" s="14"/>
      <x:c r="Z60" s="14" t="str">
        <x:v>Mr Bigstuff(1).docx</x:v>
      </x:c>
      <x:c r="AA60" s="14" t="str">
        <x:v>HYPERLINK is not implemented. linkLocation=https://www.imdb.com/title/tt30226479/fullcredits/,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Sky / NOW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HYPERLINK("https://en.wikipedia.org/wiki/Mr._Bigstuff","Open source")</x:f>
        <x:v>HYPERLINK is not implemented. linkLocation=https://en.wikipedia.org/wiki/Mr._Bigstuff, friendlyName=Open source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 t="str">
        <x:v>No established-register match</x:v>
      </x:c>
      <x:c r="AT60" s="14"/>
      <x:c r="AU60" s="14"/>
      <x:c r="AV60" s="14" t="str">
        <x:v>No established apparent-disability match</x:v>
      </x:c>
      <x:c r="AW60" s="14"/>
      <x:c r="AX60" s="14" t="str">
        <x:v>No</x:v>
      </x:c>
      <x:c r="AY60" s="14" t="str">
        <x:v>Unmatched</x:v>
      </x:c>
      <x:c r="AZ60" s="14" t="str">
        <x:v>Final supplied register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HYPERLINK is not implemented. linkLocation=https://www.imdb.com/title/tt30226479/fullcredits/,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tt30226479|nm3379444|matt</x:v>
      </x:c>
      <x:c r="B61" s="14" t="str">
        <x:v>03</x:v>
      </x:c>
      <x:c r="C61" s="14" t="str">
        <x:v>2024_IMDb_Cast_Lists_Batch_03(1).xlsx</x:v>
      </x:c>
      <x:c r="D61" s="14" t="str">
        <x:v>Mr Bigstuff</x:v>
      </x:c>
      <x:c r="E61" s="14" t="n">
        <x:v>54</x:v>
      </x:c>
      <x:c r="F61" s="14" t="str">
        <x:v>Mr Bigstuff</x:v>
      </x:c>
      <x:c r="G61" s="14" t="str">
        <x:v>tt30226479</x:v>
      </x:c>
      <x:c r="H61" s="14" t="n">
        <x:v>2024</x:v>
      </x:c>
      <x:c r="I61" s="14" t="n">
        <x:v>2025</x:v>
      </x:c>
      <x:c r="J61" s="14" t="str">
        <x:v>Earlier-Production Carry-In Cohort</x:v>
      </x:c>
      <x:c r="K61" s="14" t="n">
        <x:v>2024</x:v>
      </x:c>
      <x:c r="L61" s="14" t="str">
        <x:v>Not inherited</x:v>
      </x:c>
      <x:c r="M61" s="15" t="n">
        <x:v>47</x:v>
      </x:c>
      <x:c r="N61" s="14" t="str">
        <x:v>Antonio Aakeel</x:v>
      </x:c>
      <x:c r="O61" s="14" t="str">
        <x:v>nm3379444</x:v>
      </x:c>
      <x:c r="P61" s="14" t="str">
        <x:v>Matt</x:v>
      </x:c>
      <x:c r="Q61" s="15" t="n">
        <x:v>1</x:v>
      </x:c>
      <x:c r="R61" s="14" t="str">
        <x:v>2025</x:v>
      </x:c>
      <x:c r="S61" s="14" t="n">
        <x:v>2025</x:v>
      </x:c>
      <x:c r="T61" s="14" t="n">
        <x:v>2025</x:v>
      </x:c>
      <x:c r="U61" s="14" t="str">
        <x:v>Explicit source first year retained</x:v>
      </x:c>
      <x:c r="V61" s="14" t="str">
        <x:v>Earliest supplied year is 2025.</x:v>
      </x:c>
      <x:c r="W61" s="14"/>
      <x:c r="X61" s="14" t="str">
        <x:v>Included</x:v>
      </x:c>
      <x:c r="Y61" s="14"/>
      <x:c r="Z61" s="14" t="str">
        <x:v>Mr Bigstuff(1).docx</x:v>
      </x:c>
      <x:c r="AA61" s="14" t="str">
        <x:v>HYPERLINK is not implemented. linkLocation=https://www.imdb.com/title/tt30226479/fullcredits/,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Sky / NOW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HYPERLINK("https://en.wikipedia.org/wiki/Mr._Bigstuff","Open source")</x:f>
        <x:v>HYPERLINK is not implemented. linkLocation=https://en.wikipedia.org/wiki/Mr._Bigstuff, friendlyName=Open source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 t="str">
        <x:v>No established-register match</x:v>
      </x:c>
      <x:c r="AT61" s="14"/>
      <x:c r="AU61" s="14"/>
      <x:c r="AV61" s="14" t="str">
        <x:v>No established apparent-disability match</x:v>
      </x:c>
      <x:c r="AW61" s="14"/>
      <x:c r="AX61" s="14" t="str">
        <x:v>No</x:v>
      </x:c>
      <x:c r="AY61" s="14" t="str">
        <x:v>Unmatched</x:v>
      </x:c>
      <x:c r="AZ61" s="14" t="str">
        <x:v>Final supplied register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HYPERLINK is not implemented. linkLocation=https://www.imdb.com/title/tt30226479/fullcredits/,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tt30226479|nm0347666|sheryl</x:v>
      </x:c>
      <x:c r="B62" s="14" t="str">
        <x:v>03</x:v>
      </x:c>
      <x:c r="C62" s="14" t="str">
        <x:v>2024_IMDb_Cast_Lists_Batch_03(1).xlsx</x:v>
      </x:c>
      <x:c r="D62" s="14" t="str">
        <x:v>Mr Bigstuff</x:v>
      </x:c>
      <x:c r="E62" s="14" t="n">
        <x:v>55</x:v>
      </x:c>
      <x:c r="F62" s="14" t="str">
        <x:v>Mr Bigstuff</x:v>
      </x:c>
      <x:c r="G62" s="14" t="str">
        <x:v>tt30226479</x:v>
      </x:c>
      <x:c r="H62" s="14" t="n">
        <x:v>2024</x:v>
      </x:c>
      <x:c r="I62" s="14" t="n">
        <x:v>2025</x:v>
      </x:c>
      <x:c r="J62" s="14" t="str">
        <x:v>Earlier-Production Carry-In Cohort</x:v>
      </x:c>
      <x:c r="K62" s="14" t="n">
        <x:v>2024</x:v>
      </x:c>
      <x:c r="L62" s="14" t="str">
        <x:v>Not inherited</x:v>
      </x:c>
      <x:c r="M62" s="15" t="n">
        <x:v>48</x:v>
      </x:c>
      <x:c r="N62" s="14" t="str">
        <x:v>Shobna Gulati</x:v>
      </x:c>
      <x:c r="O62" s="14" t="str">
        <x:v>nm0347666</x:v>
      </x:c>
      <x:c r="P62" s="14" t="str">
        <x:v>Sheryl</x:v>
      </x:c>
      <x:c r="Q62" s="15" t="n">
        <x:v>1</x:v>
      </x:c>
      <x:c r="R62" s="14" t="str">
        <x:v>2025</x:v>
      </x:c>
      <x:c r="S62" s="14" t="n">
        <x:v>2025</x:v>
      </x:c>
      <x:c r="T62" s="14" t="n">
        <x:v>2025</x:v>
      </x:c>
      <x:c r="U62" s="14" t="str">
        <x:v>Explicit source first year retained</x:v>
      </x:c>
      <x:c r="V62" s="14" t="str">
        <x:v>Earliest supplied year is 2025.</x:v>
      </x:c>
      <x:c r="W62" s="14"/>
      <x:c r="X62" s="14" t="str">
        <x:v>Included</x:v>
      </x:c>
      <x:c r="Y62" s="14"/>
      <x:c r="Z62" s="14" t="str">
        <x:v>Mr Bigstuff(1).docx</x:v>
      </x:c>
      <x:c r="AA62" s="14" t="str">
        <x:v>HYPERLINK is not implemented. linkLocation=https://www.imdb.com/title/tt30226479/fullcredits/,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Sky / NOW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HYPERLINK("https://en.wikipedia.org/wiki/Mr._Bigstuff","Open source")</x:f>
        <x:v>HYPERLINK is not implemented. linkLocation=https://en.wikipedia.org/wiki/Mr._Bigstuff, friendlyName=Open source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 t="str">
        <x:v>No established-register match</x:v>
      </x:c>
      <x:c r="AT62" s="14"/>
      <x:c r="AU62" s="14"/>
      <x:c r="AV62" s="14" t="str">
        <x:v>No established apparent-disability match</x:v>
      </x:c>
      <x:c r="AW62" s="14"/>
      <x:c r="AX62" s="14" t="str">
        <x:v>No</x:v>
      </x:c>
      <x:c r="AY62" s="14" t="str">
        <x:v>Unmatched</x:v>
      </x:c>
      <x:c r="AZ62" s="14" t="str">
        <x:v>Final supplied register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HYPERLINK is not implemented. linkLocation=https://www.imdb.com/title/tt30226479/fullcredits/,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tt30226479|nm0932143|clown</x:v>
      </x:c>
      <x:c r="B63" s="14" t="str">
        <x:v>03</x:v>
      </x:c>
      <x:c r="C63" s="14" t="str">
        <x:v>2024_IMDb_Cast_Lists_Batch_03(1).xlsx</x:v>
      </x:c>
      <x:c r="D63" s="14" t="str">
        <x:v>Mr Bigstuff</x:v>
      </x:c>
      <x:c r="E63" s="14" t="n">
        <x:v>56</x:v>
      </x:c>
      <x:c r="F63" s="14" t="str">
        <x:v>Mr Bigstuff</x:v>
      </x:c>
      <x:c r="G63" s="14" t="str">
        <x:v>tt30226479</x:v>
      </x:c>
      <x:c r="H63" s="14" t="n">
        <x:v>2024</x:v>
      </x:c>
      <x:c r="I63" s="14" t="n">
        <x:v>2025</x:v>
      </x:c>
      <x:c r="J63" s="14" t="str">
        <x:v>Earlier-Production Carry-In Cohort</x:v>
      </x:c>
      <x:c r="K63" s="14" t="n">
        <x:v>2024</x:v>
      </x:c>
      <x:c r="L63" s="14" t="str">
        <x:v>Not inherited</x:v>
      </x:c>
      <x:c r="M63" s="15" t="n">
        <x:v>49</x:v>
      </x:c>
      <x:c r="N63" s="14" t="str">
        <x:v>Shaun Williamson</x:v>
      </x:c>
      <x:c r="O63" s="14" t="str">
        <x:v>nm0932143</x:v>
      </x:c>
      <x:c r="P63" s="14" t="str">
        <x:v>Clown</x:v>
      </x:c>
      <x:c r="Q63" s="15" t="n">
        <x:v>1</x:v>
      </x:c>
      <x:c r="R63" s="14" t="str">
        <x:v>2025</x:v>
      </x:c>
      <x:c r="S63" s="14" t="n">
        <x:v>2025</x:v>
      </x:c>
      <x:c r="T63" s="14" t="n">
        <x:v>2025</x:v>
      </x:c>
      <x:c r="U63" s="14" t="str">
        <x:v>Explicit source first year retained</x:v>
      </x:c>
      <x:c r="V63" s="14" t="str">
        <x:v>Earliest supplied year is 2025.</x:v>
      </x:c>
      <x:c r="W63" s="14"/>
      <x:c r="X63" s="14" t="str">
        <x:v>Included</x:v>
      </x:c>
      <x:c r="Y63" s="14"/>
      <x:c r="Z63" s="14" t="str">
        <x:v>Mr Bigstuff(1).docx</x:v>
      </x:c>
      <x:c r="AA63" s="14" t="str">
        <x:v>HYPERLINK is not implemented. linkLocation=https://www.imdb.com/title/tt30226479/fullcredits/,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Sky / NOW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HYPERLINK("https://en.wikipedia.org/wiki/Mr._Bigstuff","Open source")</x:f>
        <x:v>HYPERLINK is not implemented. linkLocation=https://en.wikipedia.org/wiki/Mr._Bigstuff, friendlyName=Open source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 t="str">
        <x:v>No established-register match</x:v>
      </x:c>
      <x:c r="AT63" s="14"/>
      <x:c r="AU63" s="14"/>
      <x:c r="AV63" s="14" t="str">
        <x:v>No established apparent-disability match</x:v>
      </x:c>
      <x:c r="AW63" s="14"/>
      <x:c r="AX63" s="14" t="str">
        <x:v>No</x:v>
      </x:c>
      <x:c r="AY63" s="14" t="str">
        <x:v>Unmatched</x:v>
      </x:c>
      <x:c r="AZ63" s="14" t="str">
        <x:v>Final supplied register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HYPERLINK is not implemented. linkLocation=https://www.imdb.com/title/tt30226479/fullcredits/,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tt30226479|nm4571449|maryam</x:v>
      </x:c>
      <x:c r="B64" s="14" t="str">
        <x:v>03</x:v>
      </x:c>
      <x:c r="C64" s="14" t="str">
        <x:v>2024_IMDb_Cast_Lists_Batch_03(1).xlsx</x:v>
      </x:c>
      <x:c r="D64" s="14" t="str">
        <x:v>Mr Bigstuff</x:v>
      </x:c>
      <x:c r="E64" s="14" t="n">
        <x:v>57</x:v>
      </x:c>
      <x:c r="F64" s="14" t="str">
        <x:v>Mr Bigstuff</x:v>
      </x:c>
      <x:c r="G64" s="14" t="str">
        <x:v>tt30226479</x:v>
      </x:c>
      <x:c r="H64" s="14" t="n">
        <x:v>2024</x:v>
      </x:c>
      <x:c r="I64" s="14" t="n">
        <x:v>2025</x:v>
      </x:c>
      <x:c r="J64" s="14" t="str">
        <x:v>Earlier-Production Carry-In Cohort</x:v>
      </x:c>
      <x:c r="K64" s="14" t="n">
        <x:v>2024</x:v>
      </x:c>
      <x:c r="L64" s="14" t="str">
        <x:v>Not inherited</x:v>
      </x:c>
      <x:c r="M64" s="15" t="n">
        <x:v>50</x:v>
      </x:c>
      <x:c r="N64" s="14" t="str">
        <x:v>Laila Alj</x:v>
      </x:c>
      <x:c r="O64" s="14" t="str">
        <x:v>nm4571449</x:v>
      </x:c>
      <x:c r="P64" s="14" t="str">
        <x:v>Maryam</x:v>
      </x:c>
      <x:c r="Q64" s="15" t="n">
        <x:v>1</x:v>
      </x:c>
      <x:c r="R64" s="14" t="str">
        <x:v>2025</x:v>
      </x:c>
      <x:c r="S64" s="14" t="n">
        <x:v>2025</x:v>
      </x:c>
      <x:c r="T64" s="14" t="n">
        <x:v>2025</x:v>
      </x:c>
      <x:c r="U64" s="14" t="str">
        <x:v>Explicit source first year retained</x:v>
      </x:c>
      <x:c r="V64" s="14" t="str">
        <x:v>Earliest supplied year is 2025.</x:v>
      </x:c>
      <x:c r="W64" s="14"/>
      <x:c r="X64" s="14" t="str">
        <x:v>Included</x:v>
      </x:c>
      <x:c r="Y64" s="14"/>
      <x:c r="Z64" s="14" t="str">
        <x:v>Mr Bigstuff(1).docx</x:v>
      </x:c>
      <x:c r="AA64" s="14" t="str">
        <x:v>HYPERLINK is not implemented. linkLocation=https://www.imdb.com/title/tt30226479/fullcredits/,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Sky / NOW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HYPERLINK("https://en.wikipedia.org/wiki/Mr._Bigstuff","Open source")</x:f>
        <x:v>HYPERLINK is not implemented. linkLocation=https://en.wikipedia.org/wiki/Mr._Bigstuff, friendlyName=Open source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 t="str">
        <x:v>No established-register match</x:v>
      </x:c>
      <x:c r="AT64" s="14"/>
      <x:c r="AU64" s="14"/>
      <x:c r="AV64" s="14" t="str">
        <x:v>No established apparent-disability match</x:v>
      </x:c>
      <x:c r="AW64" s="14"/>
      <x:c r="AX64" s="14" t="str">
        <x:v>No</x:v>
      </x:c>
      <x:c r="AY64" s="14" t="str">
        <x:v>Unmatched</x:v>
      </x:c>
      <x:c r="AZ64" s="14" t="str">
        <x:v>Final supplied register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HYPERLINK is not implemented. linkLocation=https://www.imdb.com/title/tt30226479/fullcredits/,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tt30226479|nm5157380|yohannes</x:v>
      </x:c>
      <x:c r="B65" s="14" t="str">
        <x:v>03</x:v>
      </x:c>
      <x:c r="C65" s="14" t="str">
        <x:v>2024_IMDb_Cast_Lists_Batch_03(1).xlsx</x:v>
      </x:c>
      <x:c r="D65" s="14" t="str">
        <x:v>Mr Bigstuff</x:v>
      </x:c>
      <x:c r="E65" s="14" t="n">
        <x:v>58</x:v>
      </x:c>
      <x:c r="F65" s="14" t="str">
        <x:v>Mr Bigstuff</x:v>
      </x:c>
      <x:c r="G65" s="14" t="str">
        <x:v>tt30226479</x:v>
      </x:c>
      <x:c r="H65" s="14" t="n">
        <x:v>2024</x:v>
      </x:c>
      <x:c r="I65" s="14" t="n">
        <x:v>2025</x:v>
      </x:c>
      <x:c r="J65" s="14" t="str">
        <x:v>Earlier-Production Carry-In Cohort</x:v>
      </x:c>
      <x:c r="K65" s="14" t="n">
        <x:v>2024</x:v>
      </x:c>
      <x:c r="L65" s="14" t="str">
        <x:v>Not inherited</x:v>
      </x:c>
      <x:c r="M65" s="15" t="n">
        <x:v>51</x:v>
      </x:c>
      <x:c r="N65" s="14" t="str">
        <x:v>Neil Alexander Smith</x:v>
      </x:c>
      <x:c r="O65" s="14" t="str">
        <x:v>nm5157380</x:v>
      </x:c>
      <x:c r="P65" s="14" t="str">
        <x:v>Yohannes</x:v>
      </x:c>
      <x:c r="Q65" s="15" t="n">
        <x:v>1</x:v>
      </x:c>
      <x:c r="R65" s="14" t="str">
        <x:v>2025</x:v>
      </x:c>
      <x:c r="S65" s="14" t="n">
        <x:v>2025</x:v>
      </x:c>
      <x:c r="T65" s="14" t="n">
        <x:v>2025</x:v>
      </x:c>
      <x:c r="U65" s="14" t="str">
        <x:v>Explicit source first year retained</x:v>
      </x:c>
      <x:c r="V65" s="14" t="str">
        <x:v>Earliest supplied year is 2025.</x:v>
      </x:c>
      <x:c r="W65" s="14"/>
      <x:c r="X65" s="14" t="str">
        <x:v>Included</x:v>
      </x:c>
      <x:c r="Y65" s="14"/>
      <x:c r="Z65" s="14" t="str">
        <x:v>Mr Bigstuff(1).docx</x:v>
      </x:c>
      <x:c r="AA65" s="14" t="str">
        <x:v>HYPERLINK is not implemented. linkLocation=https://www.imdb.com/title/tt30226479/fullcredits/,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Sky / NOW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HYPERLINK("https://en.wikipedia.org/wiki/Mr._Bigstuff","Open source")</x:f>
        <x:v>HYPERLINK is not implemented. linkLocation=https://en.wikipedia.org/wiki/Mr._Bigstuff, friendlyName=Open source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 t="str">
        <x:v>No established-register match</x:v>
      </x:c>
      <x:c r="AT65" s="14"/>
      <x:c r="AU65" s="14"/>
      <x:c r="AV65" s="14" t="str">
        <x:v>No established apparent-disability match</x:v>
      </x:c>
      <x:c r="AW65" s="14"/>
      <x:c r="AX65" s="14" t="str">
        <x:v>No</x:v>
      </x:c>
      <x:c r="AY65" s="14" t="str">
        <x:v>Unmatched</x:v>
      </x:c>
      <x:c r="AZ65" s="14" t="str">
        <x:v>Final supplied register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HYPERLINK is not implemented. linkLocation=https://www.imdb.com/title/tt30226479/fullcredits/,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tt30226479|nm5044078|simon</x:v>
      </x:c>
      <x:c r="B66" s="14" t="str">
        <x:v>03</x:v>
      </x:c>
      <x:c r="C66" s="14" t="str">
        <x:v>2024_IMDb_Cast_Lists_Batch_03(1).xlsx</x:v>
      </x:c>
      <x:c r="D66" s="14" t="str">
        <x:v>Mr Bigstuff</x:v>
      </x:c>
      <x:c r="E66" s="14" t="n">
        <x:v>59</x:v>
      </x:c>
      <x:c r="F66" s="14" t="str">
        <x:v>Mr Bigstuff</x:v>
      </x:c>
      <x:c r="G66" s="14" t="str">
        <x:v>tt30226479</x:v>
      </x:c>
      <x:c r="H66" s="14" t="n">
        <x:v>2024</x:v>
      </x:c>
      <x:c r="I66" s="14" t="n">
        <x:v>2025</x:v>
      </x:c>
      <x:c r="J66" s="14" t="str">
        <x:v>Earlier-Production Carry-In Cohort</x:v>
      </x:c>
      <x:c r="K66" s="14" t="n">
        <x:v>2024</x:v>
      </x:c>
      <x:c r="L66" s="14" t="str">
        <x:v>Not inherited</x:v>
      </x:c>
      <x:c r="M66" s="15" t="n">
        <x:v>52</x:v>
      </x:c>
      <x:c r="N66" s="14" t="str">
        <x:v>Alim Jadavji</x:v>
      </x:c>
      <x:c r="O66" s="14" t="str">
        <x:v>nm5044078</x:v>
      </x:c>
      <x:c r="P66" s="14" t="str">
        <x:v>Simon</x:v>
      </x:c>
      <x:c r="Q66" s="15" t="n">
        <x:v>1</x:v>
      </x:c>
      <x:c r="R66" s="14" t="str">
        <x:v>2025</x:v>
      </x:c>
      <x:c r="S66" s="14" t="n">
        <x:v>2025</x:v>
      </x:c>
      <x:c r="T66" s="14" t="n">
        <x:v>2025</x:v>
      </x:c>
      <x:c r="U66" s="14" t="str">
        <x:v>Explicit source first year retained</x:v>
      </x:c>
      <x:c r="V66" s="14" t="str">
        <x:v>Earliest supplied year is 2025.</x:v>
      </x:c>
      <x:c r="W66" s="14"/>
      <x:c r="X66" s="14" t="str">
        <x:v>Included</x:v>
      </x:c>
      <x:c r="Y66" s="14"/>
      <x:c r="Z66" s="14" t="str">
        <x:v>Mr Bigstuff(1).docx</x:v>
      </x:c>
      <x:c r="AA66" s="14" t="str">
        <x:v>HYPERLINK is not implemented. linkLocation=https://www.imdb.com/title/tt30226479/fullcredits/,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Sky / NOW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HYPERLINK("https://en.wikipedia.org/wiki/Mr._Bigstuff","Open source")</x:f>
        <x:v>HYPERLINK is not implemented. linkLocation=https://en.wikipedia.org/wiki/Mr._Bigstuff, friendlyName=Open source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 t="str">
        <x:v>Exact IMDb performer ID match</x:v>
      </x:c>
      <x:c r="AT66" s="14" t="str">
        <x:v>nm5044078</x:v>
      </x:c>
      <x:c r="AU66" s="14" t="str">
        <x:v>Deaf, deaf or hard of hearing</x:v>
      </x:c>
      <x:c r="AV66" s="14" t="str">
        <x:v>Yes</x:v>
      </x:c>
      <x:c r="AW66" s="14" t="str">
        <x:v>Deaf, deaf or hard of hearing</x:v>
      </x:c>
      <x:c r="AX66" s="14" t="str">
        <x:v>No</x:v>
      </x:c>
      <x:c r="AY66" s="14" t="str">
        <x:v>Matched</x:v>
      </x:c>
      <x:c r="AZ66" s="14" t="str">
        <x:v>Final supplied register</x:v>
      </x:c>
      <x:c r="BA66" s="14" t="str">
        <x:v>User-supplied terminology: hearing impaired.</x:v>
      </x:c>
      <x:c r="BB66" s="14" t="str">
        <x:v>Exact IMDb performer ID match</x:v>
      </x:c>
      <x:c r="BC66" s="14" t="str">
        <x:v>nm5044078</x:v>
      </x:c>
      <x:c r="BD66" s="14" t="str">
        <x:v>Alim Jadavji</x:v>
      </x:c>
      <x:c r="BE66" s="14" t="str">
        <x:v>Deaf, deaf or hard of hearing</x:v>
      </x:c>
      <x:c r="BF66" s="14" t="str">
        <x:v>Yes</x:v>
      </x:c>
      <x:c r="BG66" s="14" t="str">
        <x:v>Deaf, deaf or hard of hearing</x:v>
      </x:c>
      <x:c r="BH66" s="14" t="str">
        <x:v>No</x:v>
      </x:c>
      <x:c r="BI66" s="14" t="str">
        <x:v>User-supplied established classification</x:v>
      </x:c>
      <x:c r="BJ66" s="14" t="str">
        <x:v>New IMDB Data.csv</x:v>
      </x:c>
      <x:c r="BK66" s="14"/>
      <x:c r="BL66" s="14" t="str">
        <x:v>Matched</x:v>
      </x:c>
      <x:c r="BM66" s="14" t="str">
        <x:v>Final supplied register</x:v>
      </x:c>
      <x:c r="BN66" s="14" t="str">
        <x:v>User-supplied terminology: hearing impaired.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HYPERLINK is not implemented. linkLocation=https://www.imdb.com/title/tt30226479/fullcredits/,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tt27950663|nm0702934|darius gifford / professor gifford</x:v>
      </x:c>
      <x:c r="B67" s="14" t="str">
        <x:v>05</x:v>
      </x:c>
      <x:c r="C67" s="14" t="str">
        <x:v>2024_IMDb_Cast_Lists_Batch_05(1).xlsx</x:v>
      </x:c>
      <x:c r="D67" s="14" t="str">
        <x:v>The Marlow Murder Club</x:v>
      </x:c>
      <x:c r="E67" s="14" t="n">
        <x:v>22</x:v>
      </x:c>
      <x:c r="F67" s="14" t="str">
        <x:v>The Marlow Murder Club</x:v>
      </x:c>
      <x:c r="G67" s="14" t="str">
        <x:v>tt27950663</x:v>
      </x:c>
      <x:c r="H67" s="14" t="n">
        <x:v>2024</x:v>
      </x:c>
      <x:c r="I67" s="14" t="n">
        <x:v>2025</x:v>
      </x:c>
      <x:c r="J67" s="14" t="str">
        <x:v>Earlier-Production Carry-In Cohort</x:v>
      </x:c>
      <x:c r="K67" s="14" t="n">
        <x:v>2024</x:v>
      </x:c>
      <x:c r="L67" s="14" t="str">
        <x:v>Not inherited</x:v>
      </x:c>
      <x:c r="M67" s="15" t="n">
        <x:v>15</x:v>
      </x:c>
      <x:c r="N67" s="14" t="str">
        <x:v>Hugh Quarshie</x:v>
      </x:c>
      <x:c r="O67" s="14" t="str">
        <x:v>nm0702934</x:v>
      </x:c>
      <x:c r="P67" s="14" t="str">
        <x:v>Darius Gifford / Professor Gifford</x:v>
      </x:c>
      <x:c r="Q67" s="15" t="n">
        <x:v>6</x:v>
      </x:c>
      <x:c r="R67" s="14" t="str">
        <x:v>2025–2026</x:v>
      </x:c>
      <x:c r="S67" s="14" t="n">
        <x:v>2025</x:v>
      </x:c>
      <x:c r="T67" s="14" t="n">
        <x:v>2025</x:v>
      </x:c>
      <x:c r="U67" s="14" t="str">
        <x:v>Explicit source first year retained</x:v>
      </x:c>
      <x:c r="V67" s="14" t="str">
        <x:v>Earliest supplied year is 2025.</x:v>
      </x:c>
      <x:c r="W67" s="14"/>
      <x:c r="X67" s="14" t="str">
        <x:v>Included</x:v>
      </x:c>
      <x:c r="Y67" s="14"/>
      <x:c r="Z67" s="14" t="str">
        <x:v>The Marlow Murder Club.docx</x:v>
      </x:c>
      <x:c r="AA67" s="14" t="str">
        <x:v>HYPERLINK is not implemented. linkLocation=https://www.imdb.com/title/tt27950663/fullcredits/,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Channel 5 / 5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HYPERLINK("https://en.wikipedia.org/wiki/Robert_Thorogood","Open source")</x:f>
        <x:v>HYPERLINK is not implemented. linkLocation=https://en.wikipedia.org/wiki/Robert_Thorogood, friendlyName=Open source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 t="str">
        <x:v>No established-register match</x:v>
      </x:c>
      <x:c r="AT67" s="14"/>
      <x:c r="AU67" s="14"/>
      <x:c r="AV67" s="14" t="str">
        <x:v>No established apparent-disability match</x:v>
      </x:c>
      <x:c r="AW67" s="14"/>
      <x:c r="AX67" s="14" t="str">
        <x:v>No</x:v>
      </x:c>
      <x:c r="AY67" s="14" t="str">
        <x:v>Unmatched</x:v>
      </x:c>
      <x:c r="AZ67" s="14" t="str">
        <x:v>Final supplied register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22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6</x:v>
      </x:c>
      <x:c r="BS67" s="16" t="n">
        <x:v>0.2727272727272727</x:v>
      </x:c>
      <x:c r="BT67" s="14" t="str">
        <x:v>Minority of episodes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HYPERLINK is not implemented. linkLocation=https://www.imdb.com/title/tt27950663/fullcredits/,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tt27950663|nm1575301|lynne hawkins</x:v>
      </x:c>
      <x:c r="B68" s="14" t="str">
        <x:v>05</x:v>
      </x:c>
      <x:c r="C68" s="14" t="str">
        <x:v>2024_IMDb_Cast_Lists_Batch_05(1).xlsx</x:v>
      </x:c>
      <x:c r="D68" s="14" t="str">
        <x:v>The Marlow Murder Club</x:v>
      </x:c>
      <x:c r="E68" s="14" t="n">
        <x:v>32</x:v>
      </x:c>
      <x:c r="F68" s="14" t="str">
        <x:v>The Marlow Murder Club</x:v>
      </x:c>
      <x:c r="G68" s="14" t="str">
        <x:v>tt27950663</x:v>
      </x:c>
      <x:c r="H68" s="14" t="n">
        <x:v>2024</x:v>
      </x:c>
      <x:c r="I68" s="14" t="n">
        <x:v>2025</x:v>
      </x:c>
      <x:c r="J68" s="14" t="str">
        <x:v>Earlier-Production Carry-In Cohort</x:v>
      </x:c>
      <x:c r="K68" s="14" t="n">
        <x:v>2024</x:v>
      </x:c>
      <x:c r="L68" s="14" t="str">
        <x:v>Not inherited</x:v>
      </x:c>
      <x:c r="M68" s="15" t="n">
        <x:v>25</x:v>
      </x:c>
      <x:c r="N68" s="14" t="str">
        <x:v>Lizzie Roper</x:v>
      </x:c>
      <x:c r="O68" s="14" t="str">
        <x:v>nm1575301</x:v>
      </x:c>
      <x:c r="P68" s="14" t="str">
        <x:v>Lynne Hawkins</x:v>
      </x:c>
      <x:c r="Q68" s="15" t="n">
        <x:v>3</x:v>
      </x:c>
      <x:c r="R68" s="14" t="str">
        <x:v>2025</x:v>
      </x:c>
      <x:c r="S68" s="14" t="n">
        <x:v>2025</x:v>
      </x:c>
      <x:c r="T68" s="14" t="n">
        <x:v>2025</x:v>
      </x:c>
      <x:c r="U68" s="14" t="str">
        <x:v>Explicit source first year retained</x:v>
      </x:c>
      <x:c r="V68" s="14" t="str">
        <x:v>Earliest supplied year is 2025.</x:v>
      </x:c>
      <x:c r="W68" s="14"/>
      <x:c r="X68" s="14" t="str">
        <x:v>Included</x:v>
      </x:c>
      <x:c r="Y68" s="14"/>
      <x:c r="Z68" s="14" t="str">
        <x:v>The Marlow Murder Club.docx</x:v>
      </x:c>
      <x:c r="AA68" s="14" t="str">
        <x:v>HYPERLINK is not implemented. linkLocation=https://www.imdb.com/title/tt27950663/fullcredits/,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Channel 5 / 5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HYPERLINK("https://en.wikipedia.org/wiki/Robert_Thorogood","Open source")</x:f>
        <x:v>HYPERLINK is not implemented. linkLocation=https://en.wikipedia.org/wiki/Robert_Thorogood, friendlyName=Open source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 t="str">
        <x:v>No established-register match</x:v>
      </x:c>
      <x:c r="AT68" s="14"/>
      <x:c r="AU68" s="14"/>
      <x:c r="AV68" s="14" t="str">
        <x:v>No established apparent-disability match</x:v>
      </x:c>
      <x:c r="AW68" s="14"/>
      <x:c r="AX68" s="14" t="str">
        <x:v>No</x:v>
      </x:c>
      <x:c r="AY68" s="14" t="str">
        <x:v>Unmatched</x:v>
      </x:c>
      <x:c r="AZ68" s="14" t="str">
        <x:v>Final supplied register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22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3</x:v>
      </x:c>
      <x:c r="BS68" s="16" t="n">
        <x:v>0.13636363636363635</x:v>
      </x:c>
      <x:c r="BT68" s="14" t="str">
        <x:v>Minority of episodes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HYPERLINK is not implemented. linkLocation=https://www.imdb.com/title/tt27950663/fullcredits/,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tt27950663|nm2876300|rosanna bailey</x:v>
      </x:c>
      <x:c r="B69" s="14" t="str">
        <x:v>05</x:v>
      </x:c>
      <x:c r="C69" s="14" t="str">
        <x:v>2024_IMDb_Cast_Lists_Batch_05(1).xlsx</x:v>
      </x:c>
      <x:c r="D69" s="14" t="str">
        <x:v>The Marlow Murder Club</x:v>
      </x:c>
      <x:c r="E69" s="14" t="n">
        <x:v>36</x:v>
      </x:c>
      <x:c r="F69" s="14" t="str">
        <x:v>The Marlow Murder Club</x:v>
      </x:c>
      <x:c r="G69" s="14" t="str">
        <x:v>tt27950663</x:v>
      </x:c>
      <x:c r="H69" s="14" t="n">
        <x:v>2024</x:v>
      </x:c>
      <x:c r="I69" s="14" t="n">
        <x:v>2025</x:v>
      </x:c>
      <x:c r="J69" s="14" t="str">
        <x:v>Earlier-Production Carry-In Cohort</x:v>
      </x:c>
      <x:c r="K69" s="14" t="n">
        <x:v>2024</x:v>
      </x:c>
      <x:c r="L69" s="14" t="str">
        <x:v>Not inherited</x:v>
      </x:c>
      <x:c r="M69" s="15" t="n">
        <x:v>29</x:v>
      </x:c>
      <x:c r="N69" s="14" t="str">
        <x:v>Emily Bevan</x:v>
      </x:c>
      <x:c r="O69" s="14" t="str">
        <x:v>nm2876300</x:v>
      </x:c>
      <x:c r="P69" s="14" t="str">
        <x:v>Rosanna Bailey</x:v>
      </x:c>
      <x:c r="Q69" s="15" t="n">
        <x:v>2</x:v>
      </x:c>
      <x:c r="R69" s="14" t="str">
        <x:v>2025</x:v>
      </x:c>
      <x:c r="S69" s="14" t="n">
        <x:v>2025</x:v>
      </x:c>
      <x:c r="T69" s="14" t="n">
        <x:v>2025</x:v>
      </x:c>
      <x:c r="U69" s="14" t="str">
        <x:v>Explicit source first year retained</x:v>
      </x:c>
      <x:c r="V69" s="14" t="str">
        <x:v>Earliest supplied year is 2025.</x:v>
      </x:c>
      <x:c r="W69" s="14"/>
      <x:c r="X69" s="14" t="str">
        <x:v>Included</x:v>
      </x:c>
      <x:c r="Y69" s="14"/>
      <x:c r="Z69" s="14" t="str">
        <x:v>The Marlow Murder Club.docx</x:v>
      </x:c>
      <x:c r="AA69" s="14" t="str">
        <x:v>HYPERLINK is not implemented. linkLocation=https://www.imdb.com/title/tt27950663/fullcredits/,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Channel 5 / 5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HYPERLINK("https://en.wikipedia.org/wiki/Robert_Thorogood","Open source")</x:f>
        <x:v>HYPERLINK is not implemented. linkLocation=https://en.wikipedia.org/wiki/Robert_Thorogood, friendlyName=Open source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 t="str">
        <x:v>No established-register match</x:v>
      </x:c>
      <x:c r="AT69" s="14"/>
      <x:c r="AU69" s="14"/>
      <x:c r="AV69" s="14" t="str">
        <x:v>No established apparent-disability match</x:v>
      </x:c>
      <x:c r="AW69" s="14"/>
      <x:c r="AX69" s="14" t="str">
        <x:v>No</x:v>
      </x:c>
      <x:c r="AY69" s="14" t="str">
        <x:v>Unmatched</x:v>
      </x:c>
      <x:c r="AZ69" s="14" t="str">
        <x:v>Final supplied register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22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2</x:v>
      </x:c>
      <x:c r="BS69" s="16" t="n">
        <x:v>0.09090909090909091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HYPERLINK is not implemented. linkLocation=https://www.imdb.com/title/tt27950663/fullcredits/,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tt27950663|nm11210678|kit harcourt</x:v>
      </x:c>
      <x:c r="B70" s="14" t="str">
        <x:v>05</x:v>
      </x:c>
      <x:c r="C70" s="14" t="str">
        <x:v>2024_IMDb_Cast_Lists_Batch_05(1).xlsx</x:v>
      </x:c>
      <x:c r="D70" s="14" t="str">
        <x:v>The Marlow Murder Club</x:v>
      </x:c>
      <x:c r="E70" s="14" t="n">
        <x:v>38</x:v>
      </x:c>
      <x:c r="F70" s="14" t="str">
        <x:v>The Marlow Murder Club</x:v>
      </x:c>
      <x:c r="G70" s="14" t="str">
        <x:v>tt27950663</x:v>
      </x:c>
      <x:c r="H70" s="14" t="n">
        <x:v>2024</x:v>
      </x:c>
      <x:c r="I70" s="14" t="n">
        <x:v>2025</x:v>
      </x:c>
      <x:c r="J70" s="14" t="str">
        <x:v>Earlier-Production Carry-In Cohort</x:v>
      </x:c>
      <x:c r="K70" s="14" t="n">
        <x:v>2024</x:v>
      </x:c>
      <x:c r="L70" s="14" t="str">
        <x:v>Not inherited</x:v>
      </x:c>
      <x:c r="M70" s="15" t="n">
        <x:v>31</x:v>
      </x:c>
      <x:c r="N70" s="14" t="str">
        <x:v>Raphael Akuwudike</x:v>
      </x:c>
      <x:c r="O70" s="14" t="str">
        <x:v>nm11210678</x:v>
      </x:c>
      <x:c r="P70" s="14" t="str">
        <x:v>Kit Harcourt</x:v>
      </x:c>
      <x:c r="Q70" s="15" t="n">
        <x:v>2</x:v>
      </x:c>
      <x:c r="R70" s="14" t="str">
        <x:v>2025</x:v>
      </x:c>
      <x:c r="S70" s="14" t="n">
        <x:v>2025</x:v>
      </x:c>
      <x:c r="T70" s="14" t="n">
        <x:v>2025</x:v>
      </x:c>
      <x:c r="U70" s="14" t="str">
        <x:v>Explicit source first year retained</x:v>
      </x:c>
      <x:c r="V70" s="14" t="str">
        <x:v>Earliest supplied year is 2025.</x:v>
      </x:c>
      <x:c r="W70" s="14"/>
      <x:c r="X70" s="14" t="str">
        <x:v>Included</x:v>
      </x:c>
      <x:c r="Y70" s="14"/>
      <x:c r="Z70" s="14" t="str">
        <x:v>The Marlow Murder Club.docx</x:v>
      </x:c>
      <x:c r="AA70" s="14" t="str">
        <x:v>HYPERLINK is not implemented. linkLocation=https://www.imdb.com/title/tt27950663/fullcredits/,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Channel 5 / 5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HYPERLINK("https://en.wikipedia.org/wiki/Robert_Thorogood","Open source")</x:f>
        <x:v>HYPERLINK is not implemented. linkLocation=https://en.wikipedia.org/wiki/Robert_Thorogood, friendlyName=Open source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 t="str">
        <x:v>No established-register match</x:v>
      </x:c>
      <x:c r="AT70" s="14"/>
      <x:c r="AU70" s="14"/>
      <x:c r="AV70" s="14" t="str">
        <x:v>No established apparent-disability match</x:v>
      </x:c>
      <x:c r="AW70" s="14"/>
      <x:c r="AX70" s="14" t="str">
        <x:v>No</x:v>
      </x:c>
      <x:c r="AY70" s="14" t="str">
        <x:v>Unmatched</x:v>
      </x:c>
      <x:c r="AZ70" s="14" t="str">
        <x:v>Final supplied register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22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2</x:v>
      </x:c>
      <x:c r="BS70" s="16" t="n">
        <x:v>0.09090909090909091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HYPERLINK is not implemented. linkLocation=https://www.imdb.com/title/tt27950663/fullcredits/,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tt27950663|nm0047257|gregg cooper</x:v>
      </x:c>
      <x:c r="B71" s="14" t="str">
        <x:v>05</x:v>
      </x:c>
      <x:c r="C71" s="14" t="str">
        <x:v>2024_IMDb_Cast_Lists_Batch_05(1).xlsx</x:v>
      </x:c>
      <x:c r="D71" s="14" t="str">
        <x:v>The Marlow Murder Club</x:v>
      </x:c>
      <x:c r="E71" s="14" t="n">
        <x:v>41</x:v>
      </x:c>
      <x:c r="F71" s="14" t="str">
        <x:v>The Marlow Murder Club</x:v>
      </x:c>
      <x:c r="G71" s="14" t="str">
        <x:v>tt27950663</x:v>
      </x:c>
      <x:c r="H71" s="14" t="n">
        <x:v>2024</x:v>
      </x:c>
      <x:c r="I71" s="14" t="n">
        <x:v>2025</x:v>
      </x:c>
      <x:c r="J71" s="14" t="str">
        <x:v>Earlier-Production Carry-In Cohort</x:v>
      </x:c>
      <x:c r="K71" s="14" t="n">
        <x:v>2024</x:v>
      </x:c>
      <x:c r="L71" s="14" t="str">
        <x:v>Not inherited</x:v>
      </x:c>
      <x:c r="M71" s="15" t="n">
        <x:v>34</x:v>
      </x:c>
      <x:c r="N71" s="14" t="str">
        <x:v>Ewan Bailey</x:v>
      </x:c>
      <x:c r="O71" s="14" t="str">
        <x:v>nm0047257</x:v>
      </x:c>
      <x:c r="P71" s="14" t="str">
        <x:v>Gregg Cooper</x:v>
      </x:c>
      <x:c r="Q71" s="15" t="n">
        <x:v>2</x:v>
      </x:c>
      <x:c r="R71" s="14" t="str">
        <x:v>2025</x:v>
      </x:c>
      <x:c r="S71" s="14" t="n">
        <x:v>2025</x:v>
      </x:c>
      <x:c r="T71" s="14" t="n">
        <x:v>2025</x:v>
      </x:c>
      <x:c r="U71" s="14" t="str">
        <x:v>Explicit source first year retained</x:v>
      </x:c>
      <x:c r="V71" s="14" t="str">
        <x:v>Earliest supplied year is 2025.</x:v>
      </x:c>
      <x:c r="W71" s="14"/>
      <x:c r="X71" s="14" t="str">
        <x:v>Included</x:v>
      </x:c>
      <x:c r="Y71" s="14"/>
      <x:c r="Z71" s="14" t="str">
        <x:v>The Marlow Murder Club.docx</x:v>
      </x:c>
      <x:c r="AA71" s="14" t="str">
        <x:v>HYPERLINK is not implemented. linkLocation=https://www.imdb.com/title/tt27950663/fullcredits/,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Channel 5 / 5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HYPERLINK("https://en.wikipedia.org/wiki/Robert_Thorogood","Open source")</x:f>
        <x:v>HYPERLINK is not implemented. linkLocation=https://en.wikipedia.org/wiki/Robert_Thorogood, friendlyName=Open source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 t="str">
        <x:v>No established-register match</x:v>
      </x:c>
      <x:c r="AT71" s="14"/>
      <x:c r="AU71" s="14"/>
      <x:c r="AV71" s="14" t="str">
        <x:v>No established apparent-disability match</x:v>
      </x:c>
      <x:c r="AW71" s="14"/>
      <x:c r="AX71" s="14" t="str">
        <x:v>No</x:v>
      </x:c>
      <x:c r="AY71" s="14" t="str">
        <x:v>Unmatched</x:v>
      </x:c>
      <x:c r="AZ71" s="14" t="str">
        <x:v>Final supplied register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22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0.09090909090909091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HYPERLINK is not implemented. linkLocation=https://www.imdb.com/title/tt27950663/fullcredits/,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tt27950663|nm0461409|dean butler</x:v>
      </x:c>
      <x:c r="B72" s="14" t="str">
        <x:v>05</x:v>
      </x:c>
      <x:c r="C72" s="14" t="str">
        <x:v>2024_IMDb_Cast_Lists_Batch_05(1).xlsx</x:v>
      </x:c>
      <x:c r="D72" s="14" t="str">
        <x:v>The Marlow Murder Club</x:v>
      </x:c>
      <x:c r="E72" s="14" t="n">
        <x:v>44</x:v>
      </x:c>
      <x:c r="F72" s="14" t="str">
        <x:v>The Marlow Murder Club</x:v>
      </x:c>
      <x:c r="G72" s="14" t="str">
        <x:v>tt27950663</x:v>
      </x:c>
      <x:c r="H72" s="14" t="n">
        <x:v>2024</x:v>
      </x:c>
      <x:c r="I72" s="14" t="n">
        <x:v>2025</x:v>
      </x:c>
      <x:c r="J72" s="14" t="str">
        <x:v>Earlier-Production Carry-In Cohort</x:v>
      </x:c>
      <x:c r="K72" s="14" t="n">
        <x:v>2024</x:v>
      </x:c>
      <x:c r="L72" s="14" t="str">
        <x:v>Not inherited</x:v>
      </x:c>
      <x:c r="M72" s="15" t="n">
        <x:v>37</x:v>
      </x:c>
      <x:c r="N72" s="14" t="str">
        <x:v>Andrew Knott</x:v>
      </x:c>
      <x:c r="O72" s="14" t="str">
        <x:v>nm0461409</x:v>
      </x:c>
      <x:c r="P72" s="14" t="str">
        <x:v>Dean Butler</x:v>
      </x:c>
      <x:c r="Q72" s="15" t="n">
        <x:v>2</x:v>
      </x:c>
      <x:c r="R72" s="14" t="str">
        <x:v>2025</x:v>
      </x:c>
      <x:c r="S72" s="14" t="n">
        <x:v>2025</x:v>
      </x:c>
      <x:c r="T72" s="14" t="n">
        <x:v>2025</x:v>
      </x:c>
      <x:c r="U72" s="14" t="str">
        <x:v>Explicit source first year retained</x:v>
      </x:c>
      <x:c r="V72" s="14" t="str">
        <x:v>Earliest supplied year is 2025.</x:v>
      </x:c>
      <x:c r="W72" s="14"/>
      <x:c r="X72" s="14" t="str">
        <x:v>Included</x:v>
      </x:c>
      <x:c r="Y72" s="14"/>
      <x:c r="Z72" s="14" t="str">
        <x:v>The Marlow Murder Club.docx</x:v>
      </x:c>
      <x:c r="AA72" s="14" t="str">
        <x:v>HYPERLINK is not implemented. linkLocation=https://www.imdb.com/title/tt27950663/fullcredits/,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Channel 5 / 5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HYPERLINK("https://en.wikipedia.org/wiki/Robert_Thorogood","Open source")</x:f>
        <x:v>HYPERLINK is not implemented. linkLocation=https://en.wikipedia.org/wiki/Robert_Thorogood, friendlyName=Open source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 t="str">
        <x:v>No established-register match</x:v>
      </x:c>
      <x:c r="AT72" s="14"/>
      <x:c r="AU72" s="14"/>
      <x:c r="AV72" s="14" t="str">
        <x:v>No established apparent-disability match</x:v>
      </x:c>
      <x:c r="AW72" s="14"/>
      <x:c r="AX72" s="14" t="str">
        <x:v>No</x:v>
      </x:c>
      <x:c r="AY72" s="14" t="str">
        <x:v>Unmatched</x:v>
      </x:c>
      <x:c r="AZ72" s="14" t="str">
        <x:v>Final supplied register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22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0.09090909090909091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HYPERLINK is not implemented. linkLocation=https://www.imdb.com/title/tt27950663/fullcredits/,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tt27950663|nm1433660|adam warner</x:v>
      </x:c>
      <x:c r="B73" s="14" t="str">
        <x:v>05</x:v>
      </x:c>
      <x:c r="C73" s="14" t="str">
        <x:v>2024_IMDb_Cast_Lists_Batch_05(1).xlsx</x:v>
      </x:c>
      <x:c r="D73" s="14" t="str">
        <x:v>The Marlow Murder Club</x:v>
      </x:c>
      <x:c r="E73" s="14" t="n">
        <x:v>45</x:v>
      </x:c>
      <x:c r="F73" s="14" t="str">
        <x:v>The Marlow Murder Club</x:v>
      </x:c>
      <x:c r="G73" s="14" t="str">
        <x:v>tt27950663</x:v>
      </x:c>
      <x:c r="H73" s="14" t="n">
        <x:v>2024</x:v>
      </x:c>
      <x:c r="I73" s="14" t="n">
        <x:v>2025</x:v>
      </x:c>
      <x:c r="J73" s="14" t="str">
        <x:v>Earlier-Production Carry-In Cohort</x:v>
      </x:c>
      <x:c r="K73" s="14" t="n">
        <x:v>2024</x:v>
      </x:c>
      <x:c r="L73" s="14" t="str">
        <x:v>Not inherited</x:v>
      </x:c>
      <x:c r="M73" s="15" t="n">
        <x:v>38</x:v>
      </x:c>
      <x:c r="N73" s="14" t="str">
        <x:v>Tom Fisher</x:v>
      </x:c>
      <x:c r="O73" s="14" t="str">
        <x:v>nm1433660</x:v>
      </x:c>
      <x:c r="P73" s="14" t="str">
        <x:v>Adam Warner</x:v>
      </x:c>
      <x:c r="Q73" s="15" t="n">
        <x:v>2</x:v>
      </x:c>
      <x:c r="R73" s="14" t="str">
        <x:v>2025</x:v>
      </x:c>
      <x:c r="S73" s="14" t="n">
        <x:v>2025</x:v>
      </x:c>
      <x:c r="T73" s="14" t="n">
        <x:v>2025</x:v>
      </x:c>
      <x:c r="U73" s="14" t="str">
        <x:v>Explicit source first year retained</x:v>
      </x:c>
      <x:c r="V73" s="14" t="str">
        <x:v>Earliest supplied year is 2025.</x:v>
      </x:c>
      <x:c r="W73" s="14"/>
      <x:c r="X73" s="14" t="str">
        <x:v>Included</x:v>
      </x:c>
      <x:c r="Y73" s="14"/>
      <x:c r="Z73" s="14" t="str">
        <x:v>The Marlow Murder Club.docx</x:v>
      </x:c>
      <x:c r="AA73" s="14" t="str">
        <x:v>HYPERLINK is not implemented. linkLocation=https://www.imdb.com/title/tt27950663/fullcredits/,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Channel 5 / 5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HYPERLINK("https://en.wikipedia.org/wiki/Robert_Thorogood","Open source")</x:f>
        <x:v>HYPERLINK is not implemented. linkLocation=https://en.wikipedia.org/wiki/Robert_Thorogood, friendlyName=Open source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 t="str">
        <x:v>No established-register match</x:v>
      </x:c>
      <x:c r="AT73" s="14"/>
      <x:c r="AU73" s="14"/>
      <x:c r="AV73" s="14" t="str">
        <x:v>No established apparent-disability match</x:v>
      </x:c>
      <x:c r="AW73" s="14"/>
      <x:c r="AX73" s="14" t="str">
        <x:v>No</x:v>
      </x:c>
      <x:c r="AY73" s="14" t="str">
        <x:v>Unmatched</x:v>
      </x:c>
      <x:c r="AZ73" s="14" t="str">
        <x:v>Final supplied register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22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0.09090909090909091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HYPERLINK is not implemented. linkLocation=https://www.imdb.com/title/tt27950663/fullcredits/,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tt27950663|nm1326375|jackie tynham</x:v>
      </x:c>
      <x:c r="B74" s="14" t="str">
        <x:v>05</x:v>
      </x:c>
      <x:c r="C74" s="14" t="str">
        <x:v>2024_IMDb_Cast_Lists_Batch_05(1).xlsx</x:v>
      </x:c>
      <x:c r="D74" s="14" t="str">
        <x:v>The Marlow Murder Club</x:v>
      </x:c>
      <x:c r="E74" s="14" t="n">
        <x:v>46</x:v>
      </x:c>
      <x:c r="F74" s="14" t="str">
        <x:v>The Marlow Murder Club</x:v>
      </x:c>
      <x:c r="G74" s="14" t="str">
        <x:v>tt27950663</x:v>
      </x:c>
      <x:c r="H74" s="14" t="n">
        <x:v>2024</x:v>
      </x:c>
      <x:c r="I74" s="14" t="n">
        <x:v>2025</x:v>
      </x:c>
      <x:c r="J74" s="14" t="str">
        <x:v>Earlier-Production Carry-In Cohort</x:v>
      </x:c>
      <x:c r="K74" s="14" t="n">
        <x:v>2024</x:v>
      </x:c>
      <x:c r="L74" s="14" t="str">
        <x:v>Not inherited</x:v>
      </x:c>
      <x:c r="M74" s="15" t="n">
        <x:v>39</x:v>
      </x:c>
      <x:c r="N74" s="14" t="str">
        <x:v>Camilla Beeput</x:v>
      </x:c>
      <x:c r="O74" s="14" t="str">
        <x:v>nm1326375</x:v>
      </x:c>
      <x:c r="P74" s="14" t="str">
        <x:v>Jackie Tynham</x:v>
      </x:c>
      <x:c r="Q74" s="15" t="n">
        <x:v>2</x:v>
      </x:c>
      <x:c r="R74" s="14" t="str">
        <x:v>2025</x:v>
      </x:c>
      <x:c r="S74" s="14" t="n">
        <x:v>2025</x:v>
      </x:c>
      <x:c r="T74" s="14" t="n">
        <x:v>2025</x:v>
      </x:c>
      <x:c r="U74" s="14" t="str">
        <x:v>Explicit source first year retained</x:v>
      </x:c>
      <x:c r="V74" s="14" t="str">
        <x:v>Earliest supplied year is 2025.</x:v>
      </x:c>
      <x:c r="W74" s="14"/>
      <x:c r="X74" s="14" t="str">
        <x:v>Included</x:v>
      </x:c>
      <x:c r="Y74" s="14"/>
      <x:c r="Z74" s="14" t="str">
        <x:v>The Marlow Murder Club.docx</x:v>
      </x:c>
      <x:c r="AA74" s="14" t="str">
        <x:v>HYPERLINK is not implemented. linkLocation=https://www.imdb.com/title/tt27950663/fullcredits/,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Channel 5 / 5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HYPERLINK("https://en.wikipedia.org/wiki/Robert_Thorogood","Open source")</x:f>
        <x:v>HYPERLINK is not implemented. linkLocation=https://en.wikipedia.org/wiki/Robert_Thorogood, friendlyName=Open source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 t="str">
        <x:v>No established-register match</x:v>
      </x:c>
      <x:c r="AT74" s="14"/>
      <x:c r="AU74" s="14"/>
      <x:c r="AV74" s="14" t="str">
        <x:v>No established apparent-disability match</x:v>
      </x:c>
      <x:c r="AW74" s="14"/>
      <x:c r="AX74" s="14" t="str">
        <x:v>No</x:v>
      </x:c>
      <x:c r="AY74" s="14" t="str">
        <x:v>Unmatched</x:v>
      </x:c>
      <x:c r="AZ74" s="14" t="str">
        <x:v>Final supplied register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22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0.09090909090909091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HYPERLINK is not implemented. linkLocation=https://www.imdb.com/title/tt27950663/fullcredits/,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tt27950663|nm0071739|ursula liddington</x:v>
      </x:c>
      <x:c r="B75" s="14" t="str">
        <x:v>05</x:v>
      </x:c>
      <x:c r="C75" s="14" t="str">
        <x:v>2024_IMDb_Cast_Lists_Batch_05(1).xlsx</x:v>
      </x:c>
      <x:c r="D75" s="14" t="str">
        <x:v>The Marlow Murder Club</x:v>
      </x:c>
      <x:c r="E75" s="14" t="n">
        <x:v>50</x:v>
      </x:c>
      <x:c r="F75" s="14" t="str">
        <x:v>The Marlow Murder Club</x:v>
      </x:c>
      <x:c r="G75" s="14" t="str">
        <x:v>tt27950663</x:v>
      </x:c>
      <x:c r="H75" s="14" t="n">
        <x:v>2024</x:v>
      </x:c>
      <x:c r="I75" s="14" t="n">
        <x:v>2025</x:v>
      </x:c>
      <x:c r="J75" s="14" t="str">
        <x:v>Earlier-Production Carry-In Cohort</x:v>
      </x:c>
      <x:c r="K75" s="14" t="n">
        <x:v>2024</x:v>
      </x:c>
      <x:c r="L75" s="14" t="str">
        <x:v>Not inherited</x:v>
      </x:c>
      <x:c r="M75" s="15" t="n">
        <x:v>43</x:v>
      </x:c>
      <x:c r="N75" s="14" t="str">
        <x:v>Elizabeth Bennett</x:v>
      </x:c>
      <x:c r="O75" s="14" t="str">
        <x:v>nm0071739</x:v>
      </x:c>
      <x:c r="P75" s="14" t="str">
        <x:v>Ursula Liddington</x:v>
      </x:c>
      <x:c r="Q75" s="15" t="n">
        <x:v>2</x:v>
      </x:c>
      <x:c r="R75" s="14" t="str">
        <x:v>2025</x:v>
      </x:c>
      <x:c r="S75" s="14" t="n">
        <x:v>2025</x:v>
      </x:c>
      <x:c r="T75" s="14" t="n">
        <x:v>2025</x:v>
      </x:c>
      <x:c r="U75" s="14" t="str">
        <x:v>Explicit source first year retained</x:v>
      </x:c>
      <x:c r="V75" s="14" t="str">
        <x:v>Earliest supplied year is 2025.</x:v>
      </x:c>
      <x:c r="W75" s="14"/>
      <x:c r="X75" s="14" t="str">
        <x:v>Included</x:v>
      </x:c>
      <x:c r="Y75" s="14"/>
      <x:c r="Z75" s="14" t="str">
        <x:v>The Marlow Murder Club.docx</x:v>
      </x:c>
      <x:c r="AA75" s="14" t="str">
        <x:v>HYPERLINK is not implemented. linkLocation=https://www.imdb.com/title/tt27950663/fullcredits/,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Channel 5 / 5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HYPERLINK("https://en.wikipedia.org/wiki/Robert_Thorogood","Open source")</x:f>
        <x:v>HYPERLINK is not implemented. linkLocation=https://en.wikipedia.org/wiki/Robert_Thorogood, friendlyName=Open source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 t="str">
        <x:v>No established-register match</x:v>
      </x:c>
      <x:c r="AT75" s="14"/>
      <x:c r="AU75" s="14"/>
      <x:c r="AV75" s="14" t="str">
        <x:v>No established apparent-disability match</x:v>
      </x:c>
      <x:c r="AW75" s="14"/>
      <x:c r="AX75" s="14" t="str">
        <x:v>No</x:v>
      </x:c>
      <x:c r="AY75" s="14" t="str">
        <x:v>Unmatched</x:v>
      </x:c>
      <x:c r="AZ75" s="14" t="str">
        <x:v>Final supplied register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22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0.09090909090909091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HYPERLINK is not implemented. linkLocation=https://www.imdb.com/title/tt27950663/fullcredits/,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tt27950663|nm0190206|hayley wyckham</x:v>
      </x:c>
      <x:c r="B76" s="14" t="str">
        <x:v>05</x:v>
      </x:c>
      <x:c r="C76" s="14" t="str">
        <x:v>2024_IMDb_Cast_Lists_Batch_05(1).xlsx</x:v>
      </x:c>
      <x:c r="D76" s="14" t="str">
        <x:v>The Marlow Murder Club</x:v>
      </x:c>
      <x:c r="E76" s="14" t="n">
        <x:v>55</x:v>
      </x:c>
      <x:c r="F76" s="14" t="str">
        <x:v>The Marlow Murder Club</x:v>
      </x:c>
      <x:c r="G76" s="14" t="str">
        <x:v>tt27950663</x:v>
      </x:c>
      <x:c r="H76" s="14" t="n">
        <x:v>2024</x:v>
      </x:c>
      <x:c r="I76" s="14" t="n">
        <x:v>2025</x:v>
      </x:c>
      <x:c r="J76" s="14" t="str">
        <x:v>Earlier-Production Carry-In Cohort</x:v>
      </x:c>
      <x:c r="K76" s="14" t="n">
        <x:v>2024</x:v>
      </x:c>
      <x:c r="L76" s="14" t="str">
        <x:v>Not inherited</x:v>
      </x:c>
      <x:c r="M76" s="15" t="n">
        <x:v>48</x:v>
      </x:c>
      <x:c r="N76" s="14" t="str">
        <x:v>Abigail Cruttenden</x:v>
      </x:c>
      <x:c r="O76" s="14" t="str">
        <x:v>nm0190206</x:v>
      </x:c>
      <x:c r="P76" s="14" t="str">
        <x:v>Hayley Wyckham</x:v>
      </x:c>
      <x:c r="Q76" s="15" t="n">
        <x:v>2</x:v>
      </x:c>
      <x:c r="R76" s="14" t="str">
        <x:v>2025</x:v>
      </x:c>
      <x:c r="S76" s="14" t="n">
        <x:v>2025</x:v>
      </x:c>
      <x:c r="T76" s="14" t="n">
        <x:v>2025</x:v>
      </x:c>
      <x:c r="U76" s="14" t="str">
        <x:v>Explicit source first year retained</x:v>
      </x:c>
      <x:c r="V76" s="14" t="str">
        <x:v>Earliest supplied year is 2025.</x:v>
      </x:c>
      <x:c r="W76" s="14"/>
      <x:c r="X76" s="14" t="str">
        <x:v>Included</x:v>
      </x:c>
      <x:c r="Y76" s="14"/>
      <x:c r="Z76" s="14" t="str">
        <x:v>The Marlow Murder Club.docx</x:v>
      </x:c>
      <x:c r="AA76" s="14" t="str">
        <x:v>HYPERLINK is not implemented. linkLocation=https://www.imdb.com/title/tt27950663/fullcredits/,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Channel 5 / 5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HYPERLINK("https://en.wikipedia.org/wiki/Robert_Thorogood","Open source")</x:f>
        <x:v>HYPERLINK is not implemented. linkLocation=https://en.wikipedia.org/wiki/Robert_Thorogood, friendlyName=Open source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 t="str">
        <x:v>No established-register match</x:v>
      </x:c>
      <x:c r="AT76" s="14"/>
      <x:c r="AU76" s="14"/>
      <x:c r="AV76" s="14" t="str">
        <x:v>No established apparent-disability match</x:v>
      </x:c>
      <x:c r="AW76" s="14"/>
      <x:c r="AX76" s="14" t="str">
        <x:v>No</x:v>
      </x:c>
      <x:c r="AY76" s="14" t="str">
        <x:v>Unmatched</x:v>
      </x:c>
      <x:c r="AZ76" s="14" t="str">
        <x:v>Final supplied register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22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0.09090909090909091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HYPERLINK is not implemented. linkLocation=https://www.imdb.com/title/tt27950663/fullcredits/,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tt27950663|nm5265140|kerry butler</x:v>
      </x:c>
      <x:c r="B77" s="14" t="str">
        <x:v>05</x:v>
      </x:c>
      <x:c r="C77" s="14" t="str">
        <x:v>2024_IMDb_Cast_Lists_Batch_05(1).xlsx</x:v>
      </x:c>
      <x:c r="D77" s="14" t="str">
        <x:v>The Marlow Murder Club</x:v>
      </x:c>
      <x:c r="E77" s="14" t="n">
        <x:v>56</x:v>
      </x:c>
      <x:c r="F77" s="14" t="str">
        <x:v>The Marlow Murder Club</x:v>
      </x:c>
      <x:c r="G77" s="14" t="str">
        <x:v>tt27950663</x:v>
      </x:c>
      <x:c r="H77" s="14" t="n">
        <x:v>2024</x:v>
      </x:c>
      <x:c r="I77" s="14" t="n">
        <x:v>2025</x:v>
      </x:c>
      <x:c r="J77" s="14" t="str">
        <x:v>Earlier-Production Carry-In Cohort</x:v>
      </x:c>
      <x:c r="K77" s="14" t="n">
        <x:v>2024</x:v>
      </x:c>
      <x:c r="L77" s="14" t="str">
        <x:v>Not inherited</x:v>
      </x:c>
      <x:c r="M77" s="15" t="n">
        <x:v>49</x:v>
      </x:c>
      <x:c r="N77" s="14" t="str">
        <x:v>Florence Keith-Roach</x:v>
      </x:c>
      <x:c r="O77" s="14" t="str">
        <x:v>nm5265140</x:v>
      </x:c>
      <x:c r="P77" s="14" t="str">
        <x:v>Kerry Butler</x:v>
      </x:c>
      <x:c r="Q77" s="15" t="n">
        <x:v>2</x:v>
      </x:c>
      <x:c r="R77" s="14" t="str">
        <x:v>2025</x:v>
      </x:c>
      <x:c r="S77" s="14" t="n">
        <x:v>2025</x:v>
      </x:c>
      <x:c r="T77" s="14" t="n">
        <x:v>2025</x:v>
      </x:c>
      <x:c r="U77" s="14" t="str">
        <x:v>Explicit source first year retained</x:v>
      </x:c>
      <x:c r="V77" s="14" t="str">
        <x:v>Earliest supplied year is 2025.</x:v>
      </x:c>
      <x:c r="W77" s="14"/>
      <x:c r="X77" s="14" t="str">
        <x:v>Included</x:v>
      </x:c>
      <x:c r="Y77" s="14" t="str">
        <x:v>(as Florence Keith Roach)</x:v>
      </x:c>
      <x:c r="Z77" s="14" t="str">
        <x:v>The Marlow Murder Club.docx</x:v>
      </x:c>
      <x:c r="AA77" s="14" t="str">
        <x:v>HYPERLINK is not implemented. linkLocation=https://www.imdb.com/title/tt27950663/fullcredits/,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Channel 5 / 5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HYPERLINK("https://en.wikipedia.org/wiki/Robert_Thorogood","Open source")</x:f>
        <x:v>HYPERLINK is not implemented. linkLocation=https://en.wikipedia.org/wiki/Robert_Thorogood, friendlyName=Open source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 t="str">
        <x:v>No established-register match</x:v>
      </x:c>
      <x:c r="AT77" s="14"/>
      <x:c r="AU77" s="14"/>
      <x:c r="AV77" s="14" t="str">
        <x:v>No established apparent-disability match</x:v>
      </x:c>
      <x:c r="AW77" s="14"/>
      <x:c r="AX77" s="14" t="str">
        <x:v>No</x:v>
      </x:c>
      <x:c r="AY77" s="14" t="str">
        <x:v>Unmatched</x:v>
      </x:c>
      <x:c r="AZ77" s="14" t="str">
        <x:v>Final supplied register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22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2</x:v>
      </x:c>
      <x:c r="BS77" s="16" t="n">
        <x:v>0.09090909090909091</x:v>
      </x:c>
      <x:c r="BT77" s="14" t="str">
        <x:v>Minority of episodes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HYPERLINK is not implemented. linkLocation=https://www.imdb.com/title/tt27950663/fullcredits/,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tt27950663|nm0486674|lady bailey</x:v>
      </x:c>
      <x:c r="B78" s="14" t="str">
        <x:v>05</x:v>
      </x:c>
      <x:c r="C78" s="14" t="str">
        <x:v>2024_IMDb_Cast_Lists_Batch_05(1).xlsx</x:v>
      </x:c>
      <x:c r="D78" s="14" t="str">
        <x:v>The Marlow Murder Club</x:v>
      </x:c>
      <x:c r="E78" s="14" t="n">
        <x:v>60</x:v>
      </x:c>
      <x:c r="F78" s="14" t="str">
        <x:v>The Marlow Murder Club</x:v>
      </x:c>
      <x:c r="G78" s="14" t="str">
        <x:v>tt27950663</x:v>
      </x:c>
      <x:c r="H78" s="14" t="n">
        <x:v>2024</x:v>
      </x:c>
      <x:c r="I78" s="14" t="n">
        <x:v>2025</x:v>
      </x:c>
      <x:c r="J78" s="14" t="str">
        <x:v>Earlier-Production Carry-In Cohort</x:v>
      </x:c>
      <x:c r="K78" s="14" t="n">
        <x:v>2024</x:v>
      </x:c>
      <x:c r="L78" s="14" t="str">
        <x:v>Not inherited</x:v>
      </x:c>
      <x:c r="M78" s="15" t="n">
        <x:v>53</x:v>
      </x:c>
      <x:c r="N78" s="14" t="str">
        <x:v>Caroline Langrishe</x:v>
      </x:c>
      <x:c r="O78" s="14" t="str">
        <x:v>nm0486674</x:v>
      </x:c>
      <x:c r="P78" s="14" t="str">
        <x:v>Lady Bailey</x:v>
      </x:c>
      <x:c r="Q78" s="15" t="n">
        <x:v>2</x:v>
      </x:c>
      <x:c r="R78" s="14" t="str">
        <x:v>2025</x:v>
      </x:c>
      <x:c r="S78" s="14" t="n">
        <x:v>2025</x:v>
      </x:c>
      <x:c r="T78" s="14" t="n">
        <x:v>2025</x:v>
      </x:c>
      <x:c r="U78" s="14" t="str">
        <x:v>Explicit source first year retained</x:v>
      </x:c>
      <x:c r="V78" s="14" t="str">
        <x:v>Earliest supplied year is 2025.</x:v>
      </x:c>
      <x:c r="W78" s="14"/>
      <x:c r="X78" s="14" t="str">
        <x:v>Included</x:v>
      </x:c>
      <x:c r="Y78" s="14"/>
      <x:c r="Z78" s="14" t="str">
        <x:v>The Marlow Murder Club.docx</x:v>
      </x:c>
      <x:c r="AA78" s="14" t="str">
        <x:v>HYPERLINK is not implemented. linkLocation=https://www.imdb.com/title/tt27950663/fullcredits/,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Channel 5 / 5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HYPERLINK("https://en.wikipedia.org/wiki/Robert_Thorogood","Open source")</x:f>
        <x:v>HYPERLINK is not implemented. linkLocation=https://en.wikipedia.org/wiki/Robert_Thorogood, friendlyName=Open source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 t="str">
        <x:v>No established-register match</x:v>
      </x:c>
      <x:c r="AT78" s="14"/>
      <x:c r="AU78" s="14"/>
      <x:c r="AV78" s="14" t="str">
        <x:v>No established apparent-disability match</x:v>
      </x:c>
      <x:c r="AW78" s="14"/>
      <x:c r="AX78" s="14" t="str">
        <x:v>No</x:v>
      </x:c>
      <x:c r="AY78" s="14" t="str">
        <x:v>Unmatched</x:v>
      </x:c>
      <x:c r="AZ78" s="14" t="str">
        <x:v>Final supplied register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22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2</x:v>
      </x:c>
      <x:c r="BS78" s="16" t="n">
        <x:v>0.09090909090909091</x:v>
      </x:c>
      <x:c r="BT78" s="14" t="str">
        <x:v>Minority of episodes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HYPERLINK is not implemented. linkLocation=https://www.imdb.com/title/tt27950663/fullcredits/,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tt27950663|nm0732959|phil wingrove</x:v>
      </x:c>
      <x:c r="B79" s="14" t="str">
        <x:v>05</x:v>
      </x:c>
      <x:c r="C79" s="14" t="str">
        <x:v>2024_IMDb_Cast_Lists_Batch_05(1).xlsx</x:v>
      </x:c>
      <x:c r="D79" s="14" t="str">
        <x:v>The Marlow Murder Club</x:v>
      </x:c>
      <x:c r="E79" s="14" t="n">
        <x:v>61</x:v>
      </x:c>
      <x:c r="F79" s="14" t="str">
        <x:v>The Marlow Murder Club</x:v>
      </x:c>
      <x:c r="G79" s="14" t="str">
        <x:v>tt27950663</x:v>
      </x:c>
      <x:c r="H79" s="14" t="n">
        <x:v>2024</x:v>
      </x:c>
      <x:c r="I79" s="14" t="n">
        <x:v>2025</x:v>
      </x:c>
      <x:c r="J79" s="14" t="str">
        <x:v>Earlier-Production Carry-In Cohort</x:v>
      </x:c>
      <x:c r="K79" s="14" t="n">
        <x:v>2024</x:v>
      </x:c>
      <x:c r="L79" s="14" t="str">
        <x:v>Not inherited</x:v>
      </x:c>
      <x:c r="M79" s="15" t="n">
        <x:v>54</x:v>
      </x:c>
      <x:c r="N79" s="14" t="str">
        <x:v>Patrick Robinson</x:v>
      </x:c>
      <x:c r="O79" s="14" t="str">
        <x:v>nm0732959</x:v>
      </x:c>
      <x:c r="P79" s="14" t="str">
        <x:v>Phil Wingrove</x:v>
      </x:c>
      <x:c r="Q79" s="15" t="n">
        <x:v>2</x:v>
      </x:c>
      <x:c r="R79" s="14" t="str">
        <x:v>2025</x:v>
      </x:c>
      <x:c r="S79" s="14" t="n">
        <x:v>2025</x:v>
      </x:c>
      <x:c r="T79" s="14" t="n">
        <x:v>2025</x:v>
      </x:c>
      <x:c r="U79" s="14" t="str">
        <x:v>Explicit source first year retained</x:v>
      </x:c>
      <x:c r="V79" s="14" t="str">
        <x:v>Earliest supplied year is 2025.</x:v>
      </x:c>
      <x:c r="W79" s="14"/>
      <x:c r="X79" s="14" t="str">
        <x:v>Included</x:v>
      </x:c>
      <x:c r="Y79" s="14"/>
      <x:c r="Z79" s="14" t="str">
        <x:v>The Marlow Murder Club.docx</x:v>
      </x:c>
      <x:c r="AA79" s="14" t="str">
        <x:v>HYPERLINK is not implemented. linkLocation=https://www.imdb.com/title/tt27950663/fullcredits/,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Channel 5 / 5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HYPERLINK("https://en.wikipedia.org/wiki/Robert_Thorogood","Open source")</x:f>
        <x:v>HYPERLINK is not implemented. linkLocation=https://en.wikipedia.org/wiki/Robert_Thorogood, friendlyName=Open source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 t="str">
        <x:v>No established-register match</x:v>
      </x:c>
      <x:c r="AT79" s="14"/>
      <x:c r="AU79" s="14"/>
      <x:c r="AV79" s="14" t="str">
        <x:v>No established apparent-disability match</x:v>
      </x:c>
      <x:c r="AW79" s="14"/>
      <x:c r="AX79" s="14" t="str">
        <x:v>No</x:v>
      </x:c>
      <x:c r="AY79" s="14" t="str">
        <x:v>Unmatched</x:v>
      </x:c>
      <x:c r="AZ79" s="14" t="str">
        <x:v>Final supplied register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22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2</x:v>
      </x:c>
      <x:c r="BS79" s="16" t="n">
        <x:v>0.09090909090909091</x:v>
      </x:c>
      <x:c r="BT79" s="14" t="str">
        <x:v>Minority of episodes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HYPERLINK is not implemented. linkLocation=https://www.imdb.com/title/tt27950663/fullcredits/,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tt27950663|nm7067240|daniel / daniel bradley</x:v>
      </x:c>
      <x:c r="B80" s="14" t="str">
        <x:v>05</x:v>
      </x:c>
      <x:c r="C80" s="14" t="str">
        <x:v>2024_IMDb_Cast_Lists_Batch_05(1).xlsx</x:v>
      </x:c>
      <x:c r="D80" s="14" t="str">
        <x:v>The Marlow Murder Club</x:v>
      </x:c>
      <x:c r="E80" s="14" t="n">
        <x:v>63</x:v>
      </x:c>
      <x:c r="F80" s="14" t="str">
        <x:v>The Marlow Murder Club</x:v>
      </x:c>
      <x:c r="G80" s="14" t="str">
        <x:v>tt27950663</x:v>
      </x:c>
      <x:c r="H80" s="14" t="n">
        <x:v>2024</x:v>
      </x:c>
      <x:c r="I80" s="14" t="n">
        <x:v>2025</x:v>
      </x:c>
      <x:c r="J80" s="14" t="str">
        <x:v>Earlier-Production Carry-In Cohort</x:v>
      </x:c>
      <x:c r="K80" s="14" t="n">
        <x:v>2024</x:v>
      </x:c>
      <x:c r="L80" s="14" t="str">
        <x:v>Not inherited</x:v>
      </x:c>
      <x:c r="M80" s="15" t="n">
        <x:v>56</x:v>
      </x:c>
      <x:c r="N80" s="14" t="str">
        <x:v>Steve Chusak</x:v>
      </x:c>
      <x:c r="O80" s="14" t="str">
        <x:v>nm7067240</x:v>
      </x:c>
      <x:c r="P80" s="14" t="str">
        <x:v>Daniel / Daniel Bradley</x:v>
      </x:c>
      <x:c r="Q80" s="15" t="n">
        <x:v>2</x:v>
      </x:c>
      <x:c r="R80" s="14" t="str">
        <x:v>2025</x:v>
      </x:c>
      <x:c r="S80" s="14" t="n">
        <x:v>2025</x:v>
      </x:c>
      <x:c r="T80" s="14" t="n">
        <x:v>2025</x:v>
      </x:c>
      <x:c r="U80" s="14" t="str">
        <x:v>Explicit source first year retained</x:v>
      </x:c>
      <x:c r="V80" s="14" t="str">
        <x:v>Earliest supplied year is 2025.</x:v>
      </x:c>
      <x:c r="W80" s="14"/>
      <x:c r="X80" s="14" t="str">
        <x:v>Included</x:v>
      </x:c>
      <x:c r="Y80" s="14"/>
      <x:c r="Z80" s="14" t="str">
        <x:v>The Marlow Murder Club.docx</x:v>
      </x:c>
      <x:c r="AA80" s="14" t="str">
        <x:v>HYPERLINK is not implemented. linkLocation=https://www.imdb.com/title/tt27950663/fullcredits/,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Channel 5 / 5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HYPERLINK("https://en.wikipedia.org/wiki/Robert_Thorogood","Open source")</x:f>
        <x:v>HYPERLINK is not implemented. linkLocation=https://en.wikipedia.org/wiki/Robert_Thorogood, friendlyName=Open source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 t="str">
        <x:v>No established-register match</x:v>
      </x:c>
      <x:c r="AT80" s="14"/>
      <x:c r="AU80" s="14"/>
      <x:c r="AV80" s="14" t="str">
        <x:v>No established apparent-disability match</x:v>
      </x:c>
      <x:c r="AW80" s="14"/>
      <x:c r="AX80" s="14" t="str">
        <x:v>No</x:v>
      </x:c>
      <x:c r="AY80" s="14" t="str">
        <x:v>Unmatched</x:v>
      </x:c>
      <x:c r="AZ80" s="14" t="str">
        <x:v>Final supplied register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22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2</x:v>
      </x:c>
      <x:c r="BS80" s="16" t="n">
        <x:v>0.09090909090909091</x:v>
      </x:c>
      <x:c r="BT80" s="14" t="str">
        <x:v>Minority of episodes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HYPERLINK is not implemented. linkLocation=https://www.imdb.com/title/tt27950663/fullcredits/,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tt27950663|nm0300518|harry tynham</x:v>
      </x:c>
      <x:c r="B81" s="14" t="str">
        <x:v>05</x:v>
      </x:c>
      <x:c r="C81" s="14" t="str">
        <x:v>2024_IMDb_Cast_Lists_Batch_05(1).xlsx</x:v>
      </x:c>
      <x:c r="D81" s="14" t="str">
        <x:v>The Marlow Murder Club</x:v>
      </x:c>
      <x:c r="E81" s="14" t="n">
        <x:v>66</x:v>
      </x:c>
      <x:c r="F81" s="14" t="str">
        <x:v>The Marlow Murder Club</x:v>
      </x:c>
      <x:c r="G81" s="14" t="str">
        <x:v>tt27950663</x:v>
      </x:c>
      <x:c r="H81" s="14" t="n">
        <x:v>2024</x:v>
      </x:c>
      <x:c r="I81" s="14" t="n">
        <x:v>2025</x:v>
      </x:c>
      <x:c r="J81" s="14" t="str">
        <x:v>Earlier-Production Carry-In Cohort</x:v>
      </x:c>
      <x:c r="K81" s="14" t="n">
        <x:v>2024</x:v>
      </x:c>
      <x:c r="L81" s="14" t="str">
        <x:v>Not inherited</x:v>
      </x:c>
      <x:c r="M81" s="15" t="n">
        <x:v>59</x:v>
      </x:c>
      <x:c r="N81" s="14" t="str">
        <x:v>James Gaddas</x:v>
      </x:c>
      <x:c r="O81" s="14" t="str">
        <x:v>nm0300518</x:v>
      </x:c>
      <x:c r="P81" s="14" t="str">
        <x:v>Harry Tynham</x:v>
      </x:c>
      <x:c r="Q81" s="15" t="n">
        <x:v>2</x:v>
      </x:c>
      <x:c r="R81" s="14" t="str">
        <x:v>2025</x:v>
      </x:c>
      <x:c r="S81" s="14" t="n">
        <x:v>2025</x:v>
      </x:c>
      <x:c r="T81" s="14" t="n">
        <x:v>2025</x:v>
      </x:c>
      <x:c r="U81" s="14" t="str">
        <x:v>Explicit source first year retained</x:v>
      </x:c>
      <x:c r="V81" s="14" t="str">
        <x:v>Earliest supplied year is 2025.</x:v>
      </x:c>
      <x:c r="W81" s="14"/>
      <x:c r="X81" s="14" t="str">
        <x:v>Included</x:v>
      </x:c>
      <x:c r="Y81" s="14"/>
      <x:c r="Z81" s="14" t="str">
        <x:v>The Marlow Murder Club.docx</x:v>
      </x:c>
      <x:c r="AA81" s="14" t="str">
        <x:v>HYPERLINK is not implemented. linkLocation=https://www.imdb.com/title/tt27950663/fullcredits/,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Channel 5 / 5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HYPERLINK("https://en.wikipedia.org/wiki/Robert_Thorogood","Open source")</x:f>
        <x:v>HYPERLINK is not implemented. linkLocation=https://en.wikipedia.org/wiki/Robert_Thorogood, friendlyName=Open source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 t="str">
        <x:v>No established-register match</x:v>
      </x:c>
      <x:c r="AT81" s="14"/>
      <x:c r="AU81" s="14"/>
      <x:c r="AV81" s="14" t="str">
        <x:v>No established apparent-disability match</x:v>
      </x:c>
      <x:c r="AW81" s="14"/>
      <x:c r="AX81" s="14" t="str">
        <x:v>No</x:v>
      </x:c>
      <x:c r="AY81" s="14" t="str">
        <x:v>Unmatched</x:v>
      </x:c>
      <x:c r="AZ81" s="14" t="str">
        <x:v>Final supplied register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22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2</x:v>
      </x:c>
      <x:c r="BS81" s="16" t="n">
        <x:v>0.09090909090909091</x:v>
      </x:c>
      <x:c r="BT81" s="14" t="str">
        <x:v>Minority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HYPERLINK is not implemented. linkLocation=https://www.imdb.com/title/tt27950663/fullcredits/,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tt27950663|nm5105375|sarah fitzherbert</x:v>
      </x:c>
      <x:c r="B82" s="14" t="str">
        <x:v>05</x:v>
      </x:c>
      <x:c r="C82" s="14" t="str">
        <x:v>2024_IMDb_Cast_Lists_Batch_05(1).xlsx</x:v>
      </x:c>
      <x:c r="D82" s="14" t="str">
        <x:v>The Marlow Murder Club</x:v>
      </x:c>
      <x:c r="E82" s="14" t="n">
        <x:v>69</x:v>
      </x:c>
      <x:c r="F82" s="14" t="str">
        <x:v>The Marlow Murder Club</x:v>
      </x:c>
      <x:c r="G82" s="14" t="str">
        <x:v>tt27950663</x:v>
      </x:c>
      <x:c r="H82" s="14" t="n">
        <x:v>2024</x:v>
      </x:c>
      <x:c r="I82" s="14" t="n">
        <x:v>2025</x:v>
      </x:c>
      <x:c r="J82" s="14" t="str">
        <x:v>Earlier-Production Carry-In Cohort</x:v>
      </x:c>
      <x:c r="K82" s="14" t="n">
        <x:v>2024</x:v>
      </x:c>
      <x:c r="L82" s="14" t="str">
        <x:v>Not inherited</x:v>
      </x:c>
      <x:c r="M82" s="15" t="n">
        <x:v>62</x:v>
      </x:c>
      <x:c r="N82" s="14" t="str">
        <x:v>Mogali Masuku</x:v>
      </x:c>
      <x:c r="O82" s="14" t="str">
        <x:v>nm5105375</x:v>
      </x:c>
      <x:c r="P82" s="14" t="str">
        <x:v>Sarah Fitzherbert</x:v>
      </x:c>
      <x:c r="Q82" s="15" t="n">
        <x:v>2</x:v>
      </x:c>
      <x:c r="R82" s="14" t="str">
        <x:v>2025</x:v>
      </x:c>
      <x:c r="S82" s="14" t="n">
        <x:v>2025</x:v>
      </x:c>
      <x:c r="T82" s="14" t="n">
        <x:v>2025</x:v>
      </x:c>
      <x:c r="U82" s="14" t="str">
        <x:v>Explicit source first year retained</x:v>
      </x:c>
      <x:c r="V82" s="14" t="str">
        <x:v>Earliest supplied year is 2025.</x:v>
      </x:c>
      <x:c r="W82" s="14"/>
      <x:c r="X82" s="14" t="str">
        <x:v>Included</x:v>
      </x:c>
      <x:c r="Y82" s="14"/>
      <x:c r="Z82" s="14" t="str">
        <x:v>The Marlow Murder Club.docx</x:v>
      </x:c>
      <x:c r="AA82" s="14" t="str">
        <x:v>HYPERLINK is not implemented. linkLocation=https://www.imdb.com/title/tt27950663/fullcredits/,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Channel 5 / 5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HYPERLINK("https://en.wikipedia.org/wiki/Robert_Thorogood","Open source")</x:f>
        <x:v>HYPERLINK is not implemented. linkLocation=https://en.wikipedia.org/wiki/Robert_Thorogood, friendlyName=Open source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 t="str">
        <x:v>No established-register match</x:v>
      </x:c>
      <x:c r="AT82" s="14"/>
      <x:c r="AU82" s="14"/>
      <x:c r="AV82" s="14" t="str">
        <x:v>No established apparent-disability match</x:v>
      </x:c>
      <x:c r="AW82" s="14"/>
      <x:c r="AX82" s="14" t="str">
        <x:v>No</x:v>
      </x:c>
      <x:c r="AY82" s="14" t="str">
        <x:v>Unmatched</x:v>
      </x:c>
      <x:c r="AZ82" s="14" t="str">
        <x:v>Final supplied register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22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2</x:v>
      </x:c>
      <x:c r="BS82" s="16" t="n">
        <x:v>0.09090909090909091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HYPERLINK is not implemented. linkLocation=https://www.imdb.com/title/tt27950663/fullcredits/,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tt27950663|nm0815317|grace wellingborough</x:v>
      </x:c>
      <x:c r="B83" s="14" t="str">
        <x:v>05</x:v>
      </x:c>
      <x:c r="C83" s="14" t="str">
        <x:v>2024_IMDb_Cast_Lists_Batch_05(1).xlsx</x:v>
      </x:c>
      <x:c r="D83" s="14" t="str">
        <x:v>The Marlow Murder Club</x:v>
      </x:c>
      <x:c r="E83" s="14" t="n">
        <x:v>70</x:v>
      </x:c>
      <x:c r="F83" s="14" t="str">
        <x:v>The Marlow Murder Club</x:v>
      </x:c>
      <x:c r="G83" s="14" t="str">
        <x:v>tt27950663</x:v>
      </x:c>
      <x:c r="H83" s="14" t="n">
        <x:v>2024</x:v>
      </x:c>
      <x:c r="I83" s="14" t="n">
        <x:v>2025</x:v>
      </x:c>
      <x:c r="J83" s="14" t="str">
        <x:v>Earlier-Production Carry-In Cohort</x:v>
      </x:c>
      <x:c r="K83" s="14" t="n">
        <x:v>2024</x:v>
      </x:c>
      <x:c r="L83" s="14" t="str">
        <x:v>Not inherited</x:v>
      </x:c>
      <x:c r="M83" s="15" t="n">
        <x:v>63</x:v>
      </x:c>
      <x:c r="N83" s="14" t="str">
        <x:v>Nina Sosanya</x:v>
      </x:c>
      <x:c r="O83" s="14" t="str">
        <x:v>nm0815317</x:v>
      </x:c>
      <x:c r="P83" s="14" t="str">
        <x:v>Grace Wellingborough</x:v>
      </x:c>
      <x:c r="Q83" s="15" t="n">
        <x:v>2</x:v>
      </x:c>
      <x:c r="R83" s="14" t="str">
        <x:v>2025</x:v>
      </x:c>
      <x:c r="S83" s="14" t="n">
        <x:v>2025</x:v>
      </x:c>
      <x:c r="T83" s="14" t="n">
        <x:v>2025</x:v>
      </x:c>
      <x:c r="U83" s="14" t="str">
        <x:v>Explicit source first year retained</x:v>
      </x:c>
      <x:c r="V83" s="14" t="str">
        <x:v>Earliest supplied year is 2025.</x:v>
      </x:c>
      <x:c r="W83" s="14"/>
      <x:c r="X83" s="14" t="str">
        <x:v>Included</x:v>
      </x:c>
      <x:c r="Y83" s="14"/>
      <x:c r="Z83" s="14" t="str">
        <x:v>The Marlow Murder Club.docx</x:v>
      </x:c>
      <x:c r="AA83" s="14" t="str">
        <x:v>HYPERLINK is not implemented. linkLocation=https://www.imdb.com/title/tt27950663/fullcredits/,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Channel 5 / 5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HYPERLINK("https://en.wikipedia.org/wiki/Robert_Thorogood","Open source")</x:f>
        <x:v>HYPERLINK is not implemented. linkLocation=https://en.wikipedia.org/wiki/Robert_Thorogood, friendlyName=Open source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 t="str">
        <x:v>No established-register match</x:v>
      </x:c>
      <x:c r="AT83" s="14"/>
      <x:c r="AU83" s="14"/>
      <x:c r="AV83" s="14" t="str">
        <x:v>No established apparent-disability match</x:v>
      </x:c>
      <x:c r="AW83" s="14"/>
      <x:c r="AX83" s="14" t="str">
        <x:v>No</x:v>
      </x:c>
      <x:c r="AY83" s="14" t="str">
        <x:v>Unmatched</x:v>
      </x:c>
      <x:c r="AZ83" s="14" t="str">
        <x:v>Final supplied register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22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2</x:v>
      </x:c>
      <x:c r="BS83" s="16" t="n">
        <x:v>0.09090909090909091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HYPERLINK is not implemented. linkLocation=https://www.imdb.com/title/tt27950663/fullcredits/,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tt27950663|nm0932598|louis oldham</x:v>
      </x:c>
      <x:c r="B84" s="14" t="str">
        <x:v>05</x:v>
      </x:c>
      <x:c r="C84" s="14" t="str">
        <x:v>2024_IMDb_Cast_Lists_Batch_05(1).xlsx</x:v>
      </x:c>
      <x:c r="D84" s="14" t="str">
        <x:v>The Marlow Murder Club</x:v>
      </x:c>
      <x:c r="E84" s="14" t="n">
        <x:v>72</x:v>
      </x:c>
      <x:c r="F84" s="14" t="str">
        <x:v>The Marlow Murder Club</x:v>
      </x:c>
      <x:c r="G84" s="14" t="str">
        <x:v>tt27950663</x:v>
      </x:c>
      <x:c r="H84" s="14" t="n">
        <x:v>2024</x:v>
      </x:c>
      <x:c r="I84" s="14" t="n">
        <x:v>2025</x:v>
      </x:c>
      <x:c r="J84" s="14" t="str">
        <x:v>Earlier-Production Carry-In Cohort</x:v>
      </x:c>
      <x:c r="K84" s="14" t="n">
        <x:v>2024</x:v>
      </x:c>
      <x:c r="L84" s="14" t="str">
        <x:v>Not inherited</x:v>
      </x:c>
      <x:c r="M84" s="15" t="n">
        <x:v>65</x:v>
      </x:c>
      <x:c r="N84" s="14" t="str">
        <x:v>William Willoughby</x:v>
      </x:c>
      <x:c r="O84" s="14" t="str">
        <x:v>nm0932598</x:v>
      </x:c>
      <x:c r="P84" s="14" t="str">
        <x:v>Louis Oldham</x:v>
      </x:c>
      <x:c r="Q84" s="15" t="n">
        <x:v>2</x:v>
      </x:c>
      <x:c r="R84" s="14" t="str">
        <x:v>2025</x:v>
      </x:c>
      <x:c r="S84" s="14" t="n">
        <x:v>2025</x:v>
      </x:c>
      <x:c r="T84" s="14" t="n">
        <x:v>2025</x:v>
      </x:c>
      <x:c r="U84" s="14" t="str">
        <x:v>Explicit source first year retained</x:v>
      </x:c>
      <x:c r="V84" s="14" t="str">
        <x:v>Earliest supplied year is 2025.</x:v>
      </x:c>
      <x:c r="W84" s="14"/>
      <x:c r="X84" s="14" t="str">
        <x:v>Included</x:v>
      </x:c>
      <x:c r="Y84" s="14" t="str">
        <x:v>(as Will Willoughby)</x:v>
      </x:c>
      <x:c r="Z84" s="14" t="str">
        <x:v>The Marlow Murder Club.docx</x:v>
      </x:c>
      <x:c r="AA84" s="14" t="str">
        <x:v>HYPERLINK is not implemented. linkLocation=https://www.imdb.com/title/tt27950663/fullcredits/,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Channel 5 / 5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HYPERLINK("https://en.wikipedia.org/wiki/Robert_Thorogood","Open source")</x:f>
        <x:v>HYPERLINK is not implemented. linkLocation=https://en.wikipedia.org/wiki/Robert_Thorogood, friendlyName=Open source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 t="str">
        <x:v>No established-register match</x:v>
      </x:c>
      <x:c r="AT84" s="14"/>
      <x:c r="AU84" s="14"/>
      <x:c r="AV84" s="14" t="str">
        <x:v>No established apparent-disability match</x:v>
      </x:c>
      <x:c r="AW84" s="14"/>
      <x:c r="AX84" s="14" t="str">
        <x:v>No</x:v>
      </x:c>
      <x:c r="AY84" s="14" t="str">
        <x:v>Unmatched</x:v>
      </x:c>
      <x:c r="AZ84" s="14" t="str">
        <x:v>Final supplied register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22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2</x:v>
      </x:c>
      <x:c r="BS84" s="16" t="n">
        <x:v>0.09090909090909091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HYPERLINK is not implemented. linkLocation=https://www.imdb.com/title/tt27950663/fullcredits/,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tt27950663|nm0498523|john teller</x:v>
      </x:c>
      <x:c r="B85" s="14" t="str">
        <x:v>05</x:v>
      </x:c>
      <x:c r="C85" s="14" t="str">
        <x:v>2024_IMDb_Cast_Lists_Batch_05(1).xlsx</x:v>
      </x:c>
      <x:c r="D85" s="14" t="str">
        <x:v>The Marlow Murder Club</x:v>
      </x:c>
      <x:c r="E85" s="14" t="n">
        <x:v>76</x:v>
      </x:c>
      <x:c r="F85" s="14" t="str">
        <x:v>The Marlow Murder Club</x:v>
      </x:c>
      <x:c r="G85" s="14" t="str">
        <x:v>tt27950663</x:v>
      </x:c>
      <x:c r="H85" s="14" t="n">
        <x:v>2024</x:v>
      </x:c>
      <x:c r="I85" s="14" t="n">
        <x:v>2025</x:v>
      </x:c>
      <x:c r="J85" s="14" t="str">
        <x:v>Earlier-Production Carry-In Cohort</x:v>
      </x:c>
      <x:c r="K85" s="14" t="n">
        <x:v>2024</x:v>
      </x:c>
      <x:c r="L85" s="14" t="str">
        <x:v>Not inherited</x:v>
      </x:c>
      <x:c r="M85" s="15" t="n">
        <x:v>69</x:v>
      </x:c>
      <x:c r="N85" s="14" t="str">
        <x:v>Pete Lee-Wilson</x:v>
      </x:c>
      <x:c r="O85" s="14" t="str">
        <x:v>nm0498523</x:v>
      </x:c>
      <x:c r="P85" s="14" t="str">
        <x:v>John Teller</x:v>
      </x:c>
      <x:c r="Q85" s="15" t="n">
        <x:v>2</x:v>
      </x:c>
      <x:c r="R85" s="14" t="str">
        <x:v>2025</x:v>
      </x:c>
      <x:c r="S85" s="14" t="n">
        <x:v>2025</x:v>
      </x:c>
      <x:c r="T85" s="14" t="n">
        <x:v>2025</x:v>
      </x:c>
      <x:c r="U85" s="14" t="str">
        <x:v>Explicit source first year retained</x:v>
      </x:c>
      <x:c r="V85" s="14" t="str">
        <x:v>Earliest supplied year is 2025.</x:v>
      </x:c>
      <x:c r="W85" s="14"/>
      <x:c r="X85" s="14" t="str">
        <x:v>Included</x:v>
      </x:c>
      <x:c r="Y85" s="14" t="str">
        <x:v>(as Pete Lee Wilson)</x:v>
      </x:c>
      <x:c r="Z85" s="14" t="str">
        <x:v>The Marlow Murder Club.docx</x:v>
      </x:c>
      <x:c r="AA85" s="14" t="str">
        <x:v>HYPERLINK is not implemented. linkLocation=https://www.imdb.com/title/tt27950663/fullcredits/,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Channel 5 / 5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HYPERLINK("https://en.wikipedia.org/wiki/Robert_Thorogood","Open source")</x:f>
        <x:v>HYPERLINK is not implemented. linkLocation=https://en.wikipedia.org/wiki/Robert_Thorogood, friendlyName=Open source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 t="str">
        <x:v>No established-register match</x:v>
      </x:c>
      <x:c r="AT85" s="14"/>
      <x:c r="AU85" s="14"/>
      <x:c r="AV85" s="14" t="str">
        <x:v>No established apparent-disability match</x:v>
      </x:c>
      <x:c r="AW85" s="14"/>
      <x:c r="AX85" s="14" t="str">
        <x:v>No</x:v>
      </x:c>
      <x:c r="AY85" s="14" t="str">
        <x:v>Unmatched</x:v>
      </x:c>
      <x:c r="AZ85" s="14" t="str">
        <x:v>Final supplied register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22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2</x:v>
      </x:c>
      <x:c r="BS85" s="16" t="n">
        <x:v>0.09090909090909091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HYPERLINK is not implemented. linkLocation=https://www.imdb.com/title/tt27950663/fullcredits/,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tt27950663|nm0418379|caroline wingrove</x:v>
      </x:c>
      <x:c r="B86" s="14" t="str">
        <x:v>05</x:v>
      </x:c>
      <x:c r="C86" s="14" t="str">
        <x:v>2024_IMDb_Cast_Lists_Batch_05(1).xlsx</x:v>
      </x:c>
      <x:c r="D86" s="14" t="str">
        <x:v>The Marlow Murder Club</x:v>
      </x:c>
      <x:c r="E86" s="14" t="n">
        <x:v>78</x:v>
      </x:c>
      <x:c r="F86" s="14" t="str">
        <x:v>The Marlow Murder Club</x:v>
      </x:c>
      <x:c r="G86" s="14" t="str">
        <x:v>tt27950663</x:v>
      </x:c>
      <x:c r="H86" s="14" t="n">
        <x:v>2024</x:v>
      </x:c>
      <x:c r="I86" s="14" t="n">
        <x:v>2025</x:v>
      </x:c>
      <x:c r="J86" s="14" t="str">
        <x:v>Earlier-Production Carry-In Cohort</x:v>
      </x:c>
      <x:c r="K86" s="14" t="n">
        <x:v>2024</x:v>
      </x:c>
      <x:c r="L86" s="14" t="str">
        <x:v>Not inherited</x:v>
      </x:c>
      <x:c r="M86" s="15" t="n">
        <x:v>71</x:v>
      </x:c>
      <x:c r="N86" s="14" t="str">
        <x:v>Samantha Womack</x:v>
      </x:c>
      <x:c r="O86" s="14" t="str">
        <x:v>nm0418379</x:v>
      </x:c>
      <x:c r="P86" s="14" t="str">
        <x:v>Caroline Wingrove</x:v>
      </x:c>
      <x:c r="Q86" s="15" t="n">
        <x:v>2</x:v>
      </x:c>
      <x:c r="R86" s="14" t="str">
        <x:v>2025</x:v>
      </x:c>
      <x:c r="S86" s="14" t="n">
        <x:v>2025</x:v>
      </x:c>
      <x:c r="T86" s="14" t="n">
        <x:v>2025</x:v>
      </x:c>
      <x:c r="U86" s="14" t="str">
        <x:v>Explicit source first year retained</x:v>
      </x:c>
      <x:c r="V86" s="14" t="str">
        <x:v>Earliest supplied year is 2025.</x:v>
      </x:c>
      <x:c r="W86" s="14"/>
      <x:c r="X86" s="14" t="str">
        <x:v>Included</x:v>
      </x:c>
      <x:c r="Y86" s="14"/>
      <x:c r="Z86" s="14" t="str">
        <x:v>The Marlow Murder Club.docx</x:v>
      </x:c>
      <x:c r="AA86" s="14" t="str">
        <x:v>HYPERLINK is not implemented. linkLocation=https://www.imdb.com/title/tt27950663/fullcredits/,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Channel 5 / 5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HYPERLINK("https://en.wikipedia.org/wiki/Robert_Thorogood","Open source")</x:f>
        <x:v>HYPERLINK is not implemented. linkLocation=https://en.wikipedia.org/wiki/Robert_Thorogood, friendlyName=Open source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 t="str">
        <x:v>No established-register match</x:v>
      </x:c>
      <x:c r="AT86" s="14"/>
      <x:c r="AU86" s="14"/>
      <x:c r="AV86" s="14" t="str">
        <x:v>No established apparent-disability match</x:v>
      </x:c>
      <x:c r="AW86" s="14"/>
      <x:c r="AX86" s="14" t="str">
        <x:v>No</x:v>
      </x:c>
      <x:c r="AY86" s="14" t="str">
        <x:v>Unmatched</x:v>
      </x:c>
      <x:c r="AZ86" s="14" t="str">
        <x:v>Final supplied register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22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2</x:v>
      </x:c>
      <x:c r="BS86" s="16" t="n">
        <x:v>0.09090909090909091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HYPERLINK is not implemented. linkLocation=https://www.imdb.com/title/tt27950663/fullcredits/,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tt27950663|nm0535582|james wyckham</x:v>
      </x:c>
      <x:c r="B87" s="14" t="str">
        <x:v>05</x:v>
      </x:c>
      <x:c r="C87" s="14" t="str">
        <x:v>2024_IMDb_Cast_Lists_Batch_05(1).xlsx</x:v>
      </x:c>
      <x:c r="D87" s="14" t="str">
        <x:v>The Marlow Murder Club</x:v>
      </x:c>
      <x:c r="E87" s="14" t="n">
        <x:v>79</x:v>
      </x:c>
      <x:c r="F87" s="14" t="str">
        <x:v>The Marlow Murder Club</x:v>
      </x:c>
      <x:c r="G87" s="14" t="str">
        <x:v>tt27950663</x:v>
      </x:c>
      <x:c r="H87" s="14" t="n">
        <x:v>2024</x:v>
      </x:c>
      <x:c r="I87" s="14" t="n">
        <x:v>2025</x:v>
      </x:c>
      <x:c r="J87" s="14" t="str">
        <x:v>Earlier-Production Carry-In Cohort</x:v>
      </x:c>
      <x:c r="K87" s="14" t="n">
        <x:v>2024</x:v>
      </x:c>
      <x:c r="L87" s="14" t="str">
        <x:v>Not inherited</x:v>
      </x:c>
      <x:c r="M87" s="15" t="n">
        <x:v>72</x:v>
      </x:c>
      <x:c r="N87" s="14" t="str">
        <x:v>Dominic Mafham</x:v>
      </x:c>
      <x:c r="O87" s="14" t="str">
        <x:v>nm0535582</x:v>
      </x:c>
      <x:c r="P87" s="14" t="str">
        <x:v>James Wyckham</x:v>
      </x:c>
      <x:c r="Q87" s="15" t="n">
        <x:v>2</x:v>
      </x:c>
      <x:c r="R87" s="14" t="str">
        <x:v>2025</x:v>
      </x:c>
      <x:c r="S87" s="14" t="n">
        <x:v>2025</x:v>
      </x:c>
      <x:c r="T87" s="14" t="n">
        <x:v>2025</x:v>
      </x:c>
      <x:c r="U87" s="14" t="str">
        <x:v>Explicit source first year retained</x:v>
      </x:c>
      <x:c r="V87" s="14" t="str">
        <x:v>Earliest supplied year is 2025.</x:v>
      </x:c>
      <x:c r="W87" s="14"/>
      <x:c r="X87" s="14" t="str">
        <x:v>Included</x:v>
      </x:c>
      <x:c r="Y87" s="14"/>
      <x:c r="Z87" s="14" t="str">
        <x:v>The Marlow Murder Club.docx</x:v>
      </x:c>
      <x:c r="AA87" s="14" t="str">
        <x:v>HYPERLINK is not implemented. linkLocation=https://www.imdb.com/title/tt27950663/fullcredits/,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Channel 5 / 5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HYPERLINK("https://en.wikipedia.org/wiki/Robert_Thorogood","Open source")</x:f>
        <x:v>HYPERLINK is not implemented. linkLocation=https://en.wikipedia.org/wiki/Robert_Thorogood, friendlyName=Open source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 t="str">
        <x:v>No established-register match</x:v>
      </x:c>
      <x:c r="AT87" s="14"/>
      <x:c r="AU87" s="14"/>
      <x:c r="AV87" s="14" t="str">
        <x:v>No established apparent-disability match</x:v>
      </x:c>
      <x:c r="AW87" s="14"/>
      <x:c r="AX87" s="14" t="str">
        <x:v>No</x:v>
      </x:c>
      <x:c r="AY87" s="14" t="str">
        <x:v>Unmatched</x:v>
      </x:c>
      <x:c r="AZ87" s="14" t="str">
        <x:v>Final supplied register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22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2</x:v>
      </x:c>
      <x:c r="BS87" s="16" t="n">
        <x:v>0.09090909090909091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HYPERLINK is not implemented. linkLocation=https://www.imdb.com/title/tt27950663/fullcredits/,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tt27950663|nm3604619|jenny page</x:v>
      </x:c>
      <x:c r="B88" s="14" t="str">
        <x:v>05</x:v>
      </x:c>
      <x:c r="C88" s="14" t="str">
        <x:v>2024_IMDb_Cast_Lists_Batch_05(1).xlsx</x:v>
      </x:c>
      <x:c r="D88" s="14" t="str">
        <x:v>The Marlow Murder Club</x:v>
      </x:c>
      <x:c r="E88" s="14" t="n">
        <x:v>80</x:v>
      </x:c>
      <x:c r="F88" s="14" t="str">
        <x:v>The Marlow Murder Club</x:v>
      </x:c>
      <x:c r="G88" s="14" t="str">
        <x:v>tt27950663</x:v>
      </x:c>
      <x:c r="H88" s="14" t="n">
        <x:v>2024</x:v>
      </x:c>
      <x:c r="I88" s="14" t="n">
        <x:v>2025</x:v>
      </x:c>
      <x:c r="J88" s="14" t="str">
        <x:v>Earlier-Production Carry-In Cohort</x:v>
      </x:c>
      <x:c r="K88" s="14" t="n">
        <x:v>2024</x:v>
      </x:c>
      <x:c r="L88" s="14" t="str">
        <x:v>Not inherited</x:v>
      </x:c>
      <x:c r="M88" s="15" t="n">
        <x:v>73</x:v>
      </x:c>
      <x:c r="N88" s="14" t="str">
        <x:v>Yuna Shin</x:v>
      </x:c>
      <x:c r="O88" s="14" t="str">
        <x:v>nm3604619</x:v>
      </x:c>
      <x:c r="P88" s="14" t="str">
        <x:v>Jenny Page</x:v>
      </x:c>
      <x:c r="Q88" s="15" t="n">
        <x:v>2</x:v>
      </x:c>
      <x:c r="R88" s="14" t="str">
        <x:v>2025</x:v>
      </x:c>
      <x:c r="S88" s="14" t="n">
        <x:v>2025</x:v>
      </x:c>
      <x:c r="T88" s="14" t="n">
        <x:v>2025</x:v>
      </x:c>
      <x:c r="U88" s="14" t="str">
        <x:v>Explicit source first year retained</x:v>
      </x:c>
      <x:c r="V88" s="14" t="str">
        <x:v>Earliest supplied year is 2025.</x:v>
      </x:c>
      <x:c r="W88" s="14"/>
      <x:c r="X88" s="14" t="str">
        <x:v>Included</x:v>
      </x:c>
      <x:c r="Y88" s="14"/>
      <x:c r="Z88" s="14" t="str">
        <x:v>The Marlow Murder Club.docx</x:v>
      </x:c>
      <x:c r="AA88" s="14" t="str">
        <x:v>HYPERLINK is not implemented. linkLocation=https://www.imdb.com/title/tt27950663/fullcredits/,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Channel 5 / 5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HYPERLINK("https://en.wikipedia.org/wiki/Robert_Thorogood","Open source")</x:f>
        <x:v>HYPERLINK is not implemented. linkLocation=https://en.wikipedia.org/wiki/Robert_Thorogood, friendlyName=Open source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 t="str">
        <x:v>No established-register match</x:v>
      </x:c>
      <x:c r="AT88" s="14"/>
      <x:c r="AU88" s="14"/>
      <x:c r="AV88" s="14" t="str">
        <x:v>No established apparent-disability match</x:v>
      </x:c>
      <x:c r="AW88" s="14"/>
      <x:c r="AX88" s="14" t="str">
        <x:v>No</x:v>
      </x:c>
      <x:c r="AY88" s="14" t="str">
        <x:v>Unmatched</x:v>
      </x:c>
      <x:c r="AZ88" s="14" t="str">
        <x:v>Final supplied register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22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2</x:v>
      </x:c>
      <x:c r="BS88" s="16" t="n">
        <x:v>0.09090909090909091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HYPERLINK is not implemented. linkLocation=https://www.imdb.com/title/tt27950663/fullcredits/,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tt27950663|nm4494491|tristram bailey</x:v>
      </x:c>
      <x:c r="B89" s="14" t="str">
        <x:v>05</x:v>
      </x:c>
      <x:c r="C89" s="14" t="str">
        <x:v>2024_IMDb_Cast_Lists_Batch_05(1).xlsx</x:v>
      </x:c>
      <x:c r="D89" s="14" t="str">
        <x:v>The Marlow Murder Club</x:v>
      </x:c>
      <x:c r="E89" s="14" t="n">
        <x:v>81</x:v>
      </x:c>
      <x:c r="F89" s="14" t="str">
        <x:v>The Marlow Murder Club</x:v>
      </x:c>
      <x:c r="G89" s="14" t="str">
        <x:v>tt27950663</x:v>
      </x:c>
      <x:c r="H89" s="14" t="n">
        <x:v>2024</x:v>
      </x:c>
      <x:c r="I89" s="14" t="n">
        <x:v>2025</x:v>
      </x:c>
      <x:c r="J89" s="14" t="str">
        <x:v>Earlier-Production Carry-In Cohort</x:v>
      </x:c>
      <x:c r="K89" s="14" t="n">
        <x:v>2024</x:v>
      </x:c>
      <x:c r="L89" s="14" t="str">
        <x:v>Not inherited</x:v>
      </x:c>
      <x:c r="M89" s="15" t="n">
        <x:v>74</x:v>
      </x:c>
      <x:c r="N89" s="14" t="str">
        <x:v>Tom Stourton</x:v>
      </x:c>
      <x:c r="O89" s="14" t="str">
        <x:v>nm4494491</x:v>
      </x:c>
      <x:c r="P89" s="14" t="str">
        <x:v>Tristram Bailey</x:v>
      </x:c>
      <x:c r="Q89" s="15" t="n">
        <x:v>2</x:v>
      </x:c>
      <x:c r="R89" s="14" t="str">
        <x:v>2025</x:v>
      </x:c>
      <x:c r="S89" s="14" t="n">
        <x:v>2025</x:v>
      </x:c>
      <x:c r="T89" s="14" t="n">
        <x:v>2025</x:v>
      </x:c>
      <x:c r="U89" s="14" t="str">
        <x:v>Explicit source first year retained</x:v>
      </x:c>
      <x:c r="V89" s="14" t="str">
        <x:v>Earliest supplied year is 2025.</x:v>
      </x:c>
      <x:c r="W89" s="14"/>
      <x:c r="X89" s="14" t="str">
        <x:v>Included</x:v>
      </x:c>
      <x:c r="Y89" s="14"/>
      <x:c r="Z89" s="14" t="str">
        <x:v>The Marlow Murder Club.docx</x:v>
      </x:c>
      <x:c r="AA89" s="14" t="str">
        <x:v>HYPERLINK is not implemented. linkLocation=https://www.imdb.com/title/tt27950663/fullcredits/,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Channel 5 / 5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HYPERLINK("https://en.wikipedia.org/wiki/Robert_Thorogood","Open source")</x:f>
        <x:v>HYPERLINK is not implemented. linkLocation=https://en.wikipedia.org/wiki/Robert_Thorogood, friendlyName=Open source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 t="str">
        <x:v>No established-register match</x:v>
      </x:c>
      <x:c r="AT89" s="14"/>
      <x:c r="AU89" s="14"/>
      <x:c r="AV89" s="14" t="str">
        <x:v>No established apparent-disability match</x:v>
      </x:c>
      <x:c r="AW89" s="14"/>
      <x:c r="AX89" s="14" t="str">
        <x:v>No</x:v>
      </x:c>
      <x:c r="AY89" s="14" t="str">
        <x:v>Unmatched</x:v>
      </x:c>
      <x:c r="AZ89" s="14" t="str">
        <x:v>Final supplied register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22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2</x:v>
      </x:c>
      <x:c r="BS89" s="16" t="n">
        <x:v>0.09090909090909091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HYPERLINK is not implemented. linkLocation=https://www.imdb.com/title/tt27950663/fullcredits/,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tt27950663|nm5913306|jed hawkins</x:v>
      </x:c>
      <x:c r="B90" s="14" t="str">
        <x:v>05</x:v>
      </x:c>
      <x:c r="C90" s="14" t="str">
        <x:v>2024_IMDb_Cast_Lists_Batch_05(1).xlsx</x:v>
      </x:c>
      <x:c r="D90" s="14" t="str">
        <x:v>The Marlow Murder Club</x:v>
      </x:c>
      <x:c r="E90" s="14" t="n">
        <x:v>82</x:v>
      </x:c>
      <x:c r="F90" s="14" t="str">
        <x:v>The Marlow Murder Club</x:v>
      </x:c>
      <x:c r="G90" s="14" t="str">
        <x:v>tt27950663</x:v>
      </x:c>
      <x:c r="H90" s="14" t="n">
        <x:v>2024</x:v>
      </x:c>
      <x:c r="I90" s="14" t="n">
        <x:v>2025</x:v>
      </x:c>
      <x:c r="J90" s="14" t="str">
        <x:v>Earlier-Production Carry-In Cohort</x:v>
      </x:c>
      <x:c r="K90" s="14" t="n">
        <x:v>2024</x:v>
      </x:c>
      <x:c r="L90" s="14" t="str">
        <x:v>Not inherited</x:v>
      </x:c>
      <x:c r="M90" s="15" t="n">
        <x:v>75</x:v>
      </x:c>
      <x:c r="N90" s="14" t="str">
        <x:v>Mark Quartley</x:v>
      </x:c>
      <x:c r="O90" s="14" t="str">
        <x:v>nm5913306</x:v>
      </x:c>
      <x:c r="P90" s="14" t="str">
        <x:v>Jed Hawkins</x:v>
      </x:c>
      <x:c r="Q90" s="15" t="n">
        <x:v>2</x:v>
      </x:c>
      <x:c r="R90" s="14" t="str">
        <x:v>2025</x:v>
      </x:c>
      <x:c r="S90" s="14" t="n">
        <x:v>2025</x:v>
      </x:c>
      <x:c r="T90" s="14" t="n">
        <x:v>2025</x:v>
      </x:c>
      <x:c r="U90" s="14" t="str">
        <x:v>Explicit source first year retained</x:v>
      </x:c>
      <x:c r="V90" s="14" t="str">
        <x:v>Earliest supplied year is 2025.</x:v>
      </x:c>
      <x:c r="W90" s="14"/>
      <x:c r="X90" s="14" t="str">
        <x:v>Included</x:v>
      </x:c>
      <x:c r="Y90" s="14"/>
      <x:c r="Z90" s="14" t="str">
        <x:v>The Marlow Murder Club.docx</x:v>
      </x:c>
      <x:c r="AA90" s="14" t="str">
        <x:v>HYPERLINK is not implemented. linkLocation=https://www.imdb.com/title/tt27950663/fullcredits/,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Channel 5 / 5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HYPERLINK("https://en.wikipedia.org/wiki/Robert_Thorogood","Open source")</x:f>
        <x:v>HYPERLINK is not implemented. linkLocation=https://en.wikipedia.org/wiki/Robert_Thorogood, friendlyName=Open source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 t="str">
        <x:v>No established-register match</x:v>
      </x:c>
      <x:c r="AT90" s="14"/>
      <x:c r="AU90" s="14"/>
      <x:c r="AV90" s="14" t="str">
        <x:v>No established apparent-disability match</x:v>
      </x:c>
      <x:c r="AW90" s="14"/>
      <x:c r="AX90" s="14" t="str">
        <x:v>No</x:v>
      </x:c>
      <x:c r="AY90" s="14" t="str">
        <x:v>Unmatched</x:v>
      </x:c>
      <x:c r="AZ90" s="14" t="str">
        <x:v>Final supplied register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22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2</x:v>
      </x:c>
      <x:c r="BS90" s="16" t="n">
        <x:v>0.09090909090909091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HYPERLINK is not implemented. linkLocation=https://www.imdb.com/title/tt27950663/fullcredits/,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tt27950663|nm0928134|sir peter bailey</x:v>
      </x:c>
      <x:c r="B91" s="14" t="str">
        <x:v>05</x:v>
      </x:c>
      <x:c r="C91" s="14" t="str">
        <x:v>2024_IMDb_Cast_Lists_Batch_05(1).xlsx</x:v>
      </x:c>
      <x:c r="D91" s="14" t="str">
        <x:v>The Marlow Murder Club</x:v>
      </x:c>
      <x:c r="E91" s="14" t="n">
        <x:v>83</x:v>
      </x:c>
      <x:c r="F91" s="14" t="str">
        <x:v>The Marlow Murder Club</x:v>
      </x:c>
      <x:c r="G91" s="14" t="str">
        <x:v>tt27950663</x:v>
      </x:c>
      <x:c r="H91" s="14" t="n">
        <x:v>2024</x:v>
      </x:c>
      <x:c r="I91" s="14" t="n">
        <x:v>2025</x:v>
      </x:c>
      <x:c r="J91" s="14" t="str">
        <x:v>Earlier-Production Carry-In Cohort</x:v>
      </x:c>
      <x:c r="K91" s="14" t="n">
        <x:v>2024</x:v>
      </x:c>
      <x:c r="L91" s="14" t="str">
        <x:v>Not inherited</x:v>
      </x:c>
      <x:c r="M91" s="15" t="n">
        <x:v>76</x:v>
      </x:c>
      <x:c r="N91" s="14" t="str">
        <x:v>James Wilby</x:v>
      </x:c>
      <x:c r="O91" s="14" t="str">
        <x:v>nm0928134</x:v>
      </x:c>
      <x:c r="P91" s="14" t="str">
        <x:v>Sir Peter Bailey</x:v>
      </x:c>
      <x:c r="Q91" s="15" t="n">
        <x:v>2</x:v>
      </x:c>
      <x:c r="R91" s="14" t="str">
        <x:v>2025</x:v>
      </x:c>
      <x:c r="S91" s="14" t="n">
        <x:v>2025</x:v>
      </x:c>
      <x:c r="T91" s="14" t="n">
        <x:v>2025</x:v>
      </x:c>
      <x:c r="U91" s="14" t="str">
        <x:v>Explicit source first year retained</x:v>
      </x:c>
      <x:c r="V91" s="14" t="str">
        <x:v>Earliest supplied year is 2025.</x:v>
      </x:c>
      <x:c r="W91" s="14"/>
      <x:c r="X91" s="14" t="str">
        <x:v>Included</x:v>
      </x:c>
      <x:c r="Y91" s="14"/>
      <x:c r="Z91" s="14" t="str">
        <x:v>The Marlow Murder Club.docx</x:v>
      </x:c>
      <x:c r="AA91" s="14" t="str">
        <x:v>HYPERLINK is not implemented. linkLocation=https://www.imdb.com/title/tt27950663/fullcredits/,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Channel 5 / 5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HYPERLINK("https://en.wikipedia.org/wiki/Robert_Thorogood","Open source")</x:f>
        <x:v>HYPERLINK is not implemented. linkLocation=https://en.wikipedia.org/wiki/Robert_Thorogood, friendlyName=Open source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 t="str">
        <x:v>No established-register match</x:v>
      </x:c>
      <x:c r="AT91" s="14"/>
      <x:c r="AU91" s="14"/>
      <x:c r="AV91" s="14" t="str">
        <x:v>No established apparent-disability match</x:v>
      </x:c>
      <x:c r="AW91" s="14"/>
      <x:c r="AX91" s="14" t="str">
        <x:v>No</x:v>
      </x:c>
      <x:c r="AY91" s="14" t="str">
        <x:v>Unmatched</x:v>
      </x:c>
      <x:c r="AZ91" s="14" t="str">
        <x:v>Final supplied register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22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2</x:v>
      </x:c>
      <x:c r="BS91" s="16" t="n">
        <x:v>0.09090909090909091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HYPERLINK is not implemented. linkLocation=https://www.imdb.com/title/tt27950663/fullcredits/,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tt27950663|nm6054918|des adams</x:v>
      </x:c>
      <x:c r="B92" s="14" t="str">
        <x:v>05</x:v>
      </x:c>
      <x:c r="C92" s="14" t="str">
        <x:v>2024_IMDb_Cast_Lists_Batch_05(1).xlsx</x:v>
      </x:c>
      <x:c r="D92" s="14" t="str">
        <x:v>The Marlow Murder Club</x:v>
      </x:c>
      <x:c r="E92" s="14" t="n">
        <x:v>86</x:v>
      </x:c>
      <x:c r="F92" s="14" t="str">
        <x:v>The Marlow Murder Club</x:v>
      </x:c>
      <x:c r="G92" s="14" t="str">
        <x:v>tt27950663</x:v>
      </x:c>
      <x:c r="H92" s="14" t="n">
        <x:v>2024</x:v>
      </x:c>
      <x:c r="I92" s="14" t="n">
        <x:v>2025</x:v>
      </x:c>
      <x:c r="J92" s="14" t="str">
        <x:v>Earlier-Production Carry-In Cohort</x:v>
      </x:c>
      <x:c r="K92" s="14" t="n">
        <x:v>2024</x:v>
      </x:c>
      <x:c r="L92" s="14" t="str">
        <x:v>Not inherited</x:v>
      </x:c>
      <x:c r="M92" s="15" t="n">
        <x:v>79</x:v>
      </x:c>
      <x:c r="N92" s="14" t="str">
        <x:v>Stephen Agnew</x:v>
      </x:c>
      <x:c r="O92" s="14" t="str">
        <x:v>nm6054918</x:v>
      </x:c>
      <x:c r="P92" s="14" t="str">
        <x:v>Des Adams</x:v>
      </x:c>
      <x:c r="Q92" s="15" t="n">
        <x:v>1</x:v>
      </x:c>
      <x:c r="R92" s="14" t="str">
        <x:v>2025</x:v>
      </x:c>
      <x:c r="S92" s="14" t="n">
        <x:v>2025</x:v>
      </x:c>
      <x:c r="T92" s="14" t="n">
        <x:v>2025</x:v>
      </x:c>
      <x:c r="U92" s="14" t="str">
        <x:v>Explicit source first year retained</x:v>
      </x:c>
      <x:c r="V92" s="14" t="str">
        <x:v>Earliest supplied year is 2025.</x:v>
      </x:c>
      <x:c r="W92" s="14"/>
      <x:c r="X92" s="14" t="str">
        <x:v>Included</x:v>
      </x:c>
      <x:c r="Y92" s="14"/>
      <x:c r="Z92" s="14" t="str">
        <x:v>The Marlow Murder Club.docx</x:v>
      </x:c>
      <x:c r="AA92" s="14" t="str">
        <x:v>HYPERLINK is not implemented. linkLocation=https://www.imdb.com/title/tt27950663/fullcredits/,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Channel 5 / 5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HYPERLINK("https://en.wikipedia.org/wiki/Robert_Thorogood","Open source")</x:f>
        <x:v>HYPERLINK is not implemented. linkLocation=https://en.wikipedia.org/wiki/Robert_Thorogood, friendlyName=Open source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 t="str">
        <x:v>No established-register match</x:v>
      </x:c>
      <x:c r="AT92" s="14"/>
      <x:c r="AU92" s="14"/>
      <x:c r="AV92" s="14" t="str">
        <x:v>No established apparent-disability match</x:v>
      </x:c>
      <x:c r="AW92" s="14"/>
      <x:c r="AX92" s="14" t="str">
        <x:v>No</x:v>
      </x:c>
      <x:c r="AY92" s="14" t="str">
        <x:v>Unmatched</x:v>
      </x:c>
      <x:c r="AZ92" s="14" t="str">
        <x:v>Final supplied register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22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0.045454545454545456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HYPERLINK is not implemented. linkLocation=https://www.imdb.com/title/tt27950663/fullcredits/,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tt27950663|nm7905717|evie wingrove</x:v>
      </x:c>
      <x:c r="B93" s="14" t="str">
        <x:v>05</x:v>
      </x:c>
      <x:c r="C93" s="14" t="str">
        <x:v>2024_IMDb_Cast_Lists_Batch_05(1).xlsx</x:v>
      </x:c>
      <x:c r="D93" s="14" t="str">
        <x:v>The Marlow Murder Club</x:v>
      </x:c>
      <x:c r="E93" s="14" t="n">
        <x:v>87</x:v>
      </x:c>
      <x:c r="F93" s="14" t="str">
        <x:v>The Marlow Murder Club</x:v>
      </x:c>
      <x:c r="G93" s="14" t="str">
        <x:v>tt27950663</x:v>
      </x:c>
      <x:c r="H93" s="14" t="n">
        <x:v>2024</x:v>
      </x:c>
      <x:c r="I93" s="14" t="n">
        <x:v>2025</x:v>
      </x:c>
      <x:c r="J93" s="14" t="str">
        <x:v>Earlier-Production Carry-In Cohort</x:v>
      </x:c>
      <x:c r="K93" s="14" t="n">
        <x:v>2024</x:v>
      </x:c>
      <x:c r="L93" s="14" t="str">
        <x:v>Not inherited</x:v>
      </x:c>
      <x:c r="M93" s="15" t="n">
        <x:v>80</x:v>
      </x:c>
      <x:c r="N93" s="14" t="str">
        <x:v>Koko Basigara</x:v>
      </x:c>
      <x:c r="O93" s="14" t="str">
        <x:v>nm7905717</x:v>
      </x:c>
      <x:c r="P93" s="14" t="str">
        <x:v>Evie Wingrove</x:v>
      </x:c>
      <x:c r="Q93" s="15" t="n">
        <x:v>1</x:v>
      </x:c>
      <x:c r="R93" s="14" t="str">
        <x:v>2025</x:v>
      </x:c>
      <x:c r="S93" s="14" t="n">
        <x:v>2025</x:v>
      </x:c>
      <x:c r="T93" s="14" t="n">
        <x:v>2025</x:v>
      </x:c>
      <x:c r="U93" s="14" t="str">
        <x:v>Explicit source first year retained</x:v>
      </x:c>
      <x:c r="V93" s="14" t="str">
        <x:v>Earliest supplied year is 2025.</x:v>
      </x:c>
      <x:c r="W93" s="14"/>
      <x:c r="X93" s="14" t="str">
        <x:v>Included</x:v>
      </x:c>
      <x:c r="Y93" s="14"/>
      <x:c r="Z93" s="14" t="str">
        <x:v>The Marlow Murder Club.docx</x:v>
      </x:c>
      <x:c r="AA93" s="14" t="str">
        <x:v>HYPERLINK is not implemented. linkLocation=https://www.imdb.com/title/tt27950663/fullcredits/,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Channel 5 / 5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HYPERLINK("https://en.wikipedia.org/wiki/Robert_Thorogood","Open source")</x:f>
        <x:v>HYPERLINK is not implemented. linkLocation=https://en.wikipedia.org/wiki/Robert_Thorogood, friendlyName=Open source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 t="str">
        <x:v>No established-register match</x:v>
      </x:c>
      <x:c r="AT93" s="14"/>
      <x:c r="AU93" s="14"/>
      <x:c r="AV93" s="14" t="str">
        <x:v>No established apparent-disability match</x:v>
      </x:c>
      <x:c r="AW93" s="14"/>
      <x:c r="AX93" s="14" t="str">
        <x:v>No</x:v>
      </x:c>
      <x:c r="AY93" s="14" t="str">
        <x:v>Unmatched</x:v>
      </x:c>
      <x:c r="AZ93" s="14" t="str">
        <x:v>Final supplied register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22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0.045454545454545456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HYPERLINK is not implemented. linkLocation=https://www.imdb.com/title/tt27950663/fullcredits/,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tt27950663|nm10428296|seb teller</x:v>
      </x:c>
      <x:c r="B94" s="14" t="str">
        <x:v>05</x:v>
      </x:c>
      <x:c r="C94" s="14" t="str">
        <x:v>2024_IMDb_Cast_Lists_Batch_05(1).xlsx</x:v>
      </x:c>
      <x:c r="D94" s="14" t="str">
        <x:v>The Marlow Murder Club</x:v>
      </x:c>
      <x:c r="E94" s="14" t="n">
        <x:v>89</x:v>
      </x:c>
      <x:c r="F94" s="14" t="str">
        <x:v>The Marlow Murder Club</x:v>
      </x:c>
      <x:c r="G94" s="14" t="str">
        <x:v>tt27950663</x:v>
      </x:c>
      <x:c r="H94" s="14" t="n">
        <x:v>2024</x:v>
      </x:c>
      <x:c r="I94" s="14" t="n">
        <x:v>2025</x:v>
      </x:c>
      <x:c r="J94" s="14" t="str">
        <x:v>Earlier-Production Carry-In Cohort</x:v>
      </x:c>
      <x:c r="K94" s="14" t="n">
        <x:v>2024</x:v>
      </x:c>
      <x:c r="L94" s="14" t="str">
        <x:v>Not inherited</x:v>
      </x:c>
      <x:c r="M94" s="15" t="n">
        <x:v>82</x:v>
      </x:c>
      <x:c r="N94" s="14" t="str">
        <x:v>Doren John Farmer</x:v>
      </x:c>
      <x:c r="O94" s="14" t="str">
        <x:v>nm10428296</x:v>
      </x:c>
      <x:c r="P94" s="14" t="str">
        <x:v>Seb Teller</x:v>
      </x:c>
      <x:c r="Q94" s="15" t="n">
        <x:v>1</x:v>
      </x:c>
      <x:c r="R94" s="14" t="str">
        <x:v>2025</x:v>
      </x:c>
      <x:c r="S94" s="14" t="n">
        <x:v>2025</x:v>
      </x:c>
      <x:c r="T94" s="14" t="n">
        <x:v>2025</x:v>
      </x:c>
      <x:c r="U94" s="14" t="str">
        <x:v>Explicit source first year retained</x:v>
      </x:c>
      <x:c r="V94" s="14" t="str">
        <x:v>Earliest supplied year is 2025.</x:v>
      </x:c>
      <x:c r="W94" s="14"/>
      <x:c r="X94" s="14" t="str">
        <x:v>Included</x:v>
      </x:c>
      <x:c r="Y94" s="14" t="str">
        <x:v>(as Doren Farmer)</x:v>
      </x:c>
      <x:c r="Z94" s="14" t="str">
        <x:v>The Marlow Murder Club.docx</x:v>
      </x:c>
      <x:c r="AA94" s="14" t="str">
        <x:v>HYPERLINK is not implemented. linkLocation=https://www.imdb.com/title/tt27950663/fullcredits/,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Channel 5 / 5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HYPERLINK("https://en.wikipedia.org/wiki/Robert_Thorogood","Open source")</x:f>
        <x:v>HYPERLINK is not implemented. linkLocation=https://en.wikipedia.org/wiki/Robert_Thorogood, friendlyName=Open source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 t="str">
        <x:v>No established-register match</x:v>
      </x:c>
      <x:c r="AT94" s="14"/>
      <x:c r="AU94" s="14"/>
      <x:c r="AV94" s="14" t="str">
        <x:v>No established apparent-disability match</x:v>
      </x:c>
      <x:c r="AW94" s="14"/>
      <x:c r="AX94" s="14" t="str">
        <x:v>No</x:v>
      </x:c>
      <x:c r="AY94" s="14" t="str">
        <x:v>Unmatched</x:v>
      </x:c>
      <x:c r="AZ94" s="14" t="str">
        <x:v>Final supplied register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22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0.045454545454545456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HYPERLINK is not implemented. linkLocation=https://www.imdb.com/title/tt27950663/fullcredits/,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tt27950663|nm0267256|sue whybrow</x:v>
      </x:c>
      <x:c r="B95" s="14" t="str">
        <x:v>05</x:v>
      </x:c>
      <x:c r="C95" s="14" t="str">
        <x:v>2024_IMDb_Cast_Lists_Batch_05(1).xlsx</x:v>
      </x:c>
      <x:c r="D95" s="14" t="str">
        <x:v>The Marlow Murder Club</x:v>
      </x:c>
      <x:c r="E95" s="14" t="n">
        <x:v>92</x:v>
      </x:c>
      <x:c r="F95" s="14" t="str">
        <x:v>The Marlow Murder Club</x:v>
      </x:c>
      <x:c r="G95" s="14" t="str">
        <x:v>tt27950663</x:v>
      </x:c>
      <x:c r="H95" s="14" t="n">
        <x:v>2024</x:v>
      </x:c>
      <x:c r="I95" s="14" t="n">
        <x:v>2025</x:v>
      </x:c>
      <x:c r="J95" s="14" t="str">
        <x:v>Earlier-Production Carry-In Cohort</x:v>
      </x:c>
      <x:c r="K95" s="14" t="n">
        <x:v>2024</x:v>
      </x:c>
      <x:c r="L95" s="14" t="str">
        <x:v>Not inherited</x:v>
      </x:c>
      <x:c r="M95" s="15" t="n">
        <x:v>85</x:v>
      </x:c>
      <x:c r="N95" s="14" t="str">
        <x:v>Souad Faress</x:v>
      </x:c>
      <x:c r="O95" s="14" t="str">
        <x:v>nm0267256</x:v>
      </x:c>
      <x:c r="P95" s="14" t="str">
        <x:v>Sue Whybrow</x:v>
      </x:c>
      <x:c r="Q95" s="15" t="n">
        <x:v>1</x:v>
      </x:c>
      <x:c r="R95" s="14" t="str">
        <x:v>2025</x:v>
      </x:c>
      <x:c r="S95" s="14" t="n">
        <x:v>2025</x:v>
      </x:c>
      <x:c r="T95" s="14" t="n">
        <x:v>2025</x:v>
      </x:c>
      <x:c r="U95" s="14" t="str">
        <x:v>Explicit source first year retained</x:v>
      </x:c>
      <x:c r="V95" s="14" t="str">
        <x:v>Earliest supplied year is 2025.</x:v>
      </x:c>
      <x:c r="W95" s="14"/>
      <x:c r="X95" s="14" t="str">
        <x:v>Included</x:v>
      </x:c>
      <x:c r="Y95" s="14"/>
      <x:c r="Z95" s="14" t="str">
        <x:v>The Marlow Murder Club.docx</x:v>
      </x:c>
      <x:c r="AA95" s="14" t="str">
        <x:v>HYPERLINK is not implemented. linkLocation=https://www.imdb.com/title/tt27950663/fullcredits/,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Channel 5 / 5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HYPERLINK("https://en.wikipedia.org/wiki/Robert_Thorogood","Open source")</x:f>
        <x:v>HYPERLINK is not implemented. linkLocation=https://en.wikipedia.org/wiki/Robert_Thorogood, friendlyName=Open source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 t="str">
        <x:v>No established-register match</x:v>
      </x:c>
      <x:c r="AT95" s="14"/>
      <x:c r="AU95" s="14"/>
      <x:c r="AV95" s="14" t="str">
        <x:v>No established apparent-disability match</x:v>
      </x:c>
      <x:c r="AW95" s="14"/>
      <x:c r="AX95" s="14" t="str">
        <x:v>No</x:v>
      </x:c>
      <x:c r="AY95" s="14" t="str">
        <x:v>Unmatched</x:v>
      </x:c>
      <x:c r="AZ95" s="14" t="str">
        <x:v>Final supplied register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22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0.045454545454545456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HYPERLINK is not implemented. linkLocation=https://www.imdb.com/title/tt27950663/fullcredits/,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tt27950663|nm0120550|william locke</x:v>
      </x:c>
      <x:c r="B96" s="14" t="str">
        <x:v>05</x:v>
      </x:c>
      <x:c r="C96" s="14" t="str">
        <x:v>2024_IMDb_Cast_Lists_Batch_05(1).xlsx</x:v>
      </x:c>
      <x:c r="D96" s="14" t="str">
        <x:v>The Marlow Murder Club</x:v>
      </x:c>
      <x:c r="E96" s="14" t="n">
        <x:v>94</x:v>
      </x:c>
      <x:c r="F96" s="14" t="str">
        <x:v>The Marlow Murder Club</x:v>
      </x:c>
      <x:c r="G96" s="14" t="str">
        <x:v>tt27950663</x:v>
      </x:c>
      <x:c r="H96" s="14" t="n">
        <x:v>2024</x:v>
      </x:c>
      <x:c r="I96" s="14" t="n">
        <x:v>2025</x:v>
      </x:c>
      <x:c r="J96" s="14" t="str">
        <x:v>Earlier-Production Carry-In Cohort</x:v>
      </x:c>
      <x:c r="K96" s="14" t="n">
        <x:v>2024</x:v>
      </x:c>
      <x:c r="L96" s="14" t="str">
        <x:v>Not inherited</x:v>
      </x:c>
      <x:c r="M96" s="15" t="n">
        <x:v>87</x:v>
      </x:c>
      <x:c r="N96" s="14" t="str">
        <x:v>Antony Bunsee</x:v>
      </x:c>
      <x:c r="O96" s="14" t="str">
        <x:v>nm0120550</x:v>
      </x:c>
      <x:c r="P96" s="14" t="str">
        <x:v>William Locke</x:v>
      </x:c>
      <x:c r="Q96" s="15" t="n">
        <x:v>1</x:v>
      </x:c>
      <x:c r="R96" s="14" t="str">
        <x:v>2025</x:v>
      </x:c>
      <x:c r="S96" s="14" t="n">
        <x:v>2025</x:v>
      </x:c>
      <x:c r="T96" s="14" t="n">
        <x:v>2025</x:v>
      </x:c>
      <x:c r="U96" s="14" t="str">
        <x:v>Explicit source first year retained</x:v>
      </x:c>
      <x:c r="V96" s="14" t="str">
        <x:v>Earliest supplied year is 2025.</x:v>
      </x:c>
      <x:c r="W96" s="14"/>
      <x:c r="X96" s="14" t="str">
        <x:v>Included</x:v>
      </x:c>
      <x:c r="Y96" s="14"/>
      <x:c r="Z96" s="14" t="str">
        <x:v>The Marlow Murder Club.docx</x:v>
      </x:c>
      <x:c r="AA96" s="14" t="str">
        <x:v>HYPERLINK is not implemented. linkLocation=https://www.imdb.com/title/tt27950663/fullcredits/,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Channel 5 / 5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HYPERLINK("https://en.wikipedia.org/wiki/Robert_Thorogood","Open source")</x:f>
        <x:v>HYPERLINK is not implemented. linkLocation=https://en.wikipedia.org/wiki/Robert_Thorogood, friendlyName=Open source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 t="str">
        <x:v>No established-register match</x:v>
      </x:c>
      <x:c r="AT96" s="14"/>
      <x:c r="AU96" s="14"/>
      <x:c r="AV96" s="14" t="str">
        <x:v>No established apparent-disability match</x:v>
      </x:c>
      <x:c r="AW96" s="14"/>
      <x:c r="AX96" s="14" t="str">
        <x:v>No</x:v>
      </x:c>
      <x:c r="AY96" s="14" t="str">
        <x:v>Unmatched</x:v>
      </x:c>
      <x:c r="AZ96" s="14" t="str">
        <x:v>Final supplied register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22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0.045454545454545456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HYPERLINK is not implemented. linkLocation=https://www.imdb.com/title/tt27950663/fullcredits/,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tt27950663|nm7863184|imani</x:v>
      </x:c>
      <x:c r="B97" s="14" t="str">
        <x:v>05</x:v>
      </x:c>
      <x:c r="C97" s="14" t="str">
        <x:v>2024_IMDb_Cast_Lists_Batch_05(1).xlsx</x:v>
      </x:c>
      <x:c r="D97" s="14" t="str">
        <x:v>The Marlow Murder Club</x:v>
      </x:c>
      <x:c r="E97" s="14" t="n">
        <x:v>95</x:v>
      </x:c>
      <x:c r="F97" s="14" t="str">
        <x:v>The Marlow Murder Club</x:v>
      </x:c>
      <x:c r="G97" s="14" t="str">
        <x:v>tt27950663</x:v>
      </x:c>
      <x:c r="H97" s="14" t="n">
        <x:v>2024</x:v>
      </x:c>
      <x:c r="I97" s="14" t="n">
        <x:v>2025</x:v>
      </x:c>
      <x:c r="J97" s="14" t="str">
        <x:v>Earlier-Production Carry-In Cohort</x:v>
      </x:c>
      <x:c r="K97" s="14" t="n">
        <x:v>2024</x:v>
      </x:c>
      <x:c r="L97" s="14" t="str">
        <x:v>Not inherited</x:v>
      </x:c>
      <x:c r="M97" s="15" t="n">
        <x:v>88</x:v>
      </x:c>
      <x:c r="N97" s="14" t="str">
        <x:v>Shermin Hassan</x:v>
      </x:c>
      <x:c r="O97" s="14" t="str">
        <x:v>nm7863184</x:v>
      </x:c>
      <x:c r="P97" s="14" t="str">
        <x:v>Imani</x:v>
      </x:c>
      <x:c r="Q97" s="15" t="n">
        <x:v>1</x:v>
      </x:c>
      <x:c r="R97" s="14" t="str">
        <x:v>2025</x:v>
      </x:c>
      <x:c r="S97" s="14" t="n">
        <x:v>2025</x:v>
      </x:c>
      <x:c r="T97" s="14" t="n">
        <x:v>2025</x:v>
      </x:c>
      <x:c r="U97" s="14" t="str">
        <x:v>Explicit source first year retained</x:v>
      </x:c>
      <x:c r="V97" s="14" t="str">
        <x:v>Earliest supplied year is 2025.</x:v>
      </x:c>
      <x:c r="W97" s="14"/>
      <x:c r="X97" s="14" t="str">
        <x:v>Included</x:v>
      </x:c>
      <x:c r="Y97" s="14"/>
      <x:c r="Z97" s="14" t="str">
        <x:v>The Marlow Murder Club.docx</x:v>
      </x:c>
      <x:c r="AA97" s="14" t="str">
        <x:v>HYPERLINK is not implemented. linkLocation=https://www.imdb.com/title/tt27950663/fullcredits/,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Channel 5 / 5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HYPERLINK("https://en.wikipedia.org/wiki/Robert_Thorogood","Open source")</x:f>
        <x:v>HYPERLINK is not implemented. linkLocation=https://en.wikipedia.org/wiki/Robert_Thorogood, friendlyName=Open source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 t="str">
        <x:v>No established-register match</x:v>
      </x:c>
      <x:c r="AT97" s="14"/>
      <x:c r="AU97" s="14"/>
      <x:c r="AV97" s="14" t="str">
        <x:v>No established apparent-disability match</x:v>
      </x:c>
      <x:c r="AW97" s="14"/>
      <x:c r="AX97" s="14" t="str">
        <x:v>No</x:v>
      </x:c>
      <x:c r="AY97" s="14" t="str">
        <x:v>Unmatched</x:v>
      </x:c>
      <x:c r="AZ97" s="14" t="str">
        <x:v>Final supplied register</x:v>
      </x:c>
      <x:c r="BA97" s="14" t="str">
        <x:v>Absence from the register is not evidence that the performer is not disabled.</x:v>
      </x:c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22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0.045454545454545456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4" t="str">
        <x:v>HYPERLINK is not implemented. linkLocation=https://www.imdb.com/title/tt27950663/fullcredits/,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tt27950663|nm11131988|dr. kay stonham</x:v>
      </x:c>
      <x:c r="B98" s="14" t="str">
        <x:v>05</x:v>
      </x:c>
      <x:c r="C98" s="14" t="str">
        <x:v>2024_IMDb_Cast_Lists_Batch_05(1).xlsx</x:v>
      </x:c>
      <x:c r="D98" s="14" t="str">
        <x:v>The Marlow Murder Club</x:v>
      </x:c>
      <x:c r="E98" s="14" t="n">
        <x:v>96</x:v>
      </x:c>
      <x:c r="F98" s="14" t="str">
        <x:v>The Marlow Murder Club</x:v>
      </x:c>
      <x:c r="G98" s="14" t="str">
        <x:v>tt27950663</x:v>
      </x:c>
      <x:c r="H98" s="14" t="n">
        <x:v>2024</x:v>
      </x:c>
      <x:c r="I98" s="14" t="n">
        <x:v>2025</x:v>
      </x:c>
      <x:c r="J98" s="14" t="str">
        <x:v>Earlier-Production Carry-In Cohort</x:v>
      </x:c>
      <x:c r="K98" s="14" t="n">
        <x:v>2024</x:v>
      </x:c>
      <x:c r="L98" s="14" t="str">
        <x:v>Not inherited</x:v>
      </x:c>
      <x:c r="M98" s="15" t="n">
        <x:v>89</x:v>
      </x:c>
      <x:c r="N98" s="14" t="str">
        <x:v>Imogen Reeve-Tucker</x:v>
      </x:c>
      <x:c r="O98" s="14" t="str">
        <x:v>nm11131988</x:v>
      </x:c>
      <x:c r="P98" s="14" t="str">
        <x:v>Dr. Kay Stonham</x:v>
      </x:c>
      <x:c r="Q98" s="15" t="n">
        <x:v>1</x:v>
      </x:c>
      <x:c r="R98" s="14" t="str">
        <x:v>2025</x:v>
      </x:c>
      <x:c r="S98" s="14" t="n">
        <x:v>2025</x:v>
      </x:c>
      <x:c r="T98" s="14" t="n">
        <x:v>2025</x:v>
      </x:c>
      <x:c r="U98" s="14" t="str">
        <x:v>Explicit source first year retained</x:v>
      </x:c>
      <x:c r="V98" s="14" t="str">
        <x:v>Earliest supplied year is 2025.</x:v>
      </x:c>
      <x:c r="W98" s="14"/>
      <x:c r="X98" s="14" t="str">
        <x:v>Included</x:v>
      </x:c>
      <x:c r="Y98" s="14"/>
      <x:c r="Z98" s="14" t="str">
        <x:v>The Marlow Murder Club.docx</x:v>
      </x:c>
      <x:c r="AA98" s="14" t="str">
        <x:v>HYPERLINK is not implemented. linkLocation=https://www.imdb.com/title/tt27950663/fullcredits/,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Channel 5 / 5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HYPERLINK("https://en.wikipedia.org/wiki/Robert_Thorogood","Open source")</x:f>
        <x:v>HYPERLINK is not implemented. linkLocation=https://en.wikipedia.org/wiki/Robert_Thorogood, friendlyName=Open source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 t="str">
        <x:v>No established-register match</x:v>
      </x:c>
      <x:c r="AT98" s="14"/>
      <x:c r="AU98" s="14"/>
      <x:c r="AV98" s="14" t="str">
        <x:v>No established apparent-disability match</x:v>
      </x:c>
      <x:c r="AW98" s="14"/>
      <x:c r="AX98" s="14" t="str">
        <x:v>No</x:v>
      </x:c>
      <x:c r="AY98" s="14" t="str">
        <x:v>Unmatched</x:v>
      </x:c>
      <x:c r="AZ98" s="14" t="str">
        <x:v>Final supplied register</x:v>
      </x:c>
      <x:c r="BA98" s="14" t="str">
        <x:v>Absence from the register is not evidence that the performer is not disabled.</x:v>
      </x:c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22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0.045454545454545456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4" t="str">
        <x:v>HYPERLINK is not implemented. linkLocation=https://www.imdb.com/title/tt27950663/fullcredits/,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tt27950663|nm0512232|roger whybrow</x:v>
      </x:c>
      <x:c r="B99" s="14" t="str">
        <x:v>05</x:v>
      </x:c>
      <x:c r="C99" s="14" t="str">
        <x:v>2024_IMDb_Cast_Lists_Batch_05(1).xlsx</x:v>
      </x:c>
      <x:c r="D99" s="14" t="str">
        <x:v>The Marlow Murder Club</x:v>
      </x:c>
      <x:c r="E99" s="14" t="n">
        <x:v>98</x:v>
      </x:c>
      <x:c r="F99" s="14" t="str">
        <x:v>The Marlow Murder Club</x:v>
      </x:c>
      <x:c r="G99" s="14" t="str">
        <x:v>tt27950663</x:v>
      </x:c>
      <x:c r="H99" s="14" t="n">
        <x:v>2024</x:v>
      </x:c>
      <x:c r="I99" s="14" t="n">
        <x:v>2025</x:v>
      </x:c>
      <x:c r="J99" s="14" t="str">
        <x:v>Earlier-Production Carry-In Cohort</x:v>
      </x:c>
      <x:c r="K99" s="14" t="n">
        <x:v>2024</x:v>
      </x:c>
      <x:c r="L99" s="14" t="str">
        <x:v>Not inherited</x:v>
      </x:c>
      <x:c r="M99" s="15" t="n">
        <x:v>91</x:v>
      </x:c>
      <x:c r="N99" s="14" t="str">
        <x:v>Ian Lindsay</x:v>
      </x:c>
      <x:c r="O99" s="14" t="str">
        <x:v>nm0512232</x:v>
      </x:c>
      <x:c r="P99" s="14" t="str">
        <x:v>Roger Whybrow</x:v>
      </x:c>
      <x:c r="Q99" s="15" t="n">
        <x:v>1</x:v>
      </x:c>
      <x:c r="R99" s="14" t="str">
        <x:v>2025</x:v>
      </x:c>
      <x:c r="S99" s="14" t="n">
        <x:v>2025</x:v>
      </x:c>
      <x:c r="T99" s="14" t="n">
        <x:v>2025</x:v>
      </x:c>
      <x:c r="U99" s="14" t="str">
        <x:v>Explicit source first year retained</x:v>
      </x:c>
      <x:c r="V99" s="14" t="str">
        <x:v>Earliest supplied year is 2025.</x:v>
      </x:c>
      <x:c r="W99" s="14"/>
      <x:c r="X99" s="14" t="str">
        <x:v>Included</x:v>
      </x:c>
      <x:c r="Y99" s="14"/>
      <x:c r="Z99" s="14" t="str">
        <x:v>The Marlow Murder Club.docx</x:v>
      </x:c>
      <x:c r="AA99" s="14" t="str">
        <x:v>HYPERLINK is not implemented. linkLocation=https://www.imdb.com/title/tt27950663/fullcredits/,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Channel 5 / 5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HYPERLINK("https://en.wikipedia.org/wiki/Robert_Thorogood","Open source")</x:f>
        <x:v>HYPERLINK is not implemented. linkLocation=https://en.wikipedia.org/wiki/Robert_Thorogood, friendlyName=Open source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 t="str">
        <x:v>No established-register match</x:v>
      </x:c>
      <x:c r="AT99" s="14"/>
      <x:c r="AU99" s="14"/>
      <x:c r="AV99" s="14" t="str">
        <x:v>No established apparent-disability match</x:v>
      </x:c>
      <x:c r="AW99" s="14"/>
      <x:c r="AX99" s="14" t="str">
        <x:v>No</x:v>
      </x:c>
      <x:c r="AY99" s="14" t="str">
        <x:v>Unmatched</x:v>
      </x:c>
      <x:c r="AZ99" s="14" t="str">
        <x:v>Final supplied register</x:v>
      </x:c>
      <x:c r="BA99" s="14" t="str">
        <x:v>Absence from the register is not evidence that the performer is not disabled.</x:v>
      </x:c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22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0.045454545454545456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4" t="str">
        <x:v>HYPERLINK is not implemented. linkLocation=https://www.imdb.com/title/tt27950663/fullcredits/,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tt27950663|nm0691928|andrew husselbee</x:v>
      </x:c>
      <x:c r="B100" s="14" t="str">
        <x:v>05</x:v>
      </x:c>
      <x:c r="C100" s="14" t="str">
        <x:v>2024_IMDb_Cast_Lists_Batch_05(1).xlsx</x:v>
      </x:c>
      <x:c r="D100" s="14" t="str">
        <x:v>The Marlow Murder Club</x:v>
      </x:c>
      <x:c r="E100" s="14" t="n">
        <x:v>100</x:v>
      </x:c>
      <x:c r="F100" s="14" t="str">
        <x:v>The Marlow Murder Club</x:v>
      </x:c>
      <x:c r="G100" s="14" t="str">
        <x:v>tt27950663</x:v>
      </x:c>
      <x:c r="H100" s="14" t="n">
        <x:v>2024</x:v>
      </x:c>
      <x:c r="I100" s="14" t="n">
        <x:v>2025</x:v>
      </x:c>
      <x:c r="J100" s="14" t="str">
        <x:v>Earlier-Production Carry-In Cohort</x:v>
      </x:c>
      <x:c r="K100" s="14" t="n">
        <x:v>2024</x:v>
      </x:c>
      <x:c r="L100" s="14" t="str">
        <x:v>Not inherited</x:v>
      </x:c>
      <x:c r="M100" s="15" t="n">
        <x:v>93</x:v>
      </x:c>
      <x:c r="N100" s="14" t="str">
        <x:v>Robert Portal</x:v>
      </x:c>
      <x:c r="O100" s="14" t="str">
        <x:v>nm0691928</x:v>
      </x:c>
      <x:c r="P100" s="14" t="str">
        <x:v>Andrew Husselbee</x:v>
      </x:c>
      <x:c r="Q100" s="15" t="n">
        <x:v>1</x:v>
      </x:c>
      <x:c r="R100" s="14" t="str">
        <x:v>2025</x:v>
      </x:c>
      <x:c r="S100" s="14" t="n">
        <x:v>2025</x:v>
      </x:c>
      <x:c r="T100" s="14" t="n">
        <x:v>2025</x:v>
      </x:c>
      <x:c r="U100" s="14" t="str">
        <x:v>Explicit source first year retained</x:v>
      </x:c>
      <x:c r="V100" s="14" t="str">
        <x:v>Earliest supplied year is 2025.</x:v>
      </x:c>
      <x:c r="W100" s="14"/>
      <x:c r="X100" s="14" t="str">
        <x:v>Included</x:v>
      </x:c>
      <x:c r="Y100" s="14"/>
      <x:c r="Z100" s="14" t="str">
        <x:v>The Marlow Murder Club.docx</x:v>
      </x:c>
      <x:c r="AA100" s="14" t="str">
        <x:v>HYPERLINK is not implemented. linkLocation=https://www.imdb.com/title/tt27950663/fullcredits/,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Channel 5 / 5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HYPERLINK("https://en.wikipedia.org/wiki/Robert_Thorogood","Open source")</x:f>
        <x:v>HYPERLINK is not implemented. linkLocation=https://en.wikipedia.org/wiki/Robert_Thorogood, friendlyName=Open source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 t="str">
        <x:v>No established-register match</x:v>
      </x:c>
      <x:c r="AT100" s="14"/>
      <x:c r="AU100" s="14"/>
      <x:c r="AV100" s="14" t="str">
        <x:v>No established apparent-disability match</x:v>
      </x:c>
      <x:c r="AW100" s="14"/>
      <x:c r="AX100" s="14" t="str">
        <x:v>No</x:v>
      </x:c>
      <x:c r="AY100" s="14" t="str">
        <x:v>Unmatched</x:v>
      </x:c>
      <x:c r="AZ100" s="14" t="str">
        <x:v>Final supplied register</x:v>
      </x:c>
      <x:c r="BA100" s="14" t="str">
        <x:v>Absence from the register is not evidence that the performer is not disabled.</x:v>
      </x:c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22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0.045454545454545456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4" t="str">
        <x:v>HYPERLINK is not implemented. linkLocation=https://www.imdb.com/title/tt27950663/fullcredits/,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tt27950663|nm14607225|kevin twyler</x:v>
      </x:c>
      <x:c r="B101" s="14" t="str">
        <x:v>05</x:v>
      </x:c>
      <x:c r="C101" s="14" t="str">
        <x:v>2024_IMDb_Cast_Lists_Batch_05(1).xlsx</x:v>
      </x:c>
      <x:c r="D101" s="14" t="str">
        <x:v>The Marlow Murder Club</x:v>
      </x:c>
      <x:c r="E101" s="14" t="n">
        <x:v>101</x:v>
      </x:c>
      <x:c r="F101" s="14" t="str">
        <x:v>The Marlow Murder Club</x:v>
      </x:c>
      <x:c r="G101" s="14" t="str">
        <x:v>tt27950663</x:v>
      </x:c>
      <x:c r="H101" s="14" t="n">
        <x:v>2024</x:v>
      </x:c>
      <x:c r="I101" s="14" t="n">
        <x:v>2025</x:v>
      </x:c>
      <x:c r="J101" s="14" t="str">
        <x:v>Earlier-Production Carry-In Cohort</x:v>
      </x:c>
      <x:c r="K101" s="14" t="n">
        <x:v>2024</x:v>
      </x:c>
      <x:c r="L101" s="14" t="str">
        <x:v>Not inherited</x:v>
      </x:c>
      <x:c r="M101" s="15" t="n">
        <x:v>94</x:v>
      </x:c>
      <x:c r="N101" s="14" t="str">
        <x:v>Surya Kempadoo-Millar</x:v>
      </x:c>
      <x:c r="O101" s="14" t="str">
        <x:v>nm14607225</x:v>
      </x:c>
      <x:c r="P101" s="14" t="str">
        <x:v>Kevin Twyler</x:v>
      </x:c>
      <x:c r="Q101" s="15" t="n">
        <x:v>1</x:v>
      </x:c>
      <x:c r="R101" s="14" t="str">
        <x:v>2025</x:v>
      </x:c>
      <x:c r="S101" s="14" t="n">
        <x:v>2025</x:v>
      </x:c>
      <x:c r="T101" s="14" t="n">
        <x:v>2025</x:v>
      </x:c>
      <x:c r="U101" s="14" t="str">
        <x:v>Explicit source first year retained</x:v>
      </x:c>
      <x:c r="V101" s="14" t="str">
        <x:v>Earliest supplied year is 2025.</x:v>
      </x:c>
      <x:c r="W101" s="14"/>
      <x:c r="X101" s="14" t="str">
        <x:v>Included</x:v>
      </x:c>
      <x:c r="Y101" s="14"/>
      <x:c r="Z101" s="14" t="str">
        <x:v>The Marlow Murder Club.docx</x:v>
      </x:c>
      <x:c r="AA101" s="14" t="str">
        <x:v>HYPERLINK is not implemented. linkLocation=https://www.imdb.com/title/tt27950663/fullcredits/,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Channel 5 / 5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HYPERLINK("https://en.wikipedia.org/wiki/Robert_Thorogood","Open source")</x:f>
        <x:v>HYPERLINK is not implemented. linkLocation=https://en.wikipedia.org/wiki/Robert_Thorogood, friendlyName=Open source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 t="str">
        <x:v>No established-register match</x:v>
      </x:c>
      <x:c r="AT101" s="14"/>
      <x:c r="AU101" s="14"/>
      <x:c r="AV101" s="14" t="str">
        <x:v>No established apparent-disability match</x:v>
      </x:c>
      <x:c r="AW101" s="14"/>
      <x:c r="AX101" s="14" t="str">
        <x:v>No</x:v>
      </x:c>
      <x:c r="AY101" s="14" t="str">
        <x:v>Unmatched</x:v>
      </x:c>
      <x:c r="AZ101" s="14" t="str">
        <x:v>Final supplied register</x:v>
      </x:c>
      <x:c r="BA101" s="14" t="str">
        <x:v>Absence from the register is not evidence that the performer is not disabled.</x:v>
      </x:c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22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0.045454545454545456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4" t="str">
        <x:v>HYPERLINK is not implemented. linkLocation=https://www.imdb.com/title/tt27950663/fullcredits/,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tt27950663|nm7150152|dc jess nichols</x:v>
      </x:c>
      <x:c r="B102" s="14" t="str">
        <x:v>05</x:v>
      </x:c>
      <x:c r="C102" s="14" t="str">
        <x:v>2024_IMDb_Cast_Lists_Batch_05(1).xlsx</x:v>
      </x:c>
      <x:c r="D102" s="14" t="str">
        <x:v>The Marlow Murder Club</x:v>
      </x:c>
      <x:c r="E102" s="14" t="n">
        <x:v>103</x:v>
      </x:c>
      <x:c r="F102" s="14" t="str">
        <x:v>The Marlow Murder Club</x:v>
      </x:c>
      <x:c r="G102" s="14" t="str">
        <x:v>tt27950663</x:v>
      </x:c>
      <x:c r="H102" s="14" t="n">
        <x:v>2024</x:v>
      </x:c>
      <x:c r="I102" s="14" t="n">
        <x:v>2025</x:v>
      </x:c>
      <x:c r="J102" s="14" t="str">
        <x:v>Earlier-Production Carry-In Cohort</x:v>
      </x:c>
      <x:c r="K102" s="14" t="n">
        <x:v>2024</x:v>
      </x:c>
      <x:c r="L102" s="14" t="str">
        <x:v>Not inherited</x:v>
      </x:c>
      <x:c r="M102" s="15" t="n">
        <x:v>96</x:v>
      </x:c>
      <x:c r="N102" s="14" t="str">
        <x:v>Abbie Murphy</x:v>
      </x:c>
      <x:c r="O102" s="14" t="str">
        <x:v>nm7150152</x:v>
      </x:c>
      <x:c r="P102" s="14" t="str">
        <x:v>DC Jess Nichols</x:v>
      </x:c>
      <x:c r="Q102" s="15" t="n">
        <x:v>1</x:v>
      </x:c>
      <x:c r="R102" s="14" t="str">
        <x:v>2025</x:v>
      </x:c>
      <x:c r="S102" s="14" t="n">
        <x:v>2025</x:v>
      </x:c>
      <x:c r="T102" s="14" t="n">
        <x:v>2025</x:v>
      </x:c>
      <x:c r="U102" s="14" t="str">
        <x:v>Explicit source first year retained</x:v>
      </x:c>
      <x:c r="V102" s="14" t="str">
        <x:v>Earliest supplied year is 2025.</x:v>
      </x:c>
      <x:c r="W102" s="14"/>
      <x:c r="X102" s="14" t="str">
        <x:v>Included</x:v>
      </x:c>
      <x:c r="Y102" s="14"/>
      <x:c r="Z102" s="14" t="str">
        <x:v>The Marlow Murder Club.docx</x:v>
      </x:c>
      <x:c r="AA102" s="14" t="str">
        <x:v>HYPERLINK is not implemented. linkLocation=https://www.imdb.com/title/tt27950663/fullcredits/,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Channel 5 / 5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HYPERLINK("https://en.wikipedia.org/wiki/Robert_Thorogood","Open source")</x:f>
        <x:v>HYPERLINK is not implemented. linkLocation=https://en.wikipedia.org/wiki/Robert_Thorogood, friendlyName=Open source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 t="str">
        <x:v>No established-register match</x:v>
      </x:c>
      <x:c r="AT102" s="14"/>
      <x:c r="AU102" s="14"/>
      <x:c r="AV102" s="14" t="str">
        <x:v>No established apparent-disability match</x:v>
      </x:c>
      <x:c r="AW102" s="14"/>
      <x:c r="AX102" s="14" t="str">
        <x:v>No</x:v>
      </x:c>
      <x:c r="AY102" s="14" t="str">
        <x:v>Unmatched</x:v>
      </x:c>
      <x:c r="AZ102" s="14" t="str">
        <x:v>Final supplied register</x:v>
      </x:c>
      <x:c r="BA102" s="14" t="str">
        <x:v>Absence from the register is not evidence that the performer is not disabled.</x:v>
      </x:c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22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0.045454545454545456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4" t="str">
        <x:v>HYPERLINK is not implemented. linkLocation=https://www.imdb.com/title/tt27950663/fullcredits/,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tt29427309|nm3438370|ruth</x:v>
      </x:c>
      <x:c r="B103" s="14" t="str">
        <x:v>06</x:v>
      </x:c>
      <x:c r="C103" s="14" t="str">
        <x:v>2024_IMDb_Cast_Lists_Batch_06(1).xlsx</x:v>
      </x:c>
      <x:c r="D103" s="14" t="str">
        <x:v>Things You Should Have Done</x:v>
      </x:c>
      <x:c r="E103" s="14" t="n">
        <x:v>15</x:v>
      </x:c>
      <x:c r="F103" s="14" t="str">
        <x:v>Things You Should Have Done</x:v>
      </x:c>
      <x:c r="G103" s="14" t="str">
        <x:v>tt29427309</x:v>
      </x:c>
      <x:c r="H103" s="14" t="n">
        <x:v>2024</x:v>
      </x:c>
      <x:c r="I103" s="14" t="n">
        <x:v>2025</x:v>
      </x:c>
      <x:c r="J103" s="14" t="str">
        <x:v>Earlier-Production Carry-In Cohort</x:v>
      </x:c>
      <x:c r="K103" s="14" t="n">
        <x:v>2024</x:v>
      </x:c>
      <x:c r="L103" s="14" t="str">
        <x:v>Not inherited</x:v>
      </x:c>
      <x:c r="M103" s="15" t="n">
        <x:v>8</x:v>
      </x:c>
      <x:c r="N103" s="14" t="str">
        <x:v>Bridget Christie</x:v>
      </x:c>
      <x:c r="O103" s="14" t="str">
        <x:v>nm3438370</x:v>
      </x:c>
      <x:c r="P103" s="14" t="str">
        <x:v>Ruth</x:v>
      </x:c>
      <x:c r="Q103" s="15" t="n">
        <x:v>6</x:v>
      </x:c>
      <x:c r="R103" s="14" t="str">
        <x:v>2025–2026</x:v>
      </x:c>
      <x:c r="S103" s="14" t="n">
        <x:v>2025</x:v>
      </x:c>
      <x:c r="T103" s="14" t="n">
        <x:v>2025</x:v>
      </x:c>
      <x:c r="U103" s="14" t="str">
        <x:v>Explicit source first year retained</x:v>
      </x:c>
      <x:c r="V103" s="14" t="str">
        <x:v>Earliest supplied year is 2025.</x:v>
      </x:c>
      <x:c r="W103" s="14"/>
      <x:c r="X103" s="14" t="str">
        <x:v>Included</x:v>
      </x:c>
      <x:c r="Y103" s="14"/>
      <x:c r="Z103" s="14" t="str">
        <x:v>Things You Should Have Done.docx</x:v>
      </x:c>
      <x:c r="AA103" s="14" t="str">
        <x:v>HYPERLINK is not implemented. linkLocation=https://www.imdb.com/title/tt29427309/fullcredits/,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 t="str">
        <x:v>No established-register match</x:v>
      </x:c>
      <x:c r="AT103" s="14"/>
      <x:c r="AU103" s="14"/>
      <x:c r="AV103" s="14" t="str">
        <x:v>No established apparent-disability match</x:v>
      </x:c>
      <x:c r="AW103" s="14"/>
      <x:c r="AX103" s="14" t="str">
        <x:v>No</x:v>
      </x:c>
      <x:c r="AY103" s="14" t="str">
        <x:v>Unmatched</x:v>
      </x:c>
      <x:c r="AZ103" s="14" t="str">
        <x:v>Final supplied register</x:v>
      </x:c>
      <x:c r="BA103" s="14" t="str">
        <x:v>Absence from the register is not evidence that the performer is not disabled.</x:v>
      </x:c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12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6</x:v>
      </x:c>
      <x:c r="BS103" s="16" t="n">
        <x:v>0.5</x:v>
      </x:c>
      <x:c r="BT103" s="14" t="str">
        <x:v>Minority of episodes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4" t="str">
        <x:v>HYPERLINK is not implemented. linkLocation=https://www.imdb.com/title/tt29427309/fullcredits/,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tt29427309|nm2668439|shelley</x:v>
      </x:c>
      <x:c r="B104" s="14" t="str">
        <x:v>06</x:v>
      </x:c>
      <x:c r="C104" s="14" t="str">
        <x:v>2024_IMDb_Cast_Lists_Batch_06(1).xlsx</x:v>
      </x:c>
      <x:c r="D104" s="14" t="str">
        <x:v>Things You Should Have Done</x:v>
      </x:c>
      <x:c r="E104" s="14" t="n">
        <x:v>17</x:v>
      </x:c>
      <x:c r="F104" s="14" t="str">
        <x:v>Things You Should Have Done</x:v>
      </x:c>
      <x:c r="G104" s="14" t="str">
        <x:v>tt29427309</x:v>
      </x:c>
      <x:c r="H104" s="14" t="n">
        <x:v>2024</x:v>
      </x:c>
      <x:c r="I104" s="14" t="n">
        <x:v>2025</x:v>
      </x:c>
      <x:c r="J104" s="14" t="str">
        <x:v>Earlier-Production Carry-In Cohort</x:v>
      </x:c>
      <x:c r="K104" s="14" t="n">
        <x:v>2024</x:v>
      </x:c>
      <x:c r="L104" s="14" t="str">
        <x:v>Not inherited</x:v>
      </x:c>
      <x:c r="M104" s="15" t="n">
        <x:v>10</x:v>
      </x:c>
      <x:c r="N104" s="14" t="str">
        <x:v>Annie Aldington</x:v>
      </x:c>
      <x:c r="O104" s="14" t="str">
        <x:v>nm2668439</x:v>
      </x:c>
      <x:c r="P104" s="14" t="str">
        <x:v>Shelley</x:v>
      </x:c>
      <x:c r="Q104" s="15" t="n">
        <x:v>5</x:v>
      </x:c>
      <x:c r="R104" s="14" t="str">
        <x:v>2025</x:v>
      </x:c>
      <x:c r="S104" s="14" t="n">
        <x:v>2025</x:v>
      </x:c>
      <x:c r="T104" s="14" t="n">
        <x:v>2025</x:v>
      </x:c>
      <x:c r="U104" s="14" t="str">
        <x:v>Explicit source first year retained</x:v>
      </x:c>
      <x:c r="V104" s="14" t="str">
        <x:v>Earliest supplied year is 2025.</x:v>
      </x:c>
      <x:c r="W104" s="14"/>
      <x:c r="X104" s="14" t="str">
        <x:v>Included</x:v>
      </x:c>
      <x:c r="Y104" s="14"/>
      <x:c r="Z104" s="14" t="str">
        <x:v>Things You Should Have Done.docx</x:v>
      </x:c>
      <x:c r="AA104" s="14" t="str">
        <x:v>HYPERLINK is not implemented. linkLocation=https://www.imdb.com/title/tt29427309/fullcredits/,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 t="str">
        <x:v>No established-register match</x:v>
      </x:c>
      <x:c r="AT104" s="14"/>
      <x:c r="AU104" s="14"/>
      <x:c r="AV104" s="14" t="str">
        <x:v>No established apparent-disability match</x:v>
      </x:c>
      <x:c r="AW104" s="14"/>
      <x:c r="AX104" s="14" t="str">
        <x:v>No</x:v>
      </x:c>
      <x:c r="AY104" s="14" t="str">
        <x:v>Unmatched</x:v>
      </x:c>
      <x:c r="AZ104" s="14" t="str">
        <x:v>Final supplied register</x:v>
      </x:c>
      <x:c r="BA104" s="14" t="str">
        <x:v>Absence from the register is not evidence that the performer is not disabled.</x:v>
      </x:c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12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5</x:v>
      </x:c>
      <x:c r="BS104" s="16" t="n">
        <x:v>0.4166666666666667</x:v>
      </x:c>
      <x:c r="BT104" s="14" t="str">
        <x:v>Minority of episodes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4" t="str">
        <x:v>HYPERLINK is not implemented. linkLocation=https://www.imdb.com/title/tt29427309/fullcredits/,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tt29427309|nm6711206|stuart the bingo caller</x:v>
      </x:c>
      <x:c r="B105" s="14" t="str">
        <x:v>06</x:v>
      </x:c>
      <x:c r="C105" s="14" t="str">
        <x:v>2024_IMDb_Cast_Lists_Batch_06(1).xlsx</x:v>
      </x:c>
      <x:c r="D105" s="14" t="str">
        <x:v>Things You Should Have Done</x:v>
      </x:c>
      <x:c r="E105" s="14" t="n">
        <x:v>18</x:v>
      </x:c>
      <x:c r="F105" s="14" t="str">
        <x:v>Things You Should Have Done</x:v>
      </x:c>
      <x:c r="G105" s="14" t="str">
        <x:v>tt29427309</x:v>
      </x:c>
      <x:c r="H105" s="14" t="n">
        <x:v>2024</x:v>
      </x:c>
      <x:c r="I105" s="14" t="n">
        <x:v>2025</x:v>
      </x:c>
      <x:c r="J105" s="14" t="str">
        <x:v>Earlier-Production Carry-In Cohort</x:v>
      </x:c>
      <x:c r="K105" s="14" t="n">
        <x:v>2024</x:v>
      </x:c>
      <x:c r="L105" s="14" t="str">
        <x:v>Not inherited</x:v>
      </x:c>
      <x:c r="M105" s="15" t="n">
        <x:v>11</x:v>
      </x:c>
      <x:c r="N105" s="14" t="str">
        <x:v>Alistair Green</x:v>
      </x:c>
      <x:c r="O105" s="14" t="str">
        <x:v>nm6711206</x:v>
      </x:c>
      <x:c r="P105" s="14" t="str">
        <x:v>Stuart the Bingo Caller</x:v>
      </x:c>
      <x:c r="Q105" s="15" t="n">
        <x:v>5</x:v>
      </x:c>
      <x:c r="R105" s="14" t="str">
        <x:v>2025</x:v>
      </x:c>
      <x:c r="S105" s="14" t="n">
        <x:v>2025</x:v>
      </x:c>
      <x:c r="T105" s="14" t="n">
        <x:v>2025</x:v>
      </x:c>
      <x:c r="U105" s="14" t="str">
        <x:v>Explicit source first year retained</x:v>
      </x:c>
      <x:c r="V105" s="14" t="str">
        <x:v>Earliest supplied year is 2025.</x:v>
      </x:c>
      <x:c r="W105" s="14"/>
      <x:c r="X105" s="14" t="str">
        <x:v>Included</x:v>
      </x:c>
      <x:c r="Y105" s="14"/>
      <x:c r="Z105" s="14" t="str">
        <x:v>Things You Should Have Done.docx</x:v>
      </x:c>
      <x:c r="AA105" s="14" t="str">
        <x:v>HYPERLINK is not implemented. linkLocation=https://www.imdb.com/title/tt29427309/fullcredits/,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 t="str">
        <x:v>No established-register match</x:v>
      </x:c>
      <x:c r="AT105" s="14"/>
      <x:c r="AU105" s="14"/>
      <x:c r="AV105" s="14" t="str">
        <x:v>No established apparent-disability match</x:v>
      </x:c>
      <x:c r="AW105" s="14"/>
      <x:c r="AX105" s="14" t="str">
        <x:v>No</x:v>
      </x:c>
      <x:c r="AY105" s="14" t="str">
        <x:v>Unmatched</x:v>
      </x:c>
      <x:c r="AZ105" s="14" t="str">
        <x:v>Final supplied register</x:v>
      </x:c>
      <x:c r="BA105" s="14" t="str">
        <x:v>Absence from the register is not evidence that the performer is not disabled.</x:v>
      </x:c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12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5</x:v>
      </x:c>
      <x:c r="BS105" s="16" t="n">
        <x:v>0.4166666666666667</x:v>
      </x:c>
      <x:c r="BT105" s="14" t="str">
        <x:v>Minority of episodes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4" t="str">
        <x:v>HYPERLINK is not implemented. linkLocation=https://www.imdb.com/title/tt29427309/fullcredits/,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tt29427309|nm1304592|role not listed</x:v>
      </x:c>
      <x:c r="B106" s="14" t="str">
        <x:v>06</x:v>
      </x:c>
      <x:c r="C106" s="14" t="str">
        <x:v>2024_IMDb_Cast_Lists_Batch_06(1).xlsx</x:v>
      </x:c>
      <x:c r="D106" s="14" t="str">
        <x:v>Things You Should Have Done</x:v>
      </x:c>
      <x:c r="E106" s="14" t="n">
        <x:v>20</x:v>
      </x:c>
      <x:c r="F106" s="14" t="str">
        <x:v>Things You Should Have Done</x:v>
      </x:c>
      <x:c r="G106" s="14" t="str">
        <x:v>tt29427309</x:v>
      </x:c>
      <x:c r="H106" s="14" t="n">
        <x:v>2024</x:v>
      </x:c>
      <x:c r="I106" s="14" t="n">
        <x:v>2025</x:v>
      </x:c>
      <x:c r="J106" s="14" t="str">
        <x:v>Earlier-Production Carry-In Cohort</x:v>
      </x:c>
      <x:c r="K106" s="14" t="n">
        <x:v>2024</x:v>
      </x:c>
      <x:c r="L106" s="14" t="str">
        <x:v>Not inherited</x:v>
      </x:c>
      <x:c r="M106" s="15" t="n">
        <x:v>13</x:v>
      </x:c>
      <x:c r="N106" s="14" t="str">
        <x:v>Maggie Daniels</x:v>
      </x:c>
      <x:c r="O106" s="14" t="str">
        <x:v>nm1304592</x:v>
      </x:c>
      <x:c r="P106" s="14" t="str">
        <x:v>Role not listed</x:v>
      </x:c>
      <x:c r="Q106" s="15" t="n">
        <x:v>4</x:v>
      </x:c>
      <x:c r="R106" s="14" t="str">
        <x:v>2025</x:v>
      </x:c>
      <x:c r="S106" s="14" t="n">
        <x:v>2025</x:v>
      </x:c>
      <x:c r="T106" s="14" t="n">
        <x:v>2025</x:v>
      </x:c>
      <x:c r="U106" s="14" t="str">
        <x:v>Explicit source first year retained</x:v>
      </x:c>
      <x:c r="V106" s="14" t="str">
        <x:v>Earliest supplied year is 2025.</x:v>
      </x:c>
      <x:c r="W106" s="14"/>
      <x:c r="X106" s="14" t="str">
        <x:v>Included</x:v>
      </x:c>
      <x:c r="Y106" s="14"/>
      <x:c r="Z106" s="14" t="str">
        <x:v>Things You Should Have Done.docx</x:v>
      </x:c>
      <x:c r="AA106" s="14" t="str">
        <x:v>HYPERLINK is not implemented. linkLocation=https://www.imdb.com/title/tt29427309/fullcredits/,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 t="str">
        <x:v>No established-register match</x:v>
      </x:c>
      <x:c r="AT106" s="14"/>
      <x:c r="AU106" s="14"/>
      <x:c r="AV106" s="14" t="str">
        <x:v>No established apparent-disability match</x:v>
      </x:c>
      <x:c r="AW106" s="14"/>
      <x:c r="AX106" s="14" t="str">
        <x:v>No</x:v>
      </x:c>
      <x:c r="AY106" s="14" t="str">
        <x:v>Unmatched</x:v>
      </x:c>
      <x:c r="AZ106" s="14" t="str">
        <x:v>Final supplied register</x:v>
      </x:c>
      <x:c r="BA106" s="14" t="str">
        <x:v>Absence from the register is not evidence that the performer is not disabled.</x:v>
      </x:c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12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4</x:v>
      </x:c>
      <x:c r="BS106" s="16" t="n">
        <x:v>0.3333333333333333</x:v>
      </x:c>
      <x:c r="BT106" s="14" t="str">
        <x:v>Minority of episodes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4" t="str">
        <x:v>HYPERLINK is not implemented. linkLocation=https://www.imdb.com/title/tt29427309/fullcredits/,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tt29427309|nm0184588|claudia</x:v>
      </x:c>
      <x:c r="B107" s="14" t="str">
        <x:v>06</x:v>
      </x:c>
      <x:c r="C107" s="14" t="str">
        <x:v>2024_IMDb_Cast_Lists_Batch_06(1).xlsx</x:v>
      </x:c>
      <x:c r="D107" s="14" t="str">
        <x:v>Things You Should Have Done</x:v>
      </x:c>
      <x:c r="E107" s="14" t="n">
        <x:v>24</x:v>
      </x:c>
      <x:c r="F107" s="14" t="str">
        <x:v>Things You Should Have Done</x:v>
      </x:c>
      <x:c r="G107" s="14" t="str">
        <x:v>tt29427309</x:v>
      </x:c>
      <x:c r="H107" s="14" t="n">
        <x:v>2024</x:v>
      </x:c>
      <x:c r="I107" s="14" t="n">
        <x:v>2025</x:v>
      </x:c>
      <x:c r="J107" s="14" t="str">
        <x:v>Earlier-Production Carry-In Cohort</x:v>
      </x:c>
      <x:c r="K107" s="14" t="n">
        <x:v>2024</x:v>
      </x:c>
      <x:c r="L107" s="14" t="str">
        <x:v>Not inherited</x:v>
      </x:c>
      <x:c r="M107" s="15" t="n">
        <x:v>17</x:v>
      </x:c>
      <x:c r="N107" s="14" t="str">
        <x:v>Juliet Cowan</x:v>
      </x:c>
      <x:c r="O107" s="14" t="str">
        <x:v>nm0184588</x:v>
      </x:c>
      <x:c r="P107" s="14" t="str">
        <x:v>Claudia</x:v>
      </x:c>
      <x:c r="Q107" s="15" t="n">
        <x:v>2</x:v>
      </x:c>
      <x:c r="R107" s="14" t="str">
        <x:v>2025</x:v>
      </x:c>
      <x:c r="S107" s="14" t="n">
        <x:v>2025</x:v>
      </x:c>
      <x:c r="T107" s="14" t="n">
        <x:v>2025</x:v>
      </x:c>
      <x:c r="U107" s="14" t="str">
        <x:v>Explicit source first year retained</x:v>
      </x:c>
      <x:c r="V107" s="14" t="str">
        <x:v>Earliest supplied year is 2025.</x:v>
      </x:c>
      <x:c r="W107" s="14"/>
      <x:c r="X107" s="14" t="str">
        <x:v>Included</x:v>
      </x:c>
      <x:c r="Y107" s="14"/>
      <x:c r="Z107" s="14" t="str">
        <x:v>Things You Should Have Done.docx</x:v>
      </x:c>
      <x:c r="AA107" s="14" t="str">
        <x:v>HYPERLINK is not implemented. linkLocation=https://www.imdb.com/title/tt29427309/fullcredits/,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 t="str">
        <x:v>No established-register match</x:v>
      </x:c>
      <x:c r="AT107" s="14"/>
      <x:c r="AU107" s="14"/>
      <x:c r="AV107" s="14" t="str">
        <x:v>No established apparent-disability match</x:v>
      </x:c>
      <x:c r="AW107" s="14"/>
      <x:c r="AX107" s="14" t="str">
        <x:v>No</x:v>
      </x:c>
      <x:c r="AY107" s="14" t="str">
        <x:v>Unmatched</x:v>
      </x:c>
      <x:c r="AZ107" s="14" t="str">
        <x:v>Final supplied register</x:v>
      </x:c>
      <x:c r="BA107" s="14" t="str">
        <x:v>Absence from the register is not evidence that the performer is not disabled.</x:v>
      </x:c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12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2</x:v>
      </x:c>
      <x:c r="BS107" s="16" t="n">
        <x:v>0.16666666666666666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4" t="str">
        <x:v>HYPERLINK is not implemented. linkLocation=https://www.imdb.com/title/tt29427309/fullcredits/,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tt29427309|nm7926702|perry</x:v>
      </x:c>
      <x:c r="B108" s="14" t="str">
        <x:v>06</x:v>
      </x:c>
      <x:c r="C108" s="14" t="str">
        <x:v>2024_IMDb_Cast_Lists_Batch_06(1).xlsx</x:v>
      </x:c>
      <x:c r="D108" s="14" t="str">
        <x:v>Things You Should Have Done</x:v>
      </x:c>
      <x:c r="E108" s="14" t="n">
        <x:v>27</x:v>
      </x:c>
      <x:c r="F108" s="14" t="str">
        <x:v>Things You Should Have Done</x:v>
      </x:c>
      <x:c r="G108" s="14" t="str">
        <x:v>tt29427309</x:v>
      </x:c>
      <x:c r="H108" s="14" t="n">
        <x:v>2024</x:v>
      </x:c>
      <x:c r="I108" s="14" t="n">
        <x:v>2025</x:v>
      </x:c>
      <x:c r="J108" s="14" t="str">
        <x:v>Earlier-Production Carry-In Cohort</x:v>
      </x:c>
      <x:c r="K108" s="14" t="n">
        <x:v>2024</x:v>
      </x:c>
      <x:c r="L108" s="14" t="str">
        <x:v>Not inherited</x:v>
      </x:c>
      <x:c r="M108" s="15" t="n">
        <x:v>20</x:v>
      </x:c>
      <x:c r="N108" s="14" t="str">
        <x:v>Nathan Foad</x:v>
      </x:c>
      <x:c r="O108" s="14" t="str">
        <x:v>nm7926702</x:v>
      </x:c>
      <x:c r="P108" s="14" t="str">
        <x:v>Perry</x:v>
      </x:c>
      <x:c r="Q108" s="15" t="n">
        <x:v>1</x:v>
      </x:c>
      <x:c r="R108" s="14" t="str">
        <x:v>2025</x:v>
      </x:c>
      <x:c r="S108" s="14" t="n">
        <x:v>2025</x:v>
      </x:c>
      <x:c r="T108" s="14" t="n">
        <x:v>2025</x:v>
      </x:c>
      <x:c r="U108" s="14" t="str">
        <x:v>Explicit source first year retained</x:v>
      </x:c>
      <x:c r="V108" s="14" t="str">
        <x:v>Earliest supplied year is 2025.</x:v>
      </x:c>
      <x:c r="W108" s="14"/>
      <x:c r="X108" s="14" t="str">
        <x:v>Included</x:v>
      </x:c>
      <x:c r="Y108" s="14"/>
      <x:c r="Z108" s="14" t="str">
        <x:v>Things You Should Have Done.docx</x:v>
      </x:c>
      <x:c r="AA108" s="14" t="str">
        <x:v>HYPERLINK is not implemented. linkLocation=https://www.imdb.com/title/tt29427309/fullcredits/,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 t="str">
        <x:v>No established-register match</x:v>
      </x:c>
      <x:c r="AT108" s="14"/>
      <x:c r="AU108" s="14"/>
      <x:c r="AV108" s="14" t="str">
        <x:v>No established apparent-disability match</x:v>
      </x:c>
      <x:c r="AW108" s="14"/>
      <x:c r="AX108" s="14" t="str">
        <x:v>No</x:v>
      </x:c>
      <x:c r="AY108" s="14" t="str">
        <x:v>Unmatched</x:v>
      </x:c>
      <x:c r="AZ108" s="14" t="str">
        <x:v>Final supplied register</x:v>
      </x:c>
      <x:c r="BA108" s="14" t="str">
        <x:v>Absence from the register is not evidence that the performer is not disabled.</x:v>
      </x:c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12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0.08333333333333333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4" t="str">
        <x:v>HYPERLINK is not implemented. linkLocation=https://www.imdb.com/title/tt29427309/fullcredits/,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tt29427309|nm1742630|kenneth</x:v>
      </x:c>
      <x:c r="B109" s="14" t="str">
        <x:v>06</x:v>
      </x:c>
      <x:c r="C109" s="14" t="str">
        <x:v>2024_IMDb_Cast_Lists_Batch_06(1).xlsx</x:v>
      </x:c>
      <x:c r="D109" s="14" t="str">
        <x:v>Things You Should Have Done</x:v>
      </x:c>
      <x:c r="E109" s="14" t="n">
        <x:v>28</x:v>
      </x:c>
      <x:c r="F109" s="14" t="str">
        <x:v>Things You Should Have Done</x:v>
      </x:c>
      <x:c r="G109" s="14" t="str">
        <x:v>tt29427309</x:v>
      </x:c>
      <x:c r="H109" s="14" t="n">
        <x:v>2024</x:v>
      </x:c>
      <x:c r="I109" s="14" t="n">
        <x:v>2025</x:v>
      </x:c>
      <x:c r="J109" s="14" t="str">
        <x:v>Earlier-Production Carry-In Cohort</x:v>
      </x:c>
      <x:c r="K109" s="14" t="n">
        <x:v>2024</x:v>
      </x:c>
      <x:c r="L109" s="14" t="str">
        <x:v>Not inherited</x:v>
      </x:c>
      <x:c r="M109" s="15" t="n">
        <x:v>21</x:v>
      </x:c>
      <x:c r="N109" s="14" t="str">
        <x:v>Marc Wootton</x:v>
      </x:c>
      <x:c r="O109" s="14" t="str">
        <x:v>nm1742630</x:v>
      </x:c>
      <x:c r="P109" s="14" t="str">
        <x:v>Kenneth</x:v>
      </x:c>
      <x:c r="Q109" s="15" t="n">
        <x:v>1</x:v>
      </x:c>
      <x:c r="R109" s="14" t="str">
        <x:v>2025</x:v>
      </x:c>
      <x:c r="S109" s="14" t="n">
        <x:v>2025</x:v>
      </x:c>
      <x:c r="T109" s="14" t="n">
        <x:v>2025</x:v>
      </x:c>
      <x:c r="U109" s="14" t="str">
        <x:v>Explicit source first year retained</x:v>
      </x:c>
      <x:c r="V109" s="14" t="str">
        <x:v>Earliest supplied year is 2025.</x:v>
      </x:c>
      <x:c r="W109" s="14"/>
      <x:c r="X109" s="14" t="str">
        <x:v>Included</x:v>
      </x:c>
      <x:c r="Y109" s="14"/>
      <x:c r="Z109" s="14" t="str">
        <x:v>Things You Should Have Done.docx</x:v>
      </x:c>
      <x:c r="AA109" s="14" t="str">
        <x:v>HYPERLINK is not implemented. linkLocation=https://www.imdb.com/title/tt29427309/fullcredits/, friendlyName=Open source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 t="str">
        <x:v>No established-register match</x:v>
      </x:c>
      <x:c r="AT109" s="14"/>
      <x:c r="AU109" s="14"/>
      <x:c r="AV109" s="14" t="str">
        <x:v>No established apparent-disability match</x:v>
      </x:c>
      <x:c r="AW109" s="14"/>
      <x:c r="AX109" s="14" t="str">
        <x:v>No</x:v>
      </x:c>
      <x:c r="AY109" s="14" t="str">
        <x:v>Unmatched</x:v>
      </x:c>
      <x:c r="AZ109" s="14" t="str">
        <x:v>Final supplied register</x:v>
      </x:c>
      <x:c r="BA109" s="14" t="str">
        <x:v>Absence from the register is not evidence that the performer is not disabled.</x:v>
      </x:c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12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0.08333333333333333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4" t="str">
        <x:v>HYPERLINK is not implemented. linkLocation=https://www.imdb.com/title/tt29427309/fullcredits/,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tt29427309|nm2703676|chris</x:v>
      </x:c>
      <x:c r="B110" s="14" t="str">
        <x:v>06</x:v>
      </x:c>
      <x:c r="C110" s="14" t="str">
        <x:v>2024_IMDb_Cast_Lists_Batch_06(1).xlsx</x:v>
      </x:c>
      <x:c r="D110" s="14" t="str">
        <x:v>Things You Should Have Done</x:v>
      </x:c>
      <x:c r="E110" s="14" t="n">
        <x:v>29</x:v>
      </x:c>
      <x:c r="F110" s="14" t="str">
        <x:v>Things You Should Have Done</x:v>
      </x:c>
      <x:c r="G110" s="14" t="str">
        <x:v>tt29427309</x:v>
      </x:c>
      <x:c r="H110" s="14" t="n">
        <x:v>2024</x:v>
      </x:c>
      <x:c r="I110" s="14" t="n">
        <x:v>2025</x:v>
      </x:c>
      <x:c r="J110" s="14" t="str">
        <x:v>Earlier-Production Carry-In Cohort</x:v>
      </x:c>
      <x:c r="K110" s="14" t="n">
        <x:v>2024</x:v>
      </x:c>
      <x:c r="L110" s="14" t="str">
        <x:v>Not inherited</x:v>
      </x:c>
      <x:c r="M110" s="15" t="n">
        <x:v>22</x:v>
      </x:c>
      <x:c r="N110" s="14" t="str">
        <x:v>Tom Bell</x:v>
      </x:c>
      <x:c r="O110" s="14" t="str">
        <x:v>nm2703676</x:v>
      </x:c>
      <x:c r="P110" s="14" t="str">
        <x:v>Chris</x:v>
      </x:c>
      <x:c r="Q110" s="15" t="n">
        <x:v>1</x:v>
      </x:c>
      <x:c r="R110" s="14" t="str">
        <x:v>2025</x:v>
      </x:c>
      <x:c r="S110" s="14" t="n">
        <x:v>2025</x:v>
      </x:c>
      <x:c r="T110" s="14" t="n">
        <x:v>2025</x:v>
      </x:c>
      <x:c r="U110" s="14" t="str">
        <x:v>Explicit source first year retained</x:v>
      </x:c>
      <x:c r="V110" s="14" t="str">
        <x:v>Earliest supplied year is 2025.</x:v>
      </x:c>
      <x:c r="W110" s="14"/>
      <x:c r="X110" s="14" t="str">
        <x:v>Included</x:v>
      </x:c>
      <x:c r="Y110" s="14"/>
      <x:c r="Z110" s="14" t="str">
        <x:v>Things You Should Have Done.docx</x:v>
      </x:c>
      <x:c r="AA110" s="14" t="str">
        <x:v>HYPERLINK is not implemented. linkLocation=https://www.imdb.com/title/tt29427309/fullcredits/,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 t="str">
        <x:v>No established-register match</x:v>
      </x:c>
      <x:c r="AT110" s="14"/>
      <x:c r="AU110" s="14"/>
      <x:c r="AV110" s="14" t="str">
        <x:v>No established apparent-disability match</x:v>
      </x:c>
      <x:c r="AW110" s="14"/>
      <x:c r="AX110" s="14" t="str">
        <x:v>No</x:v>
      </x:c>
      <x:c r="AY110" s="14" t="str">
        <x:v>Unmatched</x:v>
      </x:c>
      <x:c r="AZ110" s="14" t="str">
        <x:v>Final supplied register</x:v>
      </x:c>
      <x:c r="BA110" s="14" t="str">
        <x:v>Absence from the register is not evidence that the performer is not disabled.</x:v>
      </x:c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12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0.08333333333333333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4" t="str">
        <x:v>HYPERLINK is not implemented. linkLocation=https://www.imdb.com/title/tt29427309/fullcredits/,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tt29427309|nm7863184|parita</x:v>
      </x:c>
      <x:c r="B111" s="14" t="str">
        <x:v>06</x:v>
      </x:c>
      <x:c r="C111" s="14" t="str">
        <x:v>2024_IMDb_Cast_Lists_Batch_06(1).xlsx</x:v>
      </x:c>
      <x:c r="D111" s="14" t="str">
        <x:v>Things You Should Have Done</x:v>
      </x:c>
      <x:c r="E111" s="14" t="n">
        <x:v>30</x:v>
      </x:c>
      <x:c r="F111" s="14" t="str">
        <x:v>Things You Should Have Done</x:v>
      </x:c>
      <x:c r="G111" s="14" t="str">
        <x:v>tt29427309</x:v>
      </x:c>
      <x:c r="H111" s="14" t="n">
        <x:v>2024</x:v>
      </x:c>
      <x:c r="I111" s="14" t="n">
        <x:v>2025</x:v>
      </x:c>
      <x:c r="J111" s="14" t="str">
        <x:v>Earlier-Production Carry-In Cohort</x:v>
      </x:c>
      <x:c r="K111" s="14" t="n">
        <x:v>2024</x:v>
      </x:c>
      <x:c r="L111" s="14" t="str">
        <x:v>Not inherited</x:v>
      </x:c>
      <x:c r="M111" s="15" t="n">
        <x:v>23</x:v>
      </x:c>
      <x:c r="N111" s="14" t="str">
        <x:v>Shermin Hassan</x:v>
      </x:c>
      <x:c r="O111" s="14" t="str">
        <x:v>nm7863184</x:v>
      </x:c>
      <x:c r="P111" s="14" t="str">
        <x:v>Parita</x:v>
      </x:c>
      <x:c r="Q111" s="15" t="n">
        <x:v>1</x:v>
      </x:c>
      <x:c r="R111" s="14" t="str">
        <x:v>2025</x:v>
      </x:c>
      <x:c r="S111" s="14" t="n">
        <x:v>2025</x:v>
      </x:c>
      <x:c r="T111" s="14" t="n">
        <x:v>2025</x:v>
      </x:c>
      <x:c r="U111" s="14" t="str">
        <x:v>Explicit source first year retained</x:v>
      </x:c>
      <x:c r="V111" s="14" t="str">
        <x:v>Earliest supplied year is 2025.</x:v>
      </x:c>
      <x:c r="W111" s="14"/>
      <x:c r="X111" s="14" t="str">
        <x:v>Included</x:v>
      </x:c>
      <x:c r="Y111" s="14"/>
      <x:c r="Z111" s="14" t="str">
        <x:v>Things You Should Have Done.docx</x:v>
      </x:c>
      <x:c r="AA111" s="14" t="str">
        <x:v>HYPERLINK is not implemented. linkLocation=https://www.imdb.com/title/tt29427309/fullcredits/,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 t="str">
        <x:v>No established-register match</x:v>
      </x:c>
      <x:c r="AT111" s="14"/>
      <x:c r="AU111" s="14"/>
      <x:c r="AV111" s="14" t="str">
        <x:v>No established apparent-disability match</x:v>
      </x:c>
      <x:c r="AW111" s="14"/>
      <x:c r="AX111" s="14" t="str">
        <x:v>No</x:v>
      </x:c>
      <x:c r="AY111" s="14" t="str">
        <x:v>Unmatched</x:v>
      </x:c>
      <x:c r="AZ111" s="14" t="str">
        <x:v>Final supplied register</x:v>
      </x:c>
      <x:c r="BA111" s="14" t="str">
        <x:v>Absence from the register is not evidence that the performer is not disabled.</x:v>
      </x:c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12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0.08333333333333333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4" t="str">
        <x:v>HYPERLINK is not implemented. linkLocation=https://www.imdb.com/title/tt29427309/fullcredits/,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tt29427309|nm0815420|rosa</x:v>
      </x:c>
      <x:c r="B112" s="14" t="str">
        <x:v>06</x:v>
      </x:c>
      <x:c r="C112" s="14" t="str">
        <x:v>2024_IMDb_Cast_Lists_Batch_06(1).xlsx</x:v>
      </x:c>
      <x:c r="D112" s="14" t="str">
        <x:v>Things You Should Have Done</x:v>
      </x:c>
      <x:c r="E112" s="14" t="n">
        <x:v>31</x:v>
      </x:c>
      <x:c r="F112" s="14" t="str">
        <x:v>Things You Should Have Done</x:v>
      </x:c>
      <x:c r="G112" s="14" t="str">
        <x:v>tt29427309</x:v>
      </x:c>
      <x:c r="H112" s="14" t="n">
        <x:v>2024</x:v>
      </x:c>
      <x:c r="I112" s="14" t="n">
        <x:v>2025</x:v>
      </x:c>
      <x:c r="J112" s="14" t="str">
        <x:v>Earlier-Production Carry-In Cohort</x:v>
      </x:c>
      <x:c r="K112" s="14" t="n">
        <x:v>2024</x:v>
      </x:c>
      <x:c r="L112" s="14" t="str">
        <x:v>Not inherited</x:v>
      </x:c>
      <x:c r="M112" s="15" t="n">
        <x:v>24</x:v>
      </x:c>
      <x:c r="N112" s="14" t="str">
        <x:v>Mia Soteriou</x:v>
      </x:c>
      <x:c r="O112" s="14" t="str">
        <x:v>nm0815420</x:v>
      </x:c>
      <x:c r="P112" s="14" t="str">
        <x:v>Rosa</x:v>
      </x:c>
      <x:c r="Q112" s="15" t="n">
        <x:v>1</x:v>
      </x:c>
      <x:c r="R112" s="14" t="str">
        <x:v>2025</x:v>
      </x:c>
      <x:c r="S112" s="14" t="n">
        <x:v>2025</x:v>
      </x:c>
      <x:c r="T112" s="14" t="n">
        <x:v>2025</x:v>
      </x:c>
      <x:c r="U112" s="14" t="str">
        <x:v>Explicit source first year retained</x:v>
      </x:c>
      <x:c r="V112" s="14" t="str">
        <x:v>Earliest supplied year is 2025.</x:v>
      </x:c>
      <x:c r="W112" s="14"/>
      <x:c r="X112" s="14" t="str">
        <x:v>Included</x:v>
      </x:c>
      <x:c r="Y112" s="14"/>
      <x:c r="Z112" s="14" t="str">
        <x:v>Things You Should Have Done.docx</x:v>
      </x:c>
      <x:c r="AA112" s="14" t="str">
        <x:v>HYPERLINK is not implemented. linkLocation=https://www.imdb.com/title/tt29427309/fullcredits/,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 t="str">
        <x:v>No established-register match</x:v>
      </x:c>
      <x:c r="AT112" s="14"/>
      <x:c r="AU112" s="14"/>
      <x:c r="AV112" s="14" t="str">
        <x:v>No established apparent-disability match</x:v>
      </x:c>
      <x:c r="AW112" s="14"/>
      <x:c r="AX112" s="14" t="str">
        <x:v>No</x:v>
      </x:c>
      <x:c r="AY112" s="14" t="str">
        <x:v>Unmatched</x:v>
      </x:c>
      <x:c r="AZ112" s="14" t="str">
        <x:v>Final supplied register</x:v>
      </x:c>
      <x:c r="BA112" s="14" t="str">
        <x:v>Absence from the register is not evidence that the performer is not disabled.</x:v>
      </x:c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12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0.08333333333333333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4" t="str">
        <x:v>HYPERLINK is not implemented. linkLocation=https://www.imdb.com/title/tt29427309/fullcredits/,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tt29427309|nm0361846|mitra</x:v>
      </x:c>
      <x:c r="B113" s="14" t="str">
        <x:v>06</x:v>
      </x:c>
      <x:c r="C113" s="14" t="str">
        <x:v>2024_IMDb_Cast_Lists_Batch_06(1).xlsx</x:v>
      </x:c>
      <x:c r="D113" s="14" t="str">
        <x:v>Things You Should Have Done</x:v>
      </x:c>
      <x:c r="E113" s="14" t="n">
        <x:v>32</x:v>
      </x:c>
      <x:c r="F113" s="14" t="str">
        <x:v>Things You Should Have Done</x:v>
      </x:c>
      <x:c r="G113" s="14" t="str">
        <x:v>tt29427309</x:v>
      </x:c>
      <x:c r="H113" s="14" t="n">
        <x:v>2024</x:v>
      </x:c>
      <x:c r="I113" s="14" t="n">
        <x:v>2025</x:v>
      </x:c>
      <x:c r="J113" s="14" t="str">
        <x:v>Earlier-Production Carry-In Cohort</x:v>
      </x:c>
      <x:c r="K113" s="14" t="n">
        <x:v>2024</x:v>
      </x:c>
      <x:c r="L113" s="14" t="str">
        <x:v>Not inherited</x:v>
      </x:c>
      <x:c r="M113" s="15" t="n">
        <x:v>25</x:v>
      </x:c>
      <x:c r="N113" s="14" t="str">
        <x:v>Nimmi Harasgama</x:v>
      </x:c>
      <x:c r="O113" s="14" t="str">
        <x:v>nm0361846</x:v>
      </x:c>
      <x:c r="P113" s="14" t="str">
        <x:v>Mitra</x:v>
      </x:c>
      <x:c r="Q113" s="15" t="n">
        <x:v>1</x:v>
      </x:c>
      <x:c r="R113" s="14" t="str">
        <x:v>2025</x:v>
      </x:c>
      <x:c r="S113" s="14" t="n">
        <x:v>2025</x:v>
      </x:c>
      <x:c r="T113" s="14" t="n">
        <x:v>2025</x:v>
      </x:c>
      <x:c r="U113" s="14" t="str">
        <x:v>Explicit source first year retained</x:v>
      </x:c>
      <x:c r="V113" s="14" t="str">
        <x:v>Earliest supplied year is 2025.</x:v>
      </x:c>
      <x:c r="W113" s="14"/>
      <x:c r="X113" s="14" t="str">
        <x:v>Included</x:v>
      </x:c>
      <x:c r="Y113" s="14"/>
      <x:c r="Z113" s="14" t="str">
        <x:v>Things You Should Have Done.docx</x:v>
      </x:c>
      <x:c r="AA113" s="14" t="str">
        <x:v>HYPERLINK is not implemented. linkLocation=https://www.imdb.com/title/tt29427309/fullcredits/,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 t="str">
        <x:v>No established-register match</x:v>
      </x:c>
      <x:c r="AT113" s="14"/>
      <x:c r="AU113" s="14"/>
      <x:c r="AV113" s="14" t="str">
        <x:v>No established apparent-disability match</x:v>
      </x:c>
      <x:c r="AW113" s="14"/>
      <x:c r="AX113" s="14" t="str">
        <x:v>No</x:v>
      </x:c>
      <x:c r="AY113" s="14" t="str">
        <x:v>Unmatched</x:v>
      </x:c>
      <x:c r="AZ113" s="14" t="str">
        <x:v>Final supplied register</x:v>
      </x:c>
      <x:c r="BA113" s="14" t="str">
        <x:v>Absence from the register is not evidence that the performer is not disabled.</x:v>
      </x:c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12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0.08333333333333333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4" t="str">
        <x:v>HYPERLINK is not implemented. linkLocation=https://www.imdb.com/title/tt29427309/fullcredits/,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tt29427309|nm1445529|sean</x:v>
      </x:c>
      <x:c r="B114" s="14" t="str">
        <x:v>06</x:v>
      </x:c>
      <x:c r="C114" s="14" t="str">
        <x:v>2024_IMDb_Cast_Lists_Batch_06(1).xlsx</x:v>
      </x:c>
      <x:c r="D114" s="14" t="str">
        <x:v>Things You Should Have Done</x:v>
      </x:c>
      <x:c r="E114" s="14" t="n">
        <x:v>33</x:v>
      </x:c>
      <x:c r="F114" s="14" t="str">
        <x:v>Things You Should Have Done</x:v>
      </x:c>
      <x:c r="G114" s="14" t="str">
        <x:v>tt29427309</x:v>
      </x:c>
      <x:c r="H114" s="14" t="n">
        <x:v>2024</x:v>
      </x:c>
      <x:c r="I114" s="14" t="n">
        <x:v>2025</x:v>
      </x:c>
      <x:c r="J114" s="14" t="str">
        <x:v>Earlier-Production Carry-In Cohort</x:v>
      </x:c>
      <x:c r="K114" s="14" t="n">
        <x:v>2024</x:v>
      </x:c>
      <x:c r="L114" s="14" t="str">
        <x:v>Not inherited</x:v>
      </x:c>
      <x:c r="M114" s="15" t="n">
        <x:v>26</x:v>
      </x:c>
      <x:c r="N114" s="14" t="str">
        <x:v>Glenn Hanning</x:v>
      </x:c>
      <x:c r="O114" s="14" t="str">
        <x:v>nm1445529</x:v>
      </x:c>
      <x:c r="P114" s="14" t="str">
        <x:v>Sean</x:v>
      </x:c>
      <x:c r="Q114" s="15" t="n">
        <x:v>1</x:v>
      </x:c>
      <x:c r="R114" s="14" t="str">
        <x:v>2025</x:v>
      </x:c>
      <x:c r="S114" s="14" t="n">
        <x:v>2025</x:v>
      </x:c>
      <x:c r="T114" s="14" t="n">
        <x:v>2025</x:v>
      </x:c>
      <x:c r="U114" s="14" t="str">
        <x:v>Explicit source first year retained</x:v>
      </x:c>
      <x:c r="V114" s="14" t="str">
        <x:v>Earliest supplied year is 2025.</x:v>
      </x:c>
      <x:c r="W114" s="14"/>
      <x:c r="X114" s="14" t="str">
        <x:v>Included</x:v>
      </x:c>
      <x:c r="Y114" s="14"/>
      <x:c r="Z114" s="14" t="str">
        <x:v>Things You Should Have Done.docx</x:v>
      </x:c>
      <x:c r="AA114" s="14" t="str">
        <x:v>HYPERLINK is not implemented. linkLocation=https://www.imdb.com/title/tt29427309/fullcredits/,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BBC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4" s="14" t="str">
        <x:v>BBC public-service commission</x:v>
      </x:c>
      <x:c r="AO114" s="14" t="str">
        <x:v>Yes</x:v>
      </x:c>
      <x:c r="AP114" s="14" t="str">
        <x:v>Direct BBC public-service scope</x:v>
      </x:c>
      <x:c r="AQ114" s="14" t="str">
        <x:v>Yes</x:v>
      </x:c>
      <x:c r="AR114" s="14" t="str">
        <x:v>Resolved from master register</x:v>
      </x:c>
      <x:c r="AS114" s="14" t="str">
        <x:v>No established-register match</x:v>
      </x:c>
      <x:c r="AT114" s="14"/>
      <x:c r="AU114" s="14"/>
      <x:c r="AV114" s="14" t="str">
        <x:v>No established apparent-disability match</x:v>
      </x:c>
      <x:c r="AW114" s="14"/>
      <x:c r="AX114" s="14" t="str">
        <x:v>No</x:v>
      </x:c>
      <x:c r="AY114" s="14" t="str">
        <x:v>Unmatched</x:v>
      </x:c>
      <x:c r="AZ114" s="14" t="str">
        <x:v>Final supplied register</x:v>
      </x:c>
      <x:c r="BA114" s="14" t="str">
        <x:v>Absence from the register is not evidence that the performer is not disabled.</x:v>
      </x:c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12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0.08333333333333333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4" t="str">
        <x:v>HYPERLINK is not implemented. linkLocation=https://www.imdb.com/title/tt29427309/fullcredits/,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tt29427309|nm3065321|pippa</x:v>
      </x:c>
      <x:c r="B115" s="14" t="str">
        <x:v>06</x:v>
      </x:c>
      <x:c r="C115" s="14" t="str">
        <x:v>2024_IMDb_Cast_Lists_Batch_06(1).xlsx</x:v>
      </x:c>
      <x:c r="D115" s="14" t="str">
        <x:v>Things You Should Have Done</x:v>
      </x:c>
      <x:c r="E115" s="14" t="n">
        <x:v>34</x:v>
      </x:c>
      <x:c r="F115" s="14" t="str">
        <x:v>Things You Should Have Done</x:v>
      </x:c>
      <x:c r="G115" s="14" t="str">
        <x:v>tt29427309</x:v>
      </x:c>
      <x:c r="H115" s="14" t="n">
        <x:v>2024</x:v>
      </x:c>
      <x:c r="I115" s="14" t="n">
        <x:v>2025</x:v>
      </x:c>
      <x:c r="J115" s="14" t="str">
        <x:v>Earlier-Production Carry-In Cohort</x:v>
      </x:c>
      <x:c r="K115" s="14" t="n">
        <x:v>2024</x:v>
      </x:c>
      <x:c r="L115" s="14" t="str">
        <x:v>Not inherited</x:v>
      </x:c>
      <x:c r="M115" s="15" t="n">
        <x:v>27</x:v>
      </x:c>
      <x:c r="N115" s="14" t="str">
        <x:v>Joanne Sandi</x:v>
      </x:c>
      <x:c r="O115" s="14" t="str">
        <x:v>nm3065321</x:v>
      </x:c>
      <x:c r="P115" s="14" t="str">
        <x:v>Pippa</x:v>
      </x:c>
      <x:c r="Q115" s="15" t="n">
        <x:v>1</x:v>
      </x:c>
      <x:c r="R115" s="14" t="str">
        <x:v>2025</x:v>
      </x:c>
      <x:c r="S115" s="14" t="n">
        <x:v>2025</x:v>
      </x:c>
      <x:c r="T115" s="14" t="n">
        <x:v>2025</x:v>
      </x:c>
      <x:c r="U115" s="14" t="str">
        <x:v>Explicit source first year retained</x:v>
      </x:c>
      <x:c r="V115" s="14" t="str">
        <x:v>Earliest supplied year is 2025.</x:v>
      </x:c>
      <x:c r="W115" s="14"/>
      <x:c r="X115" s="14" t="str">
        <x:v>Included</x:v>
      </x:c>
      <x:c r="Y115" s="14"/>
      <x:c r="Z115" s="14" t="str">
        <x:v>Things You Should Have Done.docx</x:v>
      </x:c>
      <x:c r="AA115" s="14" t="str">
        <x:v>HYPERLINK is not implemented. linkLocation=https://www.imdb.com/title/tt29427309/fullcredits/,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BBC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5" s="14" t="str">
        <x:v>BBC public-service commission</x:v>
      </x:c>
      <x:c r="AO115" s="14" t="str">
        <x:v>Yes</x:v>
      </x:c>
      <x:c r="AP115" s="14" t="str">
        <x:v>Direct BBC public-service scope</x:v>
      </x:c>
      <x:c r="AQ115" s="14" t="str">
        <x:v>Yes</x:v>
      </x:c>
      <x:c r="AR115" s="14" t="str">
        <x:v>Resolved from master register</x:v>
      </x:c>
      <x:c r="AS115" s="14" t="str">
        <x:v>No established-register match</x:v>
      </x:c>
      <x:c r="AT115" s="14"/>
      <x:c r="AU115" s="14"/>
      <x:c r="AV115" s="14" t="str">
        <x:v>No established apparent-disability match</x:v>
      </x:c>
      <x:c r="AW115" s="14"/>
      <x:c r="AX115" s="14" t="str">
        <x:v>No</x:v>
      </x:c>
      <x:c r="AY115" s="14" t="str">
        <x:v>Unmatched</x:v>
      </x:c>
      <x:c r="AZ115" s="14" t="str">
        <x:v>Final supplied register</x:v>
      </x:c>
      <x:c r="BA115" s="14" t="str">
        <x:v>Absence from the register is not evidence that the performer is not disabled.</x:v>
      </x:c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12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0.08333333333333333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4" t="str">
        <x:v>HYPERLINK is not implemented. linkLocation=https://www.imdb.com/title/tt29427309/fullcredits/,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tt29427309|nm7011726|maddie (sarah's girlfriend)</x:v>
      </x:c>
      <x:c r="B116" s="14" t="str">
        <x:v>06</x:v>
      </x:c>
      <x:c r="C116" s="14" t="str">
        <x:v>2024_IMDb_Cast_Lists_Batch_06(1).xlsx</x:v>
      </x:c>
      <x:c r="D116" s="14" t="str">
        <x:v>Things You Should Have Done</x:v>
      </x:c>
      <x:c r="E116" s="14" t="n">
        <x:v>47</x:v>
      </x:c>
      <x:c r="F116" s="14" t="str">
        <x:v>Things You Should Have Done</x:v>
      </x:c>
      <x:c r="G116" s="14" t="str">
        <x:v>tt29427309</x:v>
      </x:c>
      <x:c r="H116" s="14" t="n">
        <x:v>2024</x:v>
      </x:c>
      <x:c r="I116" s="14" t="n">
        <x:v>2025</x:v>
      </x:c>
      <x:c r="J116" s="14" t="str">
        <x:v>Earlier-Production Carry-In Cohort</x:v>
      </x:c>
      <x:c r="K116" s="14" t="n">
        <x:v>2024</x:v>
      </x:c>
      <x:c r="L116" s="14" t="str">
        <x:v>Not inherited</x:v>
      </x:c>
      <x:c r="M116" s="15" t="n">
        <x:v>40</x:v>
      </x:c>
      <x:c r="N116" s="14" t="str">
        <x:v>Elodie Foray</x:v>
      </x:c>
      <x:c r="O116" s="14" t="str">
        <x:v>nm7011726</x:v>
      </x:c>
      <x:c r="P116" s="14" t="str">
        <x:v>Maddie (Sarah's Girlfriend)</x:v>
      </x:c>
      <x:c r="Q116" s="15" t="n">
        <x:v>1</x:v>
      </x:c>
      <x:c r="R116" s="14" t="str">
        <x:v>2025</x:v>
      </x:c>
      <x:c r="S116" s="14" t="n">
        <x:v>2025</x:v>
      </x:c>
      <x:c r="T116" s="14" t="n">
        <x:v>2025</x:v>
      </x:c>
      <x:c r="U116" s="14" t="str">
        <x:v>Explicit source first year retained</x:v>
      </x:c>
      <x:c r="V116" s="14" t="str">
        <x:v>Earliest supplied year is 2025.</x:v>
      </x:c>
      <x:c r="W116" s="14"/>
      <x:c r="X116" s="14" t="str">
        <x:v>Included</x:v>
      </x:c>
      <x:c r="Y116" s="14"/>
      <x:c r="Z116" s="14" t="str">
        <x:v>Things You Should Have Done.docx</x:v>
      </x:c>
      <x:c r="AA116" s="14" t="str">
        <x:v>HYPERLINK is not implemented. linkLocation=https://www.imdb.com/title/tt29427309/fullcredits/,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BBC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116" s="14" t="str">
        <x:v>BBC public-service commission</x:v>
      </x:c>
      <x:c r="AO116" s="14" t="str">
        <x:v>Yes</x:v>
      </x:c>
      <x:c r="AP116" s="14" t="str">
        <x:v>Direct BBC public-service scope</x:v>
      </x:c>
      <x:c r="AQ116" s="14" t="str">
        <x:v>Yes</x:v>
      </x:c>
      <x:c r="AR116" s="14" t="str">
        <x:v>Resolved from master register</x:v>
      </x:c>
      <x:c r="AS116" s="14" t="str">
        <x:v>No established-register match</x:v>
      </x:c>
      <x:c r="AT116" s="14"/>
      <x:c r="AU116" s="14"/>
      <x:c r="AV116" s="14" t="str">
        <x:v>No established apparent-disability match</x:v>
      </x:c>
      <x:c r="AW116" s="14"/>
      <x:c r="AX116" s="14" t="str">
        <x:v>No</x:v>
      </x:c>
      <x:c r="AY116" s="14" t="str">
        <x:v>Unmatched</x:v>
      </x:c>
      <x:c r="AZ116" s="14" t="str">
        <x:v>Final supplied register</x:v>
      </x:c>
      <x:c r="BA116" s="14" t="str">
        <x:v>Absence from the register is not evidence that the performer is not disabled.</x:v>
      </x:c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12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0.08333333333333333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4" t="str">
        <x:v>HYPERLINK is not implemented. linkLocation=https://www.imdb.com/title/tt29427309/fullcredits/,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tt21161156|nm17166252|rosie</x:v>
      </x:c>
      <x:c r="B117" s="14" t="str">
        <x:v>01</x:v>
      </x:c>
      <x:c r="C117" s="14" t="str">
        <x:v>2023_IMDb_Cast_Lists_Batch_01(2).xlsx</x:v>
      </x:c>
      <x:c r="D117" s="14" t="str">
        <x:v>Beyond Paradise</x:v>
      </x:c>
      <x:c r="E117" s="14" t="n">
        <x:v>19</x:v>
      </x:c>
      <x:c r="F117" s="14" t="str">
        <x:v>Beyond Paradise</x:v>
      </x:c>
      <x:c r="G117" s="14" t="str">
        <x:v>tt21161156</x:v>
      </x:c>
      <x:c r="H117" s="14" t="n">
        <x:v>2023</x:v>
      </x:c>
      <x:c r="I117" s="14" t="n">
        <x:v>2025</x:v>
      </x:c>
      <x:c r="J117" s="14" t="str">
        <x:v>Earlier-Production Carry-In Cohort</x:v>
      </x:c>
      <x:c r="K117" s="14" t="n">
        <x:v>2023</x:v>
      </x:c>
      <x:c r="L117" s="14" t="str">
        <x:v>Not inherited</x:v>
      </x:c>
      <x:c r="M117" s="15" t="n">
        <x:v>12</x:v>
      </x:c>
      <x:c r="N117" s="14" t="str">
        <x:v>Bella Rei Blue Stevenson</x:v>
      </x:c>
      <x:c r="O117" s="14" t="str">
        <x:v>nm17166252</x:v>
      </x:c>
      <x:c r="P117" s="14" t="str">
        <x:v>Rosie</x:v>
      </x:c>
      <x:c r="Q117" s="15" t="n">
        <x:v>6</x:v>
      </x:c>
      <x:c r="R117" s="14" t="str">
        <x:v>2025</x:v>
      </x:c>
      <x:c r="S117" s="14" t="n">
        <x:v>2025</x:v>
      </x:c>
      <x:c r="T117" s="14" t="n">
        <x:v>2025</x:v>
      </x:c>
      <x:c r="U117" s="14" t="str">
        <x:v>Explicit source first year retained</x:v>
      </x:c>
      <x:c r="V117" s="14" t="str">
        <x:v>Earliest supplied year is 2025.</x:v>
      </x:c>
      <x:c r="W117" s="14"/>
      <x:c r="X117" s="14" t="str">
        <x:v>Included</x:v>
      </x:c>
      <x:c r="Y117" s="14"/>
      <x:c r="Z117" s="14" t="str">
        <x:v>Beyond Paradise.docx</x:v>
      </x:c>
      <x:c r="AA117" s="14" t="str">
        <x:v>HYPERLINK is not implemented. linkLocation=https://www.imdb.com/title/tt21161156/fullcredits/,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BBC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HYPERLINK("https://en.wikipedia.org/wiki/Beyond_Paradise","Open source")</x:f>
        <x:v>HYPERLINK is not implemented. linkLocation=https://en.wikipedia.org/wiki/Beyond_Paradise, friendlyName=Open source</x:v>
      </x:c>
      <x:c r="AN117" s="14" t="str">
        <x:v>BBC public-service commission</x:v>
      </x:c>
      <x:c r="AO117" s="14" t="str">
        <x:v>Yes</x:v>
      </x:c>
      <x:c r="AP117" s="14" t="str">
        <x:v>Direct BBC public-service scope</x:v>
      </x:c>
      <x:c r="AQ117" s="14" t="str">
        <x:v>Yes</x:v>
      </x:c>
      <x:c r="AR117" s="14" t="str">
        <x:v>Resolved from master register</x:v>
      </x:c>
      <x:c r="AS117" s="14" t="str">
        <x:v>No established-register match</x:v>
      </x:c>
      <x:c r="AT117" s="14"/>
      <x:c r="AU117" s="14"/>
      <x:c r="AV117" s="14" t="str">
        <x:v>No established apparent-disability match</x:v>
      </x:c>
      <x:c r="AW117" s="14"/>
      <x:c r="AX117" s="14" t="str">
        <x:v>No</x:v>
      </x:c>
      <x:c r="AY117" s="14" t="str">
        <x:v>Unmatched</x:v>
      </x:c>
      <x:c r="AZ117" s="14" t="str">
        <x:v>Final supplied register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27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6</x:v>
      </x:c>
      <x:c r="BS117" s="16" t="n">
        <x:v>0.2222222222222222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4" t="str">
        <x:v>HYPERLINK is not implemented. linkLocation=https://www.imdb.com/title/tt21161156/fullcredits/,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tt21161156|nm0249528|david haleton</x:v>
      </x:c>
      <x:c r="B118" s="14" t="str">
        <x:v>01</x:v>
      </x:c>
      <x:c r="C118" s="14" t="str">
        <x:v>2023_IMDb_Cast_Lists_Batch_01(2).xlsx</x:v>
      </x:c>
      <x:c r="D118" s="14" t="str">
        <x:v>Beyond Paradise</x:v>
      </x:c>
      <x:c r="E118" s="14" t="n">
        <x:v>40</x:v>
      </x:c>
      <x:c r="F118" s="14" t="str">
        <x:v>Beyond Paradise</x:v>
      </x:c>
      <x:c r="G118" s="14" t="str">
        <x:v>tt21161156</x:v>
      </x:c>
      <x:c r="H118" s="14" t="n">
        <x:v>2023</x:v>
      </x:c>
      <x:c r="I118" s="14" t="n">
        <x:v>2025</x:v>
      </x:c>
      <x:c r="J118" s="14" t="str">
        <x:v>Earlier-Production Carry-In Cohort</x:v>
      </x:c>
      <x:c r="K118" s="14" t="n">
        <x:v>2023</x:v>
      </x:c>
      <x:c r="L118" s="14" t="str">
        <x:v>Not inherited</x:v>
      </x:c>
      <x:c r="M118" s="15" t="n">
        <x:v>33</x:v>
      </x:c>
      <x:c r="N118" s="14" t="str">
        <x:v>Adrian Edmondson</x:v>
      </x:c>
      <x:c r="O118" s="14" t="str">
        <x:v>nm0249528</x:v>
      </x:c>
      <x:c r="P118" s="14" t="str">
        <x:v>David Haleton</x:v>
      </x:c>
      <x:c r="Q118" s="15" t="n">
        <x:v>1</x:v>
      </x:c>
      <x:c r="R118" s="14" t="str">
        <x:v>2025</x:v>
      </x:c>
      <x:c r="S118" s="14" t="n">
        <x:v>2025</x:v>
      </x:c>
      <x:c r="T118" s="14" t="n">
        <x:v>2025</x:v>
      </x:c>
      <x:c r="U118" s="14" t="str">
        <x:v>Explicit source first year retained</x:v>
      </x:c>
      <x:c r="V118" s="14" t="str">
        <x:v>Earliest supplied year is 2025.</x:v>
      </x:c>
      <x:c r="W118" s="14"/>
      <x:c r="X118" s="14" t="str">
        <x:v>Included</x:v>
      </x:c>
      <x:c r="Y118" s="14"/>
      <x:c r="Z118" s="14" t="str">
        <x:v>Beyond Paradise.docx</x:v>
      </x:c>
      <x:c r="AA118" s="14" t="str">
        <x:v>HYPERLINK is not implemented. linkLocation=https://www.imdb.com/title/tt21161156/fullcredits/,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BBC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HYPERLINK("https://en.wikipedia.org/wiki/Beyond_Paradise","Open source")</x:f>
        <x:v>HYPERLINK is not implemented. linkLocation=https://en.wikipedia.org/wiki/Beyond_Paradise, friendlyName=Open source</x:v>
      </x:c>
      <x:c r="AN118" s="14" t="str">
        <x:v>BBC public-service commission</x:v>
      </x:c>
      <x:c r="AO118" s="14" t="str">
        <x:v>Yes</x:v>
      </x:c>
      <x:c r="AP118" s="14" t="str">
        <x:v>Direct BBC public-service scope</x:v>
      </x:c>
      <x:c r="AQ118" s="14" t="str">
        <x:v>Yes</x:v>
      </x:c>
      <x:c r="AR118" s="14" t="str">
        <x:v>Resolved from master register</x:v>
      </x:c>
      <x:c r="AS118" s="14" t="str">
        <x:v>No established-register match</x:v>
      </x:c>
      <x:c r="AT118" s="14"/>
      <x:c r="AU118" s="14"/>
      <x:c r="AV118" s="14" t="str">
        <x:v>No established apparent-disability match</x:v>
      </x:c>
      <x:c r="AW118" s="14"/>
      <x:c r="AX118" s="14" t="str">
        <x:v>No</x:v>
      </x:c>
      <x:c r="AY118" s="14" t="str">
        <x:v>Unmatched</x:v>
      </x:c>
      <x:c r="AZ118" s="14" t="str">
        <x:v>Final supplied register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27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0.037037037037037035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4" t="str">
        <x:v>HYPERLINK is not implemented. linkLocation=https://www.imdb.com/title/tt21161156/fullcredits/,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tt21161156|nm0219465|arthur donalan</x:v>
      </x:c>
      <x:c r="B119" s="14" t="str">
        <x:v>01</x:v>
      </x:c>
      <x:c r="C119" s="14" t="str">
        <x:v>2023_IMDb_Cast_Lists_Batch_01(2).xlsx</x:v>
      </x:c>
      <x:c r="D119" s="14" t="str">
        <x:v>Beyond Paradise</x:v>
      </x:c>
      <x:c r="E119" s="14" t="n">
        <x:v>41</x:v>
      </x:c>
      <x:c r="F119" s="14" t="str">
        <x:v>Beyond Paradise</x:v>
      </x:c>
      <x:c r="G119" s="14" t="str">
        <x:v>tt21161156</x:v>
      </x:c>
      <x:c r="H119" s="14" t="n">
        <x:v>2023</x:v>
      </x:c>
      <x:c r="I119" s="14" t="n">
        <x:v>2025</x:v>
      </x:c>
      <x:c r="J119" s="14" t="str">
        <x:v>Earlier-Production Carry-In Cohort</x:v>
      </x:c>
      <x:c r="K119" s="14" t="n">
        <x:v>2023</x:v>
      </x:c>
      <x:c r="L119" s="14" t="str">
        <x:v>Not inherited</x:v>
      </x:c>
      <x:c r="M119" s="15" t="n">
        <x:v>34</x:v>
      </x:c>
      <x:c r="N119" s="14" t="str">
        <x:v>Hugh Dennis</x:v>
      </x:c>
      <x:c r="O119" s="14" t="str">
        <x:v>nm0219465</x:v>
      </x:c>
      <x:c r="P119" s="14" t="str">
        <x:v>Arthur Donalan</x:v>
      </x:c>
      <x:c r="Q119" s="15" t="n">
        <x:v>1</x:v>
      </x:c>
      <x:c r="R119" s="14" t="str">
        <x:v>2025</x:v>
      </x:c>
      <x:c r="S119" s="14" t="n">
        <x:v>2025</x:v>
      </x:c>
      <x:c r="T119" s="14" t="n">
        <x:v>2025</x:v>
      </x:c>
      <x:c r="U119" s="14" t="str">
        <x:v>Explicit source first year retained</x:v>
      </x:c>
      <x:c r="V119" s="14" t="str">
        <x:v>Earliest supplied year is 2025.</x:v>
      </x:c>
      <x:c r="W119" s="14"/>
      <x:c r="X119" s="14" t="str">
        <x:v>Included</x:v>
      </x:c>
      <x:c r="Y119" s="14"/>
      <x:c r="Z119" s="14" t="str">
        <x:v>Beyond Paradise.docx</x:v>
      </x:c>
      <x:c r="AA119" s="14" t="str">
        <x:v>HYPERLINK is not implemented. linkLocation=https://www.imdb.com/title/tt21161156/fullcredits/,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BBC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HYPERLINK("https://en.wikipedia.org/wiki/Beyond_Paradise","Open source")</x:f>
        <x:v>HYPERLINK is not implemented. linkLocation=https://en.wikipedia.org/wiki/Beyond_Paradise, friendlyName=Open source</x:v>
      </x:c>
      <x:c r="AN119" s="14" t="str">
        <x:v>BBC public-service commission</x:v>
      </x:c>
      <x:c r="AO119" s="14" t="str">
        <x:v>Yes</x:v>
      </x:c>
      <x:c r="AP119" s="14" t="str">
        <x:v>Direct BBC public-service scope</x:v>
      </x:c>
      <x:c r="AQ119" s="14" t="str">
        <x:v>Yes</x:v>
      </x:c>
      <x:c r="AR119" s="14" t="str">
        <x:v>Resolved from master register</x:v>
      </x:c>
      <x:c r="AS119" s="14" t="str">
        <x:v>No established-register match</x:v>
      </x:c>
      <x:c r="AT119" s="14"/>
      <x:c r="AU119" s="14"/>
      <x:c r="AV119" s="14" t="str">
        <x:v>No established apparent-disability match</x:v>
      </x:c>
      <x:c r="AW119" s="14"/>
      <x:c r="AX119" s="14" t="str">
        <x:v>No</x:v>
      </x:c>
      <x:c r="AY119" s="14" t="str">
        <x:v>Unmatched</x:v>
      </x:c>
      <x:c r="AZ119" s="14" t="str">
        <x:v>Final supplied register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27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0.037037037037037035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4" t="str">
        <x:v>HYPERLINK is not implemented. linkLocation=https://www.imdb.com/title/tt21161156/fullcredits/,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tt21161156|nm1632762|stella ellis</x:v>
      </x:c>
      <x:c r="B120" s="14" t="str">
        <x:v>01</x:v>
      </x:c>
      <x:c r="C120" s="14" t="str">
        <x:v>2023_IMDb_Cast_Lists_Batch_01(2).xlsx</x:v>
      </x:c>
      <x:c r="D120" s="14" t="str">
        <x:v>Beyond Paradise</x:v>
      </x:c>
      <x:c r="E120" s="14" t="n">
        <x:v>42</x:v>
      </x:c>
      <x:c r="F120" s="14" t="str">
        <x:v>Beyond Paradise</x:v>
      </x:c>
      <x:c r="G120" s="14" t="str">
        <x:v>tt21161156</x:v>
      </x:c>
      <x:c r="H120" s="14" t="n">
        <x:v>2023</x:v>
      </x:c>
      <x:c r="I120" s="14" t="n">
        <x:v>2025</x:v>
      </x:c>
      <x:c r="J120" s="14" t="str">
        <x:v>Earlier-Production Carry-In Cohort</x:v>
      </x:c>
      <x:c r="K120" s="14" t="n">
        <x:v>2023</x:v>
      </x:c>
      <x:c r="L120" s="14" t="str">
        <x:v>Not inherited</x:v>
      </x:c>
      <x:c r="M120" s="15" t="n">
        <x:v>35</x:v>
      </x:c>
      <x:c r="N120" s="14" t="str">
        <x:v>Amy Morgan</x:v>
      </x:c>
      <x:c r="O120" s="14" t="str">
        <x:v>nm1632762</x:v>
      </x:c>
      <x:c r="P120" s="14" t="str">
        <x:v>Stella Ellis</x:v>
      </x:c>
      <x:c r="Q120" s="15" t="n">
        <x:v>1</x:v>
      </x:c>
      <x:c r="R120" s="14" t="str">
        <x:v>2025</x:v>
      </x:c>
      <x:c r="S120" s="14" t="n">
        <x:v>2025</x:v>
      </x:c>
      <x:c r="T120" s="14" t="n">
        <x:v>2025</x:v>
      </x:c>
      <x:c r="U120" s="14" t="str">
        <x:v>Explicit source first year retained</x:v>
      </x:c>
      <x:c r="V120" s="14" t="str">
        <x:v>Earliest supplied year is 2025.</x:v>
      </x:c>
      <x:c r="W120" s="14"/>
      <x:c r="X120" s="14" t="str">
        <x:v>Included</x:v>
      </x:c>
      <x:c r="Y120" s="14"/>
      <x:c r="Z120" s="14" t="str">
        <x:v>Beyond Paradise.docx</x:v>
      </x:c>
      <x:c r="AA120" s="14" t="str">
        <x:v>HYPERLINK is not implemented. linkLocation=https://www.imdb.com/title/tt21161156/fullcredits/,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HYPERLINK("https://en.wikipedia.org/wiki/Beyond_Paradise","Open source")</x:f>
        <x:v>HYPERLINK is not implemented. linkLocation=https://en.wikipedia.org/wiki/Beyond_Paradise, friendlyName=Open source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 t="str">
        <x:v>No established-register match</x:v>
      </x:c>
      <x:c r="AT120" s="14"/>
      <x:c r="AU120" s="14"/>
      <x:c r="AV120" s="14" t="str">
        <x:v>No established apparent-disability match</x:v>
      </x:c>
      <x:c r="AW120" s="14"/>
      <x:c r="AX120" s="14" t="str">
        <x:v>No</x:v>
      </x:c>
      <x:c r="AY120" s="14" t="str">
        <x:v>Unmatched</x:v>
      </x:c>
      <x:c r="AZ120" s="14" t="str">
        <x:v>Final supplied register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27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0.037037037037037035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4" t="str">
        <x:v>HYPERLINK is not implemented. linkLocation=https://www.imdb.com/title/tt21161156/fullcredits/,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tt21161156|nm5775637|emily buswell</x:v>
      </x:c>
      <x:c r="B121" s="14" t="str">
        <x:v>01</x:v>
      </x:c>
      <x:c r="C121" s="14" t="str">
        <x:v>2023_IMDb_Cast_Lists_Batch_01(2).xlsx</x:v>
      </x:c>
      <x:c r="D121" s="14" t="str">
        <x:v>Beyond Paradise</x:v>
      </x:c>
      <x:c r="E121" s="14" t="n">
        <x:v>43</x:v>
      </x:c>
      <x:c r="F121" s="14" t="str">
        <x:v>Beyond Paradise</x:v>
      </x:c>
      <x:c r="G121" s="14" t="str">
        <x:v>tt21161156</x:v>
      </x:c>
      <x:c r="H121" s="14" t="n">
        <x:v>2023</x:v>
      </x:c>
      <x:c r="I121" s="14" t="n">
        <x:v>2025</x:v>
      </x:c>
      <x:c r="J121" s="14" t="str">
        <x:v>Earlier-Production Carry-In Cohort</x:v>
      </x:c>
      <x:c r="K121" s="14" t="n">
        <x:v>2023</x:v>
      </x:c>
      <x:c r="L121" s="14" t="str">
        <x:v>Not inherited</x:v>
      </x:c>
      <x:c r="M121" s="15" t="n">
        <x:v>36</x:v>
      </x:c>
      <x:c r="N121" s="14" t="str">
        <x:v>Abra Thompson</x:v>
      </x:c>
      <x:c r="O121" s="14" t="str">
        <x:v>nm5775637</x:v>
      </x:c>
      <x:c r="P121" s="14" t="str">
        <x:v>Emily Buswell</x:v>
      </x:c>
      <x:c r="Q121" s="15" t="n">
        <x:v>1</x:v>
      </x:c>
      <x:c r="R121" s="14" t="str">
        <x:v>2025</x:v>
      </x:c>
      <x:c r="S121" s="14" t="n">
        <x:v>2025</x:v>
      </x:c>
      <x:c r="T121" s="14" t="n">
        <x:v>2025</x:v>
      </x:c>
      <x:c r="U121" s="14" t="str">
        <x:v>Explicit source first year retained</x:v>
      </x:c>
      <x:c r="V121" s="14" t="str">
        <x:v>Earliest supplied year is 2025.</x:v>
      </x:c>
      <x:c r="W121" s="14"/>
      <x:c r="X121" s="14" t="str">
        <x:v>Included</x:v>
      </x:c>
      <x:c r="Y121" s="14"/>
      <x:c r="Z121" s="14" t="str">
        <x:v>Beyond Paradise.docx</x:v>
      </x:c>
      <x:c r="AA121" s="14" t="str">
        <x:v>HYPERLINK is not implemented. linkLocation=https://www.imdb.com/title/tt21161156/fullcredits/,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HYPERLINK("https://en.wikipedia.org/wiki/Beyond_Paradise","Open source")</x:f>
        <x:v>HYPERLINK is not implemented. linkLocation=https://en.wikipedia.org/wiki/Beyond_Paradise, friendlyName=Open source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 t="str">
        <x:v>No established-register match</x:v>
      </x:c>
      <x:c r="AT121" s="14"/>
      <x:c r="AU121" s="14"/>
      <x:c r="AV121" s="14" t="str">
        <x:v>No established apparent-disability match</x:v>
      </x:c>
      <x:c r="AW121" s="14"/>
      <x:c r="AX121" s="14" t="str">
        <x:v>No</x:v>
      </x:c>
      <x:c r="AY121" s="14" t="str">
        <x:v>Unmatched</x:v>
      </x:c>
      <x:c r="AZ121" s="14" t="str">
        <x:v>Final supplied register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27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0.037037037037037035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4" t="str">
        <x:v>HYPERLINK is not implemented. linkLocation=https://www.imdb.com/title/tt21161156/fullcredits/,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tt21161156|nm1763169|gabriella dalmori</x:v>
      </x:c>
      <x:c r="B122" s="14" t="str">
        <x:v>01</x:v>
      </x:c>
      <x:c r="C122" s="14" t="str">
        <x:v>2023_IMDb_Cast_Lists_Batch_01(2).xlsx</x:v>
      </x:c>
      <x:c r="D122" s="14" t="str">
        <x:v>Beyond Paradise</x:v>
      </x:c>
      <x:c r="E122" s="14" t="n">
        <x:v>44</x:v>
      </x:c>
      <x:c r="F122" s="14" t="str">
        <x:v>Beyond Paradise</x:v>
      </x:c>
      <x:c r="G122" s="14" t="str">
        <x:v>tt21161156</x:v>
      </x:c>
      <x:c r="H122" s="14" t="n">
        <x:v>2023</x:v>
      </x:c>
      <x:c r="I122" s="14" t="n">
        <x:v>2025</x:v>
      </x:c>
      <x:c r="J122" s="14" t="str">
        <x:v>Earlier-Production Carry-In Cohort</x:v>
      </x:c>
      <x:c r="K122" s="14" t="n">
        <x:v>2023</x:v>
      </x:c>
      <x:c r="L122" s="14" t="str">
        <x:v>Not inherited</x:v>
      </x:c>
      <x:c r="M122" s="15" t="n">
        <x:v>37</x:v>
      </x:c>
      <x:c r="N122" s="14" t="str">
        <x:v>Alicia Charles</x:v>
      </x:c>
      <x:c r="O122" s="14" t="str">
        <x:v>nm1763169</x:v>
      </x:c>
      <x:c r="P122" s="14" t="str">
        <x:v>Gabriella Dalmori</x:v>
      </x:c>
      <x:c r="Q122" s="15" t="n">
        <x:v>1</x:v>
      </x:c>
      <x:c r="R122" s="14" t="str">
        <x:v>2025</x:v>
      </x:c>
      <x:c r="S122" s="14" t="n">
        <x:v>2025</x:v>
      </x:c>
      <x:c r="T122" s="14" t="n">
        <x:v>2025</x:v>
      </x:c>
      <x:c r="U122" s="14" t="str">
        <x:v>Explicit source first year retained</x:v>
      </x:c>
      <x:c r="V122" s="14" t="str">
        <x:v>Earliest supplied year is 2025.</x:v>
      </x:c>
      <x:c r="W122" s="14"/>
      <x:c r="X122" s="14" t="str">
        <x:v>Included</x:v>
      </x:c>
      <x:c r="Y122" s="14"/>
      <x:c r="Z122" s="14" t="str">
        <x:v>Beyond Paradise.docx</x:v>
      </x:c>
      <x:c r="AA122" s="14" t="str">
        <x:v>HYPERLINK is not implemented. linkLocation=https://www.imdb.com/title/tt21161156/fullcredits/,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HYPERLINK("https://en.wikipedia.org/wiki/Beyond_Paradise","Open source")</x:f>
        <x:v>HYPERLINK is not implemented. linkLocation=https://en.wikipedia.org/wiki/Beyond_Paradise, friendlyName=Open source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 t="str">
        <x:v>No established-register match</x:v>
      </x:c>
      <x:c r="AT122" s="14"/>
      <x:c r="AU122" s="14"/>
      <x:c r="AV122" s="14" t="str">
        <x:v>No established apparent-disability match</x:v>
      </x:c>
      <x:c r="AW122" s="14"/>
      <x:c r="AX122" s="14" t="str">
        <x:v>No</x:v>
      </x:c>
      <x:c r="AY122" s="14" t="str">
        <x:v>Unmatched</x:v>
      </x:c>
      <x:c r="AZ122" s="14" t="str">
        <x:v>Final supplied register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27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0.037037037037037035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4" t="str">
        <x:v>HYPERLINK is not implemented. linkLocation=https://www.imdb.com/title/tt21161156/fullcredits/,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tt21161156|nm0573618|george ellis</x:v>
      </x:c>
      <x:c r="B123" s="14" t="str">
        <x:v>01</x:v>
      </x:c>
      <x:c r="C123" s="14" t="str">
        <x:v>2023_IMDb_Cast_Lists_Batch_01(2).xlsx</x:v>
      </x:c>
      <x:c r="D123" s="14" t="str">
        <x:v>Beyond Paradise</x:v>
      </x:c>
      <x:c r="E123" s="14" t="n">
        <x:v>55</x:v>
      </x:c>
      <x:c r="F123" s="14" t="str">
        <x:v>Beyond Paradise</x:v>
      </x:c>
      <x:c r="G123" s="14" t="str">
        <x:v>tt21161156</x:v>
      </x:c>
      <x:c r="H123" s="14" t="n">
        <x:v>2023</x:v>
      </x:c>
      <x:c r="I123" s="14" t="n">
        <x:v>2025</x:v>
      </x:c>
      <x:c r="J123" s="14" t="str">
        <x:v>Earlier-Production Carry-In Cohort</x:v>
      </x:c>
      <x:c r="K123" s="14" t="n">
        <x:v>2023</x:v>
      </x:c>
      <x:c r="L123" s="14" t="str">
        <x:v>Not inherited</x:v>
      </x:c>
      <x:c r="M123" s="15" t="n">
        <x:v>48</x:v>
      </x:c>
      <x:c r="N123" s="14" t="str">
        <x:v>Kevin McNally</x:v>
      </x:c>
      <x:c r="O123" s="14" t="str">
        <x:v>nm0573618</x:v>
      </x:c>
      <x:c r="P123" s="14" t="str">
        <x:v>George Ellis</x:v>
      </x:c>
      <x:c r="Q123" s="15" t="n">
        <x:v>1</x:v>
      </x:c>
      <x:c r="R123" s="14" t="str">
        <x:v>2025</x:v>
      </x:c>
      <x:c r="S123" s="14" t="n">
        <x:v>2025</x:v>
      </x:c>
      <x:c r="T123" s="14" t="n">
        <x:v>2025</x:v>
      </x:c>
      <x:c r="U123" s="14" t="str">
        <x:v>Explicit source first year retained</x:v>
      </x:c>
      <x:c r="V123" s="14" t="str">
        <x:v>Earliest supplied year is 2025.</x:v>
      </x:c>
      <x:c r="W123" s="14"/>
      <x:c r="X123" s="14" t="str">
        <x:v>Included</x:v>
      </x:c>
      <x:c r="Y123" s="14" t="str">
        <x:v>(as Kevin R McNally)</x:v>
      </x:c>
      <x:c r="Z123" s="14" t="str">
        <x:v>Beyond Paradise.docx</x:v>
      </x:c>
      <x:c r="AA123" s="14" t="str">
        <x:v>HYPERLINK is not implemented. linkLocation=https://www.imdb.com/title/tt21161156/fullcredits/,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HYPERLINK("https://en.wikipedia.org/wiki/Beyond_Paradise","Open source")</x:f>
        <x:v>HYPERLINK is not implemented. linkLocation=https://en.wikipedia.org/wiki/Beyond_Paradise, friendlyName=Open source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 t="str">
        <x:v>No established-register match</x:v>
      </x:c>
      <x:c r="AT123" s="14"/>
      <x:c r="AU123" s="14"/>
      <x:c r="AV123" s="14" t="str">
        <x:v>No established apparent-disability match</x:v>
      </x:c>
      <x:c r="AW123" s="14"/>
      <x:c r="AX123" s="14" t="str">
        <x:v>No</x:v>
      </x:c>
      <x:c r="AY123" s="14" t="str">
        <x:v>Unmatched</x:v>
      </x:c>
      <x:c r="AZ123" s="14" t="str">
        <x:v>Final supplied register</x:v>
      </x:c>
      <x:c r="BA123" s="14" t="str">
        <x:v>Absence from the register is not evidence that the performer is not disabled.</x:v>
      </x:c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27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0.037037037037037035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4" t="str">
        <x:v>HYPERLINK is not implemented. linkLocation=https://www.imdb.com/title/tt21161156/fullcredits/,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tt21161156|nm1257280|martin gaffney</x:v>
      </x:c>
      <x:c r="B124" s="14" t="str">
        <x:v>01</x:v>
      </x:c>
      <x:c r="C124" s="14" t="str">
        <x:v>2023_IMDb_Cast_Lists_Batch_01(2).xlsx</x:v>
      </x:c>
      <x:c r="D124" s="14" t="str">
        <x:v>Beyond Paradise</x:v>
      </x:c>
      <x:c r="E124" s="14" t="n">
        <x:v>56</x:v>
      </x:c>
      <x:c r="F124" s="14" t="str">
        <x:v>Beyond Paradise</x:v>
      </x:c>
      <x:c r="G124" s="14" t="str">
        <x:v>tt21161156</x:v>
      </x:c>
      <x:c r="H124" s="14" t="n">
        <x:v>2023</x:v>
      </x:c>
      <x:c r="I124" s="14" t="n">
        <x:v>2025</x:v>
      </x:c>
      <x:c r="J124" s="14" t="str">
        <x:v>Earlier-Production Carry-In Cohort</x:v>
      </x:c>
      <x:c r="K124" s="14" t="n">
        <x:v>2023</x:v>
      </x:c>
      <x:c r="L124" s="14" t="str">
        <x:v>Not inherited</x:v>
      </x:c>
      <x:c r="M124" s="15" t="n">
        <x:v>49</x:v>
      </x:c>
      <x:c r="N124" s="14" t="str">
        <x:v>Matthew Gravelle</x:v>
      </x:c>
      <x:c r="O124" s="14" t="str">
        <x:v>nm1257280</x:v>
      </x:c>
      <x:c r="P124" s="14" t="str">
        <x:v>Martin Gaffney</x:v>
      </x:c>
      <x:c r="Q124" s="15" t="n">
        <x:v>1</x:v>
      </x:c>
      <x:c r="R124" s="14" t="str">
        <x:v>2025</x:v>
      </x:c>
      <x:c r="S124" s="14" t="n">
        <x:v>2025</x:v>
      </x:c>
      <x:c r="T124" s="14" t="n">
        <x:v>2025</x:v>
      </x:c>
      <x:c r="U124" s="14" t="str">
        <x:v>Explicit source first year retained</x:v>
      </x:c>
      <x:c r="V124" s="14" t="str">
        <x:v>Earliest supplied year is 2025.</x:v>
      </x:c>
      <x:c r="W124" s="14"/>
      <x:c r="X124" s="14" t="str">
        <x:v>Included</x:v>
      </x:c>
      <x:c r="Y124" s="14"/>
      <x:c r="Z124" s="14" t="str">
        <x:v>Beyond Paradise.docx</x:v>
      </x:c>
      <x:c r="AA124" s="14" t="str">
        <x:v>HYPERLINK is not implemented. linkLocation=https://www.imdb.com/title/tt21161156/fullcredits/,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HYPERLINK("https://en.wikipedia.org/wiki/Beyond_Paradise","Open source")</x:f>
        <x:v>HYPERLINK is not implemented. linkLocation=https://en.wikipedia.org/wiki/Beyond_Paradise, friendlyName=Open source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 t="str">
        <x:v>No established-register match</x:v>
      </x:c>
      <x:c r="AT124" s="14"/>
      <x:c r="AU124" s="14"/>
      <x:c r="AV124" s="14" t="str">
        <x:v>No established apparent-disability match</x:v>
      </x:c>
      <x:c r="AW124" s="14"/>
      <x:c r="AX124" s="14" t="str">
        <x:v>No</x:v>
      </x:c>
      <x:c r="AY124" s="14" t="str">
        <x:v>Unmatched</x:v>
      </x:c>
      <x:c r="AZ124" s="14" t="str">
        <x:v>Final supplied register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27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0.037037037037037035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4" t="str">
        <x:v>HYPERLINK is not implemented. linkLocation=https://www.imdb.com/title/tt21161156/fullcredits/,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tt21161156|nm0400673|hugo digsby</x:v>
      </x:c>
      <x:c r="B125" s="14" t="str">
        <x:v>01</x:v>
      </x:c>
      <x:c r="C125" s="14" t="str">
        <x:v>2023_IMDb_Cast_Lists_Batch_01(2).xlsx</x:v>
      </x:c>
      <x:c r="D125" s="14" t="str">
        <x:v>Beyond Paradise</x:v>
      </x:c>
      <x:c r="E125" s="14" t="n">
        <x:v>62</x:v>
      </x:c>
      <x:c r="F125" s="14" t="str">
        <x:v>Beyond Paradise</x:v>
      </x:c>
      <x:c r="G125" s="14" t="str">
        <x:v>tt21161156</x:v>
      </x:c>
      <x:c r="H125" s="14" t="n">
        <x:v>2023</x:v>
      </x:c>
      <x:c r="I125" s="14" t="n">
        <x:v>2025</x:v>
      </x:c>
      <x:c r="J125" s="14" t="str">
        <x:v>Earlier-Production Carry-In Cohort</x:v>
      </x:c>
      <x:c r="K125" s="14" t="n">
        <x:v>2023</x:v>
      </x:c>
      <x:c r="L125" s="14" t="str">
        <x:v>Not inherited</x:v>
      </x:c>
      <x:c r="M125" s="15" t="n">
        <x:v>55</x:v>
      </x:c>
      <x:c r="N125" s="14" t="str">
        <x:v>Jason Hughes</x:v>
      </x:c>
      <x:c r="O125" s="14" t="str">
        <x:v>nm0400673</x:v>
      </x:c>
      <x:c r="P125" s="14" t="str">
        <x:v>Hugo Digsby</x:v>
      </x:c>
      <x:c r="Q125" s="15" t="n">
        <x:v>1</x:v>
      </x:c>
      <x:c r="R125" s="14" t="str">
        <x:v>2025</x:v>
      </x:c>
      <x:c r="S125" s="14" t="n">
        <x:v>2025</x:v>
      </x:c>
      <x:c r="T125" s="14" t="n">
        <x:v>2025</x:v>
      </x:c>
      <x:c r="U125" s="14" t="str">
        <x:v>Explicit source first year retained</x:v>
      </x:c>
      <x:c r="V125" s="14" t="str">
        <x:v>Earliest supplied year is 2025.</x:v>
      </x:c>
      <x:c r="W125" s="14"/>
      <x:c r="X125" s="14" t="str">
        <x:v>Included</x:v>
      </x:c>
      <x:c r="Y125" s="14"/>
      <x:c r="Z125" s="14" t="str">
        <x:v>Beyond Paradise.docx</x:v>
      </x:c>
      <x:c r="AA125" s="14" t="str">
        <x:v>HYPERLINK is not implemented. linkLocation=https://www.imdb.com/title/tt21161156/fullcredits/,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BBC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HYPERLINK("https://en.wikipedia.org/wiki/Beyond_Paradise","Open source")</x:f>
        <x:v>HYPERLINK is not implemented. linkLocation=https://en.wikipedia.org/wiki/Beyond_Paradise, friendlyName=Open source</x:v>
      </x:c>
      <x:c r="AN125" s="14" t="str">
        <x:v>BBC public-service commission</x:v>
      </x:c>
      <x:c r="AO125" s="14" t="str">
        <x:v>Yes</x:v>
      </x:c>
      <x:c r="AP125" s="14" t="str">
        <x:v>Direct BBC public-service scope</x:v>
      </x:c>
      <x:c r="AQ125" s="14" t="str">
        <x:v>Yes</x:v>
      </x:c>
      <x:c r="AR125" s="14" t="str">
        <x:v>Resolved from master register</x:v>
      </x:c>
      <x:c r="AS125" s="14" t="str">
        <x:v>No established-register match</x:v>
      </x:c>
      <x:c r="AT125" s="14"/>
      <x:c r="AU125" s="14"/>
      <x:c r="AV125" s="14" t="str">
        <x:v>No established apparent-disability match</x:v>
      </x:c>
      <x:c r="AW125" s="14"/>
      <x:c r="AX125" s="14" t="str">
        <x:v>No</x:v>
      </x:c>
      <x:c r="AY125" s="14" t="str">
        <x:v>Unmatched</x:v>
      </x:c>
      <x:c r="AZ125" s="14" t="str">
        <x:v>Final supplied register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27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0.037037037037037035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4" t="str">
        <x:v>HYPERLINK is not implemented. linkLocation=https://www.imdb.com/title/tt21161156/fullcredits/,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tt21161156|nm7184185|kenny pluckley</x:v>
      </x:c>
      <x:c r="B126" s="14" t="str">
        <x:v>01</x:v>
      </x:c>
      <x:c r="C126" s="14" t="str">
        <x:v>2023_IMDb_Cast_Lists_Batch_01(2).xlsx</x:v>
      </x:c>
      <x:c r="D126" s="14" t="str">
        <x:v>Beyond Paradise</x:v>
      </x:c>
      <x:c r="E126" s="14" t="n">
        <x:v>63</x:v>
      </x:c>
      <x:c r="F126" s="14" t="str">
        <x:v>Beyond Paradise</x:v>
      </x:c>
      <x:c r="G126" s="14" t="str">
        <x:v>tt21161156</x:v>
      </x:c>
      <x:c r="H126" s="14" t="n">
        <x:v>2023</x:v>
      </x:c>
      <x:c r="I126" s="14" t="n">
        <x:v>2025</x:v>
      </x:c>
      <x:c r="J126" s="14" t="str">
        <x:v>Earlier-Production Carry-In Cohort</x:v>
      </x:c>
      <x:c r="K126" s="14" t="n">
        <x:v>2023</x:v>
      </x:c>
      <x:c r="L126" s="14" t="str">
        <x:v>Not inherited</x:v>
      </x:c>
      <x:c r="M126" s="15" t="n">
        <x:v>56</x:v>
      </x:c>
      <x:c r="N126" s="14" t="str">
        <x:v>Brandon Fellows</x:v>
      </x:c>
      <x:c r="O126" s="14" t="str">
        <x:v>nm7184185</x:v>
      </x:c>
      <x:c r="P126" s="14" t="str">
        <x:v>Kenny Pluckley</x:v>
      </x:c>
      <x:c r="Q126" s="15" t="n">
        <x:v>1</x:v>
      </x:c>
      <x:c r="R126" s="14" t="str">
        <x:v>2025</x:v>
      </x:c>
      <x:c r="S126" s="14" t="n">
        <x:v>2025</x:v>
      </x:c>
      <x:c r="T126" s="14" t="n">
        <x:v>2025</x:v>
      </x:c>
      <x:c r="U126" s="14" t="str">
        <x:v>Explicit source first year retained</x:v>
      </x:c>
      <x:c r="V126" s="14" t="str">
        <x:v>Earliest supplied year is 2025.</x:v>
      </x:c>
      <x:c r="W126" s="14"/>
      <x:c r="X126" s="14" t="str">
        <x:v>Included</x:v>
      </x:c>
      <x:c r="Y126" s="14"/>
      <x:c r="Z126" s="14" t="str">
        <x:v>Beyond Paradise.docx</x:v>
      </x:c>
      <x:c r="AA126" s="14" t="str">
        <x:v>HYPERLINK is not implemented. linkLocation=https://www.imdb.com/title/tt21161156/fullcredits/,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BBC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HYPERLINK("https://en.wikipedia.org/wiki/Beyond_Paradise","Open source")</x:f>
        <x:v>HYPERLINK is not implemented. linkLocation=https://en.wikipedia.org/wiki/Beyond_Paradise, friendlyName=Open source</x:v>
      </x:c>
      <x:c r="AN126" s="14" t="str">
        <x:v>BBC public-service commission</x:v>
      </x:c>
      <x:c r="AO126" s="14" t="str">
        <x:v>Yes</x:v>
      </x:c>
      <x:c r="AP126" s="14" t="str">
        <x:v>Direct BBC public-service scope</x:v>
      </x:c>
      <x:c r="AQ126" s="14" t="str">
        <x:v>Yes</x:v>
      </x:c>
      <x:c r="AR126" s="14" t="str">
        <x:v>Resolved from master register</x:v>
      </x:c>
      <x:c r="AS126" s="14" t="str">
        <x:v>No established-register match</x:v>
      </x:c>
      <x:c r="AT126" s="14"/>
      <x:c r="AU126" s="14"/>
      <x:c r="AV126" s="14" t="str">
        <x:v>No established apparent-disability match</x:v>
      </x:c>
      <x:c r="AW126" s="14"/>
      <x:c r="AX126" s="14" t="str">
        <x:v>No</x:v>
      </x:c>
      <x:c r="AY126" s="14" t="str">
        <x:v>Unmatched</x:v>
      </x:c>
      <x:c r="AZ126" s="14" t="str">
        <x:v>Final supplied register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27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0.037037037037037035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4" t="str">
        <x:v>HYPERLINK is not implemented. linkLocation=https://www.imdb.com/title/tt21161156/fullcredits/,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tt21161156|nm0040607|sherie howard</x:v>
      </x:c>
      <x:c r="B127" s="14" t="str">
        <x:v>01</x:v>
      </x:c>
      <x:c r="C127" s="14" t="str">
        <x:v>2023_IMDb_Cast_Lists_Batch_01(2).xlsx</x:v>
      </x:c>
      <x:c r="D127" s="14" t="str">
        <x:v>Beyond Paradise</x:v>
      </x:c>
      <x:c r="E127" s="14" t="n">
        <x:v>70</x:v>
      </x:c>
      <x:c r="F127" s="14" t="str">
        <x:v>Beyond Paradise</x:v>
      </x:c>
      <x:c r="G127" s="14" t="str">
        <x:v>tt21161156</x:v>
      </x:c>
      <x:c r="H127" s="14" t="n">
        <x:v>2023</x:v>
      </x:c>
      <x:c r="I127" s="14" t="n">
        <x:v>2025</x:v>
      </x:c>
      <x:c r="J127" s="14" t="str">
        <x:v>Earlier-Production Carry-In Cohort</x:v>
      </x:c>
      <x:c r="K127" s="14" t="n">
        <x:v>2023</x:v>
      </x:c>
      <x:c r="L127" s="14" t="str">
        <x:v>Not inherited</x:v>
      </x:c>
      <x:c r="M127" s="15" t="n">
        <x:v>63</x:v>
      </x:c>
      <x:c r="N127" s="14" t="str">
        <x:v>Holly Atkins</x:v>
      </x:c>
      <x:c r="O127" s="14" t="str">
        <x:v>nm0040607</x:v>
      </x:c>
      <x:c r="P127" s="14" t="str">
        <x:v>Sherie Howard</x:v>
      </x:c>
      <x:c r="Q127" s="15" t="n">
        <x:v>1</x:v>
      </x:c>
      <x:c r="R127" s="14" t="str">
        <x:v>2025</x:v>
      </x:c>
      <x:c r="S127" s="14" t="n">
        <x:v>2025</x:v>
      </x:c>
      <x:c r="T127" s="14" t="n">
        <x:v>2025</x:v>
      </x:c>
      <x:c r="U127" s="14" t="str">
        <x:v>Explicit source first year retained</x:v>
      </x:c>
      <x:c r="V127" s="14" t="str">
        <x:v>Earliest supplied year is 2025.</x:v>
      </x:c>
      <x:c r="W127" s="14"/>
      <x:c r="X127" s="14" t="str">
        <x:v>Included</x:v>
      </x:c>
      <x:c r="Y127" s="14"/>
      <x:c r="Z127" s="14" t="str">
        <x:v>Beyond Paradise.docx</x:v>
      </x:c>
      <x:c r="AA127" s="14" t="str">
        <x:v>HYPERLINK is not implemented. linkLocation=https://www.imdb.com/title/tt21161156/fullcredits/,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BBC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HYPERLINK("https://en.wikipedia.org/wiki/Beyond_Paradise","Open source")</x:f>
        <x:v>HYPERLINK is not implemented. linkLocation=https://en.wikipedia.org/wiki/Beyond_Paradise, friendlyName=Open source</x:v>
      </x:c>
      <x:c r="AN127" s="14" t="str">
        <x:v>BBC public-service commission</x:v>
      </x:c>
      <x:c r="AO127" s="14" t="str">
        <x:v>Yes</x:v>
      </x:c>
      <x:c r="AP127" s="14" t="str">
        <x:v>Direct BBC public-service scope</x:v>
      </x:c>
      <x:c r="AQ127" s="14" t="str">
        <x:v>Yes</x:v>
      </x:c>
      <x:c r="AR127" s="14" t="str">
        <x:v>Resolved from master register</x:v>
      </x:c>
      <x:c r="AS127" s="14" t="str">
        <x:v>No established-register match</x:v>
      </x:c>
      <x:c r="AT127" s="14"/>
      <x:c r="AU127" s="14"/>
      <x:c r="AV127" s="14" t="str">
        <x:v>No established apparent-disability match</x:v>
      </x:c>
      <x:c r="AW127" s="14"/>
      <x:c r="AX127" s="14" t="str">
        <x:v>No</x:v>
      </x:c>
      <x:c r="AY127" s="14" t="str">
        <x:v>Unmatched</x:v>
      </x:c>
      <x:c r="AZ127" s="14" t="str">
        <x:v>Final supplied register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27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0.037037037037037035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4" t="str">
        <x:v>HYPERLINK is not implemented. linkLocation=https://www.imdb.com/title/tt21161156/fullcredits/,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tt21161156|nm10281028|ben taylor</x:v>
      </x:c>
      <x:c r="B128" s="14" t="str">
        <x:v>01</x:v>
      </x:c>
      <x:c r="C128" s="14" t="str">
        <x:v>2023_IMDb_Cast_Lists_Batch_01(2).xlsx</x:v>
      </x:c>
      <x:c r="D128" s="14" t="str">
        <x:v>Beyond Paradise</x:v>
      </x:c>
      <x:c r="E128" s="14" t="n">
        <x:v>71</x:v>
      </x:c>
      <x:c r="F128" s="14" t="str">
        <x:v>Beyond Paradise</x:v>
      </x:c>
      <x:c r="G128" s="14" t="str">
        <x:v>tt21161156</x:v>
      </x:c>
      <x:c r="H128" s="14" t="n">
        <x:v>2023</x:v>
      </x:c>
      <x:c r="I128" s="14" t="n">
        <x:v>2025</x:v>
      </x:c>
      <x:c r="J128" s="14" t="str">
        <x:v>Earlier-Production Carry-In Cohort</x:v>
      </x:c>
      <x:c r="K128" s="14" t="n">
        <x:v>2023</x:v>
      </x:c>
      <x:c r="L128" s="14" t="str">
        <x:v>Not inherited</x:v>
      </x:c>
      <x:c r="M128" s="15" t="n">
        <x:v>64</x:v>
      </x:c>
      <x:c r="N128" s="14" t="str">
        <x:v>Lance West</x:v>
      </x:c>
      <x:c r="O128" s="14" t="str">
        <x:v>nm10281028</x:v>
      </x:c>
      <x:c r="P128" s="14" t="str">
        <x:v>Ben Taylor</x:v>
      </x:c>
      <x:c r="Q128" s="15" t="n">
        <x:v>1</x:v>
      </x:c>
      <x:c r="R128" s="14" t="str">
        <x:v>2025</x:v>
      </x:c>
      <x:c r="S128" s="14" t="n">
        <x:v>2025</x:v>
      </x:c>
      <x:c r="T128" s="14" t="n">
        <x:v>2025</x:v>
      </x:c>
      <x:c r="U128" s="14" t="str">
        <x:v>Explicit source first year retained</x:v>
      </x:c>
      <x:c r="V128" s="14" t="str">
        <x:v>Earliest supplied year is 2025.</x:v>
      </x:c>
      <x:c r="W128" s="14"/>
      <x:c r="X128" s="14" t="str">
        <x:v>Included</x:v>
      </x:c>
      <x:c r="Y128" s="14"/>
      <x:c r="Z128" s="14" t="str">
        <x:v>Beyond Paradise.docx</x:v>
      </x:c>
      <x:c r="AA128" s="14" t="str">
        <x:v>HYPERLINK is not implemented. linkLocation=https://www.imdb.com/title/tt21161156/fullcredits/,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BBC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HYPERLINK("https://en.wikipedia.org/wiki/Beyond_Paradise","Open source")</x:f>
        <x:v>HYPERLINK is not implemented. linkLocation=https://en.wikipedia.org/wiki/Beyond_Paradise, friendlyName=Open source</x:v>
      </x:c>
      <x:c r="AN128" s="14" t="str">
        <x:v>BBC public-service commission</x:v>
      </x:c>
      <x:c r="AO128" s="14" t="str">
        <x:v>Yes</x:v>
      </x:c>
      <x:c r="AP128" s="14" t="str">
        <x:v>Direct BBC public-service scope</x:v>
      </x:c>
      <x:c r="AQ128" s="14" t="str">
        <x:v>Yes</x:v>
      </x:c>
      <x:c r="AR128" s="14" t="str">
        <x:v>Resolved from master register</x:v>
      </x:c>
      <x:c r="AS128" s="14" t="str">
        <x:v>No established-register match</x:v>
      </x:c>
      <x:c r="AT128" s="14"/>
      <x:c r="AU128" s="14"/>
      <x:c r="AV128" s="14" t="str">
        <x:v>No established apparent-disability match</x:v>
      </x:c>
      <x:c r="AW128" s="14"/>
      <x:c r="AX128" s="14" t="str">
        <x:v>No</x:v>
      </x:c>
      <x:c r="AY128" s="14" t="str">
        <x:v>Unmatched</x:v>
      </x:c>
      <x:c r="AZ128" s="14" t="str">
        <x:v>Final supplied register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27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0.037037037037037035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4" t="str">
        <x:v>HYPERLINK is not implemented. linkLocation=https://www.imdb.com/title/tt21161156/fullcredits/,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tt21161156|nm1357414|dr. lionel jennings</x:v>
      </x:c>
      <x:c r="B129" s="14" t="str">
        <x:v>01</x:v>
      </x:c>
      <x:c r="C129" s="14" t="str">
        <x:v>2023_IMDb_Cast_Lists_Batch_01(2).xlsx</x:v>
      </x:c>
      <x:c r="D129" s="14" t="str">
        <x:v>Beyond Paradise</x:v>
      </x:c>
      <x:c r="E129" s="14" t="n">
        <x:v>77</x:v>
      </x:c>
      <x:c r="F129" s="14" t="str">
        <x:v>Beyond Paradise</x:v>
      </x:c>
      <x:c r="G129" s="14" t="str">
        <x:v>tt21161156</x:v>
      </x:c>
      <x:c r="H129" s="14" t="n">
        <x:v>2023</x:v>
      </x:c>
      <x:c r="I129" s="14" t="n">
        <x:v>2025</x:v>
      </x:c>
      <x:c r="J129" s="14" t="str">
        <x:v>Earlier-Production Carry-In Cohort</x:v>
      </x:c>
      <x:c r="K129" s="14" t="n">
        <x:v>2023</x:v>
      </x:c>
      <x:c r="L129" s="14" t="str">
        <x:v>Not inherited</x:v>
      </x:c>
      <x:c r="M129" s="15" t="n">
        <x:v>70</x:v>
      </x:c>
      <x:c r="N129" s="14" t="str">
        <x:v>Abdul Salis</x:v>
      </x:c>
      <x:c r="O129" s="14" t="str">
        <x:v>nm1357414</x:v>
      </x:c>
      <x:c r="P129" s="14" t="str">
        <x:v>Dr. Lionel Jennings</x:v>
      </x:c>
      <x:c r="Q129" s="15" t="n">
        <x:v>1</x:v>
      </x:c>
      <x:c r="R129" s="14" t="str">
        <x:v>2025</x:v>
      </x:c>
      <x:c r="S129" s="14" t="n">
        <x:v>2025</x:v>
      </x:c>
      <x:c r="T129" s="14" t="n">
        <x:v>2025</x:v>
      </x:c>
      <x:c r="U129" s="14" t="str">
        <x:v>Explicit source first year retained</x:v>
      </x:c>
      <x:c r="V129" s="14" t="str">
        <x:v>Earliest supplied year is 2025.</x:v>
      </x:c>
      <x:c r="W129" s="14"/>
      <x:c r="X129" s="14" t="str">
        <x:v>Included</x:v>
      </x:c>
      <x:c r="Y129" s="14"/>
      <x:c r="Z129" s="14" t="str">
        <x:v>Beyond Paradise.docx</x:v>
      </x:c>
      <x:c r="AA129" s="14" t="str">
        <x:v>HYPERLINK is not implemented. linkLocation=https://www.imdb.com/title/tt21161156/fullcredits/,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BBC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HYPERLINK("https://en.wikipedia.org/wiki/Beyond_Paradise","Open source")</x:f>
        <x:v>HYPERLINK is not implemented. linkLocation=https://en.wikipedia.org/wiki/Beyond_Paradise, friendlyName=Open source</x:v>
      </x:c>
      <x:c r="AN129" s="14" t="str">
        <x:v>BBC public-service commission</x:v>
      </x:c>
      <x:c r="AO129" s="14" t="str">
        <x:v>Yes</x:v>
      </x:c>
      <x:c r="AP129" s="14" t="str">
        <x:v>Direct BBC public-service scope</x:v>
      </x:c>
      <x:c r="AQ129" s="14" t="str">
        <x:v>Yes</x:v>
      </x:c>
      <x:c r="AR129" s="14" t="str">
        <x:v>Resolved from master register</x:v>
      </x:c>
      <x:c r="AS129" s="14" t="str">
        <x:v>No established-register match</x:v>
      </x:c>
      <x:c r="AT129" s="14"/>
      <x:c r="AU129" s="14"/>
      <x:c r="AV129" s="14" t="str">
        <x:v>No established apparent-disability match</x:v>
      </x:c>
      <x:c r="AW129" s="14"/>
      <x:c r="AX129" s="14" t="str">
        <x:v>No</x:v>
      </x:c>
      <x:c r="AY129" s="14" t="str">
        <x:v>Unmatched</x:v>
      </x:c>
      <x:c r="AZ129" s="14" t="str">
        <x:v>Final supplied register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27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0.037037037037037035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4" t="str">
        <x:v>HYPERLINK is not implemented. linkLocation=https://www.imdb.com/title/tt21161156/fullcredits/,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tt21161156|nm0192805|angela palmer</x:v>
      </x:c>
      <x:c r="B130" s="14" t="str">
        <x:v>01</x:v>
      </x:c>
      <x:c r="C130" s="14" t="str">
        <x:v>2023_IMDb_Cast_Lists_Batch_01(2).xlsx</x:v>
      </x:c>
      <x:c r="D130" s="14" t="str">
        <x:v>Beyond Paradise</x:v>
      </x:c>
      <x:c r="E130" s="14" t="n">
        <x:v>78</x:v>
      </x:c>
      <x:c r="F130" s="14" t="str">
        <x:v>Beyond Paradise</x:v>
      </x:c>
      <x:c r="G130" s="14" t="str">
        <x:v>tt21161156</x:v>
      </x:c>
      <x:c r="H130" s="14" t="n">
        <x:v>2023</x:v>
      </x:c>
      <x:c r="I130" s="14" t="n">
        <x:v>2025</x:v>
      </x:c>
      <x:c r="J130" s="14" t="str">
        <x:v>Earlier-Production Carry-In Cohort</x:v>
      </x:c>
      <x:c r="K130" s="14" t="n">
        <x:v>2023</x:v>
      </x:c>
      <x:c r="L130" s="14" t="str">
        <x:v>Not inherited</x:v>
      </x:c>
      <x:c r="M130" s="15" t="n">
        <x:v>71</x:v>
      </x:c>
      <x:c r="N130" s="14" t="str">
        <x:v>Angela Curran</x:v>
      </x:c>
      <x:c r="O130" s="14" t="str">
        <x:v>nm0192805</x:v>
      </x:c>
      <x:c r="P130" s="14" t="str">
        <x:v>Angela Palmer</x:v>
      </x:c>
      <x:c r="Q130" s="15" t="n">
        <x:v>1</x:v>
      </x:c>
      <x:c r="R130" s="14" t="str">
        <x:v>2025</x:v>
      </x:c>
      <x:c r="S130" s="14" t="n">
        <x:v>2025</x:v>
      </x:c>
      <x:c r="T130" s="14" t="n">
        <x:v>2025</x:v>
      </x:c>
      <x:c r="U130" s="14" t="str">
        <x:v>Explicit source first year retained</x:v>
      </x:c>
      <x:c r="V130" s="14" t="str">
        <x:v>Earliest supplied year is 2025.</x:v>
      </x:c>
      <x:c r="W130" s="14"/>
      <x:c r="X130" s="14" t="str">
        <x:v>Included</x:v>
      </x:c>
      <x:c r="Y130" s="14"/>
      <x:c r="Z130" s="14" t="str">
        <x:v>Beyond Paradise.docx</x:v>
      </x:c>
      <x:c r="AA130" s="14" t="str">
        <x:v>HYPERLINK is not implemented. linkLocation=https://www.imdb.com/title/tt21161156/fullcredits/,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BBC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HYPERLINK("https://en.wikipedia.org/wiki/Beyond_Paradise","Open source")</x:f>
        <x:v>HYPERLINK is not implemented. linkLocation=https://en.wikipedia.org/wiki/Beyond_Paradise, friendlyName=Open source</x:v>
      </x:c>
      <x:c r="AN130" s="14" t="str">
        <x:v>BBC public-service commission</x:v>
      </x:c>
      <x:c r="AO130" s="14" t="str">
        <x:v>Yes</x:v>
      </x:c>
      <x:c r="AP130" s="14" t="str">
        <x:v>Direct BBC public-service scope</x:v>
      </x:c>
      <x:c r="AQ130" s="14" t="str">
        <x:v>Yes</x:v>
      </x:c>
      <x:c r="AR130" s="14" t="str">
        <x:v>Resolved from master register</x:v>
      </x:c>
      <x:c r="AS130" s="14" t="str">
        <x:v>No established-register match</x:v>
      </x:c>
      <x:c r="AT130" s="14"/>
      <x:c r="AU130" s="14"/>
      <x:c r="AV130" s="14" t="str">
        <x:v>No established apparent-disability match</x:v>
      </x:c>
      <x:c r="AW130" s="14"/>
      <x:c r="AX130" s="14" t="str">
        <x:v>No</x:v>
      </x:c>
      <x:c r="AY130" s="14" t="str">
        <x:v>Unmatched</x:v>
      </x:c>
      <x:c r="AZ130" s="14" t="str">
        <x:v>Final supplied register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27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0.037037037037037035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4" t="str">
        <x:v>HYPERLINK is not implemented. linkLocation=https://www.imdb.com/title/tt21161156/fullcredits/,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tt21161156|nm5220737|lizzie dyer</x:v>
      </x:c>
      <x:c r="B131" s="14" t="str">
        <x:v>01</x:v>
      </x:c>
      <x:c r="C131" s="14" t="str">
        <x:v>2023_IMDb_Cast_Lists_Batch_01(2).xlsx</x:v>
      </x:c>
      <x:c r="D131" s="14" t="str">
        <x:v>Beyond Paradise</x:v>
      </x:c>
      <x:c r="E131" s="14" t="n">
        <x:v>82</x:v>
      </x:c>
      <x:c r="F131" s="14" t="str">
        <x:v>Beyond Paradise</x:v>
      </x:c>
      <x:c r="G131" s="14" t="str">
        <x:v>tt21161156</x:v>
      </x:c>
      <x:c r="H131" s="14" t="n">
        <x:v>2023</x:v>
      </x:c>
      <x:c r="I131" s="14" t="n">
        <x:v>2025</x:v>
      </x:c>
      <x:c r="J131" s="14" t="str">
        <x:v>Earlier-Production Carry-In Cohort</x:v>
      </x:c>
      <x:c r="K131" s="14" t="n">
        <x:v>2023</x:v>
      </x:c>
      <x:c r="L131" s="14" t="str">
        <x:v>Not inherited</x:v>
      </x:c>
      <x:c r="M131" s="15" t="n">
        <x:v>75</x:v>
      </x:c>
      <x:c r="N131" s="14" t="str">
        <x:v>Bebe Sanders</x:v>
      </x:c>
      <x:c r="O131" s="14" t="str">
        <x:v>nm5220737</x:v>
      </x:c>
      <x:c r="P131" s="14" t="str">
        <x:v>Lizzie Dyer</x:v>
      </x:c>
      <x:c r="Q131" s="15" t="n">
        <x:v>1</x:v>
      </x:c>
      <x:c r="R131" s="14" t="str">
        <x:v>2025</x:v>
      </x:c>
      <x:c r="S131" s="14" t="n">
        <x:v>2025</x:v>
      </x:c>
      <x:c r="T131" s="14" t="n">
        <x:v>2025</x:v>
      </x:c>
      <x:c r="U131" s="14" t="str">
        <x:v>Explicit source first year retained</x:v>
      </x:c>
      <x:c r="V131" s="14" t="str">
        <x:v>Earliest supplied year is 2025.</x:v>
      </x:c>
      <x:c r="W131" s="14"/>
      <x:c r="X131" s="14" t="str">
        <x:v>Included</x:v>
      </x:c>
      <x:c r="Y131" s="14"/>
      <x:c r="Z131" s="14" t="str">
        <x:v>Beyond Paradise.docx</x:v>
      </x:c>
      <x:c r="AA131" s="14" t="str">
        <x:v>HYPERLINK is not implemented. linkLocation=https://www.imdb.com/title/tt21161156/fullcredits/,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BBC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HYPERLINK("https://en.wikipedia.org/wiki/Beyond_Paradise","Open source")</x:f>
        <x:v>HYPERLINK is not implemented. linkLocation=https://en.wikipedia.org/wiki/Beyond_Paradise, friendlyName=Open source</x:v>
      </x:c>
      <x:c r="AN131" s="14" t="str">
        <x:v>BBC public-service commission</x:v>
      </x:c>
      <x:c r="AO131" s="14" t="str">
        <x:v>Yes</x:v>
      </x:c>
      <x:c r="AP131" s="14" t="str">
        <x:v>Direct BBC public-service scope</x:v>
      </x:c>
      <x:c r="AQ131" s="14" t="str">
        <x:v>Yes</x:v>
      </x:c>
      <x:c r="AR131" s="14" t="str">
        <x:v>Resolved from master register</x:v>
      </x:c>
      <x:c r="AS131" s="14" t="str">
        <x:v>No established-register match</x:v>
      </x:c>
      <x:c r="AT131" s="14"/>
      <x:c r="AU131" s="14"/>
      <x:c r="AV131" s="14" t="str">
        <x:v>No established apparent-disability match</x:v>
      </x:c>
      <x:c r="AW131" s="14"/>
      <x:c r="AX131" s="14" t="str">
        <x:v>No</x:v>
      </x:c>
      <x:c r="AY131" s="14" t="str">
        <x:v>Unmatched</x:v>
      </x:c>
      <x:c r="AZ131" s="14" t="str">
        <x:v>Final supplied register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27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0.037037037037037035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4" t="str">
        <x:v>HYPERLINK is not implemented. linkLocation=https://www.imdb.com/title/tt21161156/fullcredits/,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tt21161156|nm6521386|danny</x:v>
      </x:c>
      <x:c r="B132" s="14" t="str">
        <x:v>01</x:v>
      </x:c>
      <x:c r="C132" s="14" t="str">
        <x:v>2023_IMDb_Cast_Lists_Batch_01(2).xlsx</x:v>
      </x:c>
      <x:c r="D132" s="14" t="str">
        <x:v>Beyond Paradise</x:v>
      </x:c>
      <x:c r="E132" s="14" t="n">
        <x:v>88</x:v>
      </x:c>
      <x:c r="F132" s="14" t="str">
        <x:v>Beyond Paradise</x:v>
      </x:c>
      <x:c r="G132" s="14" t="str">
        <x:v>tt21161156</x:v>
      </x:c>
      <x:c r="H132" s="14" t="n">
        <x:v>2023</x:v>
      </x:c>
      <x:c r="I132" s="14" t="n">
        <x:v>2025</x:v>
      </x:c>
      <x:c r="J132" s="14" t="str">
        <x:v>Earlier-Production Carry-In Cohort</x:v>
      </x:c>
      <x:c r="K132" s="14" t="n">
        <x:v>2023</x:v>
      </x:c>
      <x:c r="L132" s="14" t="str">
        <x:v>Not inherited</x:v>
      </x:c>
      <x:c r="M132" s="15" t="n">
        <x:v>81</x:v>
      </x:c>
      <x:c r="N132" s="14" t="str">
        <x:v>Joseph Ollman</x:v>
      </x:c>
      <x:c r="O132" s="14" t="str">
        <x:v>nm6521386</x:v>
      </x:c>
      <x:c r="P132" s="14" t="str">
        <x:v>Danny</x:v>
      </x:c>
      <x:c r="Q132" s="15" t="n">
        <x:v>1</x:v>
      </x:c>
      <x:c r="R132" s="14" t="str">
        <x:v>2025</x:v>
      </x:c>
      <x:c r="S132" s="14" t="n">
        <x:v>2025</x:v>
      </x:c>
      <x:c r="T132" s="14" t="n">
        <x:v>2025</x:v>
      </x:c>
      <x:c r="U132" s="14" t="str">
        <x:v>Explicit source first year retained</x:v>
      </x:c>
      <x:c r="V132" s="14" t="str">
        <x:v>Earliest supplied year is 2025.</x:v>
      </x:c>
      <x:c r="W132" s="14"/>
      <x:c r="X132" s="14" t="str">
        <x:v>Included</x:v>
      </x:c>
      <x:c r="Y132" s="14"/>
      <x:c r="Z132" s="14" t="str">
        <x:v>Beyond Paradise.docx</x:v>
      </x:c>
      <x:c r="AA132" s="14" t="str">
        <x:v>HYPERLINK is not implemented. linkLocation=https://www.imdb.com/title/tt21161156/fullcredits/,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BBC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HYPERLINK("https://en.wikipedia.org/wiki/Beyond_Paradise","Open source")</x:f>
        <x:v>HYPERLINK is not implemented. linkLocation=https://en.wikipedia.org/wiki/Beyond_Paradise, friendlyName=Open source</x:v>
      </x:c>
      <x:c r="AN132" s="14" t="str">
        <x:v>BBC public-service commission</x:v>
      </x:c>
      <x:c r="AO132" s="14" t="str">
        <x:v>Yes</x:v>
      </x:c>
      <x:c r="AP132" s="14" t="str">
        <x:v>Direct BBC public-service scope</x:v>
      </x:c>
      <x:c r="AQ132" s="14" t="str">
        <x:v>Yes</x:v>
      </x:c>
      <x:c r="AR132" s="14" t="str">
        <x:v>Resolved from master register</x:v>
      </x:c>
      <x:c r="AS132" s="14" t="str">
        <x:v>No established-register match</x:v>
      </x:c>
      <x:c r="AT132" s="14"/>
      <x:c r="AU132" s="14"/>
      <x:c r="AV132" s="14" t="str">
        <x:v>No established apparent-disability match</x:v>
      </x:c>
      <x:c r="AW132" s="14"/>
      <x:c r="AX132" s="14" t="str">
        <x:v>No</x:v>
      </x:c>
      <x:c r="AY132" s="14" t="str">
        <x:v>Unmatched</x:v>
      </x:c>
      <x:c r="AZ132" s="14" t="str">
        <x:v>Final supplied register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27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0.037037037037037035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4" t="str">
        <x:v>HYPERLINK is not implemented. linkLocation=https://www.imdb.com/title/tt21161156/fullcredits/,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tt21161156|nm0318321|jane buswell</x:v>
      </x:c>
      <x:c r="B133" s="14" t="str">
        <x:v>01</x:v>
      </x:c>
      <x:c r="C133" s="14" t="str">
        <x:v>2023_IMDb_Cast_Lists_Batch_01(2).xlsx</x:v>
      </x:c>
      <x:c r="D133" s="14" t="str">
        <x:v>Beyond Paradise</x:v>
      </x:c>
      <x:c r="E133" s="14" t="n">
        <x:v>95</x:v>
      </x:c>
      <x:c r="F133" s="14" t="str">
        <x:v>Beyond Paradise</x:v>
      </x:c>
      <x:c r="G133" s="14" t="str">
        <x:v>tt21161156</x:v>
      </x:c>
      <x:c r="H133" s="14" t="n">
        <x:v>2023</x:v>
      </x:c>
      <x:c r="I133" s="14" t="n">
        <x:v>2025</x:v>
      </x:c>
      <x:c r="J133" s="14" t="str">
        <x:v>Earlier-Production Carry-In Cohort</x:v>
      </x:c>
      <x:c r="K133" s="14" t="n">
        <x:v>2023</x:v>
      </x:c>
      <x:c r="L133" s="14" t="str">
        <x:v>Not inherited</x:v>
      </x:c>
      <x:c r="M133" s="15" t="n">
        <x:v>88</x:v>
      </x:c>
      <x:c r="N133" s="14" t="str">
        <x:v>Alexandra Gilbreath</x:v>
      </x:c>
      <x:c r="O133" s="14" t="str">
        <x:v>nm0318321</x:v>
      </x:c>
      <x:c r="P133" s="14" t="str">
        <x:v>Jane Buswell</x:v>
      </x:c>
      <x:c r="Q133" s="15" t="n">
        <x:v>1</x:v>
      </x:c>
      <x:c r="R133" s="14" t="str">
        <x:v>2025</x:v>
      </x:c>
      <x:c r="S133" s="14" t="n">
        <x:v>2025</x:v>
      </x:c>
      <x:c r="T133" s="14" t="n">
        <x:v>2025</x:v>
      </x:c>
      <x:c r="U133" s="14" t="str">
        <x:v>Explicit source first year retained</x:v>
      </x:c>
      <x:c r="V133" s="14" t="str">
        <x:v>Earliest supplied year is 2025.</x:v>
      </x:c>
      <x:c r="W133" s="14"/>
      <x:c r="X133" s="14" t="str">
        <x:v>Included</x:v>
      </x:c>
      <x:c r="Y133" s="14"/>
      <x:c r="Z133" s="14" t="str">
        <x:v>Beyond Paradise.docx</x:v>
      </x:c>
      <x:c r="AA133" s="14" t="str">
        <x:v>HYPERLINK is not implemented. linkLocation=https://www.imdb.com/title/tt21161156/fullcredits/,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BBC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HYPERLINK("https://en.wikipedia.org/wiki/Beyond_Paradise","Open source")</x:f>
        <x:v>HYPERLINK is not implemented. linkLocation=https://en.wikipedia.org/wiki/Beyond_Paradise, friendlyName=Open source</x:v>
      </x:c>
      <x:c r="AN133" s="14" t="str">
        <x:v>BBC public-service commission</x:v>
      </x:c>
      <x:c r="AO133" s="14" t="str">
        <x:v>Yes</x:v>
      </x:c>
      <x:c r="AP133" s="14" t="str">
        <x:v>Direct BBC public-service scope</x:v>
      </x:c>
      <x:c r="AQ133" s="14" t="str">
        <x:v>Yes</x:v>
      </x:c>
      <x:c r="AR133" s="14" t="str">
        <x:v>Resolved from master register</x:v>
      </x:c>
      <x:c r="AS133" s="14" t="str">
        <x:v>No established-register match</x:v>
      </x:c>
      <x:c r="AT133" s="14"/>
      <x:c r="AU133" s="14"/>
      <x:c r="AV133" s="14" t="str">
        <x:v>No established apparent-disability match</x:v>
      </x:c>
      <x:c r="AW133" s="14"/>
      <x:c r="AX133" s="14" t="str">
        <x:v>No</x:v>
      </x:c>
      <x:c r="AY133" s="14" t="str">
        <x:v>Unmatched</x:v>
      </x:c>
      <x:c r="AZ133" s="14" t="str">
        <x:v>Final supplied register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27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0.037037037037037035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4" t="str">
        <x:v>HYPERLINK is not implemented. linkLocation=https://www.imdb.com/title/tt21161156/fullcredits/,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tt21161156|nm0484202|terry finch</x:v>
      </x:c>
      <x:c r="B134" s="14" t="str">
        <x:v>01</x:v>
      </x:c>
      <x:c r="C134" s="14" t="str">
        <x:v>2023_IMDb_Cast_Lists_Batch_01(2).xlsx</x:v>
      </x:c>
      <x:c r="D134" s="14" t="str">
        <x:v>Beyond Paradise</x:v>
      </x:c>
      <x:c r="E134" s="14" t="n">
        <x:v>106</x:v>
      </x:c>
      <x:c r="F134" s="14" t="str">
        <x:v>Beyond Paradise</x:v>
      </x:c>
      <x:c r="G134" s="14" t="str">
        <x:v>tt21161156</x:v>
      </x:c>
      <x:c r="H134" s="14" t="n">
        <x:v>2023</x:v>
      </x:c>
      <x:c r="I134" s="14" t="n">
        <x:v>2025</x:v>
      </x:c>
      <x:c r="J134" s="14" t="str">
        <x:v>Earlier-Production Carry-In Cohort</x:v>
      </x:c>
      <x:c r="K134" s="14" t="n">
        <x:v>2023</x:v>
      </x:c>
      <x:c r="L134" s="14" t="str">
        <x:v>Not inherited</x:v>
      </x:c>
      <x:c r="M134" s="15" t="n">
        <x:v>99</x:v>
      </x:c>
      <x:c r="N134" s="14" t="str">
        <x:v>James Lance</x:v>
      </x:c>
      <x:c r="O134" s="14" t="str">
        <x:v>nm0484202</x:v>
      </x:c>
      <x:c r="P134" s="14" t="str">
        <x:v>Terry Finch</x:v>
      </x:c>
      <x:c r="Q134" s="15" t="n">
        <x:v>1</x:v>
      </x:c>
      <x:c r="R134" s="14" t="str">
        <x:v>2025</x:v>
      </x:c>
      <x:c r="S134" s="14" t="n">
        <x:v>2025</x:v>
      </x:c>
      <x:c r="T134" s="14" t="n">
        <x:v>2025</x:v>
      </x:c>
      <x:c r="U134" s="14" t="str">
        <x:v>Explicit source first year retained</x:v>
      </x:c>
      <x:c r="V134" s="14" t="str">
        <x:v>Earliest supplied year is 2025.</x:v>
      </x:c>
      <x:c r="W134" s="14"/>
      <x:c r="X134" s="14" t="str">
        <x:v>Included</x:v>
      </x:c>
      <x:c r="Y134" s="14"/>
      <x:c r="Z134" s="14" t="str">
        <x:v>Beyond Paradise.docx</x:v>
      </x:c>
      <x:c r="AA134" s="14" t="str">
        <x:v>HYPERLINK is not implemented. linkLocation=https://www.imdb.com/title/tt21161156/fullcredits/,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BBC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HYPERLINK("https://en.wikipedia.org/wiki/Beyond_Paradise","Open source")</x:f>
        <x:v>HYPERLINK is not implemented. linkLocation=https://en.wikipedia.org/wiki/Beyond_Paradise, friendlyName=Open source</x:v>
      </x:c>
      <x:c r="AN134" s="14" t="str">
        <x:v>BBC public-service commission</x:v>
      </x:c>
      <x:c r="AO134" s="14" t="str">
        <x:v>Yes</x:v>
      </x:c>
      <x:c r="AP134" s="14" t="str">
        <x:v>Direct BBC public-service scope</x:v>
      </x:c>
      <x:c r="AQ134" s="14" t="str">
        <x:v>Yes</x:v>
      </x:c>
      <x:c r="AR134" s="14" t="str">
        <x:v>Resolved from master register</x:v>
      </x:c>
      <x:c r="AS134" s="14" t="str">
        <x:v>No established-register match</x:v>
      </x:c>
      <x:c r="AT134" s="14"/>
      <x:c r="AU134" s="14"/>
      <x:c r="AV134" s="14" t="str">
        <x:v>No established apparent-disability match</x:v>
      </x:c>
      <x:c r="AW134" s="14"/>
      <x:c r="AX134" s="14" t="str">
        <x:v>No</x:v>
      </x:c>
      <x:c r="AY134" s="14" t="str">
        <x:v>Unmatched</x:v>
      </x:c>
      <x:c r="AZ134" s="14" t="str">
        <x:v>Final supplied register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27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0.037037037037037035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4" t="str">
        <x:v>HYPERLINK is not implemented. linkLocation=https://www.imdb.com/title/tt21161156/fullcredits/,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tt21161156|nm8960320|michaela robson</x:v>
      </x:c>
      <x:c r="B135" s="14" t="str">
        <x:v>01</x:v>
      </x:c>
      <x:c r="C135" s="14" t="str">
        <x:v>2023_IMDb_Cast_Lists_Batch_01(2).xlsx</x:v>
      </x:c>
      <x:c r="D135" s="14" t="str">
        <x:v>Beyond Paradise</x:v>
      </x:c>
      <x:c r="E135" s="14" t="n">
        <x:v>107</x:v>
      </x:c>
      <x:c r="F135" s="14" t="str">
        <x:v>Beyond Paradise</x:v>
      </x:c>
      <x:c r="G135" s="14" t="str">
        <x:v>tt21161156</x:v>
      </x:c>
      <x:c r="H135" s="14" t="n">
        <x:v>2023</x:v>
      </x:c>
      <x:c r="I135" s="14" t="n">
        <x:v>2025</x:v>
      </x:c>
      <x:c r="J135" s="14" t="str">
        <x:v>Earlier-Production Carry-In Cohort</x:v>
      </x:c>
      <x:c r="K135" s="14" t="n">
        <x:v>2023</x:v>
      </x:c>
      <x:c r="L135" s="14" t="str">
        <x:v>Not inherited</x:v>
      </x:c>
      <x:c r="M135" s="15" t="n">
        <x:v>100</x:v>
      </x:c>
      <x:c r="N135" s="14" t="str">
        <x:v>Rebecca Lee</x:v>
      </x:c>
      <x:c r="O135" s="14" t="str">
        <x:v>nm8960320</x:v>
      </x:c>
      <x:c r="P135" s="14" t="str">
        <x:v>Michaela Robson</x:v>
      </x:c>
      <x:c r="Q135" s="15" t="n">
        <x:v>1</x:v>
      </x:c>
      <x:c r="R135" s="14" t="str">
        <x:v>2025</x:v>
      </x:c>
      <x:c r="S135" s="14" t="n">
        <x:v>2025</x:v>
      </x:c>
      <x:c r="T135" s="14" t="n">
        <x:v>2025</x:v>
      </x:c>
      <x:c r="U135" s="14" t="str">
        <x:v>Explicit source first year retained</x:v>
      </x:c>
      <x:c r="V135" s="14" t="str">
        <x:v>Earliest supplied year is 2025.</x:v>
      </x:c>
      <x:c r="W135" s="14"/>
      <x:c r="X135" s="14" t="str">
        <x:v>Included</x:v>
      </x:c>
      <x:c r="Y135" s="14"/>
      <x:c r="Z135" s="14" t="str">
        <x:v>Beyond Paradise.docx</x:v>
      </x:c>
      <x:c r="AA135" s="14" t="str">
        <x:v>HYPERLINK is not implemented. linkLocation=https://www.imdb.com/title/tt21161156/fullcredits/,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BBC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HYPERLINK("https://en.wikipedia.org/wiki/Beyond_Paradise","Open source")</x:f>
        <x:v>HYPERLINK is not implemented. linkLocation=https://en.wikipedia.org/wiki/Beyond_Paradise, friendlyName=Open source</x:v>
      </x:c>
      <x:c r="AN135" s="14" t="str">
        <x:v>BBC public-service commission</x:v>
      </x:c>
      <x:c r="AO135" s="14" t="str">
        <x:v>Yes</x:v>
      </x:c>
      <x:c r="AP135" s="14" t="str">
        <x:v>Direct BBC public-service scope</x:v>
      </x:c>
      <x:c r="AQ135" s="14" t="str">
        <x:v>Yes</x:v>
      </x:c>
      <x:c r="AR135" s="14" t="str">
        <x:v>Resolved from master register</x:v>
      </x:c>
      <x:c r="AS135" s="14" t="str">
        <x:v>No established-register match</x:v>
      </x:c>
      <x:c r="AT135" s="14"/>
      <x:c r="AU135" s="14"/>
      <x:c r="AV135" s="14" t="str">
        <x:v>No established apparent-disability match</x:v>
      </x:c>
      <x:c r="AW135" s="14"/>
      <x:c r="AX135" s="14" t="str">
        <x:v>No</x:v>
      </x:c>
      <x:c r="AY135" s="14" t="str">
        <x:v>Unmatched</x:v>
      </x:c>
      <x:c r="AZ135" s="14" t="str">
        <x:v>Final supplied register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27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0.037037037037037035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4" t="str">
        <x:v>HYPERLINK is not implemented. linkLocation=https://www.imdb.com/title/tt21161156/fullcredits/,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tt21161156|nm0703225|lotty robson</x:v>
      </x:c>
      <x:c r="B136" s="14" t="str">
        <x:v>01</x:v>
      </x:c>
      <x:c r="C136" s="14" t="str">
        <x:v>2023_IMDb_Cast_Lists_Batch_01(2).xlsx</x:v>
      </x:c>
      <x:c r="D136" s="14" t="str">
        <x:v>Beyond Paradise</x:v>
      </x:c>
      <x:c r="E136" s="14" t="n">
        <x:v>119</x:v>
      </x:c>
      <x:c r="F136" s="14" t="str">
        <x:v>Beyond Paradise</x:v>
      </x:c>
      <x:c r="G136" s="14" t="str">
        <x:v>tt21161156</x:v>
      </x:c>
      <x:c r="H136" s="14" t="n">
        <x:v>2023</x:v>
      </x:c>
      <x:c r="I136" s="14" t="n">
        <x:v>2025</x:v>
      </x:c>
      <x:c r="J136" s="14" t="str">
        <x:v>Earlier-Production Carry-In Cohort</x:v>
      </x:c>
      <x:c r="K136" s="14" t="n">
        <x:v>2023</x:v>
      </x:c>
      <x:c r="L136" s="14" t="str">
        <x:v>Not inherited</x:v>
      </x:c>
      <x:c r="M136" s="15" t="n">
        <x:v>112</x:v>
      </x:c>
      <x:c r="N136" s="14" t="str">
        <x:v>Caroline Quentin</x:v>
      </x:c>
      <x:c r="O136" s="14" t="str">
        <x:v>nm0703225</x:v>
      </x:c>
      <x:c r="P136" s="14" t="str">
        <x:v>Lotty Robson</x:v>
      </x:c>
      <x:c r="Q136" s="15" t="n">
        <x:v>1</x:v>
      </x:c>
      <x:c r="R136" s="14" t="str">
        <x:v>2025</x:v>
      </x:c>
      <x:c r="S136" s="14" t="n">
        <x:v>2025</x:v>
      </x:c>
      <x:c r="T136" s="14" t="n">
        <x:v>2025</x:v>
      </x:c>
      <x:c r="U136" s="14" t="str">
        <x:v>Explicit source first year retained</x:v>
      </x:c>
      <x:c r="V136" s="14" t="str">
        <x:v>Earliest supplied year is 2025.</x:v>
      </x:c>
      <x:c r="W136" s="14"/>
      <x:c r="X136" s="14" t="str">
        <x:v>Included</x:v>
      </x:c>
      <x:c r="Y136" s="14"/>
      <x:c r="Z136" s="14" t="str">
        <x:v>Beyond Paradise.docx</x:v>
      </x:c>
      <x:c r="AA136" s="14" t="str">
        <x:v>HYPERLINK is not implemented. linkLocation=https://www.imdb.com/title/tt21161156/fullcredits/,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BBC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HYPERLINK("https://en.wikipedia.org/wiki/Beyond_Paradise","Open source")</x:f>
        <x:v>HYPERLINK is not implemented. linkLocation=https://en.wikipedia.org/wiki/Beyond_Paradise, friendlyName=Open source</x:v>
      </x:c>
      <x:c r="AN136" s="14" t="str">
        <x:v>BBC public-service commission</x:v>
      </x:c>
      <x:c r="AO136" s="14" t="str">
        <x:v>Yes</x:v>
      </x:c>
      <x:c r="AP136" s="14" t="str">
        <x:v>Direct BBC public-service scope</x:v>
      </x:c>
      <x:c r="AQ136" s="14" t="str">
        <x:v>Yes</x:v>
      </x:c>
      <x:c r="AR136" s="14" t="str">
        <x:v>Resolved from master register</x:v>
      </x:c>
      <x:c r="AS136" s="14" t="str">
        <x:v>No established-register match</x:v>
      </x:c>
      <x:c r="AT136" s="14"/>
      <x:c r="AU136" s="14"/>
      <x:c r="AV136" s="14" t="str">
        <x:v>No established apparent-disability match</x:v>
      </x:c>
      <x:c r="AW136" s="14"/>
      <x:c r="AX136" s="14" t="str">
        <x:v>No</x:v>
      </x:c>
      <x:c r="AY136" s="14" t="str">
        <x:v>Unmatched</x:v>
      </x:c>
      <x:c r="AZ136" s="14" t="str">
        <x:v>Final supplied register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27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0.037037037037037035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4" t="str">
        <x:v>HYPERLINK is not implemented. linkLocation=https://www.imdb.com/title/tt21161156/fullcredits/,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tt21161156|nm2952645|robert martins</x:v>
      </x:c>
      <x:c r="B137" s="14" t="str">
        <x:v>01</x:v>
      </x:c>
      <x:c r="C137" s="14" t="str">
        <x:v>2023_IMDb_Cast_Lists_Batch_01(2).xlsx</x:v>
      </x:c>
      <x:c r="D137" s="14" t="str">
        <x:v>Beyond Paradise</x:v>
      </x:c>
      <x:c r="E137" s="14" t="n">
        <x:v>120</x:v>
      </x:c>
      <x:c r="F137" s="14" t="str">
        <x:v>Beyond Paradise</x:v>
      </x:c>
      <x:c r="G137" s="14" t="str">
        <x:v>tt21161156</x:v>
      </x:c>
      <x:c r="H137" s="14" t="n">
        <x:v>2023</x:v>
      </x:c>
      <x:c r="I137" s="14" t="n">
        <x:v>2025</x:v>
      </x:c>
      <x:c r="J137" s="14" t="str">
        <x:v>Earlier-Production Carry-In Cohort</x:v>
      </x:c>
      <x:c r="K137" s="14" t="n">
        <x:v>2023</x:v>
      </x:c>
      <x:c r="L137" s="14" t="str">
        <x:v>Not inherited</x:v>
      </x:c>
      <x:c r="M137" s="15" t="n">
        <x:v>113</x:v>
      </x:c>
      <x:c r="N137" s="14" t="str">
        <x:v>Jonny Weldon</x:v>
      </x:c>
      <x:c r="O137" s="14" t="str">
        <x:v>nm2952645</x:v>
      </x:c>
      <x:c r="P137" s="14" t="str">
        <x:v>Robert Martins</x:v>
      </x:c>
      <x:c r="Q137" s="15" t="n">
        <x:v>1</x:v>
      </x:c>
      <x:c r="R137" s="14" t="str">
        <x:v>2025</x:v>
      </x:c>
      <x:c r="S137" s="14" t="n">
        <x:v>2025</x:v>
      </x:c>
      <x:c r="T137" s="14" t="n">
        <x:v>2025</x:v>
      </x:c>
      <x:c r="U137" s="14" t="str">
        <x:v>Explicit source first year retained</x:v>
      </x:c>
      <x:c r="V137" s="14" t="str">
        <x:v>Earliest supplied year is 2025.</x:v>
      </x:c>
      <x:c r="W137" s="14"/>
      <x:c r="X137" s="14" t="str">
        <x:v>Included</x:v>
      </x:c>
      <x:c r="Y137" s="14"/>
      <x:c r="Z137" s="14" t="str">
        <x:v>Beyond Paradise.docx</x:v>
      </x:c>
      <x:c r="AA137" s="14" t="str">
        <x:v>HYPERLINK is not implemented. linkLocation=https://www.imdb.com/title/tt21161156/fullcredits/,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BBC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HYPERLINK("https://en.wikipedia.org/wiki/Beyond_Paradise","Open source")</x:f>
        <x:v>HYPERLINK is not implemented. linkLocation=https://en.wikipedia.org/wiki/Beyond_Paradise, friendlyName=Open source</x:v>
      </x:c>
      <x:c r="AN137" s="14" t="str">
        <x:v>BBC public-service commission</x:v>
      </x:c>
      <x:c r="AO137" s="14" t="str">
        <x:v>Yes</x:v>
      </x:c>
      <x:c r="AP137" s="14" t="str">
        <x:v>Direct BBC public-service scope</x:v>
      </x:c>
      <x:c r="AQ137" s="14" t="str">
        <x:v>Yes</x:v>
      </x:c>
      <x:c r="AR137" s="14" t="str">
        <x:v>Resolved from master register</x:v>
      </x:c>
      <x:c r="AS137" s="14" t="str">
        <x:v>No established-register match</x:v>
      </x:c>
      <x:c r="AT137" s="14"/>
      <x:c r="AU137" s="14"/>
      <x:c r="AV137" s="14" t="str">
        <x:v>No established apparent-disability match</x:v>
      </x:c>
      <x:c r="AW137" s="14"/>
      <x:c r="AX137" s="14" t="str">
        <x:v>No</x:v>
      </x:c>
      <x:c r="AY137" s="14" t="str">
        <x:v>Unmatched</x:v>
      </x:c>
      <x:c r="AZ137" s="14" t="str">
        <x:v>Final supplied register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27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0.037037037037037035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4" t="str">
        <x:v>HYPERLINK is not implemented. linkLocation=https://www.imdb.com/title/tt21161156/fullcredits/,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tt21161156|nm1361530|di jacob tremayne</x:v>
      </x:c>
      <x:c r="B138" s="14" t="str">
        <x:v>01</x:v>
      </x:c>
      <x:c r="C138" s="14" t="str">
        <x:v>2023_IMDb_Cast_Lists_Batch_01(2).xlsx</x:v>
      </x:c>
      <x:c r="D138" s="14" t="str">
        <x:v>Beyond Paradise</x:v>
      </x:c>
      <x:c r="E138" s="14" t="n">
        <x:v>121</x:v>
      </x:c>
      <x:c r="F138" s="14" t="str">
        <x:v>Beyond Paradise</x:v>
      </x:c>
      <x:c r="G138" s="14" t="str">
        <x:v>tt21161156</x:v>
      </x:c>
      <x:c r="H138" s="14" t="n">
        <x:v>2023</x:v>
      </x:c>
      <x:c r="I138" s="14" t="n">
        <x:v>2025</x:v>
      </x:c>
      <x:c r="J138" s="14" t="str">
        <x:v>Earlier-Production Carry-In Cohort</x:v>
      </x:c>
      <x:c r="K138" s="14" t="n">
        <x:v>2023</x:v>
      </x:c>
      <x:c r="L138" s="14" t="str">
        <x:v>Not inherited</x:v>
      </x:c>
      <x:c r="M138" s="15" t="n">
        <x:v>114</x:v>
      </x:c>
      <x:c r="N138" s="14" t="str">
        <x:v>Steve Oram</x:v>
      </x:c>
      <x:c r="O138" s="14" t="str">
        <x:v>nm1361530</x:v>
      </x:c>
      <x:c r="P138" s="14" t="str">
        <x:v>DI Jacob Tremayne</x:v>
      </x:c>
      <x:c r="Q138" s="15" t="n">
        <x:v>1</x:v>
      </x:c>
      <x:c r="R138" s="14" t="str">
        <x:v>2025</x:v>
      </x:c>
      <x:c r="S138" s="14" t="n">
        <x:v>2025</x:v>
      </x:c>
      <x:c r="T138" s="14" t="n">
        <x:v>2025</x:v>
      </x:c>
      <x:c r="U138" s="14" t="str">
        <x:v>Explicit source first year retained</x:v>
      </x:c>
      <x:c r="V138" s="14" t="str">
        <x:v>Earliest supplied year is 2025.</x:v>
      </x:c>
      <x:c r="W138" s="14"/>
      <x:c r="X138" s="14" t="str">
        <x:v>Included</x:v>
      </x:c>
      <x:c r="Y138" s="14"/>
      <x:c r="Z138" s="14" t="str">
        <x:v>Beyond Paradise.docx</x:v>
      </x:c>
      <x:c r="AA138" s="14" t="str">
        <x:v>HYPERLINK is not implemented. linkLocation=https://www.imdb.com/title/tt21161156/fullcredits/,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BBC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HYPERLINK("https://en.wikipedia.org/wiki/Beyond_Paradise","Open source")</x:f>
        <x:v>HYPERLINK is not implemented. linkLocation=https://en.wikipedia.org/wiki/Beyond_Paradise, friendlyName=Open source</x:v>
      </x:c>
      <x:c r="AN138" s="14" t="str">
        <x:v>BBC public-service commission</x:v>
      </x:c>
      <x:c r="AO138" s="14" t="str">
        <x:v>Yes</x:v>
      </x:c>
      <x:c r="AP138" s="14" t="str">
        <x:v>Direct BBC public-service scope</x:v>
      </x:c>
      <x:c r="AQ138" s="14" t="str">
        <x:v>Yes</x:v>
      </x:c>
      <x:c r="AR138" s="14" t="str">
        <x:v>Resolved from master register</x:v>
      </x:c>
      <x:c r="AS138" s="14" t="str">
        <x:v>No established-register match</x:v>
      </x:c>
      <x:c r="AT138" s="14"/>
      <x:c r="AU138" s="14"/>
      <x:c r="AV138" s="14" t="str">
        <x:v>No established apparent-disability match</x:v>
      </x:c>
      <x:c r="AW138" s="14"/>
      <x:c r="AX138" s="14" t="str">
        <x:v>No</x:v>
      </x:c>
      <x:c r="AY138" s="14" t="str">
        <x:v>Unmatched</x:v>
      </x:c>
      <x:c r="AZ138" s="14" t="str">
        <x:v>Final supplied register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27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0.037037037037037035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4" t="str">
        <x:v>HYPERLINK is not implemented. linkLocation=https://www.imdb.com/title/tt21161156/fullcredits/,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tt21161156|nm4000354|steve banley</x:v>
      </x:c>
      <x:c r="B139" s="14" t="str">
        <x:v>01</x:v>
      </x:c>
      <x:c r="C139" s="14" t="str">
        <x:v>2023_IMDb_Cast_Lists_Batch_01(2).xlsx</x:v>
      </x:c>
      <x:c r="D139" s="14" t="str">
        <x:v>Beyond Paradise</x:v>
      </x:c>
      <x:c r="E139" s="14" t="n">
        <x:v>122</x:v>
      </x:c>
      <x:c r="F139" s="14" t="str">
        <x:v>Beyond Paradise</x:v>
      </x:c>
      <x:c r="G139" s="14" t="str">
        <x:v>tt21161156</x:v>
      </x:c>
      <x:c r="H139" s="14" t="n">
        <x:v>2023</x:v>
      </x:c>
      <x:c r="I139" s="14" t="n">
        <x:v>2025</x:v>
      </x:c>
      <x:c r="J139" s="14" t="str">
        <x:v>Earlier-Production Carry-In Cohort</x:v>
      </x:c>
      <x:c r="K139" s="14" t="n">
        <x:v>2023</x:v>
      </x:c>
      <x:c r="L139" s="14" t="str">
        <x:v>Not inherited</x:v>
      </x:c>
      <x:c r="M139" s="15" t="n">
        <x:v>115</x:v>
      </x:c>
      <x:c r="N139" s="14" t="str">
        <x:v>Dean Nolan</x:v>
      </x:c>
      <x:c r="O139" s="14" t="str">
        <x:v>nm4000354</x:v>
      </x:c>
      <x:c r="P139" s="14" t="str">
        <x:v>Steve Banley</x:v>
      </x:c>
      <x:c r="Q139" s="15" t="n">
        <x:v>1</x:v>
      </x:c>
      <x:c r="R139" s="14" t="str">
        <x:v>2025</x:v>
      </x:c>
      <x:c r="S139" s="14" t="n">
        <x:v>2025</x:v>
      </x:c>
      <x:c r="T139" s="14" t="n">
        <x:v>2025</x:v>
      </x:c>
      <x:c r="U139" s="14" t="str">
        <x:v>Explicit source first year retained</x:v>
      </x:c>
      <x:c r="V139" s="14" t="str">
        <x:v>Earliest supplied year is 2025.</x:v>
      </x:c>
      <x:c r="W139" s="14"/>
      <x:c r="X139" s="14" t="str">
        <x:v>Included</x:v>
      </x:c>
      <x:c r="Y139" s="14" t="str">
        <x:v>(as Dean Boodaghians-Nolan)</x:v>
      </x:c>
      <x:c r="Z139" s="14" t="str">
        <x:v>Beyond Paradise.docx</x:v>
      </x:c>
      <x:c r="AA139" s="14" t="str">
        <x:v>HYPERLINK is not implemented. linkLocation=https://www.imdb.com/title/tt21161156/fullcredits/,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BBC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HYPERLINK("https://en.wikipedia.org/wiki/Beyond_Paradise","Open source")</x:f>
        <x:v>HYPERLINK is not implemented. linkLocation=https://en.wikipedia.org/wiki/Beyond_Paradise, friendlyName=Open source</x:v>
      </x:c>
      <x:c r="AN139" s="14" t="str">
        <x:v>BBC public-service commission</x:v>
      </x:c>
      <x:c r="AO139" s="14" t="str">
        <x:v>Yes</x:v>
      </x:c>
      <x:c r="AP139" s="14" t="str">
        <x:v>Direct BBC public-service scope</x:v>
      </x:c>
      <x:c r="AQ139" s="14" t="str">
        <x:v>Yes</x:v>
      </x:c>
      <x:c r="AR139" s="14" t="str">
        <x:v>Resolved from master register</x:v>
      </x:c>
      <x:c r="AS139" s="14" t="str">
        <x:v>No established-register match</x:v>
      </x:c>
      <x:c r="AT139" s="14"/>
      <x:c r="AU139" s="14"/>
      <x:c r="AV139" s="14" t="str">
        <x:v>No established apparent-disability match</x:v>
      </x:c>
      <x:c r="AW139" s="14"/>
      <x:c r="AX139" s="14" t="str">
        <x:v>No</x:v>
      </x:c>
      <x:c r="AY139" s="14" t="str">
        <x:v>Unmatched</x:v>
      </x:c>
      <x:c r="AZ139" s="14" t="str">
        <x:v>Final supplied register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27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0.037037037037037035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4" t="str">
        <x:v>HYPERLINK is not implemented. linkLocation=https://www.imdb.com/title/tt21161156/fullcredits/,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tt21161156|nm5326594|ds fenella foster</x:v>
      </x:c>
      <x:c r="B140" s="14" t="str">
        <x:v>01</x:v>
      </x:c>
      <x:c r="C140" s="14" t="str">
        <x:v>2023_IMDb_Cast_Lists_Batch_01(2).xlsx</x:v>
      </x:c>
      <x:c r="D140" s="14" t="str">
        <x:v>Beyond Paradise</x:v>
      </x:c>
      <x:c r="E140" s="14" t="n">
        <x:v>132</x:v>
      </x:c>
      <x:c r="F140" s="14" t="str">
        <x:v>Beyond Paradise</x:v>
      </x:c>
      <x:c r="G140" s="14" t="str">
        <x:v>tt21161156</x:v>
      </x:c>
      <x:c r="H140" s="14" t="n">
        <x:v>2023</x:v>
      </x:c>
      <x:c r="I140" s="14" t="n">
        <x:v>2025</x:v>
      </x:c>
      <x:c r="J140" s="14" t="str">
        <x:v>Earlier-Production Carry-In Cohort</x:v>
      </x:c>
      <x:c r="K140" s="14" t="n">
        <x:v>2023</x:v>
      </x:c>
      <x:c r="L140" s="14" t="str">
        <x:v>Not inherited</x:v>
      </x:c>
      <x:c r="M140" s="15" t="n">
        <x:v>125</x:v>
      </x:c>
      <x:c r="N140" s="14" t="str">
        <x:v>Gabby Best</x:v>
      </x:c>
      <x:c r="O140" s="14" t="str">
        <x:v>nm5326594</x:v>
      </x:c>
      <x:c r="P140" s="14" t="str">
        <x:v>DS Fenella Foster</x:v>
      </x:c>
      <x:c r="Q140" s="15" t="n">
        <x:v>1</x:v>
      </x:c>
      <x:c r="R140" s="14" t="str">
        <x:v>2025</x:v>
      </x:c>
      <x:c r="S140" s="14" t="n">
        <x:v>2025</x:v>
      </x:c>
      <x:c r="T140" s="14" t="n">
        <x:v>2025</x:v>
      </x:c>
      <x:c r="U140" s="14" t="str">
        <x:v>Explicit source first year retained</x:v>
      </x:c>
      <x:c r="V140" s="14" t="str">
        <x:v>Earliest supplied year is 2025.</x:v>
      </x:c>
      <x:c r="W140" s="14"/>
      <x:c r="X140" s="14" t="str">
        <x:v>Included</x:v>
      </x:c>
      <x:c r="Y140" s="14"/>
      <x:c r="Z140" s="14" t="str">
        <x:v>Beyond Paradise.docx</x:v>
      </x:c>
      <x:c r="AA140" s="14" t="str">
        <x:v>HYPERLINK is not implemented. linkLocation=https://www.imdb.com/title/tt21161156/fullcredits/,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BBC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HYPERLINK("https://en.wikipedia.org/wiki/Beyond_Paradise","Open source")</x:f>
        <x:v>HYPERLINK is not implemented. linkLocation=https://en.wikipedia.org/wiki/Beyond_Paradise, friendlyName=Open source</x:v>
      </x:c>
      <x:c r="AN140" s="14" t="str">
        <x:v>BBC public-service commission</x:v>
      </x:c>
      <x:c r="AO140" s="14" t="str">
        <x:v>Yes</x:v>
      </x:c>
      <x:c r="AP140" s="14" t="str">
        <x:v>Direct BBC public-service scope</x:v>
      </x:c>
      <x:c r="AQ140" s="14" t="str">
        <x:v>Yes</x:v>
      </x:c>
      <x:c r="AR140" s="14" t="str">
        <x:v>Resolved from master register</x:v>
      </x:c>
      <x:c r="AS140" s="14" t="str">
        <x:v>No established-register match</x:v>
      </x:c>
      <x:c r="AT140" s="14"/>
      <x:c r="AU140" s="14"/>
      <x:c r="AV140" s="14" t="str">
        <x:v>No established apparent-disability match</x:v>
      </x:c>
      <x:c r="AW140" s="14"/>
      <x:c r="AX140" s="14" t="str">
        <x:v>No</x:v>
      </x:c>
      <x:c r="AY140" s="14" t="str">
        <x:v>Unmatched</x:v>
      </x:c>
      <x:c r="AZ140" s="14" t="str">
        <x:v>Final supplied register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27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0.037037037037037035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4" t="str">
        <x:v>HYPERLINK is not implemented. linkLocation=https://www.imdb.com/title/tt21161156/fullcredits/,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tt21161156|nm9444175|francine dalton</x:v>
      </x:c>
      <x:c r="B141" s="14" t="str">
        <x:v>01</x:v>
      </x:c>
      <x:c r="C141" s="14" t="str">
        <x:v>2023_IMDb_Cast_Lists_Batch_01(2).xlsx</x:v>
      </x:c>
      <x:c r="D141" s="14" t="str">
        <x:v>Beyond Paradise</x:v>
      </x:c>
      <x:c r="E141" s="14" t="n">
        <x:v>133</x:v>
      </x:c>
      <x:c r="F141" s="14" t="str">
        <x:v>Beyond Paradise</x:v>
      </x:c>
      <x:c r="G141" s="14" t="str">
        <x:v>tt21161156</x:v>
      </x:c>
      <x:c r="H141" s="14" t="n">
        <x:v>2023</x:v>
      </x:c>
      <x:c r="I141" s="14" t="n">
        <x:v>2025</x:v>
      </x:c>
      <x:c r="J141" s="14" t="str">
        <x:v>Earlier-Production Carry-In Cohort</x:v>
      </x:c>
      <x:c r="K141" s="14" t="n">
        <x:v>2023</x:v>
      </x:c>
      <x:c r="L141" s="14" t="str">
        <x:v>Not inherited</x:v>
      </x:c>
      <x:c r="M141" s="15" t="n">
        <x:v>126</x:v>
      </x:c>
      <x:c r="N141" s="14" t="str">
        <x:v>Laura Euler-Rolle</x:v>
      </x:c>
      <x:c r="O141" s="14" t="str">
        <x:v>nm9444175</x:v>
      </x:c>
      <x:c r="P141" s="14" t="str">
        <x:v>Francine Dalton</x:v>
      </x:c>
      <x:c r="Q141" s="15" t="n">
        <x:v>1</x:v>
      </x:c>
      <x:c r="R141" s="14" t="str">
        <x:v>2025</x:v>
      </x:c>
      <x:c r="S141" s="14" t="n">
        <x:v>2025</x:v>
      </x:c>
      <x:c r="T141" s="14" t="n">
        <x:v>2025</x:v>
      </x:c>
      <x:c r="U141" s="14" t="str">
        <x:v>Explicit source first year retained</x:v>
      </x:c>
      <x:c r="V141" s="14" t="str">
        <x:v>Earliest supplied year is 2025.</x:v>
      </x:c>
      <x:c r="W141" s="14"/>
      <x:c r="X141" s="14" t="str">
        <x:v>Included</x:v>
      </x:c>
      <x:c r="Y141" s="14"/>
      <x:c r="Z141" s="14" t="str">
        <x:v>Beyond Paradise.docx</x:v>
      </x:c>
      <x:c r="AA141" s="14" t="str">
        <x:v>HYPERLINK is not implemented. linkLocation=https://www.imdb.com/title/tt21161156/fullcredits/,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BBC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HYPERLINK("https://en.wikipedia.org/wiki/Beyond_Paradise","Open source")</x:f>
        <x:v>HYPERLINK is not implemented. linkLocation=https://en.wikipedia.org/wiki/Beyond_Paradise, friendlyName=Open source</x:v>
      </x:c>
      <x:c r="AN141" s="14" t="str">
        <x:v>BBC public-service commission</x:v>
      </x:c>
      <x:c r="AO141" s="14" t="str">
        <x:v>Yes</x:v>
      </x:c>
      <x:c r="AP141" s="14" t="str">
        <x:v>Direct BBC public-service scope</x:v>
      </x:c>
      <x:c r="AQ141" s="14" t="str">
        <x:v>Yes</x:v>
      </x:c>
      <x:c r="AR141" s="14" t="str">
        <x:v>Resolved from master register</x:v>
      </x:c>
      <x:c r="AS141" s="14" t="str">
        <x:v>No established-register match</x:v>
      </x:c>
      <x:c r="AT141" s="14"/>
      <x:c r="AU141" s="14"/>
      <x:c r="AV141" s="14" t="str">
        <x:v>No established apparent-disability match</x:v>
      </x:c>
      <x:c r="AW141" s="14"/>
      <x:c r="AX141" s="14" t="str">
        <x:v>No</x:v>
      </x:c>
      <x:c r="AY141" s="14" t="str">
        <x:v>Unmatched</x:v>
      </x:c>
      <x:c r="AZ141" s="14" t="str">
        <x:v>Final supplied register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27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0.037037037037037035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4" t="str">
        <x:v>HYPERLINK is not implemented. linkLocation=https://www.imdb.com/title/tt21161156/fullcredits/,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tt21161156|nm0141324|nate dalton</x:v>
      </x:c>
      <x:c r="B142" s="14" t="str">
        <x:v>01</x:v>
      </x:c>
      <x:c r="C142" s="14" t="str">
        <x:v>2023_IMDb_Cast_Lists_Batch_01(2).xlsx</x:v>
      </x:c>
      <x:c r="D142" s="14" t="str">
        <x:v>Beyond Paradise</x:v>
      </x:c>
      <x:c r="E142" s="14" t="n">
        <x:v>141</x:v>
      </x:c>
      <x:c r="F142" s="14" t="str">
        <x:v>Beyond Paradise</x:v>
      </x:c>
      <x:c r="G142" s="14" t="str">
        <x:v>tt21161156</x:v>
      </x:c>
      <x:c r="H142" s="14" t="n">
        <x:v>2023</x:v>
      </x:c>
      <x:c r="I142" s="14" t="n">
        <x:v>2025</x:v>
      </x:c>
      <x:c r="J142" s="14" t="str">
        <x:v>Earlier-Production Carry-In Cohort</x:v>
      </x:c>
      <x:c r="K142" s="14" t="n">
        <x:v>2023</x:v>
      </x:c>
      <x:c r="L142" s="14" t="str">
        <x:v>Not inherited</x:v>
      </x:c>
      <x:c r="M142" s="15" t="n">
        <x:v>134</x:v>
      </x:c>
      <x:c r="N142" s="14" t="str">
        <x:v>Silas Carson</x:v>
      </x:c>
      <x:c r="O142" s="14" t="str">
        <x:v>nm0141324</x:v>
      </x:c>
      <x:c r="P142" s="14" t="str">
        <x:v>Nate Dalton</x:v>
      </x:c>
      <x:c r="Q142" s="15" t="n">
        <x:v>1</x:v>
      </x:c>
      <x:c r="R142" s="14" t="str">
        <x:v>2025</x:v>
      </x:c>
      <x:c r="S142" s="14" t="n">
        <x:v>2025</x:v>
      </x:c>
      <x:c r="T142" s="14" t="n">
        <x:v>2025</x:v>
      </x:c>
      <x:c r="U142" s="14" t="str">
        <x:v>Explicit source first year retained</x:v>
      </x:c>
      <x:c r="V142" s="14" t="str">
        <x:v>Earliest supplied year is 2025.</x:v>
      </x:c>
      <x:c r="W142" s="14"/>
      <x:c r="X142" s="14" t="str">
        <x:v>Included</x:v>
      </x:c>
      <x:c r="Y142" s="14"/>
      <x:c r="Z142" s="14" t="str">
        <x:v>Beyond Paradise.docx</x:v>
      </x:c>
      <x:c r="AA142" s="14" t="str">
        <x:v>HYPERLINK is not implemented. linkLocation=https://www.imdb.com/title/tt21161156/fullcredits/,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BBC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HYPERLINK("https://en.wikipedia.org/wiki/Beyond_Paradise","Open source")</x:f>
        <x:v>HYPERLINK is not implemented. linkLocation=https://en.wikipedia.org/wiki/Beyond_Paradise, friendlyName=Open source</x:v>
      </x:c>
      <x:c r="AN142" s="14" t="str">
        <x:v>BBC public-service commission</x:v>
      </x:c>
      <x:c r="AO142" s="14" t="str">
        <x:v>Yes</x:v>
      </x:c>
      <x:c r="AP142" s="14" t="str">
        <x:v>Direct BBC public-service scope</x:v>
      </x:c>
      <x:c r="AQ142" s="14" t="str">
        <x:v>Yes</x:v>
      </x:c>
      <x:c r="AR142" s="14" t="str">
        <x:v>Resolved from master register</x:v>
      </x:c>
      <x:c r="AS142" s="14" t="str">
        <x:v>No established-register match</x:v>
      </x:c>
      <x:c r="AT142" s="14"/>
      <x:c r="AU142" s="14"/>
      <x:c r="AV142" s="14" t="str">
        <x:v>No established apparent-disability match</x:v>
      </x:c>
      <x:c r="AW142" s="14"/>
      <x:c r="AX142" s="14" t="str">
        <x:v>No</x:v>
      </x:c>
      <x:c r="AY142" s="14" t="str">
        <x:v>Unmatched</x:v>
      </x:c>
      <x:c r="AZ142" s="14" t="str">
        <x:v>Final supplied register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27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0.037037037037037035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4" t="str">
        <x:v>HYPERLINK is not implemented. linkLocation=https://www.imdb.com/title/tt21161156/fullcredits/,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tt21161156|nm4649621|seb branagh</x:v>
      </x:c>
      <x:c r="B143" s="14" t="str">
        <x:v>01</x:v>
      </x:c>
      <x:c r="C143" s="14" t="str">
        <x:v>2023_IMDb_Cast_Lists_Batch_01(2).xlsx</x:v>
      </x:c>
      <x:c r="D143" s="14" t="str">
        <x:v>Beyond Paradise</x:v>
      </x:c>
      <x:c r="E143" s="14" t="n">
        <x:v>142</x:v>
      </x:c>
      <x:c r="F143" s="14" t="str">
        <x:v>Beyond Paradise</x:v>
      </x:c>
      <x:c r="G143" s="14" t="str">
        <x:v>tt21161156</x:v>
      </x:c>
      <x:c r="H143" s="14" t="n">
        <x:v>2023</x:v>
      </x:c>
      <x:c r="I143" s="14" t="n">
        <x:v>2025</x:v>
      </x:c>
      <x:c r="J143" s="14" t="str">
        <x:v>Earlier-Production Carry-In Cohort</x:v>
      </x:c>
      <x:c r="K143" s="14" t="n">
        <x:v>2023</x:v>
      </x:c>
      <x:c r="L143" s="14" t="str">
        <x:v>Not inherited</x:v>
      </x:c>
      <x:c r="M143" s="15" t="n">
        <x:v>135</x:v>
      </x:c>
      <x:c r="N143" s="14" t="str">
        <x:v>Phil Wang</x:v>
      </x:c>
      <x:c r="O143" s="14" t="str">
        <x:v>nm4649621</x:v>
      </x:c>
      <x:c r="P143" s="14" t="str">
        <x:v>Seb Branagh</x:v>
      </x:c>
      <x:c r="Q143" s="15" t="n">
        <x:v>1</x:v>
      </x:c>
      <x:c r="R143" s="14" t="str">
        <x:v>2025</x:v>
      </x:c>
      <x:c r="S143" s="14" t="n">
        <x:v>2025</x:v>
      </x:c>
      <x:c r="T143" s="14" t="n">
        <x:v>2025</x:v>
      </x:c>
      <x:c r="U143" s="14" t="str">
        <x:v>Explicit source first year retained</x:v>
      </x:c>
      <x:c r="V143" s="14" t="str">
        <x:v>Earliest supplied year is 2025.</x:v>
      </x:c>
      <x:c r="W143" s="14"/>
      <x:c r="X143" s="14" t="str">
        <x:v>Included</x:v>
      </x:c>
      <x:c r="Y143" s="14"/>
      <x:c r="Z143" s="14" t="str">
        <x:v>Beyond Paradise.docx</x:v>
      </x:c>
      <x:c r="AA143" s="14" t="str">
        <x:v>HYPERLINK is not implemented. linkLocation=https://www.imdb.com/title/tt21161156/fullcredits/,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BBC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HYPERLINK("https://en.wikipedia.org/wiki/Beyond_Paradise","Open source")</x:f>
        <x:v>HYPERLINK is not implemented. linkLocation=https://en.wikipedia.org/wiki/Beyond_Paradise, friendlyName=Open source</x:v>
      </x:c>
      <x:c r="AN143" s="14" t="str">
        <x:v>BBC public-service commission</x:v>
      </x:c>
      <x:c r="AO143" s="14" t="str">
        <x:v>Yes</x:v>
      </x:c>
      <x:c r="AP143" s="14" t="str">
        <x:v>Direct BBC public-service scope</x:v>
      </x:c>
      <x:c r="AQ143" s="14" t="str">
        <x:v>Yes</x:v>
      </x:c>
      <x:c r="AR143" s="14" t="str">
        <x:v>Resolved from master register</x:v>
      </x:c>
      <x:c r="AS143" s="14" t="str">
        <x:v>No established-register match</x:v>
      </x:c>
      <x:c r="AT143" s="14"/>
      <x:c r="AU143" s="14"/>
      <x:c r="AV143" s="14" t="str">
        <x:v>No established apparent-disability match</x:v>
      </x:c>
      <x:c r="AW143" s="14"/>
      <x:c r="AX143" s="14" t="str">
        <x:v>No</x:v>
      </x:c>
      <x:c r="AY143" s="14" t="str">
        <x:v>Unmatched</x:v>
      </x:c>
      <x:c r="AZ143" s="14" t="str">
        <x:v>Final supplied register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27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0.037037037037037035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4" t="str">
        <x:v>HYPERLINK is not implemented. linkLocation=https://www.imdb.com/title/tt21161156/fullcredits/,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tt21161156|nm0375961|rhys tomlinson</x:v>
      </x:c>
      <x:c r="B144" s="14" t="str">
        <x:v>01</x:v>
      </x:c>
      <x:c r="C144" s="14" t="str">
        <x:v>2023_IMDb_Cast_Lists_Batch_01(2).xlsx</x:v>
      </x:c>
      <x:c r="D144" s="14" t="str">
        <x:v>Beyond Paradise</x:v>
      </x:c>
      <x:c r="E144" s="14" t="n">
        <x:v>143</x:v>
      </x:c>
      <x:c r="F144" s="14" t="str">
        <x:v>Beyond Paradise</x:v>
      </x:c>
      <x:c r="G144" s="14" t="str">
        <x:v>tt21161156</x:v>
      </x:c>
      <x:c r="H144" s="14" t="n">
        <x:v>2023</x:v>
      </x:c>
      <x:c r="I144" s="14" t="n">
        <x:v>2025</x:v>
      </x:c>
      <x:c r="J144" s="14" t="str">
        <x:v>Earlier-Production Carry-In Cohort</x:v>
      </x:c>
      <x:c r="K144" s="14" t="n">
        <x:v>2023</x:v>
      </x:c>
      <x:c r="L144" s="14" t="str">
        <x:v>Not inherited</x:v>
      </x:c>
      <x:c r="M144" s="15" t="n">
        <x:v>136</x:v>
      </x:c>
      <x:c r="N144" s="14" t="str">
        <x:v>Oliver Hembrough</x:v>
      </x:c>
      <x:c r="O144" s="14" t="str">
        <x:v>nm0375961</x:v>
      </x:c>
      <x:c r="P144" s="14" t="str">
        <x:v>Rhys Tomlinson</x:v>
      </x:c>
      <x:c r="Q144" s="15" t="n">
        <x:v>1</x:v>
      </x:c>
      <x:c r="R144" s="14" t="str">
        <x:v>2025</x:v>
      </x:c>
      <x:c r="S144" s="14" t="n">
        <x:v>2025</x:v>
      </x:c>
      <x:c r="T144" s="14" t="n">
        <x:v>2025</x:v>
      </x:c>
      <x:c r="U144" s="14" t="str">
        <x:v>Explicit source first year retained</x:v>
      </x:c>
      <x:c r="V144" s="14" t="str">
        <x:v>Earliest supplied year is 2025.</x:v>
      </x:c>
      <x:c r="W144" s="14"/>
      <x:c r="X144" s="14" t="str">
        <x:v>Included</x:v>
      </x:c>
      <x:c r="Y144" s="14"/>
      <x:c r="Z144" s="14" t="str">
        <x:v>Beyond Paradise.docx</x:v>
      </x:c>
      <x:c r="AA144" s="14" t="str">
        <x:v>HYPERLINK is not implemented. linkLocation=https://www.imdb.com/title/tt21161156/fullcredits/,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BBC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HYPERLINK("https://en.wikipedia.org/wiki/Beyond_Paradise","Open source")</x:f>
        <x:v>HYPERLINK is not implemented. linkLocation=https://en.wikipedia.org/wiki/Beyond_Paradise, friendlyName=Open source</x:v>
      </x:c>
      <x:c r="AN144" s="14" t="str">
        <x:v>BBC public-service commission</x:v>
      </x:c>
      <x:c r="AO144" s="14" t="str">
        <x:v>Yes</x:v>
      </x:c>
      <x:c r="AP144" s="14" t="str">
        <x:v>Direct BBC public-service scope</x:v>
      </x:c>
      <x:c r="AQ144" s="14" t="str">
        <x:v>Yes</x:v>
      </x:c>
      <x:c r="AR144" s="14" t="str">
        <x:v>Resolved from master register</x:v>
      </x:c>
      <x:c r="AS144" s="14" t="str">
        <x:v>No established-register match</x:v>
      </x:c>
      <x:c r="AT144" s="14"/>
      <x:c r="AU144" s="14"/>
      <x:c r="AV144" s="14" t="str">
        <x:v>No established apparent-disability match</x:v>
      </x:c>
      <x:c r="AW144" s="14"/>
      <x:c r="AX144" s="14" t="str">
        <x:v>No</x:v>
      </x:c>
      <x:c r="AY144" s="14" t="str">
        <x:v>Unmatched</x:v>
      </x:c>
      <x:c r="AZ144" s="14" t="str">
        <x:v>Final supplied register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27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0.037037037037037035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4" t="str">
        <x:v>HYPERLINK is not implemented. linkLocation=https://www.imdb.com/title/tt21161156/fullcredits/,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tt21161156|nm8824058|mark weston</x:v>
      </x:c>
      <x:c r="B145" s="14" t="str">
        <x:v>01</x:v>
      </x:c>
      <x:c r="C145" s="14" t="str">
        <x:v>2023_IMDb_Cast_Lists_Batch_01(2).xlsx</x:v>
      </x:c>
      <x:c r="D145" s="14" t="str">
        <x:v>Beyond Paradise</x:v>
      </x:c>
      <x:c r="E145" s="14" t="n">
        <x:v>153</x:v>
      </x:c>
      <x:c r="F145" s="14" t="str">
        <x:v>Beyond Paradise</x:v>
      </x:c>
      <x:c r="G145" s="14" t="str">
        <x:v>tt21161156</x:v>
      </x:c>
      <x:c r="H145" s="14" t="n">
        <x:v>2023</x:v>
      </x:c>
      <x:c r="I145" s="14" t="n">
        <x:v>2025</x:v>
      </x:c>
      <x:c r="J145" s="14" t="str">
        <x:v>Earlier-Production Carry-In Cohort</x:v>
      </x:c>
      <x:c r="K145" s="14" t="n">
        <x:v>2023</x:v>
      </x:c>
      <x:c r="L145" s="14" t="str">
        <x:v>Not inherited</x:v>
      </x:c>
      <x:c r="M145" s="15" t="n">
        <x:v>146</x:v>
      </x:c>
      <x:c r="N145" s="14" t="str">
        <x:v>Kem Hassan</x:v>
      </x:c>
      <x:c r="O145" s="14" t="str">
        <x:v>nm8824058</x:v>
      </x:c>
      <x:c r="P145" s="14" t="str">
        <x:v>Mark Weston</x:v>
      </x:c>
      <x:c r="Q145" s="15" t="n">
        <x:v>1</x:v>
      </x:c>
      <x:c r="R145" s="14" t="str">
        <x:v>2025</x:v>
      </x:c>
      <x:c r="S145" s="14" t="n">
        <x:v>2025</x:v>
      </x:c>
      <x:c r="T145" s="14" t="n">
        <x:v>2025</x:v>
      </x:c>
      <x:c r="U145" s="14" t="str">
        <x:v>Explicit source first year retained</x:v>
      </x:c>
      <x:c r="V145" s="14" t="str">
        <x:v>Earliest supplied year is 2025.</x:v>
      </x:c>
      <x:c r="W145" s="14"/>
      <x:c r="X145" s="14" t="str">
        <x:v>Included</x:v>
      </x:c>
      <x:c r="Y145" s="14"/>
      <x:c r="Z145" s="14" t="str">
        <x:v>Beyond Paradise.docx</x:v>
      </x:c>
      <x:c r="AA145" s="14" t="str">
        <x:v>HYPERLINK is not implemented. linkLocation=https://www.imdb.com/title/tt21161156/fullcredits/,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BBC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HYPERLINK("https://en.wikipedia.org/wiki/Beyond_Paradise","Open source")</x:f>
        <x:v>HYPERLINK is not implemented. linkLocation=https://en.wikipedia.org/wiki/Beyond_Paradise, friendlyName=Open source</x:v>
      </x:c>
      <x:c r="AN145" s="14" t="str">
        <x:v>BBC public-service commission</x:v>
      </x:c>
      <x:c r="AO145" s="14" t="str">
        <x:v>Yes</x:v>
      </x:c>
      <x:c r="AP145" s="14" t="str">
        <x:v>Direct BBC public-service scope</x:v>
      </x:c>
      <x:c r="AQ145" s="14" t="str">
        <x:v>Yes</x:v>
      </x:c>
      <x:c r="AR145" s="14" t="str">
        <x:v>Resolved from master register</x:v>
      </x:c>
      <x:c r="AS145" s="14" t="str">
        <x:v>No established-register match</x:v>
      </x:c>
      <x:c r="AT145" s="14"/>
      <x:c r="AU145" s="14"/>
      <x:c r="AV145" s="14" t="str">
        <x:v>No established apparent-disability match</x:v>
      </x:c>
      <x:c r="AW145" s="14"/>
      <x:c r="AX145" s="14" t="str">
        <x:v>No</x:v>
      </x:c>
      <x:c r="AY145" s="14" t="str">
        <x:v>Unmatched</x:v>
      </x:c>
      <x:c r="AZ145" s="14" t="str">
        <x:v>Final supplied register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27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0.037037037037037035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4" t="str">
        <x:v>HYPERLINK is not implemented. linkLocation=https://www.imdb.com/title/tt21161156/fullcredits/,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tt21161156|nm0564133|trent morgan</x:v>
      </x:c>
      <x:c r="B146" s="14" t="str">
        <x:v>01</x:v>
      </x:c>
      <x:c r="C146" s="14" t="str">
        <x:v>2023_IMDb_Cast_Lists_Batch_01(2).xlsx</x:v>
      </x:c>
      <x:c r="D146" s="14" t="str">
        <x:v>Beyond Paradise</x:v>
      </x:c>
      <x:c r="E146" s="14" t="n">
        <x:v>154</x:v>
      </x:c>
      <x:c r="F146" s="14" t="str">
        <x:v>Beyond Paradise</x:v>
      </x:c>
      <x:c r="G146" s="14" t="str">
        <x:v>tt21161156</x:v>
      </x:c>
      <x:c r="H146" s="14" t="n">
        <x:v>2023</x:v>
      </x:c>
      <x:c r="I146" s="14" t="n">
        <x:v>2025</x:v>
      </x:c>
      <x:c r="J146" s="14" t="str">
        <x:v>Earlier-Production Carry-In Cohort</x:v>
      </x:c>
      <x:c r="K146" s="14" t="n">
        <x:v>2023</x:v>
      </x:c>
      <x:c r="L146" s="14" t="str">
        <x:v>Not inherited</x:v>
      </x:c>
      <x:c r="M146" s="15" t="n">
        <x:v>147</x:v>
      </x:c>
      <x:c r="N146" s="14" t="str">
        <x:v>Murray McArthur</x:v>
      </x:c>
      <x:c r="O146" s="14" t="str">
        <x:v>nm0564133</x:v>
      </x:c>
      <x:c r="P146" s="14" t="str">
        <x:v>Trent Morgan</x:v>
      </x:c>
      <x:c r="Q146" s="15" t="n">
        <x:v>1</x:v>
      </x:c>
      <x:c r="R146" s="14" t="str">
        <x:v>2025</x:v>
      </x:c>
      <x:c r="S146" s="14" t="n">
        <x:v>2025</x:v>
      </x:c>
      <x:c r="T146" s="14" t="n">
        <x:v>2025</x:v>
      </x:c>
      <x:c r="U146" s="14" t="str">
        <x:v>Explicit source first year retained</x:v>
      </x:c>
      <x:c r="V146" s="14" t="str">
        <x:v>Earliest supplied year is 2025.</x:v>
      </x:c>
      <x:c r="W146" s="14"/>
      <x:c r="X146" s="14" t="str">
        <x:v>Included</x:v>
      </x:c>
      <x:c r="Y146" s="14"/>
      <x:c r="Z146" s="14" t="str">
        <x:v>Beyond Paradise.docx</x:v>
      </x:c>
      <x:c r="AA146" s="14" t="str">
        <x:v>HYPERLINK is not implemented. linkLocation=https://www.imdb.com/title/tt21161156/fullcredits/,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BBC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HYPERLINK("https://en.wikipedia.org/wiki/Beyond_Paradise","Open source")</x:f>
        <x:v>HYPERLINK is not implemented. linkLocation=https://en.wikipedia.org/wiki/Beyond_Paradise, friendlyName=Open source</x:v>
      </x:c>
      <x:c r="AN146" s="14" t="str">
        <x:v>BBC public-service commission</x:v>
      </x:c>
      <x:c r="AO146" s="14" t="str">
        <x:v>Yes</x:v>
      </x:c>
      <x:c r="AP146" s="14" t="str">
        <x:v>Direct BBC public-service scope</x:v>
      </x:c>
      <x:c r="AQ146" s="14" t="str">
        <x:v>Yes</x:v>
      </x:c>
      <x:c r="AR146" s="14" t="str">
        <x:v>Resolved from master register</x:v>
      </x:c>
      <x:c r="AS146" s="14" t="str">
        <x:v>No established-register match</x:v>
      </x:c>
      <x:c r="AT146" s="14"/>
      <x:c r="AU146" s="14"/>
      <x:c r="AV146" s="14" t="str">
        <x:v>No established apparent-disability match</x:v>
      </x:c>
      <x:c r="AW146" s="14"/>
      <x:c r="AX146" s="14" t="str">
        <x:v>No</x:v>
      </x:c>
      <x:c r="AY146" s="14" t="str">
        <x:v>Unmatched</x:v>
      </x:c>
      <x:c r="AZ146" s="14" t="str">
        <x:v>Final supplied register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27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0.037037037037037035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4" t="str">
        <x:v>HYPERLINK is not implemented. linkLocation=https://www.imdb.com/title/tt21161156/fullcredits/,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tt21161156|nm12650950|polly digsby</x:v>
      </x:c>
      <x:c r="B147" s="14" t="str">
        <x:v>01</x:v>
      </x:c>
      <x:c r="C147" s="14" t="str">
        <x:v>2023_IMDb_Cast_Lists_Batch_01(2).xlsx</x:v>
      </x:c>
      <x:c r="D147" s="14" t="str">
        <x:v>Beyond Paradise</x:v>
      </x:c>
      <x:c r="E147" s="14" t="n">
        <x:v>155</x:v>
      </x:c>
      <x:c r="F147" s="14" t="str">
        <x:v>Beyond Paradise</x:v>
      </x:c>
      <x:c r="G147" s="14" t="str">
        <x:v>tt21161156</x:v>
      </x:c>
      <x:c r="H147" s="14" t="n">
        <x:v>2023</x:v>
      </x:c>
      <x:c r="I147" s="14" t="n">
        <x:v>2025</x:v>
      </x:c>
      <x:c r="J147" s="14" t="str">
        <x:v>Earlier-Production Carry-In Cohort</x:v>
      </x:c>
      <x:c r="K147" s="14" t="n">
        <x:v>2023</x:v>
      </x:c>
      <x:c r="L147" s="14" t="str">
        <x:v>Not inherited</x:v>
      </x:c>
      <x:c r="M147" s="15" t="n">
        <x:v>148</x:v>
      </x:c>
      <x:c r="N147" s="14" t="str">
        <x:v>Madeleine Day</x:v>
      </x:c>
      <x:c r="O147" s="14" t="str">
        <x:v>nm12650950</x:v>
      </x:c>
      <x:c r="P147" s="14" t="str">
        <x:v>Polly Digsby</x:v>
      </x:c>
      <x:c r="Q147" s="15" t="n">
        <x:v>1</x:v>
      </x:c>
      <x:c r="R147" s="14" t="str">
        <x:v>2025</x:v>
      </x:c>
      <x:c r="S147" s="14" t="n">
        <x:v>2025</x:v>
      </x:c>
      <x:c r="T147" s="14" t="n">
        <x:v>2025</x:v>
      </x:c>
      <x:c r="U147" s="14" t="str">
        <x:v>Explicit source first year retained</x:v>
      </x:c>
      <x:c r="V147" s="14" t="str">
        <x:v>Earliest supplied year is 2025.</x:v>
      </x:c>
      <x:c r="W147" s="14"/>
      <x:c r="X147" s="14" t="str">
        <x:v>Included</x:v>
      </x:c>
      <x:c r="Y147" s="14"/>
      <x:c r="Z147" s="14" t="str">
        <x:v>Beyond Paradise.docx</x:v>
      </x:c>
      <x:c r="AA147" s="14" t="str">
        <x:v>HYPERLINK is not implemented. linkLocation=https://www.imdb.com/title/tt21161156/fullcredits/,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BBC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HYPERLINK("https://en.wikipedia.org/wiki/Beyond_Paradise","Open source")</x:f>
        <x:v>HYPERLINK is not implemented. linkLocation=https://en.wikipedia.org/wiki/Beyond_Paradise, friendlyName=Open source</x:v>
      </x:c>
      <x:c r="AN147" s="14" t="str">
        <x:v>BBC public-service commission</x:v>
      </x:c>
      <x:c r="AO147" s="14" t="str">
        <x:v>Yes</x:v>
      </x:c>
      <x:c r="AP147" s="14" t="str">
        <x:v>Direct BBC public-service scope</x:v>
      </x:c>
      <x:c r="AQ147" s="14" t="str">
        <x:v>Yes</x:v>
      </x:c>
      <x:c r="AR147" s="14" t="str">
        <x:v>Resolved from master register</x:v>
      </x:c>
      <x:c r="AS147" s="14" t="str">
        <x:v>No established-register match</x:v>
      </x:c>
      <x:c r="AT147" s="14"/>
      <x:c r="AU147" s="14"/>
      <x:c r="AV147" s="14" t="str">
        <x:v>No established apparent-disability match</x:v>
      </x:c>
      <x:c r="AW147" s="14"/>
      <x:c r="AX147" s="14" t="str">
        <x:v>No</x:v>
      </x:c>
      <x:c r="AY147" s="14" t="str">
        <x:v>Unmatched</x:v>
      </x:c>
      <x:c r="AZ147" s="14" t="str">
        <x:v>Final supplied register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27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0.037037037037037035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4" t="str">
        <x:v>HYPERLINK is not implemented. linkLocation=https://www.imdb.com/title/tt21161156/fullcredits/,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tt21161156|nm0822697|annie</x:v>
      </x:c>
      <x:c r="B148" s="14" t="str">
        <x:v>01</x:v>
      </x:c>
      <x:c r="C148" s="14" t="str">
        <x:v>2023_IMDb_Cast_Lists_Batch_01(2).xlsx</x:v>
      </x:c>
      <x:c r="D148" s="14" t="str">
        <x:v>Beyond Paradise</x:v>
      </x:c>
      <x:c r="E148" s="14" t="n">
        <x:v>164</x:v>
      </x:c>
      <x:c r="F148" s="14" t="str">
        <x:v>Beyond Paradise</x:v>
      </x:c>
      <x:c r="G148" s="14" t="str">
        <x:v>tt21161156</x:v>
      </x:c>
      <x:c r="H148" s="14" t="n">
        <x:v>2023</x:v>
      </x:c>
      <x:c r="I148" s="14" t="n">
        <x:v>2025</x:v>
      </x:c>
      <x:c r="J148" s="14" t="str">
        <x:v>Earlier-Production Carry-In Cohort</x:v>
      </x:c>
      <x:c r="K148" s="14" t="n">
        <x:v>2023</x:v>
      </x:c>
      <x:c r="L148" s="14" t="str">
        <x:v>Not inherited</x:v>
      </x:c>
      <x:c r="M148" s="15" t="n">
        <x:v>157</x:v>
      </x:c>
      <x:c r="N148" s="14" t="str">
        <x:v>Emma Stansfield</x:v>
      </x:c>
      <x:c r="O148" s="14" t="str">
        <x:v>nm0822697</x:v>
      </x:c>
      <x:c r="P148" s="14" t="str">
        <x:v>Annie</x:v>
      </x:c>
      <x:c r="Q148" s="15" t="n">
        <x:v>1</x:v>
      </x:c>
      <x:c r="R148" s="14" t="str">
        <x:v>2025</x:v>
      </x:c>
      <x:c r="S148" s="14" t="n">
        <x:v>2025</x:v>
      </x:c>
      <x:c r="T148" s="14" t="n">
        <x:v>2025</x:v>
      </x:c>
      <x:c r="U148" s="14" t="str">
        <x:v>Explicit source first year retained</x:v>
      </x:c>
      <x:c r="V148" s="14" t="str">
        <x:v>Earliest supplied year is 2025.</x:v>
      </x:c>
      <x:c r="W148" s="14"/>
      <x:c r="X148" s="14" t="str">
        <x:v>Included</x:v>
      </x:c>
      <x:c r="Y148" s="14"/>
      <x:c r="Z148" s="14" t="str">
        <x:v>Beyond Paradise.docx</x:v>
      </x:c>
      <x:c r="AA148" s="14" t="str">
        <x:v>HYPERLINK is not implemented. linkLocation=https://www.imdb.com/title/tt21161156/fullcredits/,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BBC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HYPERLINK("https://en.wikipedia.org/wiki/Beyond_Paradise","Open source")</x:f>
        <x:v>HYPERLINK is not implemented. linkLocation=https://en.wikipedia.org/wiki/Beyond_Paradise, friendlyName=Open source</x:v>
      </x:c>
      <x:c r="AN148" s="14" t="str">
        <x:v>BBC public-service commission</x:v>
      </x:c>
      <x:c r="AO148" s="14" t="str">
        <x:v>Yes</x:v>
      </x:c>
      <x:c r="AP148" s="14" t="str">
        <x:v>Direct BBC public-service scope</x:v>
      </x:c>
      <x:c r="AQ148" s="14" t="str">
        <x:v>Yes</x:v>
      </x:c>
      <x:c r="AR148" s="14" t="str">
        <x:v>Resolved from master register</x:v>
      </x:c>
      <x:c r="AS148" s="14" t="str">
        <x:v>No established-register match</x:v>
      </x:c>
      <x:c r="AT148" s="14"/>
      <x:c r="AU148" s="14"/>
      <x:c r="AV148" s="14" t="str">
        <x:v>No established apparent-disability match</x:v>
      </x:c>
      <x:c r="AW148" s="14"/>
      <x:c r="AX148" s="14" t="str">
        <x:v>No</x:v>
      </x:c>
      <x:c r="AY148" s="14" t="str">
        <x:v>Unmatched</x:v>
      </x:c>
      <x:c r="AZ148" s="14" t="str">
        <x:v>Final supplied register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27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0.037037037037037035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4" t="str">
        <x:v>HYPERLINK is not implemented. linkLocation=https://www.imdb.com/title/tt21161156/fullcredits/,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tt21161156|nm14673261|abigail marsh</x:v>
      </x:c>
      <x:c r="B149" s="14" t="str">
        <x:v>01</x:v>
      </x:c>
      <x:c r="C149" s="14" t="str">
        <x:v>2023_IMDb_Cast_Lists_Batch_01(2).xlsx</x:v>
      </x:c>
      <x:c r="D149" s="14" t="str">
        <x:v>Beyond Paradise</x:v>
      </x:c>
      <x:c r="E149" s="14" t="n">
        <x:v>165</x:v>
      </x:c>
      <x:c r="F149" s="14" t="str">
        <x:v>Beyond Paradise</x:v>
      </x:c>
      <x:c r="G149" s="14" t="str">
        <x:v>tt21161156</x:v>
      </x:c>
      <x:c r="H149" s="14" t="n">
        <x:v>2023</x:v>
      </x:c>
      <x:c r="I149" s="14" t="n">
        <x:v>2025</x:v>
      </x:c>
      <x:c r="J149" s="14" t="str">
        <x:v>Earlier-Production Carry-In Cohort</x:v>
      </x:c>
      <x:c r="K149" s="14" t="n">
        <x:v>2023</x:v>
      </x:c>
      <x:c r="L149" s="14" t="str">
        <x:v>Not inherited</x:v>
      </x:c>
      <x:c r="M149" s="15" t="n">
        <x:v>158</x:v>
      </x:c>
      <x:c r="N149" s="14" t="str">
        <x:v>Hannah Howland</x:v>
      </x:c>
      <x:c r="O149" s="14" t="str">
        <x:v>nm14673261</x:v>
      </x:c>
      <x:c r="P149" s="14" t="str">
        <x:v>Abigail Marsh</x:v>
      </x:c>
      <x:c r="Q149" s="15" t="n">
        <x:v>1</x:v>
      </x:c>
      <x:c r="R149" s="14" t="str">
        <x:v>2025</x:v>
      </x:c>
      <x:c r="S149" s="14" t="n">
        <x:v>2025</x:v>
      </x:c>
      <x:c r="T149" s="14" t="n">
        <x:v>2025</x:v>
      </x:c>
      <x:c r="U149" s="14" t="str">
        <x:v>Explicit source first year retained</x:v>
      </x:c>
      <x:c r="V149" s="14" t="str">
        <x:v>Earliest supplied year is 2025.</x:v>
      </x:c>
      <x:c r="W149" s="14"/>
      <x:c r="X149" s="14" t="str">
        <x:v>Included</x:v>
      </x:c>
      <x:c r="Y149" s="14"/>
      <x:c r="Z149" s="14" t="str">
        <x:v>Beyond Paradise.docx</x:v>
      </x:c>
      <x:c r="AA149" s="14" t="str">
        <x:v>HYPERLINK is not implemented. linkLocation=https://www.imdb.com/title/tt21161156/fullcredits/,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BBC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HYPERLINK("https://en.wikipedia.org/wiki/Beyond_Paradise","Open source")</x:f>
        <x:v>HYPERLINK is not implemented. linkLocation=https://en.wikipedia.org/wiki/Beyond_Paradise, friendlyName=Open source</x:v>
      </x:c>
      <x:c r="AN149" s="14" t="str">
        <x:v>BBC public-service commission</x:v>
      </x:c>
      <x:c r="AO149" s="14" t="str">
        <x:v>Yes</x:v>
      </x:c>
      <x:c r="AP149" s="14" t="str">
        <x:v>Direct BBC public-service scope</x:v>
      </x:c>
      <x:c r="AQ149" s="14" t="str">
        <x:v>Yes</x:v>
      </x:c>
      <x:c r="AR149" s="14" t="str">
        <x:v>Resolved from master register</x:v>
      </x:c>
      <x:c r="AS149" s="14" t="str">
        <x:v>No established-register match</x:v>
      </x:c>
      <x:c r="AT149" s="14"/>
      <x:c r="AU149" s="14"/>
      <x:c r="AV149" s="14" t="str">
        <x:v>No established apparent-disability match</x:v>
      </x:c>
      <x:c r="AW149" s="14"/>
      <x:c r="AX149" s="14" t="str">
        <x:v>No</x:v>
      </x:c>
      <x:c r="AY149" s="14" t="str">
        <x:v>Unmatched</x:v>
      </x:c>
      <x:c r="AZ149" s="14" t="str">
        <x:v>Final supplied register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27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0.037037037037037035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4" t="str">
        <x:v>HYPERLINK is not implemented. linkLocation=https://www.imdb.com/title/tt21161156/fullcredits/,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tt21161156|nm17267285|cathy morgan</x:v>
      </x:c>
      <x:c r="B150" s="14" t="str">
        <x:v>01</x:v>
      </x:c>
      <x:c r="C150" s="14" t="str">
        <x:v>2023_IMDb_Cast_Lists_Batch_01(2).xlsx</x:v>
      </x:c>
      <x:c r="D150" s="14" t="str">
        <x:v>Beyond Paradise</x:v>
      </x:c>
      <x:c r="E150" s="14" t="n">
        <x:v>166</x:v>
      </x:c>
      <x:c r="F150" s="14" t="str">
        <x:v>Beyond Paradise</x:v>
      </x:c>
      <x:c r="G150" s="14" t="str">
        <x:v>tt21161156</x:v>
      </x:c>
      <x:c r="H150" s="14" t="n">
        <x:v>2023</x:v>
      </x:c>
      <x:c r="I150" s="14" t="n">
        <x:v>2025</x:v>
      </x:c>
      <x:c r="J150" s="14" t="str">
        <x:v>Earlier-Production Carry-In Cohort</x:v>
      </x:c>
      <x:c r="K150" s="14" t="n">
        <x:v>2023</x:v>
      </x:c>
      <x:c r="L150" s="14" t="str">
        <x:v>Not inherited</x:v>
      </x:c>
      <x:c r="M150" s="15" t="n">
        <x:v>159</x:v>
      </x:c>
      <x:c r="N150" s="14" t="str">
        <x:v>Sarah Bennett-Green</x:v>
      </x:c>
      <x:c r="O150" s="14" t="str">
        <x:v>nm17267285</x:v>
      </x:c>
      <x:c r="P150" s="14" t="str">
        <x:v>Cathy Morgan</x:v>
      </x:c>
      <x:c r="Q150" s="15" t="n">
        <x:v>1</x:v>
      </x:c>
      <x:c r="R150" s="14" t="str">
        <x:v>2025</x:v>
      </x:c>
      <x:c r="S150" s="14" t="n">
        <x:v>2025</x:v>
      </x:c>
      <x:c r="T150" s="14" t="n">
        <x:v>2025</x:v>
      </x:c>
      <x:c r="U150" s="14" t="str">
        <x:v>Explicit source first year retained</x:v>
      </x:c>
      <x:c r="V150" s="14" t="str">
        <x:v>Earliest supplied year is 2025.</x:v>
      </x:c>
      <x:c r="W150" s="14"/>
      <x:c r="X150" s="14" t="str">
        <x:v>Included</x:v>
      </x:c>
      <x:c r="Y150" s="14"/>
      <x:c r="Z150" s="14" t="str">
        <x:v>Beyond Paradise.docx</x:v>
      </x:c>
      <x:c r="AA150" s="14" t="str">
        <x:v>HYPERLINK is not implemented. linkLocation=https://www.imdb.com/title/tt21161156/fullcredits/,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BBC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HYPERLINK("https://en.wikipedia.org/wiki/Beyond_Paradise","Open source")</x:f>
        <x:v>HYPERLINK is not implemented. linkLocation=https://en.wikipedia.org/wiki/Beyond_Paradise, friendlyName=Open source</x:v>
      </x:c>
      <x:c r="AN150" s="14" t="str">
        <x:v>BBC public-service commission</x:v>
      </x:c>
      <x:c r="AO150" s="14" t="str">
        <x:v>Yes</x:v>
      </x:c>
      <x:c r="AP150" s="14" t="str">
        <x:v>Direct BBC public-service scope</x:v>
      </x:c>
      <x:c r="AQ150" s="14" t="str">
        <x:v>Yes</x:v>
      </x:c>
      <x:c r="AR150" s="14" t="str">
        <x:v>Resolved from master register</x:v>
      </x:c>
      <x:c r="AS150" s="14" t="str">
        <x:v>No established-register match</x:v>
      </x:c>
      <x:c r="AT150" s="14"/>
      <x:c r="AU150" s="14"/>
      <x:c r="AV150" s="14" t="str">
        <x:v>No established apparent-disability match</x:v>
      </x:c>
      <x:c r="AW150" s="14"/>
      <x:c r="AX150" s="14" t="str">
        <x:v>No</x:v>
      </x:c>
      <x:c r="AY150" s="14" t="str">
        <x:v>Unmatched</x:v>
      </x:c>
      <x:c r="AZ150" s="14" t="str">
        <x:v>Final supplied register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27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0.037037037037037035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4" t="str">
        <x:v>HYPERLINK is not implemented. linkLocation=https://www.imdb.com/title/tt21161156/fullcredits/,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tt21161156|nm2908489|tv interviewer</x:v>
      </x:c>
      <x:c r="B151" s="14" t="str">
        <x:v>01</x:v>
      </x:c>
      <x:c r="C151" s="14" t="str">
        <x:v>2023_IMDb_Cast_Lists_Batch_01(2).xlsx</x:v>
      </x:c>
      <x:c r="D151" s="14" t="str">
        <x:v>Beyond Paradise</x:v>
      </x:c>
      <x:c r="E151" s="14" t="n">
        <x:v>167</x:v>
      </x:c>
      <x:c r="F151" s="14" t="str">
        <x:v>Beyond Paradise</x:v>
      </x:c>
      <x:c r="G151" s="14" t="str">
        <x:v>tt21161156</x:v>
      </x:c>
      <x:c r="H151" s="14" t="n">
        <x:v>2023</x:v>
      </x:c>
      <x:c r="I151" s="14" t="n">
        <x:v>2025</x:v>
      </x:c>
      <x:c r="J151" s="14" t="str">
        <x:v>Earlier-Production Carry-In Cohort</x:v>
      </x:c>
      <x:c r="K151" s="14" t="n">
        <x:v>2023</x:v>
      </x:c>
      <x:c r="L151" s="14" t="str">
        <x:v>Not inherited</x:v>
      </x:c>
      <x:c r="M151" s="15" t="n">
        <x:v>160</x:v>
      </x:c>
      <x:c r="N151" s="14" t="str">
        <x:v>Sarah Bowden</x:v>
      </x:c>
      <x:c r="O151" s="14" t="str">
        <x:v>nm2908489</x:v>
      </x:c>
      <x:c r="P151" s="14" t="str">
        <x:v>TV Interviewer</x:v>
      </x:c>
      <x:c r="Q151" s="15" t="n">
        <x:v>1</x:v>
      </x:c>
      <x:c r="R151" s="14" t="str">
        <x:v>2025</x:v>
      </x:c>
      <x:c r="S151" s="14" t="n">
        <x:v>2025</x:v>
      </x:c>
      <x:c r="T151" s="14" t="n">
        <x:v>2025</x:v>
      </x:c>
      <x:c r="U151" s="14" t="str">
        <x:v>Explicit source first year retained</x:v>
      </x:c>
      <x:c r="V151" s="14" t="str">
        <x:v>Earliest supplied year is 2025.</x:v>
      </x:c>
      <x:c r="W151" s="14"/>
      <x:c r="X151" s="14" t="str">
        <x:v>Included</x:v>
      </x:c>
      <x:c r="Y151" s="14"/>
      <x:c r="Z151" s="14" t="str">
        <x:v>Beyond Paradise.docx</x:v>
      </x:c>
      <x:c r="AA151" s="14" t="str">
        <x:v>HYPERLINK is not implemented. linkLocation=https://www.imdb.com/title/tt21161156/fullcredits/,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BBC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HYPERLINK("https://en.wikipedia.org/wiki/Beyond_Paradise","Open source")</x:f>
        <x:v>HYPERLINK is not implemented. linkLocation=https://en.wikipedia.org/wiki/Beyond_Paradise, friendlyName=Open source</x:v>
      </x:c>
      <x:c r="AN151" s="14" t="str">
        <x:v>BBC public-service commission</x:v>
      </x:c>
      <x:c r="AO151" s="14" t="str">
        <x:v>Yes</x:v>
      </x:c>
      <x:c r="AP151" s="14" t="str">
        <x:v>Direct BBC public-service scope</x:v>
      </x:c>
      <x:c r="AQ151" s="14" t="str">
        <x:v>Yes</x:v>
      </x:c>
      <x:c r="AR151" s="14" t="str">
        <x:v>Resolved from master register</x:v>
      </x:c>
      <x:c r="AS151" s="14" t="str">
        <x:v>No established-register match</x:v>
      </x:c>
      <x:c r="AT151" s="14"/>
      <x:c r="AU151" s="14"/>
      <x:c r="AV151" s="14" t="str">
        <x:v>No established apparent-disability match</x:v>
      </x:c>
      <x:c r="AW151" s="14"/>
      <x:c r="AX151" s="14" t="str">
        <x:v>No</x:v>
      </x:c>
      <x:c r="AY151" s="14" t="str">
        <x:v>Unmatched</x:v>
      </x:c>
      <x:c r="AZ151" s="14" t="str">
        <x:v>Final supplied register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27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0.037037037037037035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4" t="str">
        <x:v>HYPERLINK is not implemented. linkLocation=https://www.imdb.com/title/tt21161156/fullcredits/,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tt21161156|nm0444744|louise branagh</x:v>
      </x:c>
      <x:c r="B152" s="14" t="str">
        <x:v>01</x:v>
      </x:c>
      <x:c r="C152" s="14" t="str">
        <x:v>2023_IMDb_Cast_Lists_Batch_01(2).xlsx</x:v>
      </x:c>
      <x:c r="D152" s="14" t="str">
        <x:v>Beyond Paradise</x:v>
      </x:c>
      <x:c r="E152" s="14" t="n">
        <x:v>174</x:v>
      </x:c>
      <x:c r="F152" s="14" t="str">
        <x:v>Beyond Paradise</x:v>
      </x:c>
      <x:c r="G152" s="14" t="str">
        <x:v>tt21161156</x:v>
      </x:c>
      <x:c r="H152" s="14" t="n">
        <x:v>2023</x:v>
      </x:c>
      <x:c r="I152" s="14" t="n">
        <x:v>2025</x:v>
      </x:c>
      <x:c r="J152" s="14" t="str">
        <x:v>Earlier-Production Carry-In Cohort</x:v>
      </x:c>
      <x:c r="K152" s="14" t="n">
        <x:v>2023</x:v>
      </x:c>
      <x:c r="L152" s="14" t="str">
        <x:v>Not inherited</x:v>
      </x:c>
      <x:c r="M152" s="15" t="n">
        <x:v>167</x:v>
      </x:c>
      <x:c r="N152" s="14" t="str">
        <x:v>Vivien Keene</x:v>
      </x:c>
      <x:c r="O152" s="14" t="str">
        <x:v>nm0444744</x:v>
      </x:c>
      <x:c r="P152" s="14" t="str">
        <x:v>Louise Branagh</x:v>
      </x:c>
      <x:c r="Q152" s="15" t="n">
        <x:v>1</x:v>
      </x:c>
      <x:c r="R152" s="14" t="str">
        <x:v>2025</x:v>
      </x:c>
      <x:c r="S152" s="14" t="n">
        <x:v>2025</x:v>
      </x:c>
      <x:c r="T152" s="14" t="n">
        <x:v>2025</x:v>
      </x:c>
      <x:c r="U152" s="14" t="str">
        <x:v>Explicit source first year retained</x:v>
      </x:c>
      <x:c r="V152" s="14" t="str">
        <x:v>Earliest supplied year is 2025.</x:v>
      </x:c>
      <x:c r="W152" s="14"/>
      <x:c r="X152" s="14" t="str">
        <x:v>Included</x:v>
      </x:c>
      <x:c r="Y152" s="14"/>
      <x:c r="Z152" s="14" t="str">
        <x:v>Beyond Paradise.docx</x:v>
      </x:c>
      <x:c r="AA152" s="14" t="str">
        <x:v>HYPERLINK is not implemented. linkLocation=https://www.imdb.com/title/tt21161156/fullcredits/,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BBC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HYPERLINK("https://en.wikipedia.org/wiki/Beyond_Paradise","Open source")</x:f>
        <x:v>HYPERLINK is not implemented. linkLocation=https://en.wikipedia.org/wiki/Beyond_Paradise, friendlyName=Open source</x:v>
      </x:c>
      <x:c r="AN152" s="14" t="str">
        <x:v>BBC public-service commission</x:v>
      </x:c>
      <x:c r="AO152" s="14" t="str">
        <x:v>Yes</x:v>
      </x:c>
      <x:c r="AP152" s="14" t="str">
        <x:v>Direct BBC public-service scope</x:v>
      </x:c>
      <x:c r="AQ152" s="14" t="str">
        <x:v>Yes</x:v>
      </x:c>
      <x:c r="AR152" s="14" t="str">
        <x:v>Resolved from master register</x:v>
      </x:c>
      <x:c r="AS152" s="14" t="str">
        <x:v>No established-register match</x:v>
      </x:c>
      <x:c r="AT152" s="14"/>
      <x:c r="AU152" s="14"/>
      <x:c r="AV152" s="14" t="str">
        <x:v>No established apparent-disability match</x:v>
      </x:c>
      <x:c r="AW152" s="14"/>
      <x:c r="AX152" s="14" t="str">
        <x:v>No</x:v>
      </x:c>
      <x:c r="AY152" s="14" t="str">
        <x:v>Unmatched</x:v>
      </x:c>
      <x:c r="AZ152" s="14" t="str">
        <x:v>Final supplied register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27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0.037037037037037035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4" t="str">
        <x:v>HYPERLINK is not implemented. linkLocation=https://www.imdb.com/title/tt21161156/fullcredits/,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tt21161156|nm6620591|skydive instructor</x:v>
      </x:c>
      <x:c r="B153" s="14" t="str">
        <x:v>01</x:v>
      </x:c>
      <x:c r="C153" s="14" t="str">
        <x:v>2023_IMDb_Cast_Lists_Batch_01(2).xlsx</x:v>
      </x:c>
      <x:c r="D153" s="14" t="str">
        <x:v>Beyond Paradise</x:v>
      </x:c>
      <x:c r="E153" s="14" t="n">
        <x:v>175</x:v>
      </x:c>
      <x:c r="F153" s="14" t="str">
        <x:v>Beyond Paradise</x:v>
      </x:c>
      <x:c r="G153" s="14" t="str">
        <x:v>tt21161156</x:v>
      </x:c>
      <x:c r="H153" s="14" t="n">
        <x:v>2023</x:v>
      </x:c>
      <x:c r="I153" s="14" t="n">
        <x:v>2025</x:v>
      </x:c>
      <x:c r="J153" s="14" t="str">
        <x:v>Earlier-Production Carry-In Cohort</x:v>
      </x:c>
      <x:c r="K153" s="14" t="n">
        <x:v>2023</x:v>
      </x:c>
      <x:c r="L153" s="14" t="str">
        <x:v>Not inherited</x:v>
      </x:c>
      <x:c r="M153" s="15" t="n">
        <x:v>168</x:v>
      </x:c>
      <x:c r="N153" s="14" t="str">
        <x:v>Ankur Sengupta</x:v>
      </x:c>
      <x:c r="O153" s="14" t="str">
        <x:v>nm6620591</x:v>
      </x:c>
      <x:c r="P153" s="14" t="str">
        <x:v>Skydive Instructor</x:v>
      </x:c>
      <x:c r="Q153" s="15" t="n">
        <x:v>1</x:v>
      </x:c>
      <x:c r="R153" s="14" t="str">
        <x:v>2025</x:v>
      </x:c>
      <x:c r="S153" s="14" t="n">
        <x:v>2025</x:v>
      </x:c>
      <x:c r="T153" s="14" t="n">
        <x:v>2025</x:v>
      </x:c>
      <x:c r="U153" s="14" t="str">
        <x:v>Explicit source first year retained</x:v>
      </x:c>
      <x:c r="V153" s="14" t="str">
        <x:v>Earliest supplied year is 2025.</x:v>
      </x:c>
      <x:c r="W153" s="14"/>
      <x:c r="X153" s="14" t="str">
        <x:v>Included</x:v>
      </x:c>
      <x:c r="Y153" s="14"/>
      <x:c r="Z153" s="14" t="str">
        <x:v>Beyond Paradise.docx</x:v>
      </x:c>
      <x:c r="AA153" s="14" t="str">
        <x:v>HYPERLINK is not implemented. linkLocation=https://www.imdb.com/title/tt21161156/fullcredits/,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BBC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HYPERLINK("https://en.wikipedia.org/wiki/Beyond_Paradise","Open source")</x:f>
        <x:v>HYPERLINK is not implemented. linkLocation=https://en.wikipedia.org/wiki/Beyond_Paradise, friendlyName=Open source</x:v>
      </x:c>
      <x:c r="AN153" s="14" t="str">
        <x:v>BBC public-service commission</x:v>
      </x:c>
      <x:c r="AO153" s="14" t="str">
        <x:v>Yes</x:v>
      </x:c>
      <x:c r="AP153" s="14" t="str">
        <x:v>Direct BBC public-service scope</x:v>
      </x:c>
      <x:c r="AQ153" s="14" t="str">
        <x:v>Yes</x:v>
      </x:c>
      <x:c r="AR153" s="14" t="str">
        <x:v>Resolved from master register</x:v>
      </x:c>
      <x:c r="AS153" s="14" t="str">
        <x:v>No established-register match</x:v>
      </x:c>
      <x:c r="AT153" s="14"/>
      <x:c r="AU153" s="14"/>
      <x:c r="AV153" s="14" t="str">
        <x:v>No established apparent-disability match</x:v>
      </x:c>
      <x:c r="AW153" s="14"/>
      <x:c r="AX153" s="14" t="str">
        <x:v>No</x:v>
      </x:c>
      <x:c r="AY153" s="14" t="str">
        <x:v>Unmatched</x:v>
      </x:c>
      <x:c r="AZ153" s="14" t="str">
        <x:v>Final supplied register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27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0.037037037037037035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4" t="str">
        <x:v>HYPERLINK is not implemented. linkLocation=https://www.imdb.com/title/tt21161156/fullcredits/,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tt21161156|nm0474904|dr. hodges</x:v>
      </x:c>
      <x:c r="B154" s="14" t="str">
        <x:v>01</x:v>
      </x:c>
      <x:c r="C154" s="14" t="str">
        <x:v>2023_IMDb_Cast_Lists_Batch_01(2).xlsx</x:v>
      </x:c>
      <x:c r="D154" s="14" t="str">
        <x:v>Beyond Paradise</x:v>
      </x:c>
      <x:c r="E154" s="14" t="n">
        <x:v>183</x:v>
      </x:c>
      <x:c r="F154" s="14" t="str">
        <x:v>Beyond Paradise</x:v>
      </x:c>
      <x:c r="G154" s="14" t="str">
        <x:v>tt21161156</x:v>
      </x:c>
      <x:c r="H154" s="14" t="n">
        <x:v>2023</x:v>
      </x:c>
      <x:c r="I154" s="14" t="n">
        <x:v>2025</x:v>
      </x:c>
      <x:c r="J154" s="14" t="str">
        <x:v>Earlier-Production Carry-In Cohort</x:v>
      </x:c>
      <x:c r="K154" s="14" t="n">
        <x:v>2023</x:v>
      </x:c>
      <x:c r="L154" s="14" t="str">
        <x:v>Not inherited</x:v>
      </x:c>
      <x:c r="M154" s="15" t="n">
        <x:v>176</x:v>
      </x:c>
      <x:c r="N154" s="14" t="str">
        <x:v>Syreeta Kumar</x:v>
      </x:c>
      <x:c r="O154" s="14" t="str">
        <x:v>nm0474904</x:v>
      </x:c>
      <x:c r="P154" s="14" t="str">
        <x:v>Dr. Hodges</x:v>
      </x:c>
      <x:c r="Q154" s="15" t="n">
        <x:v>1</x:v>
      </x:c>
      <x:c r="R154" s="14" t="str">
        <x:v>2025</x:v>
      </x:c>
      <x:c r="S154" s="14" t="n">
        <x:v>2025</x:v>
      </x:c>
      <x:c r="T154" s="14" t="n">
        <x:v>2025</x:v>
      </x:c>
      <x:c r="U154" s="14" t="str">
        <x:v>Explicit source first year retained</x:v>
      </x:c>
      <x:c r="V154" s="14" t="str">
        <x:v>Earliest supplied year is 2025.</x:v>
      </x:c>
      <x:c r="W154" s="14"/>
      <x:c r="X154" s="14" t="str">
        <x:v>Included</x:v>
      </x:c>
      <x:c r="Y154" s="14"/>
      <x:c r="Z154" s="14" t="str">
        <x:v>Beyond Paradise.docx</x:v>
      </x:c>
      <x:c r="AA154" s="14" t="str">
        <x:v>HYPERLINK is not implemented. linkLocation=https://www.imdb.com/title/tt21161156/fullcredits/,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BBC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HYPERLINK("https://en.wikipedia.org/wiki/Beyond_Paradise","Open source")</x:f>
        <x:v>HYPERLINK is not implemented. linkLocation=https://en.wikipedia.org/wiki/Beyond_Paradise, friendlyName=Open source</x:v>
      </x:c>
      <x:c r="AN154" s="14" t="str">
        <x:v>BBC public-service commission</x:v>
      </x:c>
      <x:c r="AO154" s="14" t="str">
        <x:v>Yes</x:v>
      </x:c>
      <x:c r="AP154" s="14" t="str">
        <x:v>Direct BBC public-service scope</x:v>
      </x:c>
      <x:c r="AQ154" s="14" t="str">
        <x:v>Yes</x:v>
      </x:c>
      <x:c r="AR154" s="14" t="str">
        <x:v>Resolved from master register</x:v>
      </x:c>
      <x:c r="AS154" s="14" t="str">
        <x:v>No established-register match</x:v>
      </x:c>
      <x:c r="AT154" s="14"/>
      <x:c r="AU154" s="14"/>
      <x:c r="AV154" s="14" t="str">
        <x:v>No established apparent-disability match</x:v>
      </x:c>
      <x:c r="AW154" s="14"/>
      <x:c r="AX154" s="14" t="str">
        <x:v>No</x:v>
      </x:c>
      <x:c r="AY154" s="14" t="str">
        <x:v>Unmatched</x:v>
      </x:c>
      <x:c r="AZ154" s="14" t="str">
        <x:v>Final supplied register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27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0.037037037037037035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4" t="str">
        <x:v>HYPERLINK is not implemented. linkLocation=https://www.imdb.com/title/tt21161156/fullcredits/,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tt21161156|nm3600214|aad gill - registrar</x:v>
      </x:c>
      <x:c r="B155" s="14" t="str">
        <x:v>01</x:v>
      </x:c>
      <x:c r="C155" s="14" t="str">
        <x:v>2023_IMDb_Cast_Lists_Batch_01(2).xlsx</x:v>
      </x:c>
      <x:c r="D155" s="14" t="str">
        <x:v>Beyond Paradise</x:v>
      </x:c>
      <x:c r="E155" s="14" t="n">
        <x:v>184</x:v>
      </x:c>
      <x:c r="F155" s="14" t="str">
        <x:v>Beyond Paradise</x:v>
      </x:c>
      <x:c r="G155" s="14" t="str">
        <x:v>tt21161156</x:v>
      </x:c>
      <x:c r="H155" s="14" t="n">
        <x:v>2023</x:v>
      </x:c>
      <x:c r="I155" s="14" t="n">
        <x:v>2025</x:v>
      </x:c>
      <x:c r="J155" s="14" t="str">
        <x:v>Earlier-Production Carry-In Cohort</x:v>
      </x:c>
      <x:c r="K155" s="14" t="n">
        <x:v>2023</x:v>
      </x:c>
      <x:c r="L155" s="14" t="str">
        <x:v>Not inherited</x:v>
      </x:c>
      <x:c r="M155" s="15" t="n">
        <x:v>177</x:v>
      </x:c>
      <x:c r="N155" s="14" t="str">
        <x:v>Sukh Ojla</x:v>
      </x:c>
      <x:c r="O155" s="14" t="str">
        <x:v>nm3600214</x:v>
      </x:c>
      <x:c r="P155" s="14" t="str">
        <x:v>Aad Gill - Registrar</x:v>
      </x:c>
      <x:c r="Q155" s="15" t="n">
        <x:v>1</x:v>
      </x:c>
      <x:c r="R155" s="14" t="str">
        <x:v>2025</x:v>
      </x:c>
      <x:c r="S155" s="14" t="n">
        <x:v>2025</x:v>
      </x:c>
      <x:c r="T155" s="14" t="n">
        <x:v>2025</x:v>
      </x:c>
      <x:c r="U155" s="14" t="str">
        <x:v>Explicit source first year retained</x:v>
      </x:c>
      <x:c r="V155" s="14" t="str">
        <x:v>Earliest supplied year is 2025.</x:v>
      </x:c>
      <x:c r="W155" s="14"/>
      <x:c r="X155" s="14" t="str">
        <x:v>Included</x:v>
      </x:c>
      <x:c r="Y155" s="14" t="str">
        <x:v>(as Sukh Kaur Ojla)</x:v>
      </x:c>
      <x:c r="Z155" s="14" t="str">
        <x:v>Beyond Paradise.docx</x:v>
      </x:c>
      <x:c r="AA155" s="14" t="str">
        <x:v>HYPERLINK is not implemented. linkLocation=https://www.imdb.com/title/tt21161156/fullcredits/,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BBC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HYPERLINK("https://en.wikipedia.org/wiki/Beyond_Paradise","Open source")</x:f>
        <x:v>HYPERLINK is not implemented. linkLocation=https://en.wikipedia.org/wiki/Beyond_Paradise, friendlyName=Open source</x:v>
      </x:c>
      <x:c r="AN155" s="14" t="str">
        <x:v>BBC public-service commission</x:v>
      </x:c>
      <x:c r="AO155" s="14" t="str">
        <x:v>Yes</x:v>
      </x:c>
      <x:c r="AP155" s="14" t="str">
        <x:v>Direct BBC public-service scope</x:v>
      </x:c>
      <x:c r="AQ155" s="14" t="str">
        <x:v>Yes</x:v>
      </x:c>
      <x:c r="AR155" s="14" t="str">
        <x:v>Resolved from master register</x:v>
      </x:c>
      <x:c r="AS155" s="14" t="str">
        <x:v>No established-register match</x:v>
      </x:c>
      <x:c r="AT155" s="14"/>
      <x:c r="AU155" s="14"/>
      <x:c r="AV155" s="14" t="str">
        <x:v>No established apparent-disability match</x:v>
      </x:c>
      <x:c r="AW155" s="14"/>
      <x:c r="AX155" s="14" t="str">
        <x:v>No</x:v>
      </x:c>
      <x:c r="AY155" s="14" t="str">
        <x:v>Unmatched</x:v>
      </x:c>
      <x:c r="AZ155" s="14" t="str">
        <x:v>Final supplied register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27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0.037037037037037035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4" t="str">
        <x:v>HYPERLINK is not implemented. linkLocation=https://www.imdb.com/title/tt21161156/fullcredits/,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tt21161156|nm6604108|monica grey</x:v>
      </x:c>
      <x:c r="B156" s="14" t="str">
        <x:v>01</x:v>
      </x:c>
      <x:c r="C156" s="14" t="str">
        <x:v>2023_IMDb_Cast_Lists_Batch_01(2).xlsx</x:v>
      </x:c>
      <x:c r="D156" s="14" t="str">
        <x:v>Beyond Paradise</x:v>
      </x:c>
      <x:c r="E156" s="14" t="n">
        <x:v>193</x:v>
      </x:c>
      <x:c r="F156" s="14" t="str">
        <x:v>Beyond Paradise</x:v>
      </x:c>
      <x:c r="G156" s="14" t="str">
        <x:v>tt21161156</x:v>
      </x:c>
      <x:c r="H156" s="14" t="n">
        <x:v>2023</x:v>
      </x:c>
      <x:c r="I156" s="14" t="n">
        <x:v>2025</x:v>
      </x:c>
      <x:c r="J156" s="14" t="str">
        <x:v>Earlier-Production Carry-In Cohort</x:v>
      </x:c>
      <x:c r="K156" s="14" t="n">
        <x:v>2023</x:v>
      </x:c>
      <x:c r="L156" s="14" t="str">
        <x:v>Not inherited</x:v>
      </x:c>
      <x:c r="M156" s="15" t="n">
        <x:v>186</x:v>
      </x:c>
      <x:c r="N156" s="14" t="str">
        <x:v>Lauren Vandike</x:v>
      </x:c>
      <x:c r="O156" s="14" t="str">
        <x:v>nm6604108</x:v>
      </x:c>
      <x:c r="P156" s="14" t="str">
        <x:v>Monica Grey</x:v>
      </x:c>
      <x:c r="Q156" s="15" t="n">
        <x:v>1</x:v>
      </x:c>
      <x:c r="R156" s="14" t="str">
        <x:v>2025</x:v>
      </x:c>
      <x:c r="S156" s="14" t="n">
        <x:v>2025</x:v>
      </x:c>
      <x:c r="T156" s="14" t="n">
        <x:v>2025</x:v>
      </x:c>
      <x:c r="U156" s="14" t="str">
        <x:v>Explicit source first year retained</x:v>
      </x:c>
      <x:c r="V156" s="14" t="str">
        <x:v>Earliest supplied year is 2025.</x:v>
      </x:c>
      <x:c r="W156" s="14"/>
      <x:c r="X156" s="14" t="str">
        <x:v>Included</x:v>
      </x:c>
      <x:c r="Y156" s="14"/>
      <x:c r="Z156" s="14" t="str">
        <x:v>Beyond Paradise.docx</x:v>
      </x:c>
      <x:c r="AA156" s="14" t="str">
        <x:v>HYPERLINK is not implemented. linkLocation=https://www.imdb.com/title/tt21161156/fullcredits/,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BBC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HYPERLINK("https://en.wikipedia.org/wiki/Beyond_Paradise","Open source")</x:f>
        <x:v>HYPERLINK is not implemented. linkLocation=https://en.wikipedia.org/wiki/Beyond_Paradise, friendlyName=Open source</x:v>
      </x:c>
      <x:c r="AN156" s="14" t="str">
        <x:v>BBC public-service commission</x:v>
      </x:c>
      <x:c r="AO156" s="14" t="str">
        <x:v>Yes</x:v>
      </x:c>
      <x:c r="AP156" s="14" t="str">
        <x:v>Direct BBC public-service scope</x:v>
      </x:c>
      <x:c r="AQ156" s="14" t="str">
        <x:v>Yes</x:v>
      </x:c>
      <x:c r="AR156" s="14" t="str">
        <x:v>Resolved from master register</x:v>
      </x:c>
      <x:c r="AS156" s="14" t="str">
        <x:v>No established-register match</x:v>
      </x:c>
      <x:c r="AT156" s="14"/>
      <x:c r="AU156" s="14"/>
      <x:c r="AV156" s="14" t="str">
        <x:v>No established apparent-disability match</x:v>
      </x:c>
      <x:c r="AW156" s="14"/>
      <x:c r="AX156" s="14" t="str">
        <x:v>No</x:v>
      </x:c>
      <x:c r="AY156" s="14" t="str">
        <x:v>Unmatched</x:v>
      </x:c>
      <x:c r="AZ156" s="14" t="str">
        <x:v>Final supplied register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27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0.037037037037037035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4" t="str">
        <x:v>HYPERLINK is not implemented. linkLocation=https://www.imdb.com/title/tt21161156/fullcredits/,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tt14466018|nm0879154|dana morgan</x:v>
      </x:c>
      <x:c r="B157" s="14" t="str">
        <x:v>01</x:v>
      </x:c>
      <x:c r="C157" s="14" t="str">
        <x:v>2023_IMDb_Cast_Lists_Batch_01(2).xlsx</x:v>
      </x:c>
      <x:c r="D157" s="14" t="str">
        <x:v>Blue Lights</x:v>
      </x:c>
      <x:c r="E157" s="14" t="n">
        <x:v>31</x:v>
      </x:c>
      <x:c r="F157" s="14" t="str">
        <x:v>Blue Lights</x:v>
      </x:c>
      <x:c r="G157" s="14" t="str">
        <x:v>tt14466018</x:v>
      </x:c>
      <x:c r="H157" s="14" t="n">
        <x:v>2023</x:v>
      </x:c>
      <x:c r="I157" s="14" t="n">
        <x:v>2025</x:v>
      </x:c>
      <x:c r="J157" s="14" t="str">
        <x:v>Earlier-Production Carry-In Cohort</x:v>
      </x:c>
      <x:c r="K157" s="14" t="n">
        <x:v>2023</x:v>
      </x:c>
      <x:c r="L157" s="14" t="str">
        <x:v>Not inherited</x:v>
      </x:c>
      <x:c r="M157" s="15" t="n">
        <x:v>24</x:v>
      </x:c>
      <x:c r="N157" s="14" t="str">
        <x:v>Cathy Tyson</x:v>
      </x:c>
      <x:c r="O157" s="14" t="str">
        <x:v>nm0879154</x:v>
      </x:c>
      <x:c r="P157" s="14" t="str">
        <x:v>Dana Morgan</x:v>
      </x:c>
      <x:c r="Q157" s="15" t="n">
        <x:v>6</x:v>
      </x:c>
      <x:c r="R157" s="14" t="str">
        <x:v>2025</x:v>
      </x:c>
      <x:c r="S157" s="14" t="n">
        <x:v>2025</x:v>
      </x:c>
      <x:c r="T157" s="14" t="n">
        <x:v>2025</x:v>
      </x:c>
      <x:c r="U157" s="14" t="str">
        <x:v>Explicit source first year retained</x:v>
      </x:c>
      <x:c r="V157" s="14" t="str">
        <x:v>Earliest supplied year is 2025.</x:v>
      </x:c>
      <x:c r="W157" s="14"/>
      <x:c r="X157" s="14" t="str">
        <x:v>Included</x:v>
      </x:c>
      <x:c r="Y157" s="14"/>
      <x:c r="Z157" s="14" t="str">
        <x:v>Blue Lights.docx</x:v>
      </x:c>
      <x:c r="AA157" s="14" t="str">
        <x:v>HYPERLINK is not implemented. linkLocation=https://www.imdb.com/title/tt14466018/fullcredits/,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BBC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HYPERLINK("https://en.wikipedia.org/wiki/Blue_Light","Open source")</x:f>
        <x:v>HYPERLINK is not implemented. linkLocation=https://en.wikipedia.org/wiki/Blue_Light, friendlyName=Open source</x:v>
      </x:c>
      <x:c r="AN157" s="14" t="str">
        <x:v>BBC public-service commission</x:v>
      </x:c>
      <x:c r="AO157" s="14" t="str">
        <x:v>Yes</x:v>
      </x:c>
      <x:c r="AP157" s="14" t="str">
        <x:v>Direct BBC public-service scope</x:v>
      </x:c>
      <x:c r="AQ157" s="14" t="str">
        <x:v>Yes</x:v>
      </x:c>
      <x:c r="AR157" s="14" t="str">
        <x:v>Resolved from master register</x:v>
      </x:c>
      <x:c r="AS157" s="14" t="str">
        <x:v>No established-register match</x:v>
      </x:c>
      <x:c r="AT157" s="14"/>
      <x:c r="AU157" s="14"/>
      <x:c r="AV157" s="14" t="str">
        <x:v>No established apparent-disability match</x:v>
      </x:c>
      <x:c r="AW157" s="14"/>
      <x:c r="AX157" s="14" t="str">
        <x:v>No</x:v>
      </x:c>
      <x:c r="AY157" s="14" t="str">
        <x:v>Unmatched</x:v>
      </x:c>
      <x:c r="AZ157" s="14" t="str">
        <x:v>Final supplied register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19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6</x:v>
      </x:c>
      <x:c r="BS157" s="16" t="n">
        <x:v>0.3157894736842105</x:v>
      </x:c>
      <x:c r="BT157" s="14" t="str">
        <x:v>Minority of episodes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4" t="str">
        <x:v>HYPERLINK is not implemented. linkLocation=https://www.imdb.com/title/tt14466018/fullcredits/,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tt14466018|nm0806968|paul 'colly' collins</x:v>
      </x:c>
      <x:c r="B158" s="14" t="str">
        <x:v>01</x:v>
      </x:c>
      <x:c r="C158" s="14" t="str">
        <x:v>2023_IMDb_Cast_Lists_Batch_01(2).xlsx</x:v>
      </x:c>
      <x:c r="D158" s="14" t="str">
        <x:v>Blue Lights</x:v>
      </x:c>
      <x:c r="E158" s="14" t="n">
        <x:v>32</x:v>
      </x:c>
      <x:c r="F158" s="14" t="str">
        <x:v>Blue Lights</x:v>
      </x:c>
      <x:c r="G158" s="14" t="str">
        <x:v>tt14466018</x:v>
      </x:c>
      <x:c r="H158" s="14" t="n">
        <x:v>2023</x:v>
      </x:c>
      <x:c r="I158" s="14" t="n">
        <x:v>2025</x:v>
      </x:c>
      <x:c r="J158" s="14" t="str">
        <x:v>Earlier-Production Carry-In Cohort</x:v>
      </x:c>
      <x:c r="K158" s="14" t="n">
        <x:v>2023</x:v>
      </x:c>
      <x:c r="L158" s="14" t="str">
        <x:v>Not inherited</x:v>
      </x:c>
      <x:c r="M158" s="15" t="n">
        <x:v>25</x:v>
      </x:c>
      <x:c r="N158" s="14" t="str">
        <x:v>Michael Smiley</x:v>
      </x:c>
      <x:c r="O158" s="14" t="str">
        <x:v>nm0806968</x:v>
      </x:c>
      <x:c r="P158" s="14" t="str">
        <x:v>Paul 'Colly' Collins</x:v>
      </x:c>
      <x:c r="Q158" s="15" t="n">
        <x:v>6</x:v>
      </x:c>
      <x:c r="R158" s="14" t="str">
        <x:v>2025</x:v>
      </x:c>
      <x:c r="S158" s="14" t="n">
        <x:v>2025</x:v>
      </x:c>
      <x:c r="T158" s="14" t="n">
        <x:v>2025</x:v>
      </x:c>
      <x:c r="U158" s="14" t="str">
        <x:v>Explicit source first year retained</x:v>
      </x:c>
      <x:c r="V158" s="14" t="str">
        <x:v>Earliest supplied year is 2025.</x:v>
      </x:c>
      <x:c r="W158" s="14"/>
      <x:c r="X158" s="14" t="str">
        <x:v>Included</x:v>
      </x:c>
      <x:c r="Y158" s="14"/>
      <x:c r="Z158" s="14" t="str">
        <x:v>Blue Lights.docx</x:v>
      </x:c>
      <x:c r="AA158" s="14" t="str">
        <x:v>HYPERLINK is not implemented. linkLocation=https://www.imdb.com/title/tt14466018/fullcredits/,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BBC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HYPERLINK("https://en.wikipedia.org/wiki/Blue_Light","Open source")</x:f>
        <x:v>HYPERLINK is not implemented. linkLocation=https://en.wikipedia.org/wiki/Blue_Light, friendlyName=Open source</x:v>
      </x:c>
      <x:c r="AN158" s="14" t="str">
        <x:v>BBC public-service commission</x:v>
      </x:c>
      <x:c r="AO158" s="14" t="str">
        <x:v>Yes</x:v>
      </x:c>
      <x:c r="AP158" s="14" t="str">
        <x:v>Direct BBC public-service scope</x:v>
      </x:c>
      <x:c r="AQ158" s="14" t="str">
        <x:v>Yes</x:v>
      </x:c>
      <x:c r="AR158" s="14" t="str">
        <x:v>Resolved from master register</x:v>
      </x:c>
      <x:c r="AS158" s="14" t="str">
        <x:v>No established-register match</x:v>
      </x:c>
      <x:c r="AT158" s="14"/>
      <x:c r="AU158" s="14"/>
      <x:c r="AV158" s="14" t="str">
        <x:v>No established apparent-disability match</x:v>
      </x:c>
      <x:c r="AW158" s="14"/>
      <x:c r="AX158" s="14" t="str">
        <x:v>No</x:v>
      </x:c>
      <x:c r="AY158" s="14" t="str">
        <x:v>Unmatched</x:v>
      </x:c>
      <x:c r="AZ158" s="14" t="str">
        <x:v>Final supplied register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19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6</x:v>
      </x:c>
      <x:c r="BS158" s="16" t="n">
        <x:v>0.3157894736842105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4" t="str">
        <x:v>HYPERLINK is not implemented. linkLocation=https://www.imdb.com/title/tt14466018/fullcredits/,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tt14466018|nm6925918|lindsay singleton</x:v>
      </x:c>
      <x:c r="B159" s="14" t="str">
        <x:v>01</x:v>
      </x:c>
      <x:c r="C159" s="14" t="str">
        <x:v>2023_IMDb_Cast_Lists_Batch_01(2).xlsx</x:v>
      </x:c>
      <x:c r="D159" s="14" t="str">
        <x:v>Blue Lights</x:v>
      </x:c>
      <x:c r="E159" s="14" t="n">
        <x:v>39</x:v>
      </x:c>
      <x:c r="F159" s="14" t="str">
        <x:v>Blue Lights</x:v>
      </x:c>
      <x:c r="G159" s="14" t="str">
        <x:v>tt14466018</x:v>
      </x:c>
      <x:c r="H159" s="14" t="n">
        <x:v>2023</x:v>
      </x:c>
      <x:c r="I159" s="14" t="n">
        <x:v>2025</x:v>
      </x:c>
      <x:c r="J159" s="14" t="str">
        <x:v>Earlier-Production Carry-In Cohort</x:v>
      </x:c>
      <x:c r="K159" s="14" t="n">
        <x:v>2023</x:v>
      </x:c>
      <x:c r="L159" s="14" t="str">
        <x:v>Not inherited</x:v>
      </x:c>
      <x:c r="M159" s="15" t="n">
        <x:v>32</x:v>
      </x:c>
      <x:c r="N159" s="14" t="str">
        <x:v>Aoife Hughes</x:v>
      </x:c>
      <x:c r="O159" s="14" t="str">
        <x:v>nm6925918</x:v>
      </x:c>
      <x:c r="P159" s="14" t="str">
        <x:v>Lindsay Singleton</x:v>
      </x:c>
      <x:c r="Q159" s="15" t="n">
        <x:v>5</x:v>
      </x:c>
      <x:c r="R159" s="14" t="str">
        <x:v>2025</x:v>
      </x:c>
      <x:c r="S159" s="14" t="n">
        <x:v>2025</x:v>
      </x:c>
      <x:c r="T159" s="14" t="n">
        <x:v>2025</x:v>
      </x:c>
      <x:c r="U159" s="14" t="str">
        <x:v>Explicit source first year retained</x:v>
      </x:c>
      <x:c r="V159" s="14" t="str">
        <x:v>Earliest supplied year is 2025.</x:v>
      </x:c>
      <x:c r="W159" s="14"/>
      <x:c r="X159" s="14" t="str">
        <x:v>Included</x:v>
      </x:c>
      <x:c r="Y159" s="14"/>
      <x:c r="Z159" s="14" t="str">
        <x:v>Blue Lights.docx</x:v>
      </x:c>
      <x:c r="AA159" s="14" t="str">
        <x:v>HYPERLINK is not implemented. linkLocation=https://www.imdb.com/title/tt14466018/fullcredits/,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BBC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HYPERLINK("https://en.wikipedia.org/wiki/Blue_Light","Open source")</x:f>
        <x:v>HYPERLINK is not implemented. linkLocation=https://en.wikipedia.org/wiki/Blue_Light, friendlyName=Open source</x:v>
      </x:c>
      <x:c r="AN159" s="14" t="str">
        <x:v>BBC public-service commission</x:v>
      </x:c>
      <x:c r="AO159" s="14" t="str">
        <x:v>Yes</x:v>
      </x:c>
      <x:c r="AP159" s="14" t="str">
        <x:v>Direct BBC public-service scope</x:v>
      </x:c>
      <x:c r="AQ159" s="14" t="str">
        <x:v>Yes</x:v>
      </x:c>
      <x:c r="AR159" s="14" t="str">
        <x:v>Resolved from master register</x:v>
      </x:c>
      <x:c r="AS159" s="14" t="str">
        <x:v>No established-register match</x:v>
      </x:c>
      <x:c r="AT159" s="14"/>
      <x:c r="AU159" s="14"/>
      <x:c r="AV159" s="14" t="str">
        <x:v>No established apparent-disability match</x:v>
      </x:c>
      <x:c r="AW159" s="14"/>
      <x:c r="AX159" s="14" t="str">
        <x:v>No</x:v>
      </x:c>
      <x:c r="AY159" s="14" t="str">
        <x:v>Unmatched</x:v>
      </x:c>
      <x:c r="AZ159" s="14" t="str">
        <x:v>Final supplied register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19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5</x:v>
      </x:c>
      <x:c r="BS159" s="16" t="n">
        <x:v>0.2631578947368421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4" t="str">
        <x:v>HYPERLINK is not implemented. linkLocation=https://www.imdb.com/title/tt14466018/fullcredits/,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tt14466018|nm5393511|sean mulholland</x:v>
      </x:c>
      <x:c r="B160" s="14" t="str">
        <x:v>01</x:v>
      </x:c>
      <x:c r="C160" s="14" t="str">
        <x:v>2023_IMDb_Cast_Lists_Batch_01(2).xlsx</x:v>
      </x:c>
      <x:c r="D160" s="14" t="str">
        <x:v>Blue Lights</x:v>
      </x:c>
      <x:c r="E160" s="14" t="n">
        <x:v>42</x:v>
      </x:c>
      <x:c r="F160" s="14" t="str">
        <x:v>Blue Lights</x:v>
      </x:c>
      <x:c r="G160" s="14" t="str">
        <x:v>tt14466018</x:v>
      </x:c>
      <x:c r="H160" s="14" t="n">
        <x:v>2023</x:v>
      </x:c>
      <x:c r="I160" s="14" t="n">
        <x:v>2025</x:v>
      </x:c>
      <x:c r="J160" s="14" t="str">
        <x:v>Earlier-Production Carry-In Cohort</x:v>
      </x:c>
      <x:c r="K160" s="14" t="n">
        <x:v>2023</x:v>
      </x:c>
      <x:c r="L160" s="14" t="str">
        <x:v>Not inherited</x:v>
      </x:c>
      <x:c r="M160" s="15" t="n">
        <x:v>35</x:v>
      </x:c>
      <x:c r="N160" s="14" t="str">
        <x:v>Brendan Quinn</x:v>
      </x:c>
      <x:c r="O160" s="14" t="str">
        <x:v>nm5393511</x:v>
      </x:c>
      <x:c r="P160" s="14" t="str">
        <x:v>Sean Mulholland</x:v>
      </x:c>
      <x:c r="Q160" s="15" t="n">
        <x:v>5</x:v>
      </x:c>
      <x:c r="R160" s="14" t="str">
        <x:v>2025</x:v>
      </x:c>
      <x:c r="S160" s="14" t="n">
        <x:v>2025</x:v>
      </x:c>
      <x:c r="T160" s="14" t="n">
        <x:v>2025</x:v>
      </x:c>
      <x:c r="U160" s="14" t="str">
        <x:v>Explicit source first year retained</x:v>
      </x:c>
      <x:c r="V160" s="14" t="str">
        <x:v>Earliest supplied year is 2025.</x:v>
      </x:c>
      <x:c r="W160" s="14"/>
      <x:c r="X160" s="14" t="str">
        <x:v>Included</x:v>
      </x:c>
      <x:c r="Y160" s="14"/>
      <x:c r="Z160" s="14" t="str">
        <x:v>Blue Lights.docx</x:v>
      </x:c>
      <x:c r="AA160" s="14" t="str">
        <x:v>HYPERLINK is not implemented. linkLocation=https://www.imdb.com/title/tt14466018/fullcredits/,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BBC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HYPERLINK("https://en.wikipedia.org/wiki/Blue_Light","Open source")</x:f>
        <x:v>HYPERLINK is not implemented. linkLocation=https://en.wikipedia.org/wiki/Blue_Light, friendlyName=Open source</x:v>
      </x:c>
      <x:c r="AN160" s="14" t="str">
        <x:v>BBC public-service commission</x:v>
      </x:c>
      <x:c r="AO160" s="14" t="str">
        <x:v>Yes</x:v>
      </x:c>
      <x:c r="AP160" s="14" t="str">
        <x:v>Direct BBC public-service scope</x:v>
      </x:c>
      <x:c r="AQ160" s="14" t="str">
        <x:v>Yes</x:v>
      </x:c>
      <x:c r="AR160" s="14" t="str">
        <x:v>Resolved from master register</x:v>
      </x:c>
      <x:c r="AS160" s="14" t="str">
        <x:v>No established-register match</x:v>
      </x:c>
      <x:c r="AT160" s="14"/>
      <x:c r="AU160" s="14"/>
      <x:c r="AV160" s="14" t="str">
        <x:v>No established apparent-disability match</x:v>
      </x:c>
      <x:c r="AW160" s="14"/>
      <x:c r="AX160" s="14" t="str">
        <x:v>No</x:v>
      </x:c>
      <x:c r="AY160" s="14" t="str">
        <x:v>Unmatched</x:v>
      </x:c>
      <x:c r="AZ160" s="14" t="str">
        <x:v>Final supplied register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19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5</x:v>
      </x:c>
      <x:c r="BS160" s="16" t="n">
        <x:v>0.2631578947368421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4" t="str">
        <x:v>HYPERLINK is not implemented. linkLocation=https://www.imdb.com/title/tt14466018/fullcredits/,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tt14466018|nm0611995|george mcclelland</x:v>
      </x:c>
      <x:c r="B161" s="14" t="str">
        <x:v>01</x:v>
      </x:c>
      <x:c r="C161" s="14" t="str">
        <x:v>2023_IMDb_Cast_Lists_Batch_01(2).xlsx</x:v>
      </x:c>
      <x:c r="D161" s="14" t="str">
        <x:v>Blue Lights</x:v>
      </x:c>
      <x:c r="E161" s="14" t="n">
        <x:v>47</x:v>
      </x:c>
      <x:c r="F161" s="14" t="str">
        <x:v>Blue Lights</x:v>
      </x:c>
      <x:c r="G161" s="14" t="str">
        <x:v>tt14466018</x:v>
      </x:c>
      <x:c r="H161" s="14" t="n">
        <x:v>2023</x:v>
      </x:c>
      <x:c r="I161" s="14" t="n">
        <x:v>2025</x:v>
      </x:c>
      <x:c r="J161" s="14" t="str">
        <x:v>Earlier-Production Carry-In Cohort</x:v>
      </x:c>
      <x:c r="K161" s="14" t="n">
        <x:v>2023</x:v>
      </x:c>
      <x:c r="L161" s="14" t="str">
        <x:v>Not inherited</x:v>
      </x:c>
      <x:c r="M161" s="15" t="n">
        <x:v>40</x:v>
      </x:c>
      <x:c r="N161" s="14" t="str">
        <x:v>Conor Mullen</x:v>
      </x:c>
      <x:c r="O161" s="14" t="str">
        <x:v>nm0611995</x:v>
      </x:c>
      <x:c r="P161" s="14" t="str">
        <x:v>George McClelland</x:v>
      </x:c>
      <x:c r="Q161" s="15" t="n">
        <x:v>4</x:v>
      </x:c>
      <x:c r="R161" s="14" t="str">
        <x:v>2025</x:v>
      </x:c>
      <x:c r="S161" s="14" t="n">
        <x:v>2025</x:v>
      </x:c>
      <x:c r="T161" s="14" t="n">
        <x:v>2025</x:v>
      </x:c>
      <x:c r="U161" s="14" t="str">
        <x:v>Explicit source first year retained</x:v>
      </x:c>
      <x:c r="V161" s="14" t="str">
        <x:v>Earliest supplied year is 2025.</x:v>
      </x:c>
      <x:c r="W161" s="14"/>
      <x:c r="X161" s="14" t="str">
        <x:v>Included</x:v>
      </x:c>
      <x:c r="Y161" s="14"/>
      <x:c r="Z161" s="14" t="str">
        <x:v>Blue Lights.docx</x:v>
      </x:c>
      <x:c r="AA161" s="14" t="str">
        <x:v>HYPERLINK is not implemented. linkLocation=https://www.imdb.com/title/tt14466018/fullcredits/,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BBC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HYPERLINK("https://en.wikipedia.org/wiki/Blue_Light","Open source")</x:f>
        <x:v>HYPERLINK is not implemented. linkLocation=https://en.wikipedia.org/wiki/Blue_Light, friendlyName=Open source</x:v>
      </x:c>
      <x:c r="AN161" s="14" t="str">
        <x:v>BBC public-service commission</x:v>
      </x:c>
      <x:c r="AO161" s="14" t="str">
        <x:v>Yes</x:v>
      </x:c>
      <x:c r="AP161" s="14" t="str">
        <x:v>Direct BBC public-service scope</x:v>
      </x:c>
      <x:c r="AQ161" s="14" t="str">
        <x:v>Yes</x:v>
      </x:c>
      <x:c r="AR161" s="14" t="str">
        <x:v>Resolved from master register</x:v>
      </x:c>
      <x:c r="AS161" s="14" t="str">
        <x:v>No established-register match</x:v>
      </x:c>
      <x:c r="AT161" s="14"/>
      <x:c r="AU161" s="14"/>
      <x:c r="AV161" s="14" t="str">
        <x:v>No established apparent-disability match</x:v>
      </x:c>
      <x:c r="AW161" s="14"/>
      <x:c r="AX161" s="14" t="str">
        <x:v>No</x:v>
      </x:c>
      <x:c r="AY161" s="14" t="str">
        <x:v>Unmatched</x:v>
      </x:c>
      <x:c r="AZ161" s="14" t="str">
        <x:v>Final supplied register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19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4</x:v>
      </x:c>
      <x:c r="BS161" s="16" t="n">
        <x:v>0.21052631578947367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4" t="str">
        <x:v>HYPERLINK is not implemented. linkLocation=https://www.imdb.com/title/tt14466018/fullcredits/,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tt14466018|nm7490611|dr. kerbash</x:v>
      </x:c>
      <x:c r="B162" s="14" t="str">
        <x:v>01</x:v>
      </x:c>
      <x:c r="C162" s="14" t="str">
        <x:v>2023_IMDb_Cast_Lists_Batch_01(2).xlsx</x:v>
      </x:c>
      <x:c r="D162" s="14" t="str">
        <x:v>Blue Lights</x:v>
      </x:c>
      <x:c r="E162" s="14" t="n">
        <x:v>56</x:v>
      </x:c>
      <x:c r="F162" s="14" t="str">
        <x:v>Blue Lights</x:v>
      </x:c>
      <x:c r="G162" s="14" t="str">
        <x:v>tt14466018</x:v>
      </x:c>
      <x:c r="H162" s="14" t="n">
        <x:v>2023</x:v>
      </x:c>
      <x:c r="I162" s="14" t="n">
        <x:v>2025</x:v>
      </x:c>
      <x:c r="J162" s="14" t="str">
        <x:v>Earlier-Production Carry-In Cohort</x:v>
      </x:c>
      <x:c r="K162" s="14" t="n">
        <x:v>2023</x:v>
      </x:c>
      <x:c r="L162" s="14" t="str">
        <x:v>Not inherited</x:v>
      </x:c>
      <x:c r="M162" s="15" t="n">
        <x:v>49</x:v>
      </x:c>
      <x:c r="N162" s="14" t="str">
        <x:v>Sophia Adli</x:v>
      </x:c>
      <x:c r="O162" s="14" t="str">
        <x:v>nm7490611</x:v>
      </x:c>
      <x:c r="P162" s="14" t="str">
        <x:v>Dr. Kerbash</x:v>
      </x:c>
      <x:c r="Q162" s="15" t="n">
        <x:v>3</x:v>
      </x:c>
      <x:c r="R162" s="14" t="str">
        <x:v>2025</x:v>
      </x:c>
      <x:c r="S162" s="14" t="n">
        <x:v>2025</x:v>
      </x:c>
      <x:c r="T162" s="14" t="n">
        <x:v>2025</x:v>
      </x:c>
      <x:c r="U162" s="14" t="str">
        <x:v>Explicit source first year retained</x:v>
      </x:c>
      <x:c r="V162" s="14" t="str">
        <x:v>Earliest supplied year is 2025.</x:v>
      </x:c>
      <x:c r="W162" s="14"/>
      <x:c r="X162" s="14" t="str">
        <x:v>Included</x:v>
      </x:c>
      <x:c r="Y162" s="14"/>
      <x:c r="Z162" s="14" t="str">
        <x:v>Blue Lights.docx</x:v>
      </x:c>
      <x:c r="AA162" s="14" t="str">
        <x:v>HYPERLINK is not implemented. linkLocation=https://www.imdb.com/title/tt14466018/fullcredits/,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BBC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HYPERLINK("https://en.wikipedia.org/wiki/Blue_Light","Open source")</x:f>
        <x:v>HYPERLINK is not implemented. linkLocation=https://en.wikipedia.org/wiki/Blue_Light, friendlyName=Open source</x:v>
      </x:c>
      <x:c r="AN162" s="14" t="str">
        <x:v>BBC public-service commission</x:v>
      </x:c>
      <x:c r="AO162" s="14" t="str">
        <x:v>Yes</x:v>
      </x:c>
      <x:c r="AP162" s="14" t="str">
        <x:v>Direct BBC public-service scope</x:v>
      </x:c>
      <x:c r="AQ162" s="14" t="str">
        <x:v>Yes</x:v>
      </x:c>
      <x:c r="AR162" s="14" t="str">
        <x:v>Resolved from master register</x:v>
      </x:c>
      <x:c r="AS162" s="14" t="str">
        <x:v>No established-register match</x:v>
      </x:c>
      <x:c r="AT162" s="14"/>
      <x:c r="AU162" s="14"/>
      <x:c r="AV162" s="14" t="str">
        <x:v>No established apparent-disability match</x:v>
      </x:c>
      <x:c r="AW162" s="14"/>
      <x:c r="AX162" s="14" t="str">
        <x:v>No</x:v>
      </x:c>
      <x:c r="AY162" s="14" t="str">
        <x:v>Unmatched</x:v>
      </x:c>
      <x:c r="AZ162" s="14" t="str">
        <x:v>Final supplied register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19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3</x:v>
      </x:c>
      <x:c r="BS162" s="16" t="n">
        <x:v>0.15789473684210525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4" t="str">
        <x:v>HYPERLINK is not implemented. linkLocation=https://www.imdb.com/title/tt14466018/fullcredits/,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tt14466018|nm3442270|father joe</x:v>
      </x:c>
      <x:c r="B163" s="14" t="str">
        <x:v>01</x:v>
      </x:c>
      <x:c r="C163" s="14" t="str">
        <x:v>2023_IMDb_Cast_Lists_Batch_01(2).xlsx</x:v>
      </x:c>
      <x:c r="D163" s="14" t="str">
        <x:v>Blue Lights</x:v>
      </x:c>
      <x:c r="E163" s="14" t="n">
        <x:v>59</x:v>
      </x:c>
      <x:c r="F163" s="14" t="str">
        <x:v>Blue Lights</x:v>
      </x:c>
      <x:c r="G163" s="14" t="str">
        <x:v>tt14466018</x:v>
      </x:c>
      <x:c r="H163" s="14" t="n">
        <x:v>2023</x:v>
      </x:c>
      <x:c r="I163" s="14" t="n">
        <x:v>2025</x:v>
      </x:c>
      <x:c r="J163" s="14" t="str">
        <x:v>Earlier-Production Carry-In Cohort</x:v>
      </x:c>
      <x:c r="K163" s="14" t="n">
        <x:v>2023</x:v>
      </x:c>
      <x:c r="L163" s="14" t="str">
        <x:v>Not inherited</x:v>
      </x:c>
      <x:c r="M163" s="15" t="n">
        <x:v>52</x:v>
      </x:c>
      <x:c r="N163" s="14" t="str">
        <x:v>Nigel O'Neill</x:v>
      </x:c>
      <x:c r="O163" s="14" t="str">
        <x:v>nm3442270</x:v>
      </x:c>
      <x:c r="P163" s="14" t="str">
        <x:v>Father Joe</x:v>
      </x:c>
      <x:c r="Q163" s="15" t="n">
        <x:v>2</x:v>
      </x:c>
      <x:c r="R163" s="14" t="str">
        <x:v>2025</x:v>
      </x:c>
      <x:c r="S163" s="14" t="n">
        <x:v>2025</x:v>
      </x:c>
      <x:c r="T163" s="14" t="n">
        <x:v>2025</x:v>
      </x:c>
      <x:c r="U163" s="14" t="str">
        <x:v>Explicit source first year retained</x:v>
      </x:c>
      <x:c r="V163" s="14" t="str">
        <x:v>Earliest supplied year is 2025.</x:v>
      </x:c>
      <x:c r="W163" s="14"/>
      <x:c r="X163" s="14" t="str">
        <x:v>Included</x:v>
      </x:c>
      <x:c r="Y163" s="14"/>
      <x:c r="Z163" s="14" t="str">
        <x:v>Blue Lights.docx</x:v>
      </x:c>
      <x:c r="AA163" s="14" t="str">
        <x:v>HYPERLINK is not implemented. linkLocation=https://www.imdb.com/title/tt14466018/fullcredits/,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BBC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HYPERLINK("https://en.wikipedia.org/wiki/Blue_Light","Open source")</x:f>
        <x:v>HYPERLINK is not implemented. linkLocation=https://en.wikipedia.org/wiki/Blue_Light, friendlyName=Open source</x:v>
      </x:c>
      <x:c r="AN163" s="14" t="str">
        <x:v>BBC public-service commission</x:v>
      </x:c>
      <x:c r="AO163" s="14" t="str">
        <x:v>Yes</x:v>
      </x:c>
      <x:c r="AP163" s="14" t="str">
        <x:v>Direct BBC public-service scope</x:v>
      </x:c>
      <x:c r="AQ163" s="14" t="str">
        <x:v>Yes</x:v>
      </x:c>
      <x:c r="AR163" s="14" t="str">
        <x:v>Resolved from master register</x:v>
      </x:c>
      <x:c r="AS163" s="14" t="str">
        <x:v>No established-register match</x:v>
      </x:c>
      <x:c r="AT163" s="14"/>
      <x:c r="AU163" s="14"/>
      <x:c r="AV163" s="14" t="str">
        <x:v>No established apparent-disability match</x:v>
      </x:c>
      <x:c r="AW163" s="14"/>
      <x:c r="AX163" s="14" t="str">
        <x:v>No</x:v>
      </x:c>
      <x:c r="AY163" s="14" t="str">
        <x:v>Unmatched</x:v>
      </x:c>
      <x:c r="AZ163" s="14" t="str">
        <x:v>Final supplied register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19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0.10526315789473684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4" t="str">
        <x:v>HYPERLINK is not implemented. linkLocation=https://www.imdb.com/title/tt14466018/fullcredits/,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tt14466018|nm5189746|di louise carrigan</x:v>
      </x:c>
      <x:c r="B164" s="14" t="str">
        <x:v>01</x:v>
      </x:c>
      <x:c r="C164" s="14" t="str">
        <x:v>2023_IMDb_Cast_Lists_Batch_01(2).xlsx</x:v>
      </x:c>
      <x:c r="D164" s="14" t="str">
        <x:v>Blue Lights</x:v>
      </x:c>
      <x:c r="E164" s="14" t="n">
        <x:v>60</x:v>
      </x:c>
      <x:c r="F164" s="14" t="str">
        <x:v>Blue Lights</x:v>
      </x:c>
      <x:c r="G164" s="14" t="str">
        <x:v>tt14466018</x:v>
      </x:c>
      <x:c r="H164" s="14" t="n">
        <x:v>2023</x:v>
      </x:c>
      <x:c r="I164" s="14" t="n">
        <x:v>2025</x:v>
      </x:c>
      <x:c r="J164" s="14" t="str">
        <x:v>Earlier-Production Carry-In Cohort</x:v>
      </x:c>
      <x:c r="K164" s="14" t="n">
        <x:v>2023</x:v>
      </x:c>
      <x:c r="L164" s="14" t="str">
        <x:v>Not inherited</x:v>
      </x:c>
      <x:c r="M164" s="15" t="n">
        <x:v>53</x:v>
      </x:c>
      <x:c r="N164" s="14" t="str">
        <x:v>Diona Doherty</x:v>
      </x:c>
      <x:c r="O164" s="14" t="str">
        <x:v>nm5189746</x:v>
      </x:c>
      <x:c r="P164" s="14" t="str">
        <x:v>DI Louise Carrigan</x:v>
      </x:c>
      <x:c r="Q164" s="15" t="n">
        <x:v>2</x:v>
      </x:c>
      <x:c r="R164" s="14" t="str">
        <x:v>2025</x:v>
      </x:c>
      <x:c r="S164" s="14" t="n">
        <x:v>2025</x:v>
      </x:c>
      <x:c r="T164" s="14" t="n">
        <x:v>2025</x:v>
      </x:c>
      <x:c r="U164" s="14" t="str">
        <x:v>Explicit source first year retained</x:v>
      </x:c>
      <x:c r="V164" s="14" t="str">
        <x:v>Earliest supplied year is 2025.</x:v>
      </x:c>
      <x:c r="W164" s="14"/>
      <x:c r="X164" s="14" t="str">
        <x:v>Included</x:v>
      </x:c>
      <x:c r="Y164" s="14"/>
      <x:c r="Z164" s="14" t="str">
        <x:v>Blue Lights.docx</x:v>
      </x:c>
      <x:c r="AA164" s="14" t="str">
        <x:v>HYPERLINK is not implemented. linkLocation=https://www.imdb.com/title/tt14466018/fullcredits/,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BBC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HYPERLINK("https://en.wikipedia.org/wiki/Blue_Light","Open source")</x:f>
        <x:v>HYPERLINK is not implemented. linkLocation=https://en.wikipedia.org/wiki/Blue_Light, friendlyName=Open source</x:v>
      </x:c>
      <x:c r="AN164" s="14" t="str">
        <x:v>BBC public-service commission</x:v>
      </x:c>
      <x:c r="AO164" s="14" t="str">
        <x:v>Yes</x:v>
      </x:c>
      <x:c r="AP164" s="14" t="str">
        <x:v>Direct BBC public-service scope</x:v>
      </x:c>
      <x:c r="AQ164" s="14" t="str">
        <x:v>Yes</x:v>
      </x:c>
      <x:c r="AR164" s="14" t="str">
        <x:v>Resolved from master register</x:v>
      </x:c>
      <x:c r="AS164" s="14" t="str">
        <x:v>No established-register match</x:v>
      </x:c>
      <x:c r="AT164" s="14"/>
      <x:c r="AU164" s="14"/>
      <x:c r="AV164" s="14" t="str">
        <x:v>No established apparent-disability match</x:v>
      </x:c>
      <x:c r="AW164" s="14"/>
      <x:c r="AX164" s="14" t="str">
        <x:v>No</x:v>
      </x:c>
      <x:c r="AY164" s="14" t="str">
        <x:v>Unmatched</x:v>
      </x:c>
      <x:c r="AZ164" s="14" t="str">
        <x:v>Final supplied register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19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0.10526315789473684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4" t="str">
        <x:v>HYPERLINK is not implemented. linkLocation=https://www.imdb.com/title/tt14466018/fullcredits/,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tt14466018|nm1264638|bea</x:v>
      </x:c>
      <x:c r="B165" s="14" t="str">
        <x:v>01</x:v>
      </x:c>
      <x:c r="C165" s="14" t="str">
        <x:v>2023_IMDb_Cast_Lists_Batch_01(2).xlsx</x:v>
      </x:c>
      <x:c r="D165" s="14" t="str">
        <x:v>Blue Lights</x:v>
      </x:c>
      <x:c r="E165" s="14" t="n">
        <x:v>61</x:v>
      </x:c>
      <x:c r="F165" s="14" t="str">
        <x:v>Blue Lights</x:v>
      </x:c>
      <x:c r="G165" s="14" t="str">
        <x:v>tt14466018</x:v>
      </x:c>
      <x:c r="H165" s="14" t="n">
        <x:v>2023</x:v>
      </x:c>
      <x:c r="I165" s="14" t="n">
        <x:v>2025</x:v>
      </x:c>
      <x:c r="J165" s="14" t="str">
        <x:v>Earlier-Production Carry-In Cohort</x:v>
      </x:c>
      <x:c r="K165" s="14" t="n">
        <x:v>2023</x:v>
      </x:c>
      <x:c r="L165" s="14" t="str">
        <x:v>Not inherited</x:v>
      </x:c>
      <x:c r="M165" s="15" t="n">
        <x:v>54</x:v>
      </x:c>
      <x:c r="N165" s="14" t="str">
        <x:v>Maria Connolly</x:v>
      </x:c>
      <x:c r="O165" s="14" t="str">
        <x:v>nm1264638</x:v>
      </x:c>
      <x:c r="P165" s="14" t="str">
        <x:v>Bea</x:v>
      </x:c>
      <x:c r="Q165" s="15" t="n">
        <x:v>2</x:v>
      </x:c>
      <x:c r="R165" s="14" t="str">
        <x:v>2025</x:v>
      </x:c>
      <x:c r="S165" s="14" t="n">
        <x:v>2025</x:v>
      </x:c>
      <x:c r="T165" s="14" t="n">
        <x:v>2025</x:v>
      </x:c>
      <x:c r="U165" s="14" t="str">
        <x:v>Explicit source first year retained</x:v>
      </x:c>
      <x:c r="V165" s="14" t="str">
        <x:v>Earliest supplied year is 2025.</x:v>
      </x:c>
      <x:c r="W165" s="14"/>
      <x:c r="X165" s="14" t="str">
        <x:v>Included</x:v>
      </x:c>
      <x:c r="Y165" s="14"/>
      <x:c r="Z165" s="14" t="str">
        <x:v>Blue Lights.docx</x:v>
      </x:c>
      <x:c r="AA165" s="14" t="str">
        <x:v>HYPERLINK is not implemented. linkLocation=https://www.imdb.com/title/tt14466018/fullcredits/,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BBC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HYPERLINK("https://en.wikipedia.org/wiki/Blue_Light","Open source")</x:f>
        <x:v>HYPERLINK is not implemented. linkLocation=https://en.wikipedia.org/wiki/Blue_Light, friendlyName=Open source</x:v>
      </x:c>
      <x:c r="AN165" s="14" t="str">
        <x:v>BBC public-service commission</x:v>
      </x:c>
      <x:c r="AO165" s="14" t="str">
        <x:v>Yes</x:v>
      </x:c>
      <x:c r="AP165" s="14" t="str">
        <x:v>Direct BBC public-service scope</x:v>
      </x:c>
      <x:c r="AQ165" s="14" t="str">
        <x:v>Yes</x:v>
      </x:c>
      <x:c r="AR165" s="14" t="str">
        <x:v>Resolved from master register</x:v>
      </x:c>
      <x:c r="AS165" s="14" t="str">
        <x:v>No established-register match</x:v>
      </x:c>
      <x:c r="AT165" s="14"/>
      <x:c r="AU165" s="14"/>
      <x:c r="AV165" s="14" t="str">
        <x:v>No established apparent-disability match</x:v>
      </x:c>
      <x:c r="AW165" s="14"/>
      <x:c r="AX165" s="14" t="str">
        <x:v>No</x:v>
      </x:c>
      <x:c r="AY165" s="14" t="str">
        <x:v>Unmatched</x:v>
      </x:c>
      <x:c r="AZ165" s="14" t="str">
        <x:v>Final supplied register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19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0.10526315789473684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4" t="str">
        <x:v>HYPERLINK is not implemented. linkLocation=https://www.imdb.com/title/tt14466018/fullcredits/,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tt14466018|nm0186475|harry bradley</x:v>
      </x:c>
      <x:c r="B166" s="14" t="str">
        <x:v>01</x:v>
      </x:c>
      <x:c r="C166" s="14" t="str">
        <x:v>2023_IMDb_Cast_Lists_Batch_01(2).xlsx</x:v>
      </x:c>
      <x:c r="D166" s="14" t="str">
        <x:v>Blue Lights</x:v>
      </x:c>
      <x:c r="E166" s="14" t="n">
        <x:v>69</x:v>
      </x:c>
      <x:c r="F166" s="14" t="str">
        <x:v>Blue Lights</x:v>
      </x:c>
      <x:c r="G166" s="14" t="str">
        <x:v>tt14466018</x:v>
      </x:c>
      <x:c r="H166" s="14" t="n">
        <x:v>2023</x:v>
      </x:c>
      <x:c r="I166" s="14" t="n">
        <x:v>2025</x:v>
      </x:c>
      <x:c r="J166" s="14" t="str">
        <x:v>Earlier-Production Carry-In Cohort</x:v>
      </x:c>
      <x:c r="K166" s="14" t="n">
        <x:v>2023</x:v>
      </x:c>
      <x:c r="L166" s="14" t="str">
        <x:v>Not inherited</x:v>
      </x:c>
      <x:c r="M166" s="15" t="n">
        <x:v>62</x:v>
      </x:c>
      <x:c r="N166" s="14" t="str">
        <x:v>Lorcan Cranitch</x:v>
      </x:c>
      <x:c r="O166" s="14" t="str">
        <x:v>nm0186475</x:v>
      </x:c>
      <x:c r="P166" s="14" t="str">
        <x:v>Harry Bradley</x:v>
      </x:c>
      <x:c r="Q166" s="15" t="n">
        <x:v>2</x:v>
      </x:c>
      <x:c r="R166" s="14" t="str">
        <x:v>2025</x:v>
      </x:c>
      <x:c r="S166" s="14" t="n">
        <x:v>2025</x:v>
      </x:c>
      <x:c r="T166" s="14" t="n">
        <x:v>2025</x:v>
      </x:c>
      <x:c r="U166" s="14" t="str">
        <x:v>Explicit source first year retained</x:v>
      </x:c>
      <x:c r="V166" s="14" t="str">
        <x:v>Earliest supplied year is 2025.</x:v>
      </x:c>
      <x:c r="W166" s="14"/>
      <x:c r="X166" s="14" t="str">
        <x:v>Included</x:v>
      </x:c>
      <x:c r="Y166" s="14"/>
      <x:c r="Z166" s="14" t="str">
        <x:v>Blue Lights.docx</x:v>
      </x:c>
      <x:c r="AA166" s="14" t="str">
        <x:v>HYPERLINK is not implemented. linkLocation=https://www.imdb.com/title/tt14466018/fullcredits/,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BBC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HYPERLINK("https://en.wikipedia.org/wiki/Blue_Light","Open source")</x:f>
        <x:v>HYPERLINK is not implemented. linkLocation=https://en.wikipedia.org/wiki/Blue_Light, friendlyName=Open source</x:v>
      </x:c>
      <x:c r="AN166" s="14" t="str">
        <x:v>BBC public-service commission</x:v>
      </x:c>
      <x:c r="AO166" s="14" t="str">
        <x:v>Yes</x:v>
      </x:c>
      <x:c r="AP166" s="14" t="str">
        <x:v>Direct BBC public-service scope</x:v>
      </x:c>
      <x:c r="AQ166" s="14" t="str">
        <x:v>Yes</x:v>
      </x:c>
      <x:c r="AR166" s="14" t="str">
        <x:v>Resolved from master register</x:v>
      </x:c>
      <x:c r="AS166" s="14" t="str">
        <x:v>No established-register match</x:v>
      </x:c>
      <x:c r="AT166" s="14"/>
      <x:c r="AU166" s="14"/>
      <x:c r="AV166" s="14" t="str">
        <x:v>No established apparent-disability match</x:v>
      </x:c>
      <x:c r="AW166" s="14"/>
      <x:c r="AX166" s="14" t="str">
        <x:v>No</x:v>
      </x:c>
      <x:c r="AY166" s="14" t="str">
        <x:v>Unmatched</x:v>
      </x:c>
      <x:c r="AZ166" s="14" t="str">
        <x:v>Final supplied register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19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0.10526315789473684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4" t="str">
        <x:v>HYPERLINK is not implemented. linkLocation=https://www.imdb.com/title/tt14466018/fullcredits/,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tt14466018|nm3868795|róisín o'boyle</x:v>
      </x:c>
      <x:c r="B167" s="14" t="str">
        <x:v>01</x:v>
      </x:c>
      <x:c r="C167" s="14" t="str">
        <x:v>2023_IMDb_Cast_Lists_Batch_01(2).xlsx</x:v>
      </x:c>
      <x:c r="D167" s="14" t="str">
        <x:v>Blue Lights</x:v>
      </x:c>
      <x:c r="E167" s="14" t="n">
        <x:v>72</x:v>
      </x:c>
      <x:c r="F167" s="14" t="str">
        <x:v>Blue Lights</x:v>
      </x:c>
      <x:c r="G167" s="14" t="str">
        <x:v>tt14466018</x:v>
      </x:c>
      <x:c r="H167" s="14" t="n">
        <x:v>2023</x:v>
      </x:c>
      <x:c r="I167" s="14" t="n">
        <x:v>2025</x:v>
      </x:c>
      <x:c r="J167" s="14" t="str">
        <x:v>Earlier-Production Carry-In Cohort</x:v>
      </x:c>
      <x:c r="K167" s="14" t="n">
        <x:v>2023</x:v>
      </x:c>
      <x:c r="L167" s="14" t="str">
        <x:v>Not inherited</x:v>
      </x:c>
      <x:c r="M167" s="15" t="n">
        <x:v>65</x:v>
      </x:c>
      <x:c r="N167" s="14" t="str">
        <x:v>Orla Mullan</x:v>
      </x:c>
      <x:c r="O167" s="14" t="str">
        <x:v>nm3868795</x:v>
      </x:c>
      <x:c r="P167" s="14" t="str">
        <x:v>Róisín O'Boyle</x:v>
      </x:c>
      <x:c r="Q167" s="15" t="n">
        <x:v>2</x:v>
      </x:c>
      <x:c r="R167" s="14" t="str">
        <x:v>2025</x:v>
      </x:c>
      <x:c r="S167" s="14" t="n">
        <x:v>2025</x:v>
      </x:c>
      <x:c r="T167" s="14" t="n">
        <x:v>2025</x:v>
      </x:c>
      <x:c r="U167" s="14" t="str">
        <x:v>Explicit source first year retained</x:v>
      </x:c>
      <x:c r="V167" s="14" t="str">
        <x:v>Earliest supplied year is 2025.</x:v>
      </x:c>
      <x:c r="W167" s="14"/>
      <x:c r="X167" s="14" t="str">
        <x:v>Included</x:v>
      </x:c>
      <x:c r="Y167" s="14"/>
      <x:c r="Z167" s="14" t="str">
        <x:v>Blue Lights.docx</x:v>
      </x:c>
      <x:c r="AA167" s="14" t="str">
        <x:v>HYPERLINK is not implemented. linkLocation=https://www.imdb.com/title/tt14466018/fullcredits/,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BBC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HYPERLINK("https://en.wikipedia.org/wiki/Blue_Light","Open source")</x:f>
        <x:v>HYPERLINK is not implemented. linkLocation=https://en.wikipedia.org/wiki/Blue_Light, friendlyName=Open source</x:v>
      </x:c>
      <x:c r="AN167" s="14" t="str">
        <x:v>BBC public-service commission</x:v>
      </x:c>
      <x:c r="AO167" s="14" t="str">
        <x:v>Yes</x:v>
      </x:c>
      <x:c r="AP167" s="14" t="str">
        <x:v>Direct BBC public-service scope</x:v>
      </x:c>
      <x:c r="AQ167" s="14" t="str">
        <x:v>Yes</x:v>
      </x:c>
      <x:c r="AR167" s="14" t="str">
        <x:v>Resolved from master register</x:v>
      </x:c>
      <x:c r="AS167" s="14" t="str">
        <x:v>No established-register match</x:v>
      </x:c>
      <x:c r="AT167" s="14"/>
      <x:c r="AU167" s="14"/>
      <x:c r="AV167" s="14" t="str">
        <x:v>No established apparent-disability match</x:v>
      </x:c>
      <x:c r="AW167" s="14"/>
      <x:c r="AX167" s="14" t="str">
        <x:v>No</x:v>
      </x:c>
      <x:c r="AY167" s="14" t="str">
        <x:v>Unmatched</x:v>
      </x:c>
      <x:c r="AZ167" s="14" t="str">
        <x:v>Final supplied register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19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0.10526315789473684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4" t="str">
        <x:v>HYPERLINK is not implemented. linkLocation=https://www.imdb.com/title/tt14466018/fullcredits/,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tt14466018|nm0242954|richard robinson</x:v>
      </x:c>
      <x:c r="B168" s="14" t="str">
        <x:v>01</x:v>
      </x:c>
      <x:c r="C168" s="14" t="str">
        <x:v>2023_IMDb_Cast_Lists_Batch_01(2).xlsx</x:v>
      </x:c>
      <x:c r="D168" s="14" t="str">
        <x:v>Blue Lights</x:v>
      </x:c>
      <x:c r="E168" s="14" t="n">
        <x:v>73</x:v>
      </x:c>
      <x:c r="F168" s="14" t="str">
        <x:v>Blue Lights</x:v>
      </x:c>
      <x:c r="G168" s="14" t="str">
        <x:v>tt14466018</x:v>
      </x:c>
      <x:c r="H168" s="14" t="n">
        <x:v>2023</x:v>
      </x:c>
      <x:c r="I168" s="14" t="n">
        <x:v>2025</x:v>
      </x:c>
      <x:c r="J168" s="14" t="str">
        <x:v>Earlier-Production Carry-In Cohort</x:v>
      </x:c>
      <x:c r="K168" s="14" t="n">
        <x:v>2023</x:v>
      </x:c>
      <x:c r="L168" s="14" t="str">
        <x:v>Not inherited</x:v>
      </x:c>
      <x:c r="M168" s="15" t="n">
        <x:v>66</x:v>
      </x:c>
      <x:c r="N168" s="14" t="str">
        <x:v>Nick Dunning</x:v>
      </x:c>
      <x:c r="O168" s="14" t="str">
        <x:v>nm0242954</x:v>
      </x:c>
      <x:c r="P168" s="14" t="str">
        <x:v>Richard Robinson</x:v>
      </x:c>
      <x:c r="Q168" s="15" t="n">
        <x:v>2</x:v>
      </x:c>
      <x:c r="R168" s="14" t="str">
        <x:v>2025</x:v>
      </x:c>
      <x:c r="S168" s="14" t="n">
        <x:v>2025</x:v>
      </x:c>
      <x:c r="T168" s="14" t="n">
        <x:v>2025</x:v>
      </x:c>
      <x:c r="U168" s="14" t="str">
        <x:v>Explicit source first year retained</x:v>
      </x:c>
      <x:c r="V168" s="14" t="str">
        <x:v>Earliest supplied year is 2025.</x:v>
      </x:c>
      <x:c r="W168" s="14"/>
      <x:c r="X168" s="14" t="str">
        <x:v>Included</x:v>
      </x:c>
      <x:c r="Y168" s="14"/>
      <x:c r="Z168" s="14" t="str">
        <x:v>Blue Lights.docx</x:v>
      </x:c>
      <x:c r="AA168" s="14" t="str">
        <x:v>HYPERLINK is not implemented. linkLocation=https://www.imdb.com/title/tt14466018/fullcredits/,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BBC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HYPERLINK("https://en.wikipedia.org/wiki/Blue_Light","Open source")</x:f>
        <x:v>HYPERLINK is not implemented. linkLocation=https://en.wikipedia.org/wiki/Blue_Light, friendlyName=Open source</x:v>
      </x:c>
      <x:c r="AN168" s="14" t="str">
        <x:v>BBC public-service commission</x:v>
      </x:c>
      <x:c r="AO168" s="14" t="str">
        <x:v>Yes</x:v>
      </x:c>
      <x:c r="AP168" s="14" t="str">
        <x:v>Direct BBC public-service scope</x:v>
      </x:c>
      <x:c r="AQ168" s="14" t="str">
        <x:v>Yes</x:v>
      </x:c>
      <x:c r="AR168" s="14" t="str">
        <x:v>Resolved from master register</x:v>
      </x:c>
      <x:c r="AS168" s="14" t="str">
        <x:v>No established-register match</x:v>
      </x:c>
      <x:c r="AT168" s="14"/>
      <x:c r="AU168" s="14"/>
      <x:c r="AV168" s="14" t="str">
        <x:v>No established apparent-disability match</x:v>
      </x:c>
      <x:c r="AW168" s="14"/>
      <x:c r="AX168" s="14" t="str">
        <x:v>No</x:v>
      </x:c>
      <x:c r="AY168" s="14" t="str">
        <x:v>Unmatched</x:v>
      </x:c>
      <x:c r="AZ168" s="14" t="str">
        <x:v>Final supplied register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19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2</x:v>
      </x:c>
      <x:c r="BS168" s="16" t="n">
        <x:v>0.10526315789473684</x:v>
      </x:c>
      <x:c r="BT168" s="14" t="str">
        <x:v>Minority of episodes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4" t="str">
        <x:v>HYPERLINK is not implemented. linkLocation=https://www.imdb.com/title/tt14466018/fullcredits/,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tt14466018|nm3557780|john o'boyle</x:v>
      </x:c>
      <x:c r="B169" s="14" t="str">
        <x:v>01</x:v>
      </x:c>
      <x:c r="C169" s="14" t="str">
        <x:v>2023_IMDb_Cast_Lists_Batch_01(2).xlsx</x:v>
      </x:c>
      <x:c r="D169" s="14" t="str">
        <x:v>Blue Lights</x:v>
      </x:c>
      <x:c r="E169" s="14" t="n">
        <x:v>74</x:v>
      </x:c>
      <x:c r="F169" s="14" t="str">
        <x:v>Blue Lights</x:v>
      </x:c>
      <x:c r="G169" s="14" t="str">
        <x:v>tt14466018</x:v>
      </x:c>
      <x:c r="H169" s="14" t="n">
        <x:v>2023</x:v>
      </x:c>
      <x:c r="I169" s="14" t="n">
        <x:v>2025</x:v>
      </x:c>
      <x:c r="J169" s="14" t="str">
        <x:v>Earlier-Production Carry-In Cohort</x:v>
      </x:c>
      <x:c r="K169" s="14" t="n">
        <x:v>2023</x:v>
      </x:c>
      <x:c r="L169" s="14" t="str">
        <x:v>Not inherited</x:v>
      </x:c>
      <x:c r="M169" s="15" t="n">
        <x:v>67</x:v>
      </x:c>
      <x:c r="N169" s="14" t="str">
        <x:v>Patrick McBrearty</x:v>
      </x:c>
      <x:c r="O169" s="14" t="str">
        <x:v>nm3557780</x:v>
      </x:c>
      <x:c r="P169" s="14" t="str">
        <x:v>John O'Boyle</x:v>
      </x:c>
      <x:c r="Q169" s="15" t="n">
        <x:v>2</x:v>
      </x:c>
      <x:c r="R169" s="14" t="str">
        <x:v>2025</x:v>
      </x:c>
      <x:c r="S169" s="14" t="n">
        <x:v>2025</x:v>
      </x:c>
      <x:c r="T169" s="14" t="n">
        <x:v>2025</x:v>
      </x:c>
      <x:c r="U169" s="14" t="str">
        <x:v>Explicit source first year retained</x:v>
      </x:c>
      <x:c r="V169" s="14" t="str">
        <x:v>Earliest supplied year is 2025.</x:v>
      </x:c>
      <x:c r="W169" s="14"/>
      <x:c r="X169" s="14" t="str">
        <x:v>Included</x:v>
      </x:c>
      <x:c r="Y169" s="14"/>
      <x:c r="Z169" s="14" t="str">
        <x:v>Blue Lights.docx</x:v>
      </x:c>
      <x:c r="AA169" s="14" t="str">
        <x:v>HYPERLINK is not implemented. linkLocation=https://www.imdb.com/title/tt14466018/fullcredits/,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BBC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HYPERLINK("https://en.wikipedia.org/wiki/Blue_Light","Open source")</x:f>
        <x:v>HYPERLINK is not implemented. linkLocation=https://en.wikipedia.org/wiki/Blue_Light, friendlyName=Open source</x:v>
      </x:c>
      <x:c r="AN169" s="14" t="str">
        <x:v>BBC public-service commission</x:v>
      </x:c>
      <x:c r="AO169" s="14" t="str">
        <x:v>Yes</x:v>
      </x:c>
      <x:c r="AP169" s="14" t="str">
        <x:v>Direct BBC public-service scope</x:v>
      </x:c>
      <x:c r="AQ169" s="14" t="str">
        <x:v>Yes</x:v>
      </x:c>
      <x:c r="AR169" s="14" t="str">
        <x:v>Resolved from master register</x:v>
      </x:c>
      <x:c r="AS169" s="14" t="str">
        <x:v>No established-register match</x:v>
      </x:c>
      <x:c r="AT169" s="14"/>
      <x:c r="AU169" s="14"/>
      <x:c r="AV169" s="14" t="str">
        <x:v>No established apparent-disability match</x:v>
      </x:c>
      <x:c r="AW169" s="14"/>
      <x:c r="AX169" s="14" t="str">
        <x:v>No</x:v>
      </x:c>
      <x:c r="AY169" s="14" t="str">
        <x:v>Unmatched</x:v>
      </x:c>
      <x:c r="AZ169" s="14" t="str">
        <x:v>Final supplied register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19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2</x:v>
      </x:c>
      <x:c r="BS169" s="16" t="n">
        <x:v>0.10526315789473684</x:v>
      </x:c>
      <x:c r="BT169" s="14" t="str">
        <x:v>Minority of episodes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4" t="str">
        <x:v>HYPERLINK is not implemented. linkLocation=https://www.imdb.com/title/tt14466018/fullcredits/,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tt14466018|nm13605120|drunk man 1</x:v>
      </x:c>
      <x:c r="B170" s="14" t="str">
        <x:v>01</x:v>
      </x:c>
      <x:c r="C170" s="14" t="str">
        <x:v>2023_IMDb_Cast_Lists_Batch_01(2).xlsx</x:v>
      </x:c>
      <x:c r="D170" s="14" t="str">
        <x:v>Blue Lights</x:v>
      </x:c>
      <x:c r="E170" s="14" t="n">
        <x:v>78</x:v>
      </x:c>
      <x:c r="F170" s="14" t="str">
        <x:v>Blue Lights</x:v>
      </x:c>
      <x:c r="G170" s="14" t="str">
        <x:v>tt14466018</x:v>
      </x:c>
      <x:c r="H170" s="14" t="n">
        <x:v>2023</x:v>
      </x:c>
      <x:c r="I170" s="14" t="n">
        <x:v>2025</x:v>
      </x:c>
      <x:c r="J170" s="14" t="str">
        <x:v>Earlier-Production Carry-In Cohort</x:v>
      </x:c>
      <x:c r="K170" s="14" t="n">
        <x:v>2023</x:v>
      </x:c>
      <x:c r="L170" s="14" t="str">
        <x:v>Not inherited</x:v>
      </x:c>
      <x:c r="M170" s="15" t="n">
        <x:v>71</x:v>
      </x:c>
      <x:c r="N170" s="14" t="str">
        <x:v>William Thompson</x:v>
      </x:c>
      <x:c r="O170" s="14" t="str">
        <x:v>nm13605120</x:v>
      </x:c>
      <x:c r="P170" s="14" t="str">
        <x:v>Drunk Man 1</x:v>
      </x:c>
      <x:c r="Q170" s="15" t="n">
        <x:v>1</x:v>
      </x:c>
      <x:c r="R170" s="14" t="str">
        <x:v>2025</x:v>
      </x:c>
      <x:c r="S170" s="14" t="n">
        <x:v>2025</x:v>
      </x:c>
      <x:c r="T170" s="14" t="n">
        <x:v>2025</x:v>
      </x:c>
      <x:c r="U170" s="14" t="str">
        <x:v>Explicit source first year retained</x:v>
      </x:c>
      <x:c r="V170" s="14" t="str">
        <x:v>Earliest supplied year is 2025.</x:v>
      </x:c>
      <x:c r="W170" s="14"/>
      <x:c r="X170" s="14" t="str">
        <x:v>Included</x:v>
      </x:c>
      <x:c r="Y170" s="14"/>
      <x:c r="Z170" s="14" t="str">
        <x:v>Blue Lights.docx</x:v>
      </x:c>
      <x:c r="AA170" s="14" t="str">
        <x:v>HYPERLINK is not implemented. linkLocation=https://www.imdb.com/title/tt14466018/fullcredits/,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BBC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HYPERLINK("https://en.wikipedia.org/wiki/Blue_Light","Open source")</x:f>
        <x:v>HYPERLINK is not implemented. linkLocation=https://en.wikipedia.org/wiki/Blue_Light, friendlyName=Open source</x:v>
      </x:c>
      <x:c r="AN170" s="14" t="str">
        <x:v>BBC public-service commission</x:v>
      </x:c>
      <x:c r="AO170" s="14" t="str">
        <x:v>Yes</x:v>
      </x:c>
      <x:c r="AP170" s="14" t="str">
        <x:v>Direct BBC public-service scope</x:v>
      </x:c>
      <x:c r="AQ170" s="14" t="str">
        <x:v>Yes</x:v>
      </x:c>
      <x:c r="AR170" s="14" t="str">
        <x:v>Resolved from master register</x:v>
      </x:c>
      <x:c r="AS170" s="14" t="str">
        <x:v>No established-register match</x:v>
      </x:c>
      <x:c r="AT170" s="14"/>
      <x:c r="AU170" s="14"/>
      <x:c r="AV170" s="14" t="str">
        <x:v>No established apparent-disability match</x:v>
      </x:c>
      <x:c r="AW170" s="14"/>
      <x:c r="AX170" s="14" t="str">
        <x:v>No</x:v>
      </x:c>
      <x:c r="AY170" s="14" t="str">
        <x:v>Unmatched</x:v>
      </x:c>
      <x:c r="AZ170" s="14" t="str">
        <x:v>Final supplied register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19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0.05263157894736842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4" t="str">
        <x:v>HYPERLINK is not implemented. linkLocation=https://www.imdb.com/title/tt14466018/fullcredits/,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tt14466018|nm4202822|drunk man 2</x:v>
      </x:c>
      <x:c r="B171" s="14" t="str">
        <x:v>01</x:v>
      </x:c>
      <x:c r="C171" s="14" t="str">
        <x:v>2023_IMDb_Cast_Lists_Batch_01(2).xlsx</x:v>
      </x:c>
      <x:c r="D171" s="14" t="str">
        <x:v>Blue Lights</x:v>
      </x:c>
      <x:c r="E171" s="14" t="n">
        <x:v>79</x:v>
      </x:c>
      <x:c r="F171" s="14" t="str">
        <x:v>Blue Lights</x:v>
      </x:c>
      <x:c r="G171" s="14" t="str">
        <x:v>tt14466018</x:v>
      </x:c>
      <x:c r="H171" s="14" t="n">
        <x:v>2023</x:v>
      </x:c>
      <x:c r="I171" s="14" t="n">
        <x:v>2025</x:v>
      </x:c>
      <x:c r="J171" s="14" t="str">
        <x:v>Earlier-Production Carry-In Cohort</x:v>
      </x:c>
      <x:c r="K171" s="14" t="n">
        <x:v>2023</x:v>
      </x:c>
      <x:c r="L171" s="14" t="str">
        <x:v>Not inherited</x:v>
      </x:c>
      <x:c r="M171" s="15" t="n">
        <x:v>72</x:v>
      </x:c>
      <x:c r="N171" s="14" t="str">
        <x:v>Micky Bartlett</x:v>
      </x:c>
      <x:c r="O171" s="14" t="str">
        <x:v>nm4202822</x:v>
      </x:c>
      <x:c r="P171" s="14" t="str">
        <x:v>Drunk Man 2</x:v>
      </x:c>
      <x:c r="Q171" s="15" t="n">
        <x:v>1</x:v>
      </x:c>
      <x:c r="R171" s="14" t="str">
        <x:v>2025</x:v>
      </x:c>
      <x:c r="S171" s="14" t="n">
        <x:v>2025</x:v>
      </x:c>
      <x:c r="T171" s="14" t="n">
        <x:v>2025</x:v>
      </x:c>
      <x:c r="U171" s="14" t="str">
        <x:v>Explicit source first year retained</x:v>
      </x:c>
      <x:c r="V171" s="14" t="str">
        <x:v>Earliest supplied year is 2025.</x:v>
      </x:c>
      <x:c r="W171" s="14"/>
      <x:c r="X171" s="14" t="str">
        <x:v>Included</x:v>
      </x:c>
      <x:c r="Y171" s="14"/>
      <x:c r="Z171" s="14" t="str">
        <x:v>Blue Lights.docx</x:v>
      </x:c>
      <x:c r="AA171" s="14" t="str">
        <x:v>HYPERLINK is not implemented. linkLocation=https://www.imdb.com/title/tt14466018/fullcredits/,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BBC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7" t="e">
        <x:f>HYPERLINK("https://en.wikipedia.org/wiki/Blue_Light","Open source")</x:f>
        <x:v>HYPERLINK is not implemented. linkLocation=https://en.wikipedia.org/wiki/Blue_Light, friendlyName=Open source</x:v>
      </x:c>
      <x:c r="AN171" s="14" t="str">
        <x:v>BBC public-service commission</x:v>
      </x:c>
      <x:c r="AO171" s="14" t="str">
        <x:v>Yes</x:v>
      </x:c>
      <x:c r="AP171" s="14" t="str">
        <x:v>Direct BBC public-service scope</x:v>
      </x:c>
      <x:c r="AQ171" s="14" t="str">
        <x:v>Yes</x:v>
      </x:c>
      <x:c r="AR171" s="14" t="str">
        <x:v>Resolved from master register</x:v>
      </x:c>
      <x:c r="AS171" s="14" t="str">
        <x:v>No established-register match</x:v>
      </x:c>
      <x:c r="AT171" s="14"/>
      <x:c r="AU171" s="14"/>
      <x:c r="AV171" s="14" t="str">
        <x:v>No established apparent-disability match</x:v>
      </x:c>
      <x:c r="AW171" s="14"/>
      <x:c r="AX171" s="14" t="str">
        <x:v>No</x:v>
      </x:c>
      <x:c r="AY171" s="14" t="str">
        <x:v>Unmatched</x:v>
      </x:c>
      <x:c r="AZ171" s="14" t="str">
        <x:v>Final supplied register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19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0.05263157894736842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4" t="str">
        <x:v>HYPERLINK is not implemented. linkLocation=https://www.imdb.com/title/tt14466018/fullcredits/,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tt14466018|nm13743893|cormac</x:v>
      </x:c>
      <x:c r="B172" s="14" t="str">
        <x:v>01</x:v>
      </x:c>
      <x:c r="C172" s="14" t="str">
        <x:v>2023_IMDb_Cast_Lists_Batch_01(2).xlsx</x:v>
      </x:c>
      <x:c r="D172" s="14" t="str">
        <x:v>Blue Lights</x:v>
      </x:c>
      <x:c r="E172" s="14" t="n">
        <x:v>88</x:v>
      </x:c>
      <x:c r="F172" s="14" t="str">
        <x:v>Blue Lights</x:v>
      </x:c>
      <x:c r="G172" s="14" t="str">
        <x:v>tt14466018</x:v>
      </x:c>
      <x:c r="H172" s="14" t="n">
        <x:v>2023</x:v>
      </x:c>
      <x:c r="I172" s="14" t="n">
        <x:v>2025</x:v>
      </x:c>
      <x:c r="J172" s="14" t="str">
        <x:v>Earlier-Production Carry-In Cohort</x:v>
      </x:c>
      <x:c r="K172" s="14" t="n">
        <x:v>2023</x:v>
      </x:c>
      <x:c r="L172" s="14" t="str">
        <x:v>Not inherited</x:v>
      </x:c>
      <x:c r="M172" s="15" t="n">
        <x:v>81</x:v>
      </x:c>
      <x:c r="N172" s="14" t="str">
        <x:v>Owen James</x:v>
      </x:c>
      <x:c r="O172" s="14" t="str">
        <x:v>nm13743893</x:v>
      </x:c>
      <x:c r="P172" s="14" t="str">
        <x:v>Cormac</x:v>
      </x:c>
      <x:c r="Q172" s="15" t="n">
        <x:v>1</x:v>
      </x:c>
      <x:c r="R172" s="14" t="str">
        <x:v>2025</x:v>
      </x:c>
      <x:c r="S172" s="14" t="n">
        <x:v>2025</x:v>
      </x:c>
      <x:c r="T172" s="14" t="n">
        <x:v>2025</x:v>
      </x:c>
      <x:c r="U172" s="14" t="str">
        <x:v>Explicit source first year retained</x:v>
      </x:c>
      <x:c r="V172" s="14" t="str">
        <x:v>Earliest supplied year is 2025.</x:v>
      </x:c>
      <x:c r="W172" s="14"/>
      <x:c r="X172" s="14" t="str">
        <x:v>Included</x:v>
      </x:c>
      <x:c r="Y172" s="14"/>
      <x:c r="Z172" s="14" t="str">
        <x:v>Blue Lights.docx</x:v>
      </x:c>
      <x:c r="AA172" s="14" t="str">
        <x:v>HYPERLINK is not implemented. linkLocation=https://www.imdb.com/title/tt14466018/fullcredits/,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BBC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7" t="e">
        <x:f>HYPERLINK("https://en.wikipedia.org/wiki/Blue_Light","Open source")</x:f>
        <x:v>HYPERLINK is not implemented. linkLocation=https://en.wikipedia.org/wiki/Blue_Light, friendlyName=Open source</x:v>
      </x:c>
      <x:c r="AN172" s="14" t="str">
        <x:v>BBC public-service commission</x:v>
      </x:c>
      <x:c r="AO172" s="14" t="str">
        <x:v>Yes</x:v>
      </x:c>
      <x:c r="AP172" s="14" t="str">
        <x:v>Direct BBC public-service scope</x:v>
      </x:c>
      <x:c r="AQ172" s="14" t="str">
        <x:v>Yes</x:v>
      </x:c>
      <x:c r="AR172" s="14" t="str">
        <x:v>Resolved from master register</x:v>
      </x:c>
      <x:c r="AS172" s="14" t="str">
        <x:v>No established-register match</x:v>
      </x:c>
      <x:c r="AT172" s="14"/>
      <x:c r="AU172" s="14"/>
      <x:c r="AV172" s="14" t="str">
        <x:v>No established apparent-disability match</x:v>
      </x:c>
      <x:c r="AW172" s="14"/>
      <x:c r="AX172" s="14" t="str">
        <x:v>No</x:v>
      </x:c>
      <x:c r="AY172" s="14" t="str">
        <x:v>Unmatched</x:v>
      </x:c>
      <x:c r="AZ172" s="14" t="str">
        <x:v>Final supplied register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19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0.05263157894736842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4" t="str">
        <x:v>HYPERLINK is not implemented. linkLocation=https://www.imdb.com/title/tt14466018/fullcredits/,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tt14466018|nm1843367|natalie mcclelland</x:v>
      </x:c>
      <x:c r="B173" s="14" t="str">
        <x:v>01</x:v>
      </x:c>
      <x:c r="C173" s="14" t="str">
        <x:v>2023_IMDb_Cast_Lists_Batch_01(2).xlsx</x:v>
      </x:c>
      <x:c r="D173" s="14" t="str">
        <x:v>Blue Lights</x:v>
      </x:c>
      <x:c r="E173" s="14" t="n">
        <x:v>90</x:v>
      </x:c>
      <x:c r="F173" s="14" t="str">
        <x:v>Blue Lights</x:v>
      </x:c>
      <x:c r="G173" s="14" t="str">
        <x:v>tt14466018</x:v>
      </x:c>
      <x:c r="H173" s="14" t="n">
        <x:v>2023</x:v>
      </x:c>
      <x:c r="I173" s="14" t="n">
        <x:v>2025</x:v>
      </x:c>
      <x:c r="J173" s="14" t="str">
        <x:v>Earlier-Production Carry-In Cohort</x:v>
      </x:c>
      <x:c r="K173" s="14" t="n">
        <x:v>2023</x:v>
      </x:c>
      <x:c r="L173" s="14" t="str">
        <x:v>Not inherited</x:v>
      </x:c>
      <x:c r="M173" s="15" t="n">
        <x:v>83</x:v>
      </x:c>
      <x:c r="N173" s="14" t="str">
        <x:v>Sarah Lyle</x:v>
      </x:c>
      <x:c r="O173" s="14" t="str">
        <x:v>nm1843367</x:v>
      </x:c>
      <x:c r="P173" s="14" t="str">
        <x:v>Natalie McClelland</x:v>
      </x:c>
      <x:c r="Q173" s="15" t="n">
        <x:v>1</x:v>
      </x:c>
      <x:c r="R173" s="14" t="str">
        <x:v>2025</x:v>
      </x:c>
      <x:c r="S173" s="14" t="n">
        <x:v>2025</x:v>
      </x:c>
      <x:c r="T173" s="14" t="n">
        <x:v>2025</x:v>
      </x:c>
      <x:c r="U173" s="14" t="str">
        <x:v>Explicit source first year retained</x:v>
      </x:c>
      <x:c r="V173" s="14" t="str">
        <x:v>Earliest supplied year is 2025.</x:v>
      </x:c>
      <x:c r="W173" s="14"/>
      <x:c r="X173" s="14" t="str">
        <x:v>Included</x:v>
      </x:c>
      <x:c r="Y173" s="14"/>
      <x:c r="Z173" s="14" t="str">
        <x:v>Blue Lights.docx</x:v>
      </x:c>
      <x:c r="AA173" s="14" t="str">
        <x:v>HYPERLINK is not implemented. linkLocation=https://www.imdb.com/title/tt14466018/fullcredits/,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BBC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HYPERLINK("https://en.wikipedia.org/wiki/Blue_Light","Open source")</x:f>
        <x:v>HYPERLINK is not implemented. linkLocation=https://en.wikipedia.org/wiki/Blue_Light, friendlyName=Open source</x:v>
      </x:c>
      <x:c r="AN173" s="14" t="str">
        <x:v>BBC public-service commission</x:v>
      </x:c>
      <x:c r="AO173" s="14" t="str">
        <x:v>Yes</x:v>
      </x:c>
      <x:c r="AP173" s="14" t="str">
        <x:v>Direct BBC public-service scope</x:v>
      </x:c>
      <x:c r="AQ173" s="14" t="str">
        <x:v>Yes</x:v>
      </x:c>
      <x:c r="AR173" s="14" t="str">
        <x:v>Resolved from master register</x:v>
      </x:c>
      <x:c r="AS173" s="14" t="str">
        <x:v>No established-register match</x:v>
      </x:c>
      <x:c r="AT173" s="14"/>
      <x:c r="AU173" s="14"/>
      <x:c r="AV173" s="14" t="str">
        <x:v>No established apparent-disability match</x:v>
      </x:c>
      <x:c r="AW173" s="14"/>
      <x:c r="AX173" s="14" t="str">
        <x:v>No</x:v>
      </x:c>
      <x:c r="AY173" s="14" t="str">
        <x:v>Unmatched</x:v>
      </x:c>
      <x:c r="AZ173" s="14" t="str">
        <x:v>Final supplied register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19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0.05263157894736842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4" t="str">
        <x:v>HYPERLINK is not implemented. linkLocation=https://www.imdb.com/title/tt14466018/fullcredits/,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tt14466018|nm9286162|mary quigley</x:v>
      </x:c>
      <x:c r="B174" s="14" t="str">
        <x:v>01</x:v>
      </x:c>
      <x:c r="C174" s="14" t="str">
        <x:v>2023_IMDb_Cast_Lists_Batch_01(2).xlsx</x:v>
      </x:c>
      <x:c r="D174" s="14" t="str">
        <x:v>Blue Lights</x:v>
      </x:c>
      <x:c r="E174" s="14" t="n">
        <x:v>92</x:v>
      </x:c>
      <x:c r="F174" s="14" t="str">
        <x:v>Blue Lights</x:v>
      </x:c>
      <x:c r="G174" s="14" t="str">
        <x:v>tt14466018</x:v>
      </x:c>
      <x:c r="H174" s="14" t="n">
        <x:v>2023</x:v>
      </x:c>
      <x:c r="I174" s="14" t="n">
        <x:v>2025</x:v>
      </x:c>
      <x:c r="J174" s="14" t="str">
        <x:v>Earlier-Production Carry-In Cohort</x:v>
      </x:c>
      <x:c r="K174" s="14" t="n">
        <x:v>2023</x:v>
      </x:c>
      <x:c r="L174" s="14" t="str">
        <x:v>Not inherited</x:v>
      </x:c>
      <x:c r="M174" s="15" t="n">
        <x:v>85</x:v>
      </x:c>
      <x:c r="N174" s="14" t="str">
        <x:v>Debra Hill</x:v>
      </x:c>
      <x:c r="O174" s="14" t="str">
        <x:v>nm9286162</x:v>
      </x:c>
      <x:c r="P174" s="14" t="str">
        <x:v>Mary Quigley</x:v>
      </x:c>
      <x:c r="Q174" s="15" t="n">
        <x:v>1</x:v>
      </x:c>
      <x:c r="R174" s="14" t="str">
        <x:v>2025</x:v>
      </x:c>
      <x:c r="S174" s="14" t="n">
        <x:v>2025</x:v>
      </x:c>
      <x:c r="T174" s="14" t="n">
        <x:v>2025</x:v>
      </x:c>
      <x:c r="U174" s="14" t="str">
        <x:v>Explicit source first year retained</x:v>
      </x:c>
      <x:c r="V174" s="14" t="str">
        <x:v>Earliest supplied year is 2025.</x:v>
      </x:c>
      <x:c r="W174" s="14"/>
      <x:c r="X174" s="14" t="str">
        <x:v>Included</x:v>
      </x:c>
      <x:c r="Y174" s="14"/>
      <x:c r="Z174" s="14" t="str">
        <x:v>Blue Lights.docx</x:v>
      </x:c>
      <x:c r="AA174" s="14" t="str">
        <x:v>HYPERLINK is not implemented. linkLocation=https://www.imdb.com/title/tt14466018/fullcredits/,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BBC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HYPERLINK("https://en.wikipedia.org/wiki/Blue_Light","Open source")</x:f>
        <x:v>HYPERLINK is not implemented. linkLocation=https://en.wikipedia.org/wiki/Blue_Light, friendlyName=Open source</x:v>
      </x:c>
      <x:c r="AN174" s="14" t="str">
        <x:v>BBC public-service commission</x:v>
      </x:c>
      <x:c r="AO174" s="14" t="str">
        <x:v>Yes</x:v>
      </x:c>
      <x:c r="AP174" s="14" t="str">
        <x:v>Direct BBC public-service scope</x:v>
      </x:c>
      <x:c r="AQ174" s="14" t="str">
        <x:v>Yes</x:v>
      </x:c>
      <x:c r="AR174" s="14" t="str">
        <x:v>Resolved from master register</x:v>
      </x:c>
      <x:c r="AS174" s="14" t="str">
        <x:v>No established-register match</x:v>
      </x:c>
      <x:c r="AT174" s="14"/>
      <x:c r="AU174" s="14"/>
      <x:c r="AV174" s="14" t="str">
        <x:v>No established apparent-disability match</x:v>
      </x:c>
      <x:c r="AW174" s="14"/>
      <x:c r="AX174" s="14" t="str">
        <x:v>No</x:v>
      </x:c>
      <x:c r="AY174" s="14" t="str">
        <x:v>Unmatched</x:v>
      </x:c>
      <x:c r="AZ174" s="14" t="str">
        <x:v>Final supplied register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19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0.05263157894736842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4" t="str">
        <x:v>HYPERLINK is not implemented. linkLocation=https://www.imdb.com/title/tt14466018/fullcredits/,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tt14466018|nm2016082|melissa schwartz</x:v>
      </x:c>
      <x:c r="B175" s="14" t="str">
        <x:v>01</x:v>
      </x:c>
      <x:c r="C175" s="14" t="str">
        <x:v>2023_IMDb_Cast_Lists_Batch_01(2).xlsx</x:v>
      </x:c>
      <x:c r="D175" s="14" t="str">
        <x:v>Blue Lights</x:v>
      </x:c>
      <x:c r="E175" s="14" t="n">
        <x:v>94</x:v>
      </x:c>
      <x:c r="F175" s="14" t="str">
        <x:v>Blue Lights</x:v>
      </x:c>
      <x:c r="G175" s="14" t="str">
        <x:v>tt14466018</x:v>
      </x:c>
      <x:c r="H175" s="14" t="n">
        <x:v>2023</x:v>
      </x:c>
      <x:c r="I175" s="14" t="n">
        <x:v>2025</x:v>
      </x:c>
      <x:c r="J175" s="14" t="str">
        <x:v>Earlier-Production Carry-In Cohort</x:v>
      </x:c>
      <x:c r="K175" s="14" t="n">
        <x:v>2023</x:v>
      </x:c>
      <x:c r="L175" s="14" t="str">
        <x:v>Not inherited</x:v>
      </x:c>
      <x:c r="M175" s="15" t="n">
        <x:v>87</x:v>
      </x:c>
      <x:c r="N175" s="14" t="str">
        <x:v>Emily Dunlop</x:v>
      </x:c>
      <x:c r="O175" s="14" t="str">
        <x:v>nm2016082</x:v>
      </x:c>
      <x:c r="P175" s="14" t="str">
        <x:v>Melissa Schwartz</x:v>
      </x:c>
      <x:c r="Q175" s="15" t="n">
        <x:v>1</x:v>
      </x:c>
      <x:c r="R175" s="14" t="str">
        <x:v>2025</x:v>
      </x:c>
      <x:c r="S175" s="14" t="n">
        <x:v>2025</x:v>
      </x:c>
      <x:c r="T175" s="14" t="n">
        <x:v>2025</x:v>
      </x:c>
      <x:c r="U175" s="14" t="str">
        <x:v>Explicit source first year retained</x:v>
      </x:c>
      <x:c r="V175" s="14" t="str">
        <x:v>Earliest supplied year is 2025.</x:v>
      </x:c>
      <x:c r="W175" s="14"/>
      <x:c r="X175" s="14" t="str">
        <x:v>Included</x:v>
      </x:c>
      <x:c r="Y175" s="14"/>
      <x:c r="Z175" s="14" t="str">
        <x:v>Blue Lights.docx</x:v>
      </x:c>
      <x:c r="AA175" s="14" t="str">
        <x:v>HYPERLINK is not implemented. linkLocation=https://www.imdb.com/title/tt14466018/fullcredits/,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BBC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HYPERLINK("https://en.wikipedia.org/wiki/Blue_Light","Open source")</x:f>
        <x:v>HYPERLINK is not implemented. linkLocation=https://en.wikipedia.org/wiki/Blue_Light, friendlyName=Open source</x:v>
      </x:c>
      <x:c r="AN175" s="14" t="str">
        <x:v>BBC public-service commission</x:v>
      </x:c>
      <x:c r="AO175" s="14" t="str">
        <x:v>Yes</x:v>
      </x:c>
      <x:c r="AP175" s="14" t="str">
        <x:v>Direct BBC public-service scope</x:v>
      </x:c>
      <x:c r="AQ175" s="14" t="str">
        <x:v>Yes</x:v>
      </x:c>
      <x:c r="AR175" s="14" t="str">
        <x:v>Resolved from master register</x:v>
      </x:c>
      <x:c r="AS175" s="14" t="str">
        <x:v>No established-register match</x:v>
      </x:c>
      <x:c r="AT175" s="14"/>
      <x:c r="AU175" s="14"/>
      <x:c r="AV175" s="14" t="str">
        <x:v>No established apparent-disability match</x:v>
      </x:c>
      <x:c r="AW175" s="14"/>
      <x:c r="AX175" s="14" t="str">
        <x:v>No</x:v>
      </x:c>
      <x:c r="AY175" s="14" t="str">
        <x:v>Unmatched</x:v>
      </x:c>
      <x:c r="AZ175" s="14" t="str">
        <x:v>Final supplied register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19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0.05263157894736842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4" t="str">
        <x:v>HYPERLINK is not implemented. linkLocation=https://www.imdb.com/title/tt14466018/fullcredits/,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tt14466018|nm10635675|orlaith mcclelland</x:v>
      </x:c>
      <x:c r="B176" s="14" t="str">
        <x:v>01</x:v>
      </x:c>
      <x:c r="C176" s="14" t="str">
        <x:v>2023_IMDb_Cast_Lists_Batch_01(2).xlsx</x:v>
      </x:c>
      <x:c r="D176" s="14" t="str">
        <x:v>Blue Lights</x:v>
      </x:c>
      <x:c r="E176" s="14" t="n">
        <x:v>95</x:v>
      </x:c>
      <x:c r="F176" s="14" t="str">
        <x:v>Blue Lights</x:v>
      </x:c>
      <x:c r="G176" s="14" t="str">
        <x:v>tt14466018</x:v>
      </x:c>
      <x:c r="H176" s="14" t="n">
        <x:v>2023</x:v>
      </x:c>
      <x:c r="I176" s="14" t="n">
        <x:v>2025</x:v>
      </x:c>
      <x:c r="J176" s="14" t="str">
        <x:v>Earlier-Production Carry-In Cohort</x:v>
      </x:c>
      <x:c r="K176" s="14" t="n">
        <x:v>2023</x:v>
      </x:c>
      <x:c r="L176" s="14" t="str">
        <x:v>Not inherited</x:v>
      </x:c>
      <x:c r="M176" s="15" t="n">
        <x:v>88</x:v>
      </x:c>
      <x:c r="N176" s="14" t="str">
        <x:v>Rosa Frazer</x:v>
      </x:c>
      <x:c r="O176" s="14" t="str">
        <x:v>nm10635675</x:v>
      </x:c>
      <x:c r="P176" s="14" t="str">
        <x:v>Orlaith McClelland</x:v>
      </x:c>
      <x:c r="Q176" s="15" t="n">
        <x:v>1</x:v>
      </x:c>
      <x:c r="R176" s="14" t="str">
        <x:v>2025</x:v>
      </x:c>
      <x:c r="S176" s="14" t="n">
        <x:v>2025</x:v>
      </x:c>
      <x:c r="T176" s="14" t="n">
        <x:v>2025</x:v>
      </x:c>
      <x:c r="U176" s="14" t="str">
        <x:v>Explicit source first year retained</x:v>
      </x:c>
      <x:c r="V176" s="14" t="str">
        <x:v>Earliest supplied year is 2025.</x:v>
      </x:c>
      <x:c r="W176" s="14"/>
      <x:c r="X176" s="14" t="str">
        <x:v>Included</x:v>
      </x:c>
      <x:c r="Y176" s="14"/>
      <x:c r="Z176" s="14" t="str">
        <x:v>Blue Lights.docx</x:v>
      </x:c>
      <x:c r="AA176" s="14" t="str">
        <x:v>HYPERLINK is not implemented. linkLocation=https://www.imdb.com/title/tt14466018/fullcredits/,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BBC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HYPERLINK("https://en.wikipedia.org/wiki/Blue_Light","Open source")</x:f>
        <x:v>HYPERLINK is not implemented. linkLocation=https://en.wikipedia.org/wiki/Blue_Light, friendlyName=Open source</x:v>
      </x:c>
      <x:c r="AN176" s="14" t="str">
        <x:v>BBC public-service commission</x:v>
      </x:c>
      <x:c r="AO176" s="14" t="str">
        <x:v>Yes</x:v>
      </x:c>
      <x:c r="AP176" s="14" t="str">
        <x:v>Direct BBC public-service scope</x:v>
      </x:c>
      <x:c r="AQ176" s="14" t="str">
        <x:v>Yes</x:v>
      </x:c>
      <x:c r="AR176" s="14" t="str">
        <x:v>Resolved from master register</x:v>
      </x:c>
      <x:c r="AS176" s="14" t="str">
        <x:v>No established-register match</x:v>
      </x:c>
      <x:c r="AT176" s="14"/>
      <x:c r="AU176" s="14"/>
      <x:c r="AV176" s="14" t="str">
        <x:v>No established apparent-disability match</x:v>
      </x:c>
      <x:c r="AW176" s="14"/>
      <x:c r="AX176" s="14" t="str">
        <x:v>No</x:v>
      </x:c>
      <x:c r="AY176" s="14" t="str">
        <x:v>Unmatched</x:v>
      </x:c>
      <x:c r="AZ176" s="14" t="str">
        <x:v>Final supplied register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19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0.05263157894736842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4" t="str">
        <x:v>HYPERLINK is not implemented. linkLocation=https://www.imdb.com/title/tt14466018/fullcredits/,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tt14466018|nm2689447|eugene connolly</x:v>
      </x:c>
      <x:c r="B177" s="14" t="str">
        <x:v>01</x:v>
      </x:c>
      <x:c r="C177" s="14" t="str">
        <x:v>2023_IMDb_Cast_Lists_Batch_01(2).xlsx</x:v>
      </x:c>
      <x:c r="D177" s="14" t="str">
        <x:v>Blue Lights</x:v>
      </x:c>
      <x:c r="E177" s="14" t="n">
        <x:v>96</x:v>
      </x:c>
      <x:c r="F177" s="14" t="str">
        <x:v>Blue Lights</x:v>
      </x:c>
      <x:c r="G177" s="14" t="str">
        <x:v>tt14466018</x:v>
      </x:c>
      <x:c r="H177" s="14" t="n">
        <x:v>2023</x:v>
      </x:c>
      <x:c r="I177" s="14" t="n">
        <x:v>2025</x:v>
      </x:c>
      <x:c r="J177" s="14" t="str">
        <x:v>Earlier-Production Carry-In Cohort</x:v>
      </x:c>
      <x:c r="K177" s="14" t="n">
        <x:v>2023</x:v>
      </x:c>
      <x:c r="L177" s="14" t="str">
        <x:v>Not inherited</x:v>
      </x:c>
      <x:c r="M177" s="15" t="n">
        <x:v>89</x:v>
      </x:c>
      <x:c r="N177" s="14" t="str">
        <x:v>Keith Singleton</x:v>
      </x:c>
      <x:c r="O177" s="14" t="str">
        <x:v>nm2689447</x:v>
      </x:c>
      <x:c r="P177" s="14" t="str">
        <x:v>Eugene Connolly</x:v>
      </x:c>
      <x:c r="Q177" s="15" t="n">
        <x:v>1</x:v>
      </x:c>
      <x:c r="R177" s="14" t="str">
        <x:v>2025</x:v>
      </x:c>
      <x:c r="S177" s="14" t="n">
        <x:v>2025</x:v>
      </x:c>
      <x:c r="T177" s="14" t="n">
        <x:v>2025</x:v>
      </x:c>
      <x:c r="U177" s="14" t="str">
        <x:v>Explicit source first year retained</x:v>
      </x:c>
      <x:c r="V177" s="14" t="str">
        <x:v>Earliest supplied year is 2025.</x:v>
      </x:c>
      <x:c r="W177" s="14"/>
      <x:c r="X177" s="14" t="str">
        <x:v>Included</x:v>
      </x:c>
      <x:c r="Y177" s="14"/>
      <x:c r="Z177" s="14" t="str">
        <x:v>Blue Lights.docx</x:v>
      </x:c>
      <x:c r="AA177" s="14" t="str">
        <x:v>HYPERLINK is not implemented. linkLocation=https://www.imdb.com/title/tt14466018/fullcredits/,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BBC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HYPERLINK("https://en.wikipedia.org/wiki/Blue_Light","Open source")</x:f>
        <x:v>HYPERLINK is not implemented. linkLocation=https://en.wikipedia.org/wiki/Blue_Light, friendlyName=Open source</x:v>
      </x:c>
      <x:c r="AN177" s="14" t="str">
        <x:v>BBC public-service commission</x:v>
      </x:c>
      <x:c r="AO177" s="14" t="str">
        <x:v>Yes</x:v>
      </x:c>
      <x:c r="AP177" s="14" t="str">
        <x:v>Direct BBC public-service scope</x:v>
      </x:c>
      <x:c r="AQ177" s="14" t="str">
        <x:v>Yes</x:v>
      </x:c>
      <x:c r="AR177" s="14" t="str">
        <x:v>Resolved from master register</x:v>
      </x:c>
      <x:c r="AS177" s="14" t="str">
        <x:v>No established-register match</x:v>
      </x:c>
      <x:c r="AT177" s="14"/>
      <x:c r="AU177" s="14"/>
      <x:c r="AV177" s="14" t="str">
        <x:v>No established apparent-disability match</x:v>
      </x:c>
      <x:c r="AW177" s="14"/>
      <x:c r="AX177" s="14" t="str">
        <x:v>No</x:v>
      </x:c>
      <x:c r="AY177" s="14" t="str">
        <x:v>Unmatched</x:v>
      </x:c>
      <x:c r="AZ177" s="14" t="str">
        <x:v>Final supplied register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19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0.05263157894736842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4" t="str">
        <x:v>HYPERLINK is not implemented. linkLocation=https://www.imdb.com/title/tt14466018/fullcredits/,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tt14466018|nm1380296|bobby</x:v>
      </x:c>
      <x:c r="B178" s="14" t="str">
        <x:v>01</x:v>
      </x:c>
      <x:c r="C178" s="14" t="str">
        <x:v>2023_IMDb_Cast_Lists_Batch_01(2).xlsx</x:v>
      </x:c>
      <x:c r="D178" s="14" t="str">
        <x:v>Blue Lights</x:v>
      </x:c>
      <x:c r="E178" s="14" t="n">
        <x:v>100</x:v>
      </x:c>
      <x:c r="F178" s="14" t="str">
        <x:v>Blue Lights</x:v>
      </x:c>
      <x:c r="G178" s="14" t="str">
        <x:v>tt14466018</x:v>
      </x:c>
      <x:c r="H178" s="14" t="n">
        <x:v>2023</x:v>
      </x:c>
      <x:c r="I178" s="14" t="n">
        <x:v>2025</x:v>
      </x:c>
      <x:c r="J178" s="14" t="str">
        <x:v>Earlier-Production Carry-In Cohort</x:v>
      </x:c>
      <x:c r="K178" s="14" t="n">
        <x:v>2023</x:v>
      </x:c>
      <x:c r="L178" s="14" t="str">
        <x:v>Not inherited</x:v>
      </x:c>
      <x:c r="M178" s="15" t="n">
        <x:v>93</x:v>
      </x:c>
      <x:c r="N178" s="14" t="str">
        <x:v>Vincent Higgins</x:v>
      </x:c>
      <x:c r="O178" s="14" t="str">
        <x:v>nm1380296</x:v>
      </x:c>
      <x:c r="P178" s="14" t="str">
        <x:v>Bobby</x:v>
      </x:c>
      <x:c r="Q178" s="15" t="n">
        <x:v>1</x:v>
      </x:c>
      <x:c r="R178" s="14" t="str">
        <x:v>2025</x:v>
      </x:c>
      <x:c r="S178" s="14" t="n">
        <x:v>2025</x:v>
      </x:c>
      <x:c r="T178" s="14" t="n">
        <x:v>2025</x:v>
      </x:c>
      <x:c r="U178" s="14" t="str">
        <x:v>Explicit source first year retained</x:v>
      </x:c>
      <x:c r="V178" s="14" t="str">
        <x:v>Earliest supplied year is 2025.</x:v>
      </x:c>
      <x:c r="W178" s="14"/>
      <x:c r="X178" s="14" t="str">
        <x:v>Included</x:v>
      </x:c>
      <x:c r="Y178" s="14"/>
      <x:c r="Z178" s="14" t="str">
        <x:v>Blue Lights.docx</x:v>
      </x:c>
      <x:c r="AA178" s="14" t="str">
        <x:v>HYPERLINK is not implemented. linkLocation=https://www.imdb.com/title/tt14466018/fullcredits/,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BBC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HYPERLINK("https://en.wikipedia.org/wiki/Blue_Light","Open source")</x:f>
        <x:v>HYPERLINK is not implemented. linkLocation=https://en.wikipedia.org/wiki/Blue_Light, friendlyName=Open source</x:v>
      </x:c>
      <x:c r="AN178" s="14" t="str">
        <x:v>BBC public-service commission</x:v>
      </x:c>
      <x:c r="AO178" s="14" t="str">
        <x:v>Yes</x:v>
      </x:c>
      <x:c r="AP178" s="14" t="str">
        <x:v>Direct BBC public-service scope</x:v>
      </x:c>
      <x:c r="AQ178" s="14" t="str">
        <x:v>Yes</x:v>
      </x:c>
      <x:c r="AR178" s="14" t="str">
        <x:v>Resolved from master register</x:v>
      </x:c>
      <x:c r="AS178" s="14" t="str">
        <x:v>No established-register match</x:v>
      </x:c>
      <x:c r="AT178" s="14"/>
      <x:c r="AU178" s="14"/>
      <x:c r="AV178" s="14" t="str">
        <x:v>No established apparent-disability match</x:v>
      </x:c>
      <x:c r="AW178" s="14"/>
      <x:c r="AX178" s="14" t="str">
        <x:v>No</x:v>
      </x:c>
      <x:c r="AY178" s="14" t="str">
        <x:v>Unmatched</x:v>
      </x:c>
      <x:c r="AZ178" s="14" t="str">
        <x:v>Final supplied register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19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0.05263157894736842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4" t="str">
        <x:v>HYPERLINK is not implemented. linkLocation=https://www.imdb.com/title/tt14466018/fullcredits/,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tt14466018|nm17423596|ciaran o'boyle</x:v>
      </x:c>
      <x:c r="B179" s="14" t="str">
        <x:v>01</x:v>
      </x:c>
      <x:c r="C179" s="14" t="str">
        <x:v>2023_IMDb_Cast_Lists_Batch_01(2).xlsx</x:v>
      </x:c>
      <x:c r="D179" s="14" t="str">
        <x:v>Blue Lights</x:v>
      </x:c>
      <x:c r="E179" s="14" t="n">
        <x:v>103</x:v>
      </x:c>
      <x:c r="F179" s="14" t="str">
        <x:v>Blue Lights</x:v>
      </x:c>
      <x:c r="G179" s="14" t="str">
        <x:v>tt14466018</x:v>
      </x:c>
      <x:c r="H179" s="14" t="n">
        <x:v>2023</x:v>
      </x:c>
      <x:c r="I179" s="14" t="n">
        <x:v>2025</x:v>
      </x:c>
      <x:c r="J179" s="14" t="str">
        <x:v>Earlier-Production Carry-In Cohort</x:v>
      </x:c>
      <x:c r="K179" s="14" t="n">
        <x:v>2023</x:v>
      </x:c>
      <x:c r="L179" s="14" t="str">
        <x:v>Not inherited</x:v>
      </x:c>
      <x:c r="M179" s="15" t="n">
        <x:v>96</x:v>
      </x:c>
      <x:c r="N179" s="14" t="str">
        <x:v>Paul Storrs</x:v>
      </x:c>
      <x:c r="O179" s="14" t="str">
        <x:v>nm17423596</x:v>
      </x:c>
      <x:c r="P179" s="14" t="str">
        <x:v>Ciaran O'Boyle</x:v>
      </x:c>
      <x:c r="Q179" s="15" t="n">
        <x:v>1</x:v>
      </x:c>
      <x:c r="R179" s="14" t="str">
        <x:v>2025</x:v>
      </x:c>
      <x:c r="S179" s="14" t="n">
        <x:v>2025</x:v>
      </x:c>
      <x:c r="T179" s="14" t="n">
        <x:v>2025</x:v>
      </x:c>
      <x:c r="U179" s="14" t="str">
        <x:v>Explicit source first year retained</x:v>
      </x:c>
      <x:c r="V179" s="14" t="str">
        <x:v>Earliest supplied year is 2025.</x:v>
      </x:c>
      <x:c r="W179" s="14"/>
      <x:c r="X179" s="14" t="str">
        <x:v>Included</x:v>
      </x:c>
      <x:c r="Y179" s="14"/>
      <x:c r="Z179" s="14" t="str">
        <x:v>Blue Lights.docx</x:v>
      </x:c>
      <x:c r="AA179" s="14" t="str">
        <x:v>HYPERLINK is not implemented. linkLocation=https://www.imdb.com/title/tt14466018/fullcredits/,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BBC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HYPERLINK("https://en.wikipedia.org/wiki/Blue_Light","Open source")</x:f>
        <x:v>HYPERLINK is not implemented. linkLocation=https://en.wikipedia.org/wiki/Blue_Light, friendlyName=Open source</x:v>
      </x:c>
      <x:c r="AN179" s="14" t="str">
        <x:v>BBC public-service commission</x:v>
      </x:c>
      <x:c r="AO179" s="14" t="str">
        <x:v>Yes</x:v>
      </x:c>
      <x:c r="AP179" s="14" t="str">
        <x:v>Direct BBC public-service scope</x:v>
      </x:c>
      <x:c r="AQ179" s="14" t="str">
        <x:v>Yes</x:v>
      </x:c>
      <x:c r="AR179" s="14" t="str">
        <x:v>Resolved from master register</x:v>
      </x:c>
      <x:c r="AS179" s="14" t="str">
        <x:v>No established-register match</x:v>
      </x:c>
      <x:c r="AT179" s="14"/>
      <x:c r="AU179" s="14"/>
      <x:c r="AV179" s="14" t="str">
        <x:v>No established apparent-disability match</x:v>
      </x:c>
      <x:c r="AW179" s="14"/>
      <x:c r="AX179" s="14" t="str">
        <x:v>No</x:v>
      </x:c>
      <x:c r="AY179" s="14" t="str">
        <x:v>Unmatched</x:v>
      </x:c>
      <x:c r="AZ179" s="14" t="str">
        <x:v>Final supplied register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19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0.05263157894736842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4" t="str">
        <x:v>HYPERLINK is not implemented. linkLocation=https://www.imdb.com/title/tt14466018/fullcredits/,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tt14466018|nm3671126|richmond</x:v>
      </x:c>
      <x:c r="B180" s="14" t="str">
        <x:v>01</x:v>
      </x:c>
      <x:c r="C180" s="14" t="str">
        <x:v>2023_IMDb_Cast_Lists_Batch_01(2).xlsx</x:v>
      </x:c>
      <x:c r="D180" s="14" t="str">
        <x:v>Blue Lights</x:v>
      </x:c>
      <x:c r="E180" s="14" t="n">
        <x:v>104</x:v>
      </x:c>
      <x:c r="F180" s="14" t="str">
        <x:v>Blue Lights</x:v>
      </x:c>
      <x:c r="G180" s="14" t="str">
        <x:v>tt14466018</x:v>
      </x:c>
      <x:c r="H180" s="14" t="n">
        <x:v>2023</x:v>
      </x:c>
      <x:c r="I180" s="14" t="n">
        <x:v>2025</x:v>
      </x:c>
      <x:c r="J180" s="14" t="str">
        <x:v>Earlier-Production Carry-In Cohort</x:v>
      </x:c>
      <x:c r="K180" s="14" t="n">
        <x:v>2023</x:v>
      </x:c>
      <x:c r="L180" s="14" t="str">
        <x:v>Not inherited</x:v>
      </x:c>
      <x:c r="M180" s="15" t="n">
        <x:v>97</x:v>
      </x:c>
      <x:c r="N180" s="14" t="str">
        <x:v>Peter Mitchell</x:v>
      </x:c>
      <x:c r="O180" s="14" t="str">
        <x:v>nm3671126</x:v>
      </x:c>
      <x:c r="P180" s="14" t="str">
        <x:v>Richmond</x:v>
      </x:c>
      <x:c r="Q180" s="15" t="n">
        <x:v>1</x:v>
      </x:c>
      <x:c r="R180" s="14" t="str">
        <x:v>2025</x:v>
      </x:c>
      <x:c r="S180" s="14" t="n">
        <x:v>2025</x:v>
      </x:c>
      <x:c r="T180" s="14" t="n">
        <x:v>2025</x:v>
      </x:c>
      <x:c r="U180" s="14" t="str">
        <x:v>Explicit source first year retained</x:v>
      </x:c>
      <x:c r="V180" s="14" t="str">
        <x:v>Earliest supplied year is 2025.</x:v>
      </x:c>
      <x:c r="W180" s="14"/>
      <x:c r="X180" s="14" t="str">
        <x:v>Included</x:v>
      </x:c>
      <x:c r="Y180" s="14"/>
      <x:c r="Z180" s="14" t="str">
        <x:v>Blue Lights.docx</x:v>
      </x:c>
      <x:c r="AA180" s="14" t="str">
        <x:v>HYPERLINK is not implemented. linkLocation=https://www.imdb.com/title/tt14466018/fullcredits/, friendlyName=Open source</x:v>
      </x:c>
      <x:c r="AB180" s="14" t="str">
        <x:v>Existing established-register match</x:v>
      </x:c>
      <x:c r="AC180" s="14" t="str">
        <x:v>Wheelchair user | Physical disability</x:v>
      </x:c>
      <x:c r="AD180" s="14" t="str">
        <x:v>Existing register classification: Wheelchair user | Physical disability</x:v>
      </x:c>
      <x:c r="AE180" s="14" t="str">
        <x:v>Established_Disability_Category_Register V1.2.xlsx</x:v>
      </x:c>
      <x:c r="AF180" s="14"/>
      <x:c r="AG180" s="14" t="str">
        <x:v>Established user-supplied classification retained for deduplication; evidence was not re-researched in this batch.</x:v>
      </x:c>
      <x:c r="AH180" s="14" t="str">
        <x:v>BBC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HYPERLINK("https://en.wikipedia.org/wiki/Blue_Light","Open source")</x:f>
        <x:v>HYPERLINK is not implemented. linkLocation=https://en.wikipedia.org/wiki/Blue_Light, friendlyName=Open source</x:v>
      </x:c>
      <x:c r="AN180" s="14" t="str">
        <x:v>BBC public-service commission</x:v>
      </x:c>
      <x:c r="AO180" s="14" t="str">
        <x:v>Yes</x:v>
      </x:c>
      <x:c r="AP180" s="14" t="str">
        <x:v>Direct BBC public-service scope</x:v>
      </x:c>
      <x:c r="AQ180" s="14" t="str">
        <x:v>Yes</x:v>
      </x:c>
      <x:c r="AR180" s="14" t="str">
        <x:v>Resolved from master register</x:v>
      </x:c>
      <x:c r="AS180" s="14" t="str">
        <x:v>Exact IMDb performer ID match</x:v>
      </x:c>
      <x:c r="AT180" s="14" t="str">
        <x:v>nm3671126</x:v>
      </x:c>
      <x:c r="AU180" s="14" t="str">
        <x:v>Wheelchair user | Physical disability</x:v>
      </x:c>
      <x:c r="AV180" s="14" t="str">
        <x:v>Yes</x:v>
      </x:c>
      <x:c r="AW180" s="14" t="str">
        <x:v>Wheelchair user | Physical disability</x:v>
      </x:c>
      <x:c r="AX180" s="14" t="str">
        <x:v>No</x:v>
      </x:c>
      <x:c r="AY180" s="14" t="str">
        <x:v>Matched</x:v>
      </x:c>
      <x:c r="AZ180" s="14" t="str">
        <x:v>Final supplied register</x:v>
      </x:c>
      <x:c r="BA180" s="14"/>
      <x:c r="BB180" s="14" t="str">
        <x:v>Exact IMDb performer ID match</x:v>
      </x:c>
      <x:c r="BC180" s="14" t="str">
        <x:v>nm3671126</x:v>
      </x:c>
      <x:c r="BD180" s="14" t="str">
        <x:v>Peter Mitchell</x:v>
      </x:c>
      <x:c r="BE180" s="14" t="str">
        <x:v>Wheelchair user | Physical disability</x:v>
      </x:c>
      <x:c r="BF180" s="14" t="str">
        <x:v>Yes</x:v>
      </x:c>
      <x:c r="BG180" s="14" t="str">
        <x:v>Wheelchair user | Physical disability</x:v>
      </x:c>
      <x:c r="BH180" s="14" t="str">
        <x:v>No</x:v>
      </x:c>
      <x:c r="BI180" s="14" t="str">
        <x:v>User-supplied established classification</x:v>
      </x:c>
      <x:c r="BJ180" s="14" t="str">
        <x:v>03_Wheelchair_user.csv | 04_Physical_disability.csv</x:v>
      </x:c>
      <x:c r="BK180" s="14"/>
      <x:c r="BL180" s="14" t="str">
        <x:v>Matched</x:v>
      </x:c>
      <x:c r="BM180" s="14" t="str">
        <x:v>Final supplied register</x:v>
      </x:c>
      <x:c r="BN180" s="14"/>
      <x:c r="BO180" s="14" t="n">
        <x:v>19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0.05263157894736842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4" t="str">
        <x:v>HYPERLINK is not implemented. linkLocation=https://www.imdb.com/title/tt14466018/fullcredits/,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tt14466018|nm3296429|pete maginn</x:v>
      </x:c>
      <x:c r="B181" s="14" t="str">
        <x:v>01</x:v>
      </x:c>
      <x:c r="C181" s="14" t="str">
        <x:v>2023_IMDb_Cast_Lists_Batch_01(2).xlsx</x:v>
      </x:c>
      <x:c r="D181" s="14" t="str">
        <x:v>Blue Lights</x:v>
      </x:c>
      <x:c r="E181" s="14" t="n">
        <x:v>105</x:v>
      </x:c>
      <x:c r="F181" s="14" t="str">
        <x:v>Blue Lights</x:v>
      </x:c>
      <x:c r="G181" s="14" t="str">
        <x:v>tt14466018</x:v>
      </x:c>
      <x:c r="H181" s="14" t="n">
        <x:v>2023</x:v>
      </x:c>
      <x:c r="I181" s="14" t="n">
        <x:v>2025</x:v>
      </x:c>
      <x:c r="J181" s="14" t="str">
        <x:v>Earlier-Production Carry-In Cohort</x:v>
      </x:c>
      <x:c r="K181" s="14" t="n">
        <x:v>2023</x:v>
      </x:c>
      <x:c r="L181" s="14" t="str">
        <x:v>Not inherited</x:v>
      </x:c>
      <x:c r="M181" s="15" t="n">
        <x:v>98</x:v>
      </x:c>
      <x:c r="N181" s="14" t="str">
        <x:v>Stephen Kelly</x:v>
      </x:c>
      <x:c r="O181" s="14" t="str">
        <x:v>nm3296429</x:v>
      </x:c>
      <x:c r="P181" s="14" t="str">
        <x:v>Pete Maginn</x:v>
      </x:c>
      <x:c r="Q181" s="15" t="n">
        <x:v>1</x:v>
      </x:c>
      <x:c r="R181" s="14" t="str">
        <x:v>2025</x:v>
      </x:c>
      <x:c r="S181" s="14" t="n">
        <x:v>2025</x:v>
      </x:c>
      <x:c r="T181" s="14" t="n">
        <x:v>2025</x:v>
      </x:c>
      <x:c r="U181" s="14" t="str">
        <x:v>Explicit source first year retained</x:v>
      </x:c>
      <x:c r="V181" s="14" t="str">
        <x:v>Earliest supplied year is 2025.</x:v>
      </x:c>
      <x:c r="W181" s="14"/>
      <x:c r="X181" s="14" t="str">
        <x:v>Included</x:v>
      </x:c>
      <x:c r="Y181" s="14"/>
      <x:c r="Z181" s="14" t="str">
        <x:v>Blue Lights.docx</x:v>
      </x:c>
      <x:c r="AA181" s="14" t="str">
        <x:v>HYPERLINK is not implemented. linkLocation=https://www.imdb.com/title/tt14466018/fullcredits/,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BBC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HYPERLINK("https://en.wikipedia.org/wiki/Blue_Light","Open source")</x:f>
        <x:v>HYPERLINK is not implemented. linkLocation=https://en.wikipedia.org/wiki/Blue_Light, friendlyName=Open source</x:v>
      </x:c>
      <x:c r="AN181" s="14" t="str">
        <x:v>BBC public-service commission</x:v>
      </x:c>
      <x:c r="AO181" s="14" t="str">
        <x:v>Yes</x:v>
      </x:c>
      <x:c r="AP181" s="14" t="str">
        <x:v>Direct BBC public-service scope</x:v>
      </x:c>
      <x:c r="AQ181" s="14" t="str">
        <x:v>Yes</x:v>
      </x:c>
      <x:c r="AR181" s="14" t="str">
        <x:v>Resolved from master register</x:v>
      </x:c>
      <x:c r="AS181" s="14" t="str">
        <x:v>No established-register match</x:v>
      </x:c>
      <x:c r="AT181" s="14"/>
      <x:c r="AU181" s="14"/>
      <x:c r="AV181" s="14" t="str">
        <x:v>No established apparent-disability match</x:v>
      </x:c>
      <x:c r="AW181" s="14"/>
      <x:c r="AX181" s="14" t="str">
        <x:v>No</x:v>
      </x:c>
      <x:c r="AY181" s="14" t="str">
        <x:v>Unmatched</x:v>
      </x:c>
      <x:c r="AZ181" s="14" t="str">
        <x:v>Final supplied register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19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0.05263157894736842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4" t="str">
        <x:v>HYPERLINK is not implemented. linkLocation=https://www.imdb.com/title/tt14466018/fullcredits/,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tt14466018|nm14809577|kenny</x:v>
      </x:c>
      <x:c r="B182" s="14" t="str">
        <x:v>01</x:v>
      </x:c>
      <x:c r="C182" s="14" t="str">
        <x:v>2023_IMDb_Cast_Lists_Batch_01(2).xlsx</x:v>
      </x:c>
      <x:c r="D182" s="14" t="str">
        <x:v>Blue Lights</x:v>
      </x:c>
      <x:c r="E182" s="14" t="n">
        <x:v>107</x:v>
      </x:c>
      <x:c r="F182" s="14" t="str">
        <x:v>Blue Lights</x:v>
      </x:c>
      <x:c r="G182" s="14" t="str">
        <x:v>tt14466018</x:v>
      </x:c>
      <x:c r="H182" s="14" t="n">
        <x:v>2023</x:v>
      </x:c>
      <x:c r="I182" s="14" t="n">
        <x:v>2025</x:v>
      </x:c>
      <x:c r="J182" s="14" t="str">
        <x:v>Earlier-Production Carry-In Cohort</x:v>
      </x:c>
      <x:c r="K182" s="14" t="n">
        <x:v>2023</x:v>
      </x:c>
      <x:c r="L182" s="14" t="str">
        <x:v>Not inherited</x:v>
      </x:c>
      <x:c r="M182" s="15" t="n">
        <x:v>100</x:v>
      </x:c>
      <x:c r="N182" s="14" t="str">
        <x:v>Adam Murphy</x:v>
      </x:c>
      <x:c r="O182" s="14" t="str">
        <x:v>nm14809577</x:v>
      </x:c>
      <x:c r="P182" s="14" t="str">
        <x:v>Kenny</x:v>
      </x:c>
      <x:c r="Q182" s="15" t="n">
        <x:v>1</x:v>
      </x:c>
      <x:c r="R182" s="14" t="str">
        <x:v>2025</x:v>
      </x:c>
      <x:c r="S182" s="14" t="n">
        <x:v>2025</x:v>
      </x:c>
      <x:c r="T182" s="14" t="n">
        <x:v>2025</x:v>
      </x:c>
      <x:c r="U182" s="14" t="str">
        <x:v>Explicit source first year retained</x:v>
      </x:c>
      <x:c r="V182" s="14" t="str">
        <x:v>Earliest supplied year is 2025.</x:v>
      </x:c>
      <x:c r="W182" s="14"/>
      <x:c r="X182" s="14" t="str">
        <x:v>Included</x:v>
      </x:c>
      <x:c r="Y182" s="14"/>
      <x:c r="Z182" s="14" t="str">
        <x:v>Blue Lights.docx</x:v>
      </x:c>
      <x:c r="AA182" s="14" t="str">
        <x:v>HYPERLINK is not implemented. linkLocation=https://www.imdb.com/title/tt14466018/fullcredits/,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BBC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HYPERLINK("https://en.wikipedia.org/wiki/Blue_Light","Open source")</x:f>
        <x:v>HYPERLINK is not implemented. linkLocation=https://en.wikipedia.org/wiki/Blue_Light, friendlyName=Open source</x:v>
      </x:c>
      <x:c r="AN182" s="14" t="str">
        <x:v>BBC public-service commission</x:v>
      </x:c>
      <x:c r="AO182" s="14" t="str">
        <x:v>Yes</x:v>
      </x:c>
      <x:c r="AP182" s="14" t="str">
        <x:v>Direct BBC public-service scope</x:v>
      </x:c>
      <x:c r="AQ182" s="14" t="str">
        <x:v>Yes</x:v>
      </x:c>
      <x:c r="AR182" s="14" t="str">
        <x:v>Resolved from master register</x:v>
      </x:c>
      <x:c r="AS182" s="14" t="str">
        <x:v>No established-register match</x:v>
      </x:c>
      <x:c r="AT182" s="14"/>
      <x:c r="AU182" s="14"/>
      <x:c r="AV182" s="14" t="str">
        <x:v>No established apparent-disability match</x:v>
      </x:c>
      <x:c r="AW182" s="14"/>
      <x:c r="AX182" s="14" t="str">
        <x:v>No</x:v>
      </x:c>
      <x:c r="AY182" s="14" t="str">
        <x:v>Unmatched</x:v>
      </x:c>
      <x:c r="AZ182" s="14" t="str">
        <x:v>Final supplied register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19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0.05263157894736842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4" t="str">
        <x:v>HYPERLINK is not implemented. linkLocation=https://www.imdb.com/title/tt14466018/fullcredits/,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tt14466018|nm7965844|sammi bei</x:v>
      </x:c>
      <x:c r="B183" s="14" t="str">
        <x:v>01</x:v>
      </x:c>
      <x:c r="C183" s="14" t="str">
        <x:v>2023_IMDb_Cast_Lists_Batch_01(2).xlsx</x:v>
      </x:c>
      <x:c r="D183" s="14" t="str">
        <x:v>Blue Lights</x:v>
      </x:c>
      <x:c r="E183" s="14" t="n">
        <x:v>116</x:v>
      </x:c>
      <x:c r="F183" s="14" t="str">
        <x:v>Blue Lights</x:v>
      </x:c>
      <x:c r="G183" s="14" t="str">
        <x:v>tt14466018</x:v>
      </x:c>
      <x:c r="H183" s="14" t="n">
        <x:v>2023</x:v>
      </x:c>
      <x:c r="I183" s="14" t="n">
        <x:v>2025</x:v>
      </x:c>
      <x:c r="J183" s="14" t="str">
        <x:v>Earlier-Production Carry-In Cohort</x:v>
      </x:c>
      <x:c r="K183" s="14" t="n">
        <x:v>2023</x:v>
      </x:c>
      <x:c r="L183" s="14" t="str">
        <x:v>Not inherited</x:v>
      </x:c>
      <x:c r="M183" s="15" t="n">
        <x:v>109</x:v>
      </x:c>
      <x:c r="N183" s="14" t="str">
        <x:v>Mei Mac</x:v>
      </x:c>
      <x:c r="O183" s="14" t="str">
        <x:v>nm7965844</x:v>
      </x:c>
      <x:c r="P183" s="14" t="str">
        <x:v>Sammi Bei</x:v>
      </x:c>
      <x:c r="Q183" s="15" t="n">
        <x:v>1</x:v>
      </x:c>
      <x:c r="R183" s="14" t="str">
        <x:v>2025</x:v>
      </x:c>
      <x:c r="S183" s="14" t="n">
        <x:v>2025</x:v>
      </x:c>
      <x:c r="T183" s="14" t="n">
        <x:v>2025</x:v>
      </x:c>
      <x:c r="U183" s="14" t="str">
        <x:v>Explicit source first year retained</x:v>
      </x:c>
      <x:c r="V183" s="14" t="str">
        <x:v>Earliest supplied year is 2025.</x:v>
      </x:c>
      <x:c r="W183" s="14"/>
      <x:c r="X183" s="14" t="str">
        <x:v>Included</x:v>
      </x:c>
      <x:c r="Y183" s="14"/>
      <x:c r="Z183" s="14" t="str">
        <x:v>Blue Lights.docx</x:v>
      </x:c>
      <x:c r="AA183" s="14" t="str">
        <x:v>HYPERLINK is not implemented. linkLocation=https://www.imdb.com/title/tt14466018/fullcredits/,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BBC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HYPERLINK("https://en.wikipedia.org/wiki/Blue_Light","Open source")</x:f>
        <x:v>HYPERLINK is not implemented. linkLocation=https://en.wikipedia.org/wiki/Blue_Light, friendlyName=Open source</x:v>
      </x:c>
      <x:c r="AN183" s="14" t="str">
        <x:v>BBC public-service commission</x:v>
      </x:c>
      <x:c r="AO183" s="14" t="str">
        <x:v>Yes</x:v>
      </x:c>
      <x:c r="AP183" s="14" t="str">
        <x:v>Direct BBC public-service scope</x:v>
      </x:c>
      <x:c r="AQ183" s="14" t="str">
        <x:v>Yes</x:v>
      </x:c>
      <x:c r="AR183" s="14" t="str">
        <x:v>Resolved from master register</x:v>
      </x:c>
      <x:c r="AS183" s="14" t="str">
        <x:v>No established-register match</x:v>
      </x:c>
      <x:c r="AT183" s="14"/>
      <x:c r="AU183" s="14"/>
      <x:c r="AV183" s="14" t="str">
        <x:v>No established apparent-disability match</x:v>
      </x:c>
      <x:c r="AW183" s="14"/>
      <x:c r="AX183" s="14" t="str">
        <x:v>No</x:v>
      </x:c>
      <x:c r="AY183" s="14" t="str">
        <x:v>Unmatched</x:v>
      </x:c>
      <x:c r="AZ183" s="14" t="str">
        <x:v>Final supplied register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19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0.05263157894736842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4" t="str">
        <x:v>HYPERLINK is not implemented. linkLocation=https://www.imdb.com/title/tt14466018/fullcredits/,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tt14466018|nm7220172|ro</x:v>
      </x:c>
      <x:c r="B184" s="14" t="str">
        <x:v>01</x:v>
      </x:c>
      <x:c r="C184" s="14" t="str">
        <x:v>2023_IMDb_Cast_Lists_Batch_01(2).xlsx</x:v>
      </x:c>
      <x:c r="D184" s="14" t="str">
        <x:v>Blue Lights</x:v>
      </x:c>
      <x:c r="E184" s="14" t="n">
        <x:v>117</x:v>
      </x:c>
      <x:c r="F184" s="14" t="str">
        <x:v>Blue Lights</x:v>
      </x:c>
      <x:c r="G184" s="14" t="str">
        <x:v>tt14466018</x:v>
      </x:c>
      <x:c r="H184" s="14" t="n">
        <x:v>2023</x:v>
      </x:c>
      <x:c r="I184" s="14" t="n">
        <x:v>2025</x:v>
      </x:c>
      <x:c r="J184" s="14" t="str">
        <x:v>Earlier-Production Carry-In Cohort</x:v>
      </x:c>
      <x:c r="K184" s="14" t="n">
        <x:v>2023</x:v>
      </x:c>
      <x:c r="L184" s="14" t="str">
        <x:v>Not inherited</x:v>
      </x:c>
      <x:c r="M184" s="15" t="n">
        <x:v>110</x:v>
      </x:c>
      <x:c r="N184" s="14" t="str">
        <x:v>Mary O'Loan</x:v>
      </x:c>
      <x:c r="O184" s="14" t="str">
        <x:v>nm7220172</x:v>
      </x:c>
      <x:c r="P184" s="14" t="str">
        <x:v>Ro</x:v>
      </x:c>
      <x:c r="Q184" s="15" t="n">
        <x:v>1</x:v>
      </x:c>
      <x:c r="R184" s="14" t="str">
        <x:v>2025</x:v>
      </x:c>
      <x:c r="S184" s="14" t="n">
        <x:v>2025</x:v>
      </x:c>
      <x:c r="T184" s="14" t="n">
        <x:v>2025</x:v>
      </x:c>
      <x:c r="U184" s="14" t="str">
        <x:v>Explicit source first year retained</x:v>
      </x:c>
      <x:c r="V184" s="14" t="str">
        <x:v>Earliest supplied year is 2025.</x:v>
      </x:c>
      <x:c r="W184" s="14"/>
      <x:c r="X184" s="14" t="str">
        <x:v>Included</x:v>
      </x:c>
      <x:c r="Y184" s="14"/>
      <x:c r="Z184" s="14" t="str">
        <x:v>Blue Lights.docx</x:v>
      </x:c>
      <x:c r="AA184" s="14" t="str">
        <x:v>HYPERLINK is not implemented. linkLocation=https://www.imdb.com/title/tt14466018/fullcredits/,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BBC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HYPERLINK("https://en.wikipedia.org/wiki/Blue_Light","Open source")</x:f>
        <x:v>HYPERLINK is not implemented. linkLocation=https://en.wikipedia.org/wiki/Blue_Light, friendlyName=Open source</x:v>
      </x:c>
      <x:c r="AN184" s="14" t="str">
        <x:v>BBC public-service commission</x:v>
      </x:c>
      <x:c r="AO184" s="14" t="str">
        <x:v>Yes</x:v>
      </x:c>
      <x:c r="AP184" s="14" t="str">
        <x:v>Direct BBC public-service scope</x:v>
      </x:c>
      <x:c r="AQ184" s="14" t="str">
        <x:v>Yes</x:v>
      </x:c>
      <x:c r="AR184" s="14" t="str">
        <x:v>Resolved from master register</x:v>
      </x:c>
      <x:c r="AS184" s="14" t="str">
        <x:v>No established-register match</x:v>
      </x:c>
      <x:c r="AT184" s="14"/>
      <x:c r="AU184" s="14"/>
      <x:c r="AV184" s="14" t="str">
        <x:v>No established apparent-disability match</x:v>
      </x:c>
      <x:c r="AW184" s="14"/>
      <x:c r="AX184" s="14" t="str">
        <x:v>No</x:v>
      </x:c>
      <x:c r="AY184" s="14" t="str">
        <x:v>Unmatched</x:v>
      </x:c>
      <x:c r="AZ184" s="14" t="str">
        <x:v>Final supplied register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19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0.05263157894736842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4" t="str">
        <x:v>HYPERLINK is not implemented. linkLocation=https://www.imdb.com/title/tt14466018/fullcredits/,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tt14466018|nm0510180|raymie</x:v>
      </x:c>
      <x:c r="B185" s="14" t="str">
        <x:v>01</x:v>
      </x:c>
      <x:c r="C185" s="14" t="str">
        <x:v>2023_IMDb_Cast_Lists_Batch_01(2).xlsx</x:v>
      </x:c>
      <x:c r="D185" s="14" t="str">
        <x:v>Blue Lights</x:v>
      </x:c>
      <x:c r="E185" s="14" t="n">
        <x:v>122</x:v>
      </x:c>
      <x:c r="F185" s="14" t="str">
        <x:v>Blue Lights</x:v>
      </x:c>
      <x:c r="G185" s="14" t="str">
        <x:v>tt14466018</x:v>
      </x:c>
      <x:c r="H185" s="14" t="n">
        <x:v>2023</x:v>
      </x:c>
      <x:c r="I185" s="14" t="n">
        <x:v>2025</x:v>
      </x:c>
      <x:c r="J185" s="14" t="str">
        <x:v>Earlier-Production Carry-In Cohort</x:v>
      </x:c>
      <x:c r="K185" s="14" t="n">
        <x:v>2023</x:v>
      </x:c>
      <x:c r="L185" s="14" t="str">
        <x:v>Not inherited</x:v>
      </x:c>
      <x:c r="M185" s="15" t="n">
        <x:v>115</x:v>
      </x:c>
      <x:c r="N185" s="14" t="str">
        <x:v>Gary Lilburn</x:v>
      </x:c>
      <x:c r="O185" s="14" t="str">
        <x:v>nm0510180</x:v>
      </x:c>
      <x:c r="P185" s="14" t="str">
        <x:v>Raymie</x:v>
      </x:c>
      <x:c r="Q185" s="15" t="n">
        <x:v>1</x:v>
      </x:c>
      <x:c r="R185" s="14" t="str">
        <x:v>2025</x:v>
      </x:c>
      <x:c r="S185" s="14" t="n">
        <x:v>2025</x:v>
      </x:c>
      <x:c r="T185" s="14" t="n">
        <x:v>2025</x:v>
      </x:c>
      <x:c r="U185" s="14" t="str">
        <x:v>Explicit source first year retained</x:v>
      </x:c>
      <x:c r="V185" s="14" t="str">
        <x:v>Earliest supplied year is 2025.</x:v>
      </x:c>
      <x:c r="W185" s="14"/>
      <x:c r="X185" s="14" t="str">
        <x:v>Included</x:v>
      </x:c>
      <x:c r="Y185" s="14"/>
      <x:c r="Z185" s="14" t="str">
        <x:v>Blue Lights.docx</x:v>
      </x:c>
      <x:c r="AA185" s="14" t="str">
        <x:v>HYPERLINK is not implemented. linkLocation=https://www.imdb.com/title/tt14466018/fullcredits/,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BBC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HYPERLINK("https://en.wikipedia.org/wiki/Blue_Light","Open source")</x:f>
        <x:v>HYPERLINK is not implemented. linkLocation=https://en.wikipedia.org/wiki/Blue_Light, friendlyName=Open source</x:v>
      </x:c>
      <x:c r="AN185" s="14" t="str">
        <x:v>BBC public-service commission</x:v>
      </x:c>
      <x:c r="AO185" s="14" t="str">
        <x:v>Yes</x:v>
      </x:c>
      <x:c r="AP185" s="14" t="str">
        <x:v>Direct BBC public-service scope</x:v>
      </x:c>
      <x:c r="AQ185" s="14" t="str">
        <x:v>Yes</x:v>
      </x:c>
      <x:c r="AR185" s="14" t="str">
        <x:v>Resolved from master register</x:v>
      </x:c>
      <x:c r="AS185" s="14" t="str">
        <x:v>No established-register match</x:v>
      </x:c>
      <x:c r="AT185" s="14"/>
      <x:c r="AU185" s="14"/>
      <x:c r="AV185" s="14" t="str">
        <x:v>No established apparent-disability match</x:v>
      </x:c>
      <x:c r="AW185" s="14"/>
      <x:c r="AX185" s="14" t="str">
        <x:v>No</x:v>
      </x:c>
      <x:c r="AY185" s="14" t="str">
        <x:v>Unmatched</x:v>
      </x:c>
      <x:c r="AZ185" s="14" t="str">
        <x:v>Final supplied register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19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0.05263157894736842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4" t="str">
        <x:v>HYPERLINK is not implemented. linkLocation=https://www.imdb.com/title/tt14466018/fullcredits/,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tt14466018|nm1944242|gavin bunting</x:v>
      </x:c>
      <x:c r="B186" s="14" t="str">
        <x:v>01</x:v>
      </x:c>
      <x:c r="C186" s="14" t="str">
        <x:v>2023_IMDb_Cast_Lists_Batch_01(2).xlsx</x:v>
      </x:c>
      <x:c r="D186" s="14" t="str">
        <x:v>Blue Lights</x:v>
      </x:c>
      <x:c r="E186" s="14" t="n">
        <x:v>123</x:v>
      </x:c>
      <x:c r="F186" s="14" t="str">
        <x:v>Blue Lights</x:v>
      </x:c>
      <x:c r="G186" s="14" t="str">
        <x:v>tt14466018</x:v>
      </x:c>
      <x:c r="H186" s="14" t="n">
        <x:v>2023</x:v>
      </x:c>
      <x:c r="I186" s="14" t="n">
        <x:v>2025</x:v>
      </x:c>
      <x:c r="J186" s="14" t="str">
        <x:v>Earlier-Production Carry-In Cohort</x:v>
      </x:c>
      <x:c r="K186" s="14" t="n">
        <x:v>2023</x:v>
      </x:c>
      <x:c r="L186" s="14" t="str">
        <x:v>Not inherited</x:v>
      </x:c>
      <x:c r="M186" s="15" t="n">
        <x:v>116</x:v>
      </x:c>
      <x:c r="N186" s="14" t="str">
        <x:v>Patrick Buchanan</x:v>
      </x:c>
      <x:c r="O186" s="14" t="str">
        <x:v>nm1944242</x:v>
      </x:c>
      <x:c r="P186" s="14" t="str">
        <x:v>Gavin Bunting</x:v>
      </x:c>
      <x:c r="Q186" s="15" t="n">
        <x:v>1</x:v>
      </x:c>
      <x:c r="R186" s="14" t="str">
        <x:v>2025</x:v>
      </x:c>
      <x:c r="S186" s="14" t="n">
        <x:v>2025</x:v>
      </x:c>
      <x:c r="T186" s="14" t="n">
        <x:v>2025</x:v>
      </x:c>
      <x:c r="U186" s="14" t="str">
        <x:v>Explicit source first year retained</x:v>
      </x:c>
      <x:c r="V186" s="14" t="str">
        <x:v>Earliest supplied year is 2025.</x:v>
      </x:c>
      <x:c r="W186" s="14"/>
      <x:c r="X186" s="14" t="str">
        <x:v>Included</x:v>
      </x:c>
      <x:c r="Y186" s="14"/>
      <x:c r="Z186" s="14" t="str">
        <x:v>Blue Lights.docx</x:v>
      </x:c>
      <x:c r="AA186" s="14" t="str">
        <x:v>HYPERLINK is not implemented. linkLocation=https://www.imdb.com/title/tt14466018/fullcredits/,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BBC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HYPERLINK("https://en.wikipedia.org/wiki/Blue_Light","Open source")</x:f>
        <x:v>HYPERLINK is not implemented. linkLocation=https://en.wikipedia.org/wiki/Blue_Light, friendlyName=Open source</x:v>
      </x:c>
      <x:c r="AN186" s="14" t="str">
        <x:v>BBC public-service commission</x:v>
      </x:c>
      <x:c r="AO186" s="14" t="str">
        <x:v>Yes</x:v>
      </x:c>
      <x:c r="AP186" s="14" t="str">
        <x:v>Direct BBC public-service scope</x:v>
      </x:c>
      <x:c r="AQ186" s="14" t="str">
        <x:v>Yes</x:v>
      </x:c>
      <x:c r="AR186" s="14" t="str">
        <x:v>Resolved from master register</x:v>
      </x:c>
      <x:c r="AS186" s="14" t="str">
        <x:v>No established-register match</x:v>
      </x:c>
      <x:c r="AT186" s="14"/>
      <x:c r="AU186" s="14"/>
      <x:c r="AV186" s="14" t="str">
        <x:v>No established apparent-disability match</x:v>
      </x:c>
      <x:c r="AW186" s="14"/>
      <x:c r="AX186" s="14" t="str">
        <x:v>No</x:v>
      </x:c>
      <x:c r="AY186" s="14" t="str">
        <x:v>Unmatched</x:v>
      </x:c>
      <x:c r="AZ186" s="14" t="str">
        <x:v>Final supplied register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19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0.05263157894736842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4" t="str">
        <x:v>HYPERLINK is not implemented. linkLocation=https://www.imdb.com/title/tt14466018/fullcredits/,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tt14466018|nm10725242|dj at party</x:v>
      </x:c>
      <x:c r="B187" s="14" t="str">
        <x:v>01</x:v>
      </x:c>
      <x:c r="C187" s="14" t="str">
        <x:v>2023_IMDb_Cast_Lists_Batch_01(2).xlsx</x:v>
      </x:c>
      <x:c r="D187" s="14" t="str">
        <x:v>Blue Lights</x:v>
      </x:c>
      <x:c r="E187" s="14" t="n">
        <x:v>124</x:v>
      </x:c>
      <x:c r="F187" s="14" t="str">
        <x:v>Blue Lights</x:v>
      </x:c>
      <x:c r="G187" s="14" t="str">
        <x:v>tt14466018</x:v>
      </x:c>
      <x:c r="H187" s="14" t="n">
        <x:v>2023</x:v>
      </x:c>
      <x:c r="I187" s="14" t="n">
        <x:v>2025</x:v>
      </x:c>
      <x:c r="J187" s="14" t="str">
        <x:v>Earlier-Production Carry-In Cohort</x:v>
      </x:c>
      <x:c r="K187" s="14" t="n">
        <x:v>2023</x:v>
      </x:c>
      <x:c r="L187" s="14" t="str">
        <x:v>Not inherited</x:v>
      </x:c>
      <x:c r="M187" s="15" t="n">
        <x:v>117</x:v>
      </x:c>
      <x:c r="N187" s="14" t="str">
        <x:v>Adam Patterson</x:v>
      </x:c>
      <x:c r="O187" s="14" t="str">
        <x:v>nm10725242</x:v>
      </x:c>
      <x:c r="P187" s="14" t="str">
        <x:v>DJ at Party</x:v>
      </x:c>
      <x:c r="Q187" s="15" t="n">
        <x:v>1</x:v>
      </x:c>
      <x:c r="R187" s="14" t="str">
        <x:v>2025</x:v>
      </x:c>
      <x:c r="S187" s="14" t="n">
        <x:v>2025</x:v>
      </x:c>
      <x:c r="T187" s="14" t="n">
        <x:v>2025</x:v>
      </x:c>
      <x:c r="U187" s="14" t="str">
        <x:v>Explicit source first year retained</x:v>
      </x:c>
      <x:c r="V187" s="14" t="str">
        <x:v>Earliest supplied year is 2025.</x:v>
      </x:c>
      <x:c r="W187" s="14"/>
      <x:c r="X187" s="14" t="str">
        <x:v>Included</x:v>
      </x:c>
      <x:c r="Y187" s="14"/>
      <x:c r="Z187" s="14" t="str">
        <x:v>Blue Lights.docx</x:v>
      </x:c>
      <x:c r="AA187" s="14" t="str">
        <x:v>HYPERLINK is not implemented. linkLocation=https://www.imdb.com/title/tt14466018/fullcredits/,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BBC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HYPERLINK("https://en.wikipedia.org/wiki/Blue_Light","Open source")</x:f>
        <x:v>HYPERLINK is not implemented. linkLocation=https://en.wikipedia.org/wiki/Blue_Light, friendlyName=Open source</x:v>
      </x:c>
      <x:c r="AN187" s="14" t="str">
        <x:v>BBC public-service commission</x:v>
      </x:c>
      <x:c r="AO187" s="14" t="str">
        <x:v>Yes</x:v>
      </x:c>
      <x:c r="AP187" s="14" t="str">
        <x:v>Direct BBC public-service scope</x:v>
      </x:c>
      <x:c r="AQ187" s="14" t="str">
        <x:v>Yes</x:v>
      </x:c>
      <x:c r="AR187" s="14" t="str">
        <x:v>Resolved from master register</x:v>
      </x:c>
      <x:c r="AS187" s="14" t="str">
        <x:v>No established-register match</x:v>
      </x:c>
      <x:c r="AT187" s="14"/>
      <x:c r="AU187" s="14"/>
      <x:c r="AV187" s="14" t="str">
        <x:v>No established apparent-disability match</x:v>
      </x:c>
      <x:c r="AW187" s="14"/>
      <x:c r="AX187" s="14" t="str">
        <x:v>No</x:v>
      </x:c>
      <x:c r="AY187" s="14" t="str">
        <x:v>Unmatched</x:v>
      </x:c>
      <x:c r="AZ187" s="14" t="str">
        <x:v>Final supplied register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19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0.05263157894736842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4" t="str">
        <x:v>HYPERLINK is not implemented. linkLocation=https://www.imdb.com/title/tt14466018/fullcredits/,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tt14466018|nm17727318|olivia bunting</x:v>
      </x:c>
      <x:c r="B188" s="14" t="str">
        <x:v>01</x:v>
      </x:c>
      <x:c r="C188" s="14" t="str">
        <x:v>2023_IMDb_Cast_Lists_Batch_01(2).xlsx</x:v>
      </x:c>
      <x:c r="D188" s="14" t="str">
        <x:v>Blue Lights</x:v>
      </x:c>
      <x:c r="E188" s="14" t="n">
        <x:v>127</x:v>
      </x:c>
      <x:c r="F188" s="14" t="str">
        <x:v>Blue Lights</x:v>
      </x:c>
      <x:c r="G188" s="14" t="str">
        <x:v>tt14466018</x:v>
      </x:c>
      <x:c r="H188" s="14" t="n">
        <x:v>2023</x:v>
      </x:c>
      <x:c r="I188" s="14" t="n">
        <x:v>2025</x:v>
      </x:c>
      <x:c r="J188" s="14" t="str">
        <x:v>Earlier-Production Carry-In Cohort</x:v>
      </x:c>
      <x:c r="K188" s="14" t="n">
        <x:v>2023</x:v>
      </x:c>
      <x:c r="L188" s="14" t="str">
        <x:v>Not inherited</x:v>
      </x:c>
      <x:c r="M188" s="15" t="n">
        <x:v>120</x:v>
      </x:c>
      <x:c r="N188" s="14" t="str">
        <x:v>Charlotte Prentice</x:v>
      </x:c>
      <x:c r="O188" s="14" t="str">
        <x:v>nm17727318</x:v>
      </x:c>
      <x:c r="P188" s="14" t="str">
        <x:v>Olivia Bunting</x:v>
      </x:c>
      <x:c r="Q188" s="15" t="n">
        <x:v>1</x:v>
      </x:c>
      <x:c r="R188" s="14" t="str">
        <x:v>2025</x:v>
      </x:c>
      <x:c r="S188" s="14" t="n">
        <x:v>2025</x:v>
      </x:c>
      <x:c r="T188" s="14" t="n">
        <x:v>2025</x:v>
      </x:c>
      <x:c r="U188" s="14" t="str">
        <x:v>Explicit source first year retained</x:v>
      </x:c>
      <x:c r="V188" s="14" t="str">
        <x:v>Earliest supplied year is 2025.</x:v>
      </x:c>
      <x:c r="W188" s="14"/>
      <x:c r="X188" s="14" t="str">
        <x:v>Included</x:v>
      </x:c>
      <x:c r="Y188" s="14"/>
      <x:c r="Z188" s="14" t="str">
        <x:v>Blue Lights.docx</x:v>
      </x:c>
      <x:c r="AA188" s="14" t="str">
        <x:v>HYPERLINK is not implemented. linkLocation=https://www.imdb.com/title/tt14466018/fullcredits/,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BBC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HYPERLINK("https://en.wikipedia.org/wiki/Blue_Light","Open source")</x:f>
        <x:v>HYPERLINK is not implemented. linkLocation=https://en.wikipedia.org/wiki/Blue_Light, friendlyName=Open source</x:v>
      </x:c>
      <x:c r="AN188" s="14" t="str">
        <x:v>BBC public-service commission</x:v>
      </x:c>
      <x:c r="AO188" s="14" t="str">
        <x:v>Yes</x:v>
      </x:c>
      <x:c r="AP188" s="14" t="str">
        <x:v>Direct BBC public-service scope</x:v>
      </x:c>
      <x:c r="AQ188" s="14" t="str">
        <x:v>Yes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19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1</x:v>
      </x:c>
      <x:c r="BS188" s="16" t="n">
        <x:v>0.05263157894736842</x:v>
      </x:c>
      <x:c r="BT188" s="14" t="str">
        <x:v>One episode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HYPERLINK is not implemented. linkLocation=https://www.imdb.com/title/tt14466018/fullcredits/,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tt14466018|nm2703591|andrea bunting</x:v>
      </x:c>
      <x:c r="B189" s="14" t="str">
        <x:v>01</x:v>
      </x:c>
      <x:c r="C189" s="14" t="str">
        <x:v>2023_IMDb_Cast_Lists_Batch_01(2).xlsx</x:v>
      </x:c>
      <x:c r="D189" s="14" t="str">
        <x:v>Blue Lights</x:v>
      </x:c>
      <x:c r="E189" s="14" t="n">
        <x:v>129</x:v>
      </x:c>
      <x:c r="F189" s="14" t="str">
        <x:v>Blue Lights</x:v>
      </x:c>
      <x:c r="G189" s="14" t="str">
        <x:v>tt14466018</x:v>
      </x:c>
      <x:c r="H189" s="14" t="n">
        <x:v>2023</x:v>
      </x:c>
      <x:c r="I189" s="14" t="n">
        <x:v>2025</x:v>
      </x:c>
      <x:c r="J189" s="14" t="str">
        <x:v>Earlier-Production Carry-In Cohort</x:v>
      </x:c>
      <x:c r="K189" s="14" t="n">
        <x:v>2023</x:v>
      </x:c>
      <x:c r="L189" s="14" t="str">
        <x:v>Not inherited</x:v>
      </x:c>
      <x:c r="M189" s="15" t="n">
        <x:v>122</x:v>
      </x:c>
      <x:c r="N189" s="14" t="str">
        <x:v>Karen Hassan</x:v>
      </x:c>
      <x:c r="O189" s="14" t="str">
        <x:v>nm2703591</x:v>
      </x:c>
      <x:c r="P189" s="14" t="str">
        <x:v>Andrea Bunting</x:v>
      </x:c>
      <x:c r="Q189" s="15" t="n">
        <x:v>1</x:v>
      </x:c>
      <x:c r="R189" s="14" t="str">
        <x:v>2025</x:v>
      </x:c>
      <x:c r="S189" s="14" t="n">
        <x:v>2025</x:v>
      </x:c>
      <x:c r="T189" s="14" t="n">
        <x:v>2025</x:v>
      </x:c>
      <x:c r="U189" s="14" t="str">
        <x:v>Explicit source first year retained</x:v>
      </x:c>
      <x:c r="V189" s="14" t="str">
        <x:v>Earliest supplied year is 2025.</x:v>
      </x:c>
      <x:c r="W189" s="14"/>
      <x:c r="X189" s="14" t="str">
        <x:v>Included</x:v>
      </x:c>
      <x:c r="Y189" s="14"/>
      <x:c r="Z189" s="14" t="str">
        <x:v>Blue Lights.docx</x:v>
      </x:c>
      <x:c r="AA189" s="14" t="str">
        <x:v>HYPERLINK is not implemented. linkLocation=https://www.imdb.com/title/tt14466018/fullcredits/,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BBC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HYPERLINK("https://en.wikipedia.org/wiki/Blue_Light","Open source")</x:f>
        <x:v>HYPERLINK is not implemented. linkLocation=https://en.wikipedia.org/wiki/Blue_Light, friendlyName=Open source</x:v>
      </x:c>
      <x:c r="AN189" s="14" t="str">
        <x:v>BBC public-service commission</x:v>
      </x:c>
      <x:c r="AO189" s="14" t="str">
        <x:v>Yes</x:v>
      </x:c>
      <x:c r="AP189" s="14" t="str">
        <x:v>Direct BBC public-service scope</x:v>
      </x:c>
      <x:c r="AQ189" s="14" t="str">
        <x:v>Yes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19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1</x:v>
      </x:c>
      <x:c r="BS189" s="16" t="n">
        <x:v>0.05263157894736842</x:v>
      </x:c>
      <x:c r="BT189" s="14" t="str">
        <x:v>One episode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HYPERLINK is not implemented. linkLocation=https://www.imdb.com/title/tt14466018/fullcredits/,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tt14466018|nm7939682|cecilia</x:v>
      </x:c>
      <x:c r="B190" s="14" t="str">
        <x:v>01</x:v>
      </x:c>
      <x:c r="C190" s="14" t="str">
        <x:v>2023_IMDb_Cast_Lists_Batch_01(2).xlsx</x:v>
      </x:c>
      <x:c r="D190" s="14" t="str">
        <x:v>Blue Lights</x:v>
      </x:c>
      <x:c r="E190" s="14" t="n">
        <x:v>130</x:v>
      </x:c>
      <x:c r="F190" s="14" t="str">
        <x:v>Blue Lights</x:v>
      </x:c>
      <x:c r="G190" s="14" t="str">
        <x:v>tt14466018</x:v>
      </x:c>
      <x:c r="H190" s="14" t="n">
        <x:v>2023</x:v>
      </x:c>
      <x:c r="I190" s="14" t="n">
        <x:v>2025</x:v>
      </x:c>
      <x:c r="J190" s="14" t="str">
        <x:v>Earlier-Production Carry-In Cohort</x:v>
      </x:c>
      <x:c r="K190" s="14" t="n">
        <x:v>2023</x:v>
      </x:c>
      <x:c r="L190" s="14" t="str">
        <x:v>Not inherited</x:v>
      </x:c>
      <x:c r="M190" s="15" t="n">
        <x:v>123</x:v>
      </x:c>
      <x:c r="N190" s="14" t="str">
        <x:v>Caoimhe Farren</x:v>
      </x:c>
      <x:c r="O190" s="14" t="str">
        <x:v>nm7939682</x:v>
      </x:c>
      <x:c r="P190" s="14" t="str">
        <x:v>Cecilia</x:v>
      </x:c>
      <x:c r="Q190" s="15" t="n">
        <x:v>1</x:v>
      </x:c>
      <x:c r="R190" s="14" t="str">
        <x:v>2025</x:v>
      </x:c>
      <x:c r="S190" s="14" t="n">
        <x:v>2025</x:v>
      </x:c>
      <x:c r="T190" s="14" t="n">
        <x:v>2025</x:v>
      </x:c>
      <x:c r="U190" s="14" t="str">
        <x:v>Explicit source first year retained</x:v>
      </x:c>
      <x:c r="V190" s="14" t="str">
        <x:v>Earliest supplied year is 2025.</x:v>
      </x:c>
      <x:c r="W190" s="14"/>
      <x:c r="X190" s="14" t="str">
        <x:v>Included</x:v>
      </x:c>
      <x:c r="Y190" s="14"/>
      <x:c r="Z190" s="14" t="str">
        <x:v>Blue Lights.docx</x:v>
      </x:c>
      <x:c r="AA190" s="14" t="str">
        <x:v>HYPERLINK is not implemented. linkLocation=https://www.imdb.com/title/tt14466018/fullcredits/,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BBC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HYPERLINK("https://en.wikipedia.org/wiki/Blue_Light","Open source")</x:f>
        <x:v>HYPERLINK is not implemented. linkLocation=https://en.wikipedia.org/wiki/Blue_Light, friendlyName=Open source</x:v>
      </x:c>
      <x:c r="AN190" s="14" t="str">
        <x:v>BBC public-service commission</x:v>
      </x:c>
      <x:c r="AO190" s="14" t="str">
        <x:v>Yes</x:v>
      </x:c>
      <x:c r="AP190" s="14" t="str">
        <x:v>Direct BBC public-service scope</x:v>
      </x:c>
      <x:c r="AQ190" s="14" t="str">
        <x:v>Yes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19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1</x:v>
      </x:c>
      <x:c r="BS190" s="16" t="n">
        <x:v>0.05263157894736842</x:v>
      </x:c>
      <x:c r="BT190" s="14" t="str">
        <x:v>One episode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HYPERLINK is not implemented. linkLocation=https://www.imdb.com/title/tt14466018/fullcredits/,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tt14466018|nm4667139|kerry</x:v>
      </x:c>
      <x:c r="B191" s="14" t="str">
        <x:v>01</x:v>
      </x:c>
      <x:c r="C191" s="14" t="str">
        <x:v>2023_IMDb_Cast_Lists_Batch_01(2).xlsx</x:v>
      </x:c>
      <x:c r="D191" s="14" t="str">
        <x:v>Blue Lights</x:v>
      </x:c>
      <x:c r="E191" s="14" t="n">
        <x:v>131</x:v>
      </x:c>
      <x:c r="F191" s="14" t="str">
        <x:v>Blue Lights</x:v>
      </x:c>
      <x:c r="G191" s="14" t="str">
        <x:v>tt14466018</x:v>
      </x:c>
      <x:c r="H191" s="14" t="n">
        <x:v>2023</x:v>
      </x:c>
      <x:c r="I191" s="14" t="n">
        <x:v>2025</x:v>
      </x:c>
      <x:c r="J191" s="14" t="str">
        <x:v>Earlier-Production Carry-In Cohort</x:v>
      </x:c>
      <x:c r="K191" s="14" t="n">
        <x:v>2023</x:v>
      </x:c>
      <x:c r="L191" s="14" t="str">
        <x:v>Not inherited</x:v>
      </x:c>
      <x:c r="M191" s="15" t="n">
        <x:v>124</x:v>
      </x:c>
      <x:c r="N191" s="14" t="str">
        <x:v>Joyce Greenaway</x:v>
      </x:c>
      <x:c r="O191" s="14" t="str">
        <x:v>nm4667139</x:v>
      </x:c>
      <x:c r="P191" s="14" t="str">
        <x:v>Kerry</x:v>
      </x:c>
      <x:c r="Q191" s="15" t="n">
        <x:v>1</x:v>
      </x:c>
      <x:c r="R191" s="14" t="str">
        <x:v>2025</x:v>
      </x:c>
      <x:c r="S191" s="14" t="n">
        <x:v>2025</x:v>
      </x:c>
      <x:c r="T191" s="14" t="n">
        <x:v>2025</x:v>
      </x:c>
      <x:c r="U191" s="14" t="str">
        <x:v>Explicit source first year retained</x:v>
      </x:c>
      <x:c r="V191" s="14" t="str">
        <x:v>Earliest supplied year is 2025.</x:v>
      </x:c>
      <x:c r="W191" s="14"/>
      <x:c r="X191" s="14" t="str">
        <x:v>Included</x:v>
      </x:c>
      <x:c r="Y191" s="14"/>
      <x:c r="Z191" s="14" t="str">
        <x:v>Blue Lights.docx</x:v>
      </x:c>
      <x:c r="AA191" s="14" t="str">
        <x:v>HYPERLINK is not implemented. linkLocation=https://www.imdb.com/title/tt14466018/fullcredits/,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BBC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HYPERLINK("https://en.wikipedia.org/wiki/Blue_Light","Open source")</x:f>
        <x:v>HYPERLINK is not implemented. linkLocation=https://en.wikipedia.org/wiki/Blue_Light, friendlyName=Open source</x:v>
      </x:c>
      <x:c r="AN191" s="14" t="str">
        <x:v>BBC public-service commission</x:v>
      </x:c>
      <x:c r="AO191" s="14" t="str">
        <x:v>Yes</x:v>
      </x:c>
      <x:c r="AP191" s="14" t="str">
        <x:v>Direct BBC public-service scope</x:v>
      </x:c>
      <x:c r="AQ191" s="14" t="str">
        <x:v>Yes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19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1</x:v>
      </x:c>
      <x:c r="BS191" s="16" t="n">
        <x:v>0.05263157894736842</x:v>
      </x:c>
      <x:c r="BT191" s="14" t="str">
        <x:v>One episode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HYPERLINK is not implemented. linkLocation=https://www.imdb.com/title/tt14466018/fullcredits/,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tt14466018|nm2376004|william street preacher</x:v>
      </x:c>
      <x:c r="B192" s="14" t="str">
        <x:v>01</x:v>
      </x:c>
      <x:c r="C192" s="14" t="str">
        <x:v>2023_IMDb_Cast_Lists_Batch_01(2).xlsx</x:v>
      </x:c>
      <x:c r="D192" s="14" t="str">
        <x:v>Blue Lights</x:v>
      </x:c>
      <x:c r="E192" s="14" t="n">
        <x:v>132</x:v>
      </x:c>
      <x:c r="F192" s="14" t="str">
        <x:v>Blue Lights</x:v>
      </x:c>
      <x:c r="G192" s="14" t="str">
        <x:v>tt14466018</x:v>
      </x:c>
      <x:c r="H192" s="14" t="n">
        <x:v>2023</x:v>
      </x:c>
      <x:c r="I192" s="14" t="n">
        <x:v>2025</x:v>
      </x:c>
      <x:c r="J192" s="14" t="str">
        <x:v>Earlier-Production Carry-In Cohort</x:v>
      </x:c>
      <x:c r="K192" s="14" t="n">
        <x:v>2023</x:v>
      </x:c>
      <x:c r="L192" s="14" t="str">
        <x:v>Not inherited</x:v>
      </x:c>
      <x:c r="M192" s="15" t="n">
        <x:v>125</x:v>
      </x:c>
      <x:c r="N192" s="14" t="str">
        <x:v>Thomas Lappin</x:v>
      </x:c>
      <x:c r="O192" s="14" t="str">
        <x:v>nm2376004</x:v>
      </x:c>
      <x:c r="P192" s="14" t="str">
        <x:v>William Street Preacher</x:v>
      </x:c>
      <x:c r="Q192" s="15" t="n">
        <x:v>1</x:v>
      </x:c>
      <x:c r="R192" s="14" t="str">
        <x:v>2025</x:v>
      </x:c>
      <x:c r="S192" s="14" t="n">
        <x:v>2025</x:v>
      </x:c>
      <x:c r="T192" s="14" t="n">
        <x:v>2025</x:v>
      </x:c>
      <x:c r="U192" s="14" t="str">
        <x:v>Explicit source first year retained</x:v>
      </x:c>
      <x:c r="V192" s="14" t="str">
        <x:v>Earliest supplied year is 2025.</x:v>
      </x:c>
      <x:c r="W192" s="14"/>
      <x:c r="X192" s="14" t="str">
        <x:v>Included</x:v>
      </x:c>
      <x:c r="Y192" s="14"/>
      <x:c r="Z192" s="14" t="str">
        <x:v>Blue Lights.docx</x:v>
      </x:c>
      <x:c r="AA192" s="14" t="str">
        <x:v>HYPERLINK is not implemented. linkLocation=https://www.imdb.com/title/tt14466018/fullcredits/,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BBC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HYPERLINK("https://en.wikipedia.org/wiki/Blue_Light","Open source")</x:f>
        <x:v>HYPERLINK is not implemented. linkLocation=https://en.wikipedia.org/wiki/Blue_Light, friendlyName=Open source</x:v>
      </x:c>
      <x:c r="AN192" s="14" t="str">
        <x:v>BBC public-service commission</x:v>
      </x:c>
      <x:c r="AO192" s="14" t="str">
        <x:v>Yes</x:v>
      </x:c>
      <x:c r="AP192" s="14" t="str">
        <x:v>Direct BBC public-service scope</x:v>
      </x:c>
      <x:c r="AQ192" s="14" t="str">
        <x:v>Yes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19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1</x:v>
      </x:c>
      <x:c r="BS192" s="16" t="n">
        <x:v>0.05263157894736842</x:v>
      </x:c>
      <x:c r="BT192" s="14" t="str">
        <x:v>One episode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HYPERLINK is not implemented. linkLocation=https://www.imdb.com/title/tt14466018/fullcredits/,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tt14466018|nm10404992|mary</x:v>
      </x:c>
      <x:c r="B193" s="14" t="str">
        <x:v>01</x:v>
      </x:c>
      <x:c r="C193" s="14" t="str">
        <x:v>2023_IMDb_Cast_Lists_Batch_01(2).xlsx</x:v>
      </x:c>
      <x:c r="D193" s="14" t="str">
        <x:v>Blue Lights</x:v>
      </x:c>
      <x:c r="E193" s="14" t="n">
        <x:v>134</x:v>
      </x:c>
      <x:c r="F193" s="14" t="str">
        <x:v>Blue Lights</x:v>
      </x:c>
      <x:c r="G193" s="14" t="str">
        <x:v>tt14466018</x:v>
      </x:c>
      <x:c r="H193" s="14" t="n">
        <x:v>2023</x:v>
      </x:c>
      <x:c r="I193" s="14" t="n">
        <x:v>2025</x:v>
      </x:c>
      <x:c r="J193" s="14" t="str">
        <x:v>Earlier-Production Carry-In Cohort</x:v>
      </x:c>
      <x:c r="K193" s="14" t="n">
        <x:v>2023</x:v>
      </x:c>
      <x:c r="L193" s="14" t="str">
        <x:v>Not inherited</x:v>
      </x:c>
      <x:c r="M193" s="15" t="n">
        <x:v>127</x:v>
      </x:c>
      <x:c r="N193" s="14" t="str">
        <x:v>Marty Breen</x:v>
      </x:c>
      <x:c r="O193" s="14" t="str">
        <x:v>nm10404992</x:v>
      </x:c>
      <x:c r="P193" s="14" t="str">
        <x:v>Mary</x:v>
      </x:c>
      <x:c r="Q193" s="15" t="n">
        <x:v>1</x:v>
      </x:c>
      <x:c r="R193" s="14" t="str">
        <x:v>2025</x:v>
      </x:c>
      <x:c r="S193" s="14" t="n">
        <x:v>2025</x:v>
      </x:c>
      <x:c r="T193" s="14" t="n">
        <x:v>2025</x:v>
      </x:c>
      <x:c r="U193" s="14" t="str">
        <x:v>Explicit source first year retained</x:v>
      </x:c>
      <x:c r="V193" s="14" t="str">
        <x:v>Earliest supplied year is 2025.</x:v>
      </x:c>
      <x:c r="W193" s="14"/>
      <x:c r="X193" s="14" t="str">
        <x:v>Included</x:v>
      </x:c>
      <x:c r="Y193" s="14"/>
      <x:c r="Z193" s="14" t="str">
        <x:v>Blue Lights.docx</x:v>
      </x:c>
      <x:c r="AA193" s="14" t="str">
        <x:v>HYPERLINK is not implemented. linkLocation=https://www.imdb.com/title/tt14466018/fullcredits/,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BBC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HYPERLINK("https://en.wikipedia.org/wiki/Blue_Light","Open source")</x:f>
        <x:v>HYPERLINK is not implemented. linkLocation=https://en.wikipedia.org/wiki/Blue_Light, friendlyName=Open source</x:v>
      </x:c>
      <x:c r="AN193" s="14" t="str">
        <x:v>BBC public-service commission</x:v>
      </x:c>
      <x:c r="AO193" s="14" t="str">
        <x:v>Yes</x:v>
      </x:c>
      <x:c r="AP193" s="14" t="str">
        <x:v>Direct BBC public-service scope</x:v>
      </x:c>
      <x:c r="AQ193" s="14" t="str">
        <x:v>Yes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19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1</x:v>
      </x:c>
      <x:c r="BS193" s="16" t="n">
        <x:v>0.05263157894736842</x:v>
      </x:c>
      <x:c r="BT193" s="14" t="str">
        <x:v>One episode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HYPERLINK is not implemented. linkLocation=https://www.imdb.com/title/tt14466018/fullcredits/,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tt14466018|nm11901159|megan</x:v>
      </x:c>
      <x:c r="B194" s="14" t="str">
        <x:v>01</x:v>
      </x:c>
      <x:c r="C194" s="14" t="str">
        <x:v>2023_IMDb_Cast_Lists_Batch_01(2).xlsx</x:v>
      </x:c>
      <x:c r="D194" s="14" t="str">
        <x:v>Blue Lights</x:v>
      </x:c>
      <x:c r="E194" s="14" t="n">
        <x:v>135</x:v>
      </x:c>
      <x:c r="F194" s="14" t="str">
        <x:v>Blue Lights</x:v>
      </x:c>
      <x:c r="G194" s="14" t="str">
        <x:v>tt14466018</x:v>
      </x:c>
      <x:c r="H194" s="14" t="n">
        <x:v>2023</x:v>
      </x:c>
      <x:c r="I194" s="14" t="n">
        <x:v>2025</x:v>
      </x:c>
      <x:c r="J194" s="14" t="str">
        <x:v>Earlier-Production Carry-In Cohort</x:v>
      </x:c>
      <x:c r="K194" s="14" t="n">
        <x:v>2023</x:v>
      </x:c>
      <x:c r="L194" s="14" t="str">
        <x:v>Not inherited</x:v>
      </x:c>
      <x:c r="M194" s="15" t="n">
        <x:v>128</x:v>
      </x:c>
      <x:c r="N194" s="14" t="str">
        <x:v>Shane Convery</x:v>
      </x:c>
      <x:c r="O194" s="14" t="str">
        <x:v>nm11901159</x:v>
      </x:c>
      <x:c r="P194" s="14" t="str">
        <x:v>Megan</x:v>
      </x:c>
      <x:c r="Q194" s="15" t="n">
        <x:v>1</x:v>
      </x:c>
      <x:c r="R194" s="14" t="str">
        <x:v>2025</x:v>
      </x:c>
      <x:c r="S194" s="14" t="n">
        <x:v>2025</x:v>
      </x:c>
      <x:c r="T194" s="14" t="n">
        <x:v>2025</x:v>
      </x:c>
      <x:c r="U194" s="14" t="str">
        <x:v>Explicit source first year retained</x:v>
      </x:c>
      <x:c r="V194" s="14" t="str">
        <x:v>Earliest supplied year is 2025.</x:v>
      </x:c>
      <x:c r="W194" s="14"/>
      <x:c r="X194" s="14" t="str">
        <x:v>Included</x:v>
      </x:c>
      <x:c r="Y194" s="14"/>
      <x:c r="Z194" s="14" t="str">
        <x:v>Blue Lights.docx</x:v>
      </x:c>
      <x:c r="AA194" s="14" t="str">
        <x:v>HYPERLINK is not implemented. linkLocation=https://www.imdb.com/title/tt14466018/fullcredits/,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BBC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HYPERLINK("https://en.wikipedia.org/wiki/Blue_Light","Open source")</x:f>
        <x:v>HYPERLINK is not implemented. linkLocation=https://en.wikipedia.org/wiki/Blue_Light, friendlyName=Open source</x:v>
      </x:c>
      <x:c r="AN194" s="14" t="str">
        <x:v>BBC public-service commission</x:v>
      </x:c>
      <x:c r="AO194" s="14" t="str">
        <x:v>Yes</x:v>
      </x:c>
      <x:c r="AP194" s="14" t="str">
        <x:v>Direct BBC public-service scope</x:v>
      </x:c>
      <x:c r="AQ194" s="14" t="str">
        <x:v>Yes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19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1</x:v>
      </x:c>
      <x:c r="BS194" s="16" t="n">
        <x:v>0.05263157894736842</x:v>
      </x:c>
      <x:c r="BT194" s="14" t="str">
        <x:v>One episode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HYPERLINK is not implemented. linkLocation=https://www.imdb.com/title/tt14466018/fullcredits/,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tt14466018|nm2589753|jason</x:v>
      </x:c>
      <x:c r="B195" s="14" t="str">
        <x:v>01</x:v>
      </x:c>
      <x:c r="C195" s="14" t="str">
        <x:v>2023_IMDb_Cast_Lists_Batch_01(2).xlsx</x:v>
      </x:c>
      <x:c r="D195" s="14" t="str">
        <x:v>Blue Lights</x:v>
      </x:c>
      <x:c r="E195" s="14" t="n">
        <x:v>139</x:v>
      </x:c>
      <x:c r="F195" s="14" t="str">
        <x:v>Blue Lights</x:v>
      </x:c>
      <x:c r="G195" s="14" t="str">
        <x:v>tt14466018</x:v>
      </x:c>
      <x:c r="H195" s="14" t="n">
        <x:v>2023</x:v>
      </x:c>
      <x:c r="I195" s="14" t="n">
        <x:v>2025</x:v>
      </x:c>
      <x:c r="J195" s="14" t="str">
        <x:v>Earlier-Production Carry-In Cohort</x:v>
      </x:c>
      <x:c r="K195" s="14" t="n">
        <x:v>2023</x:v>
      </x:c>
      <x:c r="L195" s="14" t="str">
        <x:v>Not inherited</x:v>
      </x:c>
      <x:c r="M195" s="15" t="n">
        <x:v>132</x:v>
      </x:c>
      <x:c r="N195" s="14" t="str">
        <x:v>Paul Livingstone</x:v>
      </x:c>
      <x:c r="O195" s="14" t="str">
        <x:v>nm2589753</x:v>
      </x:c>
      <x:c r="P195" s="14" t="str">
        <x:v>Jason</x:v>
      </x:c>
      <x:c r="Q195" s="15" t="n">
        <x:v>1</x:v>
      </x:c>
      <x:c r="R195" s="14" t="str">
        <x:v>2025</x:v>
      </x:c>
      <x:c r="S195" s="14" t="n">
        <x:v>2025</x:v>
      </x:c>
      <x:c r="T195" s="14" t="n">
        <x:v>2025</x:v>
      </x:c>
      <x:c r="U195" s="14" t="str">
        <x:v>Explicit source first year retained</x:v>
      </x:c>
      <x:c r="V195" s="14" t="str">
        <x:v>Earliest supplied year is 2025.</x:v>
      </x:c>
      <x:c r="W195" s="14"/>
      <x:c r="X195" s="14" t="str">
        <x:v>Included</x:v>
      </x:c>
      <x:c r="Y195" s="14"/>
      <x:c r="Z195" s="14" t="str">
        <x:v>Blue Lights.docx</x:v>
      </x:c>
      <x:c r="AA195" s="14" t="str">
        <x:v>HYPERLINK is not implemented. linkLocation=https://www.imdb.com/title/tt14466018/fullcredits/,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BBC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HYPERLINK("https://en.wikipedia.org/wiki/Blue_Light","Open source")</x:f>
        <x:v>HYPERLINK is not implemented. linkLocation=https://en.wikipedia.org/wiki/Blue_Light, friendlyName=Open source</x:v>
      </x:c>
      <x:c r="AN195" s="14" t="str">
        <x:v>BBC public-service commission</x:v>
      </x:c>
      <x:c r="AO195" s="14" t="str">
        <x:v>Yes</x:v>
      </x:c>
      <x:c r="AP195" s="14" t="str">
        <x:v>Direct BBC public-service scope</x:v>
      </x:c>
      <x:c r="AQ195" s="14" t="str">
        <x:v>Yes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19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1</x:v>
      </x:c>
      <x:c r="BS195" s="16" t="n">
        <x:v>0.05263157894736842</x:v>
      </x:c>
      <x:c r="BT195" s="14" t="str">
        <x:v>One episode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HYPERLINK is not implemented. linkLocation=https://www.imdb.com/title/tt14466018/fullcredits/,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tt14488438|nm5098614|alexandros</x:v>
      </x:c>
      <x:c r="B196" s="14" t="str">
        <x:v>02</x:v>
      </x:c>
      <x:c r="C196" s="14" t="str">
        <x:v>2023_IMDb_Cast_Lists_Batch_02(2).xlsx</x:v>
      </x:c>
      <x:c r="D196" s="14" t="str">
        <x:v>Dreaming Whilst Black</x:v>
      </x:c>
      <x:c r="E196" s="14" t="n">
        <x:v>23</x:v>
      </x:c>
      <x:c r="F196" s="14" t="str">
        <x:v>Dreaming Whilst Black</x:v>
      </x:c>
      <x:c r="G196" s="14" t="str">
        <x:v>tt14488438</x:v>
      </x:c>
      <x:c r="H196" s="14" t="n">
        <x:v>2023</x:v>
      </x:c>
      <x:c r="I196" s="14" t="n">
        <x:v>2025</x:v>
      </x:c>
      <x:c r="J196" s="14" t="str">
        <x:v>Earlier-Production Carry-In Cohort</x:v>
      </x:c>
      <x:c r="K196" s="14" t="n">
        <x:v>2023</x:v>
      </x:c>
      <x:c r="L196" s="14" t="str">
        <x:v>Not inherited</x:v>
      </x:c>
      <x:c r="M196" s="15" t="n">
        <x:v>16</x:v>
      </x:c>
      <x:c r="N196" s="14" t="str">
        <x:v>Alexander Theo</x:v>
      </x:c>
      <x:c r="O196" s="14" t="str">
        <x:v>nm5098614</x:v>
      </x:c>
      <x:c r="P196" s="14" t="str">
        <x:v>Alexandros</x:v>
      </x:c>
      <x:c r="Q196" s="15" t="n">
        <x:v>6</x:v>
      </x:c>
      <x:c r="R196" s="14" t="str">
        <x:v>2025</x:v>
      </x:c>
      <x:c r="S196" s="14" t="n">
        <x:v>2025</x:v>
      </x:c>
      <x:c r="T196" s="14" t="n">
        <x:v>2025</x:v>
      </x:c>
      <x:c r="U196" s="14" t="str">
        <x:v>Explicit source first year retained</x:v>
      </x:c>
      <x:c r="V196" s="14" t="str">
        <x:v>Earliest supplied year is 2025.</x:v>
      </x:c>
      <x:c r="W196" s="14"/>
      <x:c r="X196" s="14" t="str">
        <x:v>Included</x:v>
      </x:c>
      <x:c r="Y196" s="14"/>
      <x:c r="Z196" s="14" t="str">
        <x:v>Dreaming Whilst Black.docx</x:v>
      </x:c>
      <x:c r="AA196" s="14" t="str">
        <x:v>HYPERLINK is not implemented. linkLocation=https://www.imdb.com/title/tt14488438/fullcredits/,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BBC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6" s="14" t="str">
        <x:v>BBC public-service commission</x:v>
      </x:c>
      <x:c r="AO196" s="14" t="str">
        <x:v>Yes</x:v>
      </x:c>
      <x:c r="AP196" s="14" t="str">
        <x:v>Direct BBC public-service scope</x:v>
      </x:c>
      <x:c r="AQ196" s="14" t="str">
        <x:v>Yes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6</x:v>
      </x:c>
      <x:c r="BS196" s="16" t="n">
        <x:v>0.5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HYPERLINK is not implemented. linkLocation=https://www.imdb.com/title/tt14488438/fullcredits/,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tt14488438|nm0010837|bridgette</x:v>
      </x:c>
      <x:c r="B197" s="14" t="str">
        <x:v>02</x:v>
      </x:c>
      <x:c r="C197" s="14" t="str">
        <x:v>2023_IMDb_Cast_Lists_Batch_02(2).xlsx</x:v>
      </x:c>
      <x:c r="D197" s="14" t="str">
        <x:v>Dreaming Whilst Black</x:v>
      </x:c>
      <x:c r="E197" s="14" t="n">
        <x:v>24</x:v>
      </x:c>
      <x:c r="F197" s="14" t="str">
        <x:v>Dreaming Whilst Black</x:v>
      </x:c>
      <x:c r="G197" s="14" t="str">
        <x:v>tt14488438</x:v>
      </x:c>
      <x:c r="H197" s="14" t="n">
        <x:v>2023</x:v>
      </x:c>
      <x:c r="I197" s="14" t="n">
        <x:v>2025</x:v>
      </x:c>
      <x:c r="J197" s="14" t="str">
        <x:v>Earlier-Production Carry-In Cohort</x:v>
      </x:c>
      <x:c r="K197" s="14" t="n">
        <x:v>2023</x:v>
      </x:c>
      <x:c r="L197" s="14" t="str">
        <x:v>Not inherited</x:v>
      </x:c>
      <x:c r="M197" s="15" t="n">
        <x:v>17</x:v>
      </x:c>
      <x:c r="N197" s="14" t="str">
        <x:v>Christine Adams</x:v>
      </x:c>
      <x:c r="O197" s="14" t="str">
        <x:v>nm0010837</x:v>
      </x:c>
      <x:c r="P197" s="14" t="str">
        <x:v>Bridgette</x:v>
      </x:c>
      <x:c r="Q197" s="15" t="n">
        <x:v>5</x:v>
      </x:c>
      <x:c r="R197" s="14" t="str">
        <x:v>2025</x:v>
      </x:c>
      <x:c r="S197" s="14" t="n">
        <x:v>2025</x:v>
      </x:c>
      <x:c r="T197" s="14" t="n">
        <x:v>2025</x:v>
      </x:c>
      <x:c r="U197" s="14" t="str">
        <x:v>Explicit source first year retained</x:v>
      </x:c>
      <x:c r="V197" s="14" t="str">
        <x:v>Earliest supplied year is 2025.</x:v>
      </x:c>
      <x:c r="W197" s="14"/>
      <x:c r="X197" s="14" t="str">
        <x:v>Included</x:v>
      </x:c>
      <x:c r="Y197" s="14"/>
      <x:c r="Z197" s="14" t="str">
        <x:v>Dreaming Whilst Black.docx</x:v>
      </x:c>
      <x:c r="AA197" s="14" t="str">
        <x:v>HYPERLINK is not implemented. linkLocation=https://www.imdb.com/title/tt14488438/fullcredits/,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BBC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7" s="14" t="str">
        <x:v>BBC public-service commission</x:v>
      </x:c>
      <x:c r="AO197" s="14" t="str">
        <x:v>Yes</x:v>
      </x:c>
      <x:c r="AP197" s="14" t="str">
        <x:v>Direct BBC public-service scope</x:v>
      </x:c>
      <x:c r="AQ197" s="14" t="str">
        <x:v>Yes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5</x:v>
      </x:c>
      <x:c r="BS197" s="16" t="n">
        <x:v>0.4166666666666667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HYPERLINK is not implemented. linkLocation=https://www.imdb.com/title/tt14488438/fullcredits/,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tt14488438|nm0249876|simon</x:v>
      </x:c>
      <x:c r="B198" s="14" t="str">
        <x:v>02</x:v>
      </x:c>
      <x:c r="C198" s="14" t="str">
        <x:v>2023_IMDb_Cast_Lists_Batch_02(2).xlsx</x:v>
      </x:c>
      <x:c r="D198" s="14" t="str">
        <x:v>Dreaming Whilst Black</x:v>
      </x:c>
      <x:c r="E198" s="14" t="n">
        <x:v>25</x:v>
      </x:c>
      <x:c r="F198" s="14" t="str">
        <x:v>Dreaming Whilst Black</x:v>
      </x:c>
      <x:c r="G198" s="14" t="str">
        <x:v>tt14488438</x:v>
      </x:c>
      <x:c r="H198" s="14" t="n">
        <x:v>2023</x:v>
      </x:c>
      <x:c r="I198" s="14" t="n">
        <x:v>2025</x:v>
      </x:c>
      <x:c r="J198" s="14" t="str">
        <x:v>Earlier-Production Carry-In Cohort</x:v>
      </x:c>
      <x:c r="K198" s="14" t="n">
        <x:v>2023</x:v>
      </x:c>
      <x:c r="L198" s="14" t="str">
        <x:v>Not inherited</x:v>
      </x:c>
      <x:c r="M198" s="15" t="n">
        <x:v>18</x:v>
      </x:c>
      <x:c r="N198" s="14" t="str">
        <x:v>Charles Edwards</x:v>
      </x:c>
      <x:c r="O198" s="14" t="str">
        <x:v>nm0249876</x:v>
      </x:c>
      <x:c r="P198" s="14" t="str">
        <x:v>Simon</x:v>
      </x:c>
      <x:c r="Q198" s="15" t="n">
        <x:v>5</x:v>
      </x:c>
      <x:c r="R198" s="14" t="str">
        <x:v>2025</x:v>
      </x:c>
      <x:c r="S198" s="14" t="n">
        <x:v>2025</x:v>
      </x:c>
      <x:c r="T198" s="14" t="n">
        <x:v>2025</x:v>
      </x:c>
      <x:c r="U198" s="14" t="str">
        <x:v>Explicit source first year retained</x:v>
      </x:c>
      <x:c r="V198" s="14" t="str">
        <x:v>Earliest supplied year is 2025.</x:v>
      </x:c>
      <x:c r="W198" s="14"/>
      <x:c r="X198" s="14" t="str">
        <x:v>Included</x:v>
      </x:c>
      <x:c r="Y198" s="14"/>
      <x:c r="Z198" s="14" t="str">
        <x:v>Dreaming Whilst Black.docx</x:v>
      </x:c>
      <x:c r="AA198" s="14" t="str">
        <x:v>HYPERLINK is not implemented. linkLocation=https://www.imdb.com/title/tt14488438/fullcredits/,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BBC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8" s="14" t="str">
        <x:v>BBC public-service commission</x:v>
      </x:c>
      <x:c r="AO198" s="14" t="str">
        <x:v>Yes</x:v>
      </x:c>
      <x:c r="AP198" s="14" t="str">
        <x:v>Direct BBC public-service scope</x:v>
      </x:c>
      <x:c r="AQ198" s="14" t="str">
        <x:v>Yes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5</x:v>
      </x:c>
      <x:c r="BS198" s="16" t="n">
        <x:v>0.4166666666666667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HYPERLINK is not implemented. linkLocation=https://www.imdb.com/title/tt14488438/fullcredits/,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tt14488438|nm1506183|rudolph</x:v>
      </x:c>
      <x:c r="B199" s="14" t="str">
        <x:v>02</x:v>
      </x:c>
      <x:c r="C199" s="14" t="str">
        <x:v>2023_IMDb_Cast_Lists_Batch_02(2).xlsx</x:v>
      </x:c>
      <x:c r="D199" s="14" t="str">
        <x:v>Dreaming Whilst Black</x:v>
      </x:c>
      <x:c r="E199" s="14" t="n">
        <x:v>32</x:v>
      </x:c>
      <x:c r="F199" s="14" t="str">
        <x:v>Dreaming Whilst Black</x:v>
      </x:c>
      <x:c r="G199" s="14" t="str">
        <x:v>tt14488438</x:v>
      </x:c>
      <x:c r="H199" s="14" t="n">
        <x:v>2023</x:v>
      </x:c>
      <x:c r="I199" s="14" t="n">
        <x:v>2025</x:v>
      </x:c>
      <x:c r="J199" s="14" t="str">
        <x:v>Earlier-Production Carry-In Cohort</x:v>
      </x:c>
      <x:c r="K199" s="14" t="n">
        <x:v>2023</x:v>
      </x:c>
      <x:c r="L199" s="14" t="str">
        <x:v>Not inherited</x:v>
      </x:c>
      <x:c r="M199" s="15" t="n">
        <x:v>25</x:v>
      </x:c>
      <x:c r="N199" s="14" t="str">
        <x:v>Kobna Holdbrook-Smith</x:v>
      </x:c>
      <x:c r="O199" s="14" t="str">
        <x:v>nm1506183</x:v>
      </x:c>
      <x:c r="P199" s="14" t="str">
        <x:v>Rudolph</x:v>
      </x:c>
      <x:c r="Q199" s="15" t="n">
        <x:v>3</x:v>
      </x:c>
      <x:c r="R199" s="14" t="str">
        <x:v>2025</x:v>
      </x:c>
      <x:c r="S199" s="14" t="n">
        <x:v>2025</x:v>
      </x:c>
      <x:c r="T199" s="14" t="n">
        <x:v>2025</x:v>
      </x:c>
      <x:c r="U199" s="14" t="str">
        <x:v>Explicit source first year retained</x:v>
      </x:c>
      <x:c r="V199" s="14" t="str">
        <x:v>Earliest supplied year is 2025.</x:v>
      </x:c>
      <x:c r="W199" s="14"/>
      <x:c r="X199" s="14" t="str">
        <x:v>Included</x:v>
      </x:c>
      <x:c r="Y199" s="14"/>
      <x:c r="Z199" s="14" t="str">
        <x:v>Dreaming Whilst Black.docx</x:v>
      </x:c>
      <x:c r="AA199" s="14" t="str">
        <x:v>HYPERLINK is not implemented. linkLocation=https://www.imdb.com/title/tt14488438/fullcredits/,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BBC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199" s="14" t="str">
        <x:v>BBC public-service commission</x:v>
      </x:c>
      <x:c r="AO199" s="14" t="str">
        <x:v>Yes</x:v>
      </x:c>
      <x:c r="AP199" s="14" t="str">
        <x:v>Direct BBC public-service scope</x:v>
      </x:c>
      <x:c r="AQ199" s="14" t="str">
        <x:v>Yes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3</x:v>
      </x:c>
      <x:c r="BS199" s="16" t="n">
        <x:v>0.25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HYPERLINK is not implemented. linkLocation=https://www.imdb.com/title/tt14488438/fullcredits/,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tt14488438|nm0941211|carol</x:v>
      </x:c>
      <x:c r="B200" s="14" t="str">
        <x:v>02</x:v>
      </x:c>
      <x:c r="C200" s="14" t="str">
        <x:v>2023_IMDb_Cast_Lists_Batch_02(2).xlsx</x:v>
      </x:c>
      <x:c r="D200" s="14" t="str">
        <x:v>Dreaming Whilst Black</x:v>
      </x:c>
      <x:c r="E200" s="14" t="n">
        <x:v>33</x:v>
      </x:c>
      <x:c r="F200" s="14" t="str">
        <x:v>Dreaming Whilst Black</x:v>
      </x:c>
      <x:c r="G200" s="14" t="str">
        <x:v>tt14488438</x:v>
      </x:c>
      <x:c r="H200" s="14" t="n">
        <x:v>2023</x:v>
      </x:c>
      <x:c r="I200" s="14" t="n">
        <x:v>2025</x:v>
      </x:c>
      <x:c r="J200" s="14" t="str">
        <x:v>Earlier-Production Carry-In Cohort</x:v>
      </x:c>
      <x:c r="K200" s="14" t="n">
        <x:v>2023</x:v>
      </x:c>
      <x:c r="L200" s="14" t="str">
        <x:v>Not inherited</x:v>
      </x:c>
      <x:c r="M200" s="15" t="n">
        <x:v>26</x:v>
      </x:c>
      <x:c r="N200" s="14" t="str">
        <x:v>Fenella Woolgar</x:v>
      </x:c>
      <x:c r="O200" s="14" t="str">
        <x:v>nm0941211</x:v>
      </x:c>
      <x:c r="P200" s="14" t="str">
        <x:v>Carol</x:v>
      </x:c>
      <x:c r="Q200" s="15" t="n">
        <x:v>3</x:v>
      </x:c>
      <x:c r="R200" s="14" t="str">
        <x:v>2025</x:v>
      </x:c>
      <x:c r="S200" s="14" t="n">
        <x:v>2025</x:v>
      </x:c>
      <x:c r="T200" s="14" t="n">
        <x:v>2025</x:v>
      </x:c>
      <x:c r="U200" s="14" t="str">
        <x:v>Explicit source first year retained</x:v>
      </x:c>
      <x:c r="V200" s="14" t="str">
        <x:v>Earliest supplied year is 2025.</x:v>
      </x:c>
      <x:c r="W200" s="14"/>
      <x:c r="X200" s="14" t="str">
        <x:v>Included</x:v>
      </x:c>
      <x:c r="Y200" s="14"/>
      <x:c r="Z200" s="14" t="str">
        <x:v>Dreaming Whilst Black.docx</x:v>
      </x:c>
      <x:c r="AA200" s="14" t="str">
        <x:v>HYPERLINK is not implemented. linkLocation=https://www.imdb.com/title/tt14488438/fullcredits/,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3</x:v>
      </x:c>
      <x:c r="BS200" s="16" t="n">
        <x:v>0.25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HYPERLINK is not implemented. linkLocation=https://www.imdb.com/title/tt14488438/fullcredits/,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tt14488438|nm8598128|roxie</x:v>
      </x:c>
      <x:c r="B201" s="14" t="str">
        <x:v>02</x:v>
      </x:c>
      <x:c r="C201" s="14" t="str">
        <x:v>2023_IMDb_Cast_Lists_Batch_02(2).xlsx</x:v>
      </x:c>
      <x:c r="D201" s="14" t="str">
        <x:v>Dreaming Whilst Black</x:v>
      </x:c>
      <x:c r="E201" s="14" t="n">
        <x:v>34</x:v>
      </x:c>
      <x:c r="F201" s="14" t="str">
        <x:v>Dreaming Whilst Black</x:v>
      </x:c>
      <x:c r="G201" s="14" t="str">
        <x:v>tt14488438</x:v>
      </x:c>
      <x:c r="H201" s="14" t="n">
        <x:v>2023</x:v>
      </x:c>
      <x:c r="I201" s="14" t="n">
        <x:v>2025</x:v>
      </x:c>
      <x:c r="J201" s="14" t="str">
        <x:v>Earlier-Production Carry-In Cohort</x:v>
      </x:c>
      <x:c r="K201" s="14" t="n">
        <x:v>2023</x:v>
      </x:c>
      <x:c r="L201" s="14" t="str">
        <x:v>Not inherited</x:v>
      </x:c>
      <x:c r="M201" s="15" t="n">
        <x:v>27</x:v>
      </x:c>
      <x:c r="N201" s="14" t="str">
        <x:v>Lizzy Connolly</x:v>
      </x:c>
      <x:c r="O201" s="14" t="str">
        <x:v>nm8598128</x:v>
      </x:c>
      <x:c r="P201" s="14" t="str">
        <x:v>Roxie</x:v>
      </x:c>
      <x:c r="Q201" s="15" t="n">
        <x:v>3</x:v>
      </x:c>
      <x:c r="R201" s="14" t="str">
        <x:v>2025</x:v>
      </x:c>
      <x:c r="S201" s="14" t="n">
        <x:v>2025</x:v>
      </x:c>
      <x:c r="T201" s="14" t="n">
        <x:v>2025</x:v>
      </x:c>
      <x:c r="U201" s="14" t="str">
        <x:v>Explicit source first year retained</x:v>
      </x:c>
      <x:c r="V201" s="14" t="str">
        <x:v>Earliest supplied year is 2025.</x:v>
      </x:c>
      <x:c r="W201" s="14"/>
      <x:c r="X201" s="14" t="str">
        <x:v>Included</x:v>
      </x:c>
      <x:c r="Y201" s="14"/>
      <x:c r="Z201" s="14" t="str">
        <x:v>Dreaming Whilst Black.docx</x:v>
      </x:c>
      <x:c r="AA201" s="14" t="str">
        <x:v>HYPERLINK is not implemented. linkLocation=https://www.imdb.com/title/tt14488438/fullcredits/,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3</x:v>
      </x:c>
      <x:c r="BS201" s="16" t="n">
        <x:v>0.25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HYPERLINK is not implemented. linkLocation=https://www.imdb.com/title/tt14488438/fullcredits/,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tt14488438|nm3971488|nia hays</x:v>
      </x:c>
      <x:c r="B202" s="14" t="str">
        <x:v>02</x:v>
      </x:c>
      <x:c r="C202" s="14" t="str">
        <x:v>2023_IMDb_Cast_Lists_Batch_02(2).xlsx</x:v>
      </x:c>
      <x:c r="D202" s="14" t="str">
        <x:v>Dreaming Whilst Black</x:v>
      </x:c>
      <x:c r="E202" s="14" t="n">
        <x:v>41</x:v>
      </x:c>
      <x:c r="F202" s="14" t="str">
        <x:v>Dreaming Whilst Black</x:v>
      </x:c>
      <x:c r="G202" s="14" t="str">
        <x:v>tt14488438</x:v>
      </x:c>
      <x:c r="H202" s="14" t="n">
        <x:v>2023</x:v>
      </x:c>
      <x:c r="I202" s="14" t="n">
        <x:v>2025</x:v>
      </x:c>
      <x:c r="J202" s="14" t="str">
        <x:v>Earlier-Production Carry-In Cohort</x:v>
      </x:c>
      <x:c r="K202" s="14" t="n">
        <x:v>2023</x:v>
      </x:c>
      <x:c r="L202" s="14" t="str">
        <x:v>Not inherited</x:v>
      </x:c>
      <x:c r="M202" s="15" t="n">
        <x:v>34</x:v>
      </x:c>
      <x:c r="N202" s="14" t="str">
        <x:v>Nadia Albina</x:v>
      </x:c>
      <x:c r="O202" s="14" t="str">
        <x:v>nm3971488</x:v>
      </x:c>
      <x:c r="P202" s="14" t="str">
        <x:v>Nia Hays</x:v>
      </x:c>
      <x:c r="Q202" s="15" t="n">
        <x:v>2</x:v>
      </x:c>
      <x:c r="R202" s="14" t="str">
        <x:v>2025</x:v>
      </x:c>
      <x:c r="S202" s="14" t="n">
        <x:v>2025</x:v>
      </x:c>
      <x:c r="T202" s="14" t="n">
        <x:v>2025</x:v>
      </x:c>
      <x:c r="U202" s="14" t="str">
        <x:v>Explicit source first year retained</x:v>
      </x:c>
      <x:c r="V202" s="14" t="str">
        <x:v>Earliest supplied year is 2025.</x:v>
      </x:c>
      <x:c r="W202" s="14"/>
      <x:c r="X202" s="14" t="str">
        <x:v>Included</x:v>
      </x:c>
      <x:c r="Y202" s="14"/>
      <x:c r="Z202" s="14" t="str">
        <x:v>Dreaming Whilst Black.docx</x:v>
      </x:c>
      <x:c r="AA202" s="14" t="str">
        <x:v>HYPERLINK is not implemented. linkLocation=https://www.imdb.com/title/tt14488438/fullcredits/, friendlyName=Open source</x:v>
      </x:c>
      <x:c r="AB202" s="14" t="str">
        <x:v>Existing established-register match</x:v>
      </x:c>
      <x:c r="AC202" s="14" t="str">
        <x:v>Physical disability</x:v>
      </x:c>
      <x:c r="AD202" s="14" t="str">
        <x:v>Existing register classification: Physical disability</x:v>
      </x:c>
      <x:c r="AE202" s="14" t="str">
        <x:v>Established_Disability_Category_Register V1.2.xlsx</x:v>
      </x:c>
      <x:c r="AF202" s="14"/>
      <x:c r="AG202" s="14" t="str">
        <x:v>Established user-supplied classification retained for deduplication; evidence was not re-researched in this batch.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 t="str">
        <x:v>Exact IMDb performer ID match</x:v>
      </x:c>
      <x:c r="AT202" s="14" t="str">
        <x:v>nm3971488</x:v>
      </x:c>
      <x:c r="AU202" s="14" t="str">
        <x:v>Physical disability</x:v>
      </x:c>
      <x:c r="AV202" s="14" t="str">
        <x:v>Yes</x:v>
      </x:c>
      <x:c r="AW202" s="14" t="str">
        <x:v>Physical disability</x:v>
      </x:c>
      <x:c r="AX202" s="14" t="str">
        <x:v>No</x:v>
      </x:c>
      <x:c r="AY202" s="14" t="str">
        <x:v>Matched</x:v>
      </x:c>
      <x:c r="AZ202" s="14" t="str">
        <x:v>Final supplied register</x:v>
      </x:c>
      <x:c r="BA202" s="14"/>
      <x:c r="BB202" s="14" t="str">
        <x:v>Exact IMDb performer ID match</x:v>
      </x:c>
      <x:c r="BC202" s="14" t="str">
        <x:v>nm3971488</x:v>
      </x:c>
      <x:c r="BD202" s="14" t="str">
        <x:v>Nadia Albina</x:v>
      </x:c>
      <x:c r="BE202" s="14" t="str">
        <x:v>Physical disability</x:v>
      </x:c>
      <x:c r="BF202" s="14" t="str">
        <x:v>Yes</x:v>
      </x:c>
      <x:c r="BG202" s="14" t="str">
        <x:v>Physical disability</x:v>
      </x:c>
      <x:c r="BH202" s="14" t="str">
        <x:v>No</x:v>
      </x:c>
      <x:c r="BI202" s="14" t="str">
        <x:v>User-supplied established classification</x:v>
      </x:c>
      <x:c r="BJ202" s="14" t="str">
        <x:v>04_Physical_disability.csv</x:v>
      </x:c>
      <x:c r="BK202" s="14"/>
      <x:c r="BL202" s="14" t="str">
        <x:v>Matched</x:v>
      </x:c>
      <x:c r="BM202" s="14" t="str">
        <x:v>Final supplied register</x:v>
      </x:c>
      <x:c r="BN202" s="14"/>
      <x:c r="BO202" s="14" t="n">
        <x:v>12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2</x:v>
      </x:c>
      <x:c r="BS202" s="16" t="n">
        <x:v>0.16666666666666666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HYPERLINK is not implemented. linkLocation=https://www.imdb.com/title/tt14488438/fullcredits/,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tt14488438|nm6074112|charles</x:v>
      </x:c>
      <x:c r="B203" s="14" t="str">
        <x:v>02</x:v>
      </x:c>
      <x:c r="C203" s="14" t="str">
        <x:v>2023_IMDb_Cast_Lists_Batch_02(2).xlsx</x:v>
      </x:c>
      <x:c r="D203" s="14" t="str">
        <x:v>Dreaming Whilst Black</x:v>
      </x:c>
      <x:c r="E203" s="14" t="n">
        <x:v>42</x:v>
      </x:c>
      <x:c r="F203" s="14" t="str">
        <x:v>Dreaming Whilst Black</x:v>
      </x:c>
      <x:c r="G203" s="14" t="str">
        <x:v>tt14488438</x:v>
      </x:c>
      <x:c r="H203" s="14" t="n">
        <x:v>2023</x:v>
      </x:c>
      <x:c r="I203" s="14" t="n">
        <x:v>2025</x:v>
      </x:c>
      <x:c r="J203" s="14" t="str">
        <x:v>Earlier-Production Carry-In Cohort</x:v>
      </x:c>
      <x:c r="K203" s="14" t="n">
        <x:v>2023</x:v>
      </x:c>
      <x:c r="L203" s="14" t="str">
        <x:v>Not inherited</x:v>
      </x:c>
      <x:c r="M203" s="15" t="n">
        <x:v>35</x:v>
      </x:c>
      <x:c r="N203" s="14" t="str">
        <x:v>Ola Christian</x:v>
      </x:c>
      <x:c r="O203" s="14" t="str">
        <x:v>nm6074112</x:v>
      </x:c>
      <x:c r="P203" s="14" t="str">
        <x:v>Charles</x:v>
      </x:c>
      <x:c r="Q203" s="15" t="n">
        <x:v>2</x:v>
      </x:c>
      <x:c r="R203" s="14" t="str">
        <x:v>2025</x:v>
      </x:c>
      <x:c r="S203" s="14" t="n">
        <x:v>2025</x:v>
      </x:c>
      <x:c r="T203" s="14" t="n">
        <x:v>2025</x:v>
      </x:c>
      <x:c r="U203" s="14" t="str">
        <x:v>Explicit source first year retained</x:v>
      </x:c>
      <x:c r="V203" s="14" t="str">
        <x:v>Earliest supplied year is 2025.</x:v>
      </x:c>
      <x:c r="W203" s="14"/>
      <x:c r="X203" s="14" t="str">
        <x:v>Included</x:v>
      </x:c>
      <x:c r="Y203" s="14"/>
      <x:c r="Z203" s="14" t="str">
        <x:v>Dreaming Whilst Black.docx</x:v>
      </x:c>
      <x:c r="AA203" s="14" t="str">
        <x:v>HYPERLINK is not implemented. linkLocation=https://www.imdb.com/title/tt14488438/fullcredits/,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12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2</x:v>
      </x:c>
      <x:c r="BS203" s="16" t="n">
        <x:v>0.16666666666666666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HYPERLINK is not implemented. linkLocation=https://www.imdb.com/title/tt14488438/fullcredits/,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tt14488438|nm4319468|yemi</x:v>
      </x:c>
      <x:c r="B204" s="14" t="str">
        <x:v>02</x:v>
      </x:c>
      <x:c r="C204" s="14" t="str">
        <x:v>2023_IMDb_Cast_Lists_Batch_02(2).xlsx</x:v>
      </x:c>
      <x:c r="D204" s="14" t="str">
        <x:v>Dreaming Whilst Black</x:v>
      </x:c>
      <x:c r="E204" s="14" t="n">
        <x:v>43</x:v>
      </x:c>
      <x:c r="F204" s="14" t="str">
        <x:v>Dreaming Whilst Black</x:v>
      </x:c>
      <x:c r="G204" s="14" t="str">
        <x:v>tt14488438</x:v>
      </x:c>
      <x:c r="H204" s="14" t="n">
        <x:v>2023</x:v>
      </x:c>
      <x:c r="I204" s="14" t="n">
        <x:v>2025</x:v>
      </x:c>
      <x:c r="J204" s="14" t="str">
        <x:v>Earlier-Production Carry-In Cohort</x:v>
      </x:c>
      <x:c r="K204" s="14" t="n">
        <x:v>2023</x:v>
      </x:c>
      <x:c r="L204" s="14" t="str">
        <x:v>Not inherited</x:v>
      </x:c>
      <x:c r="M204" s="15" t="n">
        <x:v>36</x:v>
      </x:c>
      <x:c r="N204" s="14" t="str">
        <x:v>Joan Stephens</x:v>
      </x:c>
      <x:c r="O204" s="14" t="str">
        <x:v>nm4319468</x:v>
      </x:c>
      <x:c r="P204" s="14" t="str">
        <x:v>Yemi</x:v>
      </x:c>
      <x:c r="Q204" s="15" t="n">
        <x:v>2</x:v>
      </x:c>
      <x:c r="R204" s="14" t="str">
        <x:v>2025</x:v>
      </x:c>
      <x:c r="S204" s="14" t="n">
        <x:v>2025</x:v>
      </x:c>
      <x:c r="T204" s="14" t="n">
        <x:v>2025</x:v>
      </x:c>
      <x:c r="U204" s="14" t="str">
        <x:v>Explicit source first year retained</x:v>
      </x:c>
      <x:c r="V204" s="14" t="str">
        <x:v>Earliest supplied year is 2025.</x:v>
      </x:c>
      <x:c r="W204" s="14"/>
      <x:c r="X204" s="14" t="str">
        <x:v>Included</x:v>
      </x:c>
      <x:c r="Y204" s="14"/>
      <x:c r="Z204" s="14" t="str">
        <x:v>Dreaming Whilst Black.docx</x:v>
      </x:c>
      <x:c r="AA204" s="14" t="str">
        <x:v>HYPERLINK is not implemented. linkLocation=https://www.imdb.com/title/tt14488438/fullcredits/,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12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2</x:v>
      </x:c>
      <x:c r="BS204" s="16" t="n">
        <x:v>0.16666666666666666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HYPERLINK is not implemented. linkLocation=https://www.imdb.com/title/tt14488438/fullcredits/,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tt14488438|nm1264521|winston</x:v>
      </x:c>
      <x:c r="B205" s="14" t="str">
        <x:v>02</x:v>
      </x:c>
      <x:c r="C205" s="14" t="str">
        <x:v>2023_IMDb_Cast_Lists_Batch_02(2).xlsx</x:v>
      </x:c>
      <x:c r="D205" s="14" t="str">
        <x:v>Dreaming Whilst Black</x:v>
      </x:c>
      <x:c r="E205" s="14" t="n">
        <x:v>85</x:v>
      </x:c>
      <x:c r="F205" s="14" t="str">
        <x:v>Dreaming Whilst Black</x:v>
      </x:c>
      <x:c r="G205" s="14" t="str">
        <x:v>tt14488438</x:v>
      </x:c>
      <x:c r="H205" s="14" t="n">
        <x:v>2023</x:v>
      </x:c>
      <x:c r="I205" s="14" t="n">
        <x:v>2025</x:v>
      </x:c>
      <x:c r="J205" s="14" t="str">
        <x:v>Earlier-Production Carry-In Cohort</x:v>
      </x:c>
      <x:c r="K205" s="14" t="n">
        <x:v>2023</x:v>
      </x:c>
      <x:c r="L205" s="14" t="str">
        <x:v>Not inherited</x:v>
      </x:c>
      <x:c r="M205" s="15" t="n">
        <x:v>78</x:v>
      </x:c>
      <x:c r="N205" s="14" t="str">
        <x:v>Aidan McArdle</x:v>
      </x:c>
      <x:c r="O205" s="14" t="str">
        <x:v>nm1264521</x:v>
      </x:c>
      <x:c r="P205" s="14" t="str">
        <x:v>Winston</x:v>
      </x:c>
      <x:c r="Q205" s="15" t="n">
        <x:v>1</x:v>
      </x:c>
      <x:c r="R205" s="14" t="str">
        <x:v>2025</x:v>
      </x:c>
      <x:c r="S205" s="14" t="n">
        <x:v>2025</x:v>
      </x:c>
      <x:c r="T205" s="14" t="n">
        <x:v>2025</x:v>
      </x:c>
      <x:c r="U205" s="14" t="str">
        <x:v>Explicit source first year retained</x:v>
      </x:c>
      <x:c r="V205" s="14" t="str">
        <x:v>Earliest supplied year is 2025.</x:v>
      </x:c>
      <x:c r="W205" s="14"/>
      <x:c r="X205" s="14" t="str">
        <x:v>Included</x:v>
      </x:c>
      <x:c r="Y205" s="14"/>
      <x:c r="Z205" s="14" t="str">
        <x:v>Dreaming Whilst Black.docx</x:v>
      </x:c>
      <x:c r="AA205" s="14" t="str">
        <x:v>HYPERLINK is not implemented. linkLocation=https://www.imdb.com/title/tt14488438/fullcredits/,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12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0.08333333333333333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HYPERLINK is not implemented. linkLocation=https://www.imdb.com/title/tt14488438/fullcredits/,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tt14488438|nm0533489|pippa</x:v>
      </x:c>
      <x:c r="B206" s="14" t="str">
        <x:v>02</x:v>
      </x:c>
      <x:c r="C206" s="14" t="str">
        <x:v>2023_IMDb_Cast_Lists_Batch_02(2).xlsx</x:v>
      </x:c>
      <x:c r="D206" s="14" t="str">
        <x:v>Dreaming Whilst Black</x:v>
      </x:c>
      <x:c r="E206" s="14" t="n">
        <x:v>86</x:v>
      </x:c>
      <x:c r="F206" s="14" t="str">
        <x:v>Dreaming Whilst Black</x:v>
      </x:c>
      <x:c r="G206" s="14" t="str">
        <x:v>tt14488438</x:v>
      </x:c>
      <x:c r="H206" s="14" t="n">
        <x:v>2023</x:v>
      </x:c>
      <x:c r="I206" s="14" t="n">
        <x:v>2025</x:v>
      </x:c>
      <x:c r="J206" s="14" t="str">
        <x:v>Earlier-Production Carry-In Cohort</x:v>
      </x:c>
      <x:c r="K206" s="14" t="n">
        <x:v>2023</x:v>
      </x:c>
      <x:c r="L206" s="14" t="str">
        <x:v>Not inherited</x:v>
      </x:c>
      <x:c r="M206" s="15" t="n">
        <x:v>79</x:v>
      </x:c>
      <x:c r="N206" s="14" t="str">
        <x:v>Doon Mackichan</x:v>
      </x:c>
      <x:c r="O206" s="14" t="str">
        <x:v>nm0533489</x:v>
      </x:c>
      <x:c r="P206" s="14" t="str">
        <x:v>Pippa</x:v>
      </x:c>
      <x:c r="Q206" s="15" t="n">
        <x:v>1</x:v>
      </x:c>
      <x:c r="R206" s="14" t="str">
        <x:v>2025</x:v>
      </x:c>
      <x:c r="S206" s="14" t="n">
        <x:v>2025</x:v>
      </x:c>
      <x:c r="T206" s="14" t="n">
        <x:v>2025</x:v>
      </x:c>
      <x:c r="U206" s="14" t="str">
        <x:v>Explicit source first year retained</x:v>
      </x:c>
      <x:c r="V206" s="14" t="str">
        <x:v>Earliest supplied year is 2025.</x:v>
      </x:c>
      <x:c r="W206" s="14"/>
      <x:c r="X206" s="14" t="str">
        <x:v>Included</x:v>
      </x:c>
      <x:c r="Y206" s="14"/>
      <x:c r="Z206" s="14" t="str">
        <x:v>Dreaming Whilst Black.docx</x:v>
      </x:c>
      <x:c r="AA206" s="14" t="str">
        <x:v>HYPERLINK is not implemented. linkLocation=https://www.imdb.com/title/tt14488438/fullcredits/,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12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0.08333333333333333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HYPERLINK is not implemented. linkLocation=https://www.imdb.com/title/tt14488438/fullcredits/,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tt14488438|nm1835936|heather</x:v>
      </x:c>
      <x:c r="B207" s="14" t="str">
        <x:v>02</x:v>
      </x:c>
      <x:c r="C207" s="14" t="str">
        <x:v>2023_IMDb_Cast_Lists_Batch_02(2).xlsx</x:v>
      </x:c>
      <x:c r="D207" s="14" t="str">
        <x:v>Dreaming Whilst Black</x:v>
      </x:c>
      <x:c r="E207" s="14" t="n">
        <x:v>87</x:v>
      </x:c>
      <x:c r="F207" s="14" t="str">
        <x:v>Dreaming Whilst Black</x:v>
      </x:c>
      <x:c r="G207" s="14" t="str">
        <x:v>tt14488438</x:v>
      </x:c>
      <x:c r="H207" s="14" t="n">
        <x:v>2023</x:v>
      </x:c>
      <x:c r="I207" s="14" t="n">
        <x:v>2025</x:v>
      </x:c>
      <x:c r="J207" s="14" t="str">
        <x:v>Earlier-Production Carry-In Cohort</x:v>
      </x:c>
      <x:c r="K207" s="14" t="n">
        <x:v>2023</x:v>
      </x:c>
      <x:c r="L207" s="14" t="str">
        <x:v>Not inherited</x:v>
      </x:c>
      <x:c r="M207" s="15" t="n">
        <x:v>80</x:v>
      </x:c>
      <x:c r="N207" s="14" t="str">
        <x:v>Lucy Montgomery</x:v>
      </x:c>
      <x:c r="O207" s="14" t="str">
        <x:v>nm1835936</x:v>
      </x:c>
      <x:c r="P207" s="14" t="str">
        <x:v>Heather</x:v>
      </x:c>
      <x:c r="Q207" s="15" t="n">
        <x:v>1</x:v>
      </x:c>
      <x:c r="R207" s="14" t="str">
        <x:v>2025</x:v>
      </x:c>
      <x:c r="S207" s="14" t="n">
        <x:v>2025</x:v>
      </x:c>
      <x:c r="T207" s="14" t="n">
        <x:v>2025</x:v>
      </x:c>
      <x:c r="U207" s="14" t="str">
        <x:v>Explicit source first year retained</x:v>
      </x:c>
      <x:c r="V207" s="14" t="str">
        <x:v>Earliest supplied year is 2025.</x:v>
      </x:c>
      <x:c r="W207" s="14"/>
      <x:c r="X207" s="14" t="str">
        <x:v>Included</x:v>
      </x:c>
      <x:c r="Y207" s="14"/>
      <x:c r="Z207" s="14" t="str">
        <x:v>Dreaming Whilst Black.docx</x:v>
      </x:c>
      <x:c r="AA207" s="14" t="str">
        <x:v>HYPERLINK is not implemented. linkLocation=https://www.imdb.com/title/tt14488438/fullcredits/,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12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0.08333333333333333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HYPERLINK is not implemented. linkLocation=https://www.imdb.com/title/tt14488438/fullcredits/,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tt14488438|nm10862576|abdul</x:v>
      </x:c>
      <x:c r="B208" s="14" t="str">
        <x:v>02</x:v>
      </x:c>
      <x:c r="C208" s="14" t="str">
        <x:v>2023_IMDb_Cast_Lists_Batch_02(2).xlsx</x:v>
      </x:c>
      <x:c r="D208" s="14" t="str">
        <x:v>Dreaming Whilst Black</x:v>
      </x:c>
      <x:c r="E208" s="14" t="n">
        <x:v>88</x:v>
      </x:c>
      <x:c r="F208" s="14" t="str">
        <x:v>Dreaming Whilst Black</x:v>
      </x:c>
      <x:c r="G208" s="14" t="str">
        <x:v>tt14488438</x:v>
      </x:c>
      <x:c r="H208" s="14" t="n">
        <x:v>2023</x:v>
      </x:c>
      <x:c r="I208" s="14" t="n">
        <x:v>2025</x:v>
      </x:c>
      <x:c r="J208" s="14" t="str">
        <x:v>Earlier-Production Carry-In Cohort</x:v>
      </x:c>
      <x:c r="K208" s="14" t="n">
        <x:v>2023</x:v>
      </x:c>
      <x:c r="L208" s="14" t="str">
        <x:v>Not inherited</x:v>
      </x:c>
      <x:c r="M208" s="15" t="n">
        <x:v>81</x:v>
      </x:c>
      <x:c r="N208" s="14" t="str">
        <x:v>Michael Workeye</x:v>
      </x:c>
      <x:c r="O208" s="14" t="str">
        <x:v>nm10862576</x:v>
      </x:c>
      <x:c r="P208" s="14" t="str">
        <x:v>Abdul</x:v>
      </x:c>
      <x:c r="Q208" s="15" t="n">
        <x:v>1</x:v>
      </x:c>
      <x:c r="R208" s="14" t="str">
        <x:v>2025</x:v>
      </x:c>
      <x:c r="S208" s="14" t="n">
        <x:v>2025</x:v>
      </x:c>
      <x:c r="T208" s="14" t="n">
        <x:v>2025</x:v>
      </x:c>
      <x:c r="U208" s="14" t="str">
        <x:v>Explicit source first year retained</x:v>
      </x:c>
      <x:c r="V208" s="14" t="str">
        <x:v>Earliest supplied year is 2025.</x:v>
      </x:c>
      <x:c r="W208" s="14"/>
      <x:c r="X208" s="14" t="str">
        <x:v>Included</x:v>
      </x:c>
      <x:c r="Y208" s="14"/>
      <x:c r="Z208" s="14" t="str">
        <x:v>Dreaming Whilst Black.docx</x:v>
      </x:c>
      <x:c r="AA208" s="14" t="str">
        <x:v>HYPERLINK is not implemented. linkLocation=https://www.imdb.com/title/tt14488438/fullcredits/,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12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0.08333333333333333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HYPERLINK is not implemented. linkLocation=https://www.imdb.com/title/tt14488438/fullcredits/,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tt14488438|nm5728367|producer 2</x:v>
      </x:c>
      <x:c r="B209" s="14" t="str">
        <x:v>02</x:v>
      </x:c>
      <x:c r="C209" s="14" t="str">
        <x:v>2023_IMDb_Cast_Lists_Batch_02(2).xlsx</x:v>
      </x:c>
      <x:c r="D209" s="14" t="str">
        <x:v>Dreaming Whilst Black</x:v>
      </x:c>
      <x:c r="E209" s="14" t="n">
        <x:v>89</x:v>
      </x:c>
      <x:c r="F209" s="14" t="str">
        <x:v>Dreaming Whilst Black</x:v>
      </x:c>
      <x:c r="G209" s="14" t="str">
        <x:v>tt14488438</x:v>
      </x:c>
      <x:c r="H209" s="14" t="n">
        <x:v>2023</x:v>
      </x:c>
      <x:c r="I209" s="14" t="n">
        <x:v>2025</x:v>
      </x:c>
      <x:c r="J209" s="14" t="str">
        <x:v>Earlier-Production Carry-In Cohort</x:v>
      </x:c>
      <x:c r="K209" s="14" t="n">
        <x:v>2023</x:v>
      </x:c>
      <x:c r="L209" s="14" t="str">
        <x:v>Not inherited</x:v>
      </x:c>
      <x:c r="M209" s="15" t="n">
        <x:v>82</x:v>
      </x:c>
      <x:c r="N209" s="14" t="str">
        <x:v>Paul G. Raymond</x:v>
      </x:c>
      <x:c r="O209" s="14" t="str">
        <x:v>nm5728367</x:v>
      </x:c>
      <x:c r="P209" s="14" t="str">
        <x:v>Producer 2</x:v>
      </x:c>
      <x:c r="Q209" s="15" t="n">
        <x:v>1</x:v>
      </x:c>
      <x:c r="R209" s="14" t="str">
        <x:v>2025</x:v>
      </x:c>
      <x:c r="S209" s="14" t="n">
        <x:v>2025</x:v>
      </x:c>
      <x:c r="T209" s="14" t="n">
        <x:v>2025</x:v>
      </x:c>
      <x:c r="U209" s="14" t="str">
        <x:v>Explicit source first year retained</x:v>
      </x:c>
      <x:c r="V209" s="14" t="str">
        <x:v>Earliest supplied year is 2025.</x:v>
      </x:c>
      <x:c r="W209" s="14"/>
      <x:c r="X209" s="14" t="str">
        <x:v>Included</x:v>
      </x:c>
      <x:c r="Y209" s="14"/>
      <x:c r="Z209" s="14" t="str">
        <x:v>Dreaming Whilst Black.docx</x:v>
      </x:c>
      <x:c r="AA209" s="14" t="str">
        <x:v>HYPERLINK is not implemented. linkLocation=https://www.imdb.com/title/tt14488438/fullcredits/,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12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0.08333333333333333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HYPERLINK is not implemented. linkLocation=https://www.imdb.com/title/tt14488438/fullcredits/,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tt14488438|nm9378323|jamie</x:v>
      </x:c>
      <x:c r="B210" s="14" t="str">
        <x:v>02</x:v>
      </x:c>
      <x:c r="C210" s="14" t="str">
        <x:v>2023_IMDb_Cast_Lists_Batch_02(2).xlsx</x:v>
      </x:c>
      <x:c r="D210" s="14" t="str">
        <x:v>Dreaming Whilst Black</x:v>
      </x:c>
      <x:c r="E210" s="14" t="n">
        <x:v>90</x:v>
      </x:c>
      <x:c r="F210" s="14" t="str">
        <x:v>Dreaming Whilst Black</x:v>
      </x:c>
      <x:c r="G210" s="14" t="str">
        <x:v>tt14488438</x:v>
      </x:c>
      <x:c r="H210" s="14" t="n">
        <x:v>2023</x:v>
      </x:c>
      <x:c r="I210" s="14" t="n">
        <x:v>2025</x:v>
      </x:c>
      <x:c r="J210" s="14" t="str">
        <x:v>Earlier-Production Carry-In Cohort</x:v>
      </x:c>
      <x:c r="K210" s="14" t="n">
        <x:v>2023</x:v>
      </x:c>
      <x:c r="L210" s="14" t="str">
        <x:v>Not inherited</x:v>
      </x:c>
      <x:c r="M210" s="15" t="n">
        <x:v>83</x:v>
      </x:c>
      <x:c r="N210" s="14" t="str">
        <x:v>Alfredo Tavares</x:v>
      </x:c>
      <x:c r="O210" s="14" t="str">
        <x:v>nm9378323</x:v>
      </x:c>
      <x:c r="P210" s="14" t="str">
        <x:v>Jamie</x:v>
      </x:c>
      <x:c r="Q210" s="15" t="n">
        <x:v>1</x:v>
      </x:c>
      <x:c r="R210" s="14" t="str">
        <x:v>2025</x:v>
      </x:c>
      <x:c r="S210" s="14" t="n">
        <x:v>2025</x:v>
      </x:c>
      <x:c r="T210" s="14" t="n">
        <x:v>2025</x:v>
      </x:c>
      <x:c r="U210" s="14" t="str">
        <x:v>Explicit source first year retained</x:v>
      </x:c>
      <x:c r="V210" s="14" t="str">
        <x:v>Earliest supplied year is 2025.</x:v>
      </x:c>
      <x:c r="W210" s="14"/>
      <x:c r="X210" s="14" t="str">
        <x:v>Included</x:v>
      </x:c>
      <x:c r="Y210" s="14"/>
      <x:c r="Z210" s="14" t="str">
        <x:v>Dreaming Whilst Black.docx</x:v>
      </x:c>
      <x:c r="AA210" s="14" t="str">
        <x:v>HYPERLINK is not implemented. linkLocation=https://www.imdb.com/title/tt14488438/fullcredits/,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12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0.08333333333333333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4" t="str">
        <x:v>HYPERLINK is not implemented. linkLocation=https://www.imdb.com/title/tt14488438/fullcredits/,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tt14488438|nm0871548|producer</x:v>
      </x:c>
      <x:c r="B211" s="14" t="str">
        <x:v>02</x:v>
      </x:c>
      <x:c r="C211" s="14" t="str">
        <x:v>2023_IMDb_Cast_Lists_Batch_02(2).xlsx</x:v>
      </x:c>
      <x:c r="D211" s="14" t="str">
        <x:v>Dreaming Whilst Black</x:v>
      </x:c>
      <x:c r="E211" s="14" t="n">
        <x:v>91</x:v>
      </x:c>
      <x:c r="F211" s="14" t="str">
        <x:v>Dreaming Whilst Black</x:v>
      </x:c>
      <x:c r="G211" s="14" t="str">
        <x:v>tt14488438</x:v>
      </x:c>
      <x:c r="H211" s="14" t="n">
        <x:v>2023</x:v>
      </x:c>
      <x:c r="I211" s="14" t="n">
        <x:v>2025</x:v>
      </x:c>
      <x:c r="J211" s="14" t="str">
        <x:v>Earlier-Production Carry-In Cohort</x:v>
      </x:c>
      <x:c r="K211" s="14" t="n">
        <x:v>2023</x:v>
      </x:c>
      <x:c r="L211" s="14" t="str">
        <x:v>Not inherited</x:v>
      </x:c>
      <x:c r="M211" s="15" t="n">
        <x:v>84</x:v>
      </x:c>
      <x:c r="N211" s="14" t="str">
        <x:v>Jamie Treacher</x:v>
      </x:c>
      <x:c r="O211" s="14" t="str">
        <x:v>nm0871548</x:v>
      </x:c>
      <x:c r="P211" s="14" t="str">
        <x:v>Producer</x:v>
      </x:c>
      <x:c r="Q211" s="15" t="n">
        <x:v>1</x:v>
      </x:c>
      <x:c r="R211" s="14" t="str">
        <x:v>2025</x:v>
      </x:c>
      <x:c r="S211" s="14" t="n">
        <x:v>2025</x:v>
      </x:c>
      <x:c r="T211" s="14" t="n">
        <x:v>2025</x:v>
      </x:c>
      <x:c r="U211" s="14" t="str">
        <x:v>Explicit source first year retained</x:v>
      </x:c>
      <x:c r="V211" s="14" t="str">
        <x:v>Earliest supplied year is 2025.</x:v>
      </x:c>
      <x:c r="W211" s="14"/>
      <x:c r="X211" s="14" t="str">
        <x:v>Included</x:v>
      </x:c>
      <x:c r="Y211" s="14"/>
      <x:c r="Z211" s="14" t="str">
        <x:v>Dreaming Whilst Black.docx</x:v>
      </x:c>
      <x:c r="AA211" s="14" t="str">
        <x:v>HYPERLINK is not implemented. linkLocation=https://www.imdb.com/title/tt14488438/fullcredits/,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12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0.08333333333333333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4" t="str">
        <x:v>HYPERLINK is not implemented. linkLocation=https://www.imdb.com/title/tt14488438/fullcredits/,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tt14488438|nm12577601|patron 1</x:v>
      </x:c>
      <x:c r="B212" s="14" t="str">
        <x:v>02</x:v>
      </x:c>
      <x:c r="C212" s="14" t="str">
        <x:v>2023_IMDb_Cast_Lists_Batch_02(2).xlsx</x:v>
      </x:c>
      <x:c r="D212" s="14" t="str">
        <x:v>Dreaming Whilst Black</x:v>
      </x:c>
      <x:c r="E212" s="14" t="n">
        <x:v>92</x:v>
      </x:c>
      <x:c r="F212" s="14" t="str">
        <x:v>Dreaming Whilst Black</x:v>
      </x:c>
      <x:c r="G212" s="14" t="str">
        <x:v>tt14488438</x:v>
      </x:c>
      <x:c r="H212" s="14" t="n">
        <x:v>2023</x:v>
      </x:c>
      <x:c r="I212" s="14" t="n">
        <x:v>2025</x:v>
      </x:c>
      <x:c r="J212" s="14" t="str">
        <x:v>Earlier-Production Carry-In Cohort</x:v>
      </x:c>
      <x:c r="K212" s="14" t="n">
        <x:v>2023</x:v>
      </x:c>
      <x:c r="L212" s="14" t="str">
        <x:v>Not inherited</x:v>
      </x:c>
      <x:c r="M212" s="15" t="n">
        <x:v>85</x:v>
      </x:c>
      <x:c r="N212" s="14" t="str">
        <x:v>Cal-I Jonel</x:v>
      </x:c>
      <x:c r="O212" s="14" t="str">
        <x:v>nm12577601</x:v>
      </x:c>
      <x:c r="P212" s="14" t="str">
        <x:v>Patron 1</x:v>
      </x:c>
      <x:c r="Q212" s="15" t="n">
        <x:v>1</x:v>
      </x:c>
      <x:c r="R212" s="14" t="str">
        <x:v>2025</x:v>
      </x:c>
      <x:c r="S212" s="14" t="n">
        <x:v>2025</x:v>
      </x:c>
      <x:c r="T212" s="14" t="n">
        <x:v>2025</x:v>
      </x:c>
      <x:c r="U212" s="14" t="str">
        <x:v>Explicit source first year retained</x:v>
      </x:c>
      <x:c r="V212" s="14" t="str">
        <x:v>Earliest supplied year is 2025.</x:v>
      </x:c>
      <x:c r="W212" s="14"/>
      <x:c r="X212" s="14" t="str">
        <x:v>Included</x:v>
      </x:c>
      <x:c r="Y212" s="14"/>
      <x:c r="Z212" s="14" t="str">
        <x:v>Dreaming Whilst Black.docx</x:v>
      </x:c>
      <x:c r="AA212" s="14" t="str">
        <x:v>HYPERLINK is not implemented. linkLocation=https://www.imdb.com/title/tt14488438/fullcredits/,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1</x:v>
      </x:c>
      <x:c r="BS212" s="16" t="n">
        <x:v>0.08333333333333333</x:v>
      </x:c>
      <x:c r="BT212" s="14" t="str">
        <x:v>One episode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4" t="str">
        <x:v>HYPERLINK is not implemented. linkLocation=https://www.imdb.com/title/tt14488438/fullcredits/,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tt14488438|nm13316152|caricaturist</x:v>
      </x:c>
      <x:c r="B213" s="14" t="str">
        <x:v>02</x:v>
      </x:c>
      <x:c r="C213" s="14" t="str">
        <x:v>2023_IMDb_Cast_Lists_Batch_02(2).xlsx</x:v>
      </x:c>
      <x:c r="D213" s="14" t="str">
        <x:v>Dreaming Whilst Black</x:v>
      </x:c>
      <x:c r="E213" s="14" t="n">
        <x:v>93</x:v>
      </x:c>
      <x:c r="F213" s="14" t="str">
        <x:v>Dreaming Whilst Black</x:v>
      </x:c>
      <x:c r="G213" s="14" t="str">
        <x:v>tt14488438</x:v>
      </x:c>
      <x:c r="H213" s="14" t="n">
        <x:v>2023</x:v>
      </x:c>
      <x:c r="I213" s="14" t="n">
        <x:v>2025</x:v>
      </x:c>
      <x:c r="J213" s="14" t="str">
        <x:v>Earlier-Production Carry-In Cohort</x:v>
      </x:c>
      <x:c r="K213" s="14" t="n">
        <x:v>2023</x:v>
      </x:c>
      <x:c r="L213" s="14" t="str">
        <x:v>Not inherited</x:v>
      </x:c>
      <x:c r="M213" s="15" t="n">
        <x:v>86</x:v>
      </x:c>
      <x:c r="N213" s="14" t="str">
        <x:v>Constantine Andronikou</x:v>
      </x:c>
      <x:c r="O213" s="14" t="str">
        <x:v>nm13316152</x:v>
      </x:c>
      <x:c r="P213" s="14" t="str">
        <x:v>Caricaturist</x:v>
      </x:c>
      <x:c r="Q213" s="15" t="n">
        <x:v>1</x:v>
      </x:c>
      <x:c r="R213" s="14" t="str">
        <x:v>2025</x:v>
      </x:c>
      <x:c r="S213" s="14" t="n">
        <x:v>2025</x:v>
      </x:c>
      <x:c r="T213" s="14" t="n">
        <x:v>2025</x:v>
      </x:c>
      <x:c r="U213" s="14" t="str">
        <x:v>Explicit source first year retained</x:v>
      </x:c>
      <x:c r="V213" s="14" t="str">
        <x:v>Earliest supplied year is 2025.</x:v>
      </x:c>
      <x:c r="W213" s="14"/>
      <x:c r="X213" s="14" t="str">
        <x:v>Included</x:v>
      </x:c>
      <x:c r="Y213" s="14"/>
      <x:c r="Z213" s="14" t="str">
        <x:v>Dreaming Whilst Black.docx</x:v>
      </x:c>
      <x:c r="AA213" s="14" t="str">
        <x:v>HYPERLINK is not implemented. linkLocation=https://www.imdb.com/title/tt14488438/fullcredits/,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1</x:v>
      </x:c>
      <x:c r="BS213" s="16" t="n">
        <x:v>0.08333333333333333</x:v>
      </x:c>
      <x:c r="BT213" s="14" t="str">
        <x:v>One episode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4" t="str">
        <x:v>HYPERLINK is not implemented. linkLocation=https://www.imdb.com/title/tt14488438/fullcredits/,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tt14488438|nm4820932|security guard</x:v>
      </x:c>
      <x:c r="B214" s="14" t="str">
        <x:v>02</x:v>
      </x:c>
      <x:c r="C214" s="14" t="str">
        <x:v>2023_IMDb_Cast_Lists_Batch_02(2).xlsx</x:v>
      </x:c>
      <x:c r="D214" s="14" t="str">
        <x:v>Dreaming Whilst Black</x:v>
      </x:c>
      <x:c r="E214" s="14" t="n">
        <x:v>94</x:v>
      </x:c>
      <x:c r="F214" s="14" t="str">
        <x:v>Dreaming Whilst Black</x:v>
      </x:c>
      <x:c r="G214" s="14" t="str">
        <x:v>tt14488438</x:v>
      </x:c>
      <x:c r="H214" s="14" t="n">
        <x:v>2023</x:v>
      </x:c>
      <x:c r="I214" s="14" t="n">
        <x:v>2025</x:v>
      </x:c>
      <x:c r="J214" s="14" t="str">
        <x:v>Earlier-Production Carry-In Cohort</x:v>
      </x:c>
      <x:c r="K214" s="14" t="n">
        <x:v>2023</x:v>
      </x:c>
      <x:c r="L214" s="14" t="str">
        <x:v>Not inherited</x:v>
      </x:c>
      <x:c r="M214" s="15" t="n">
        <x:v>87</x:v>
      </x:c>
      <x:c r="N214" s="14" t="str">
        <x:v>Christine Dalby</x:v>
      </x:c>
      <x:c r="O214" s="14" t="str">
        <x:v>nm4820932</x:v>
      </x:c>
      <x:c r="P214" s="14" t="str">
        <x:v>Security Guard</x:v>
      </x:c>
      <x:c r="Q214" s="15" t="n">
        <x:v>1</x:v>
      </x:c>
      <x:c r="R214" s="14" t="str">
        <x:v>2025</x:v>
      </x:c>
      <x:c r="S214" s="14" t="n">
        <x:v>2025</x:v>
      </x:c>
      <x:c r="T214" s="14" t="n">
        <x:v>2025</x:v>
      </x:c>
      <x:c r="U214" s="14" t="str">
        <x:v>Explicit source first year retained</x:v>
      </x:c>
      <x:c r="V214" s="14" t="str">
        <x:v>Earliest supplied year is 2025.</x:v>
      </x:c>
      <x:c r="W214" s="14"/>
      <x:c r="X214" s="14" t="str">
        <x:v>Included</x:v>
      </x:c>
      <x:c r="Y214" s="14"/>
      <x:c r="Z214" s="14" t="str">
        <x:v>Dreaming Whilst Black.docx</x:v>
      </x:c>
      <x:c r="AA214" s="14" t="str">
        <x:v>HYPERLINK is not implemented. linkLocation=https://www.imdb.com/title/tt14488438/fullcredits/,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1</x:v>
      </x:c>
      <x:c r="BS214" s="16" t="n">
        <x:v>0.08333333333333333</x:v>
      </x:c>
      <x:c r="BT214" s="14" t="str">
        <x:v>One episode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4" t="str">
        <x:v>HYPERLINK is not implemented. linkLocation=https://www.imdb.com/title/tt14488438/fullcredits/,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tt14488438|nm13412512|presenter</x:v>
      </x:c>
      <x:c r="B215" s="14" t="str">
        <x:v>02</x:v>
      </x:c>
      <x:c r="C215" s="14" t="str">
        <x:v>2023_IMDb_Cast_Lists_Batch_02(2).xlsx</x:v>
      </x:c>
      <x:c r="D215" s="14" t="str">
        <x:v>Dreaming Whilst Black</x:v>
      </x:c>
      <x:c r="E215" s="14" t="n">
        <x:v>95</x:v>
      </x:c>
      <x:c r="F215" s="14" t="str">
        <x:v>Dreaming Whilst Black</x:v>
      </x:c>
      <x:c r="G215" s="14" t="str">
        <x:v>tt14488438</x:v>
      </x:c>
      <x:c r="H215" s="14" t="n">
        <x:v>2023</x:v>
      </x:c>
      <x:c r="I215" s="14" t="n">
        <x:v>2025</x:v>
      </x:c>
      <x:c r="J215" s="14" t="str">
        <x:v>Earlier-Production Carry-In Cohort</x:v>
      </x:c>
      <x:c r="K215" s="14" t="n">
        <x:v>2023</x:v>
      </x:c>
      <x:c r="L215" s="14" t="str">
        <x:v>Not inherited</x:v>
      </x:c>
      <x:c r="M215" s="15" t="n">
        <x:v>88</x:v>
      </x:c>
      <x:c r="N215" s="14" t="str">
        <x:v>Victoria Duthie</x:v>
      </x:c>
      <x:c r="O215" s="14" t="str">
        <x:v>nm13412512</x:v>
      </x:c>
      <x:c r="P215" s="14" t="str">
        <x:v>Presenter</x:v>
      </x:c>
      <x:c r="Q215" s="15" t="n">
        <x:v>1</x:v>
      </x:c>
      <x:c r="R215" s="14" t="str">
        <x:v>2025</x:v>
      </x:c>
      <x:c r="S215" s="14" t="n">
        <x:v>2025</x:v>
      </x:c>
      <x:c r="T215" s="14" t="n">
        <x:v>2025</x:v>
      </x:c>
      <x:c r="U215" s="14" t="str">
        <x:v>Explicit source first year retained</x:v>
      </x:c>
      <x:c r="V215" s="14" t="str">
        <x:v>Earliest supplied year is 2025.</x:v>
      </x:c>
      <x:c r="W215" s="14"/>
      <x:c r="X215" s="14" t="str">
        <x:v>Included</x:v>
      </x:c>
      <x:c r="Y215" s="14"/>
      <x:c r="Z215" s="14" t="str">
        <x:v>Dreaming Whilst Black.docx</x:v>
      </x:c>
      <x:c r="AA215" s="14" t="str">
        <x:v>HYPERLINK is not implemented. linkLocation=https://www.imdb.com/title/tt14488438/fullcredits/,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1</x:v>
      </x:c>
      <x:c r="BS215" s="16" t="n">
        <x:v>0.08333333333333333</x:v>
      </x:c>
      <x:c r="BT215" s="14" t="str">
        <x:v>One episode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4" t="str">
        <x:v>HYPERLINK is not implemented. linkLocation=https://www.imdb.com/title/tt14488438/fullcredits/,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tt14488438|nm9286296|katie</x:v>
      </x:c>
      <x:c r="B216" s="14" t="str">
        <x:v>02</x:v>
      </x:c>
      <x:c r="C216" s="14" t="str">
        <x:v>2023_IMDb_Cast_Lists_Batch_02(2).xlsx</x:v>
      </x:c>
      <x:c r="D216" s="14" t="str">
        <x:v>Dreaming Whilst Black</x:v>
      </x:c>
      <x:c r="E216" s="14" t="n">
        <x:v>96</x:v>
      </x:c>
      <x:c r="F216" s="14" t="str">
        <x:v>Dreaming Whilst Black</x:v>
      </x:c>
      <x:c r="G216" s="14" t="str">
        <x:v>tt14488438</x:v>
      </x:c>
      <x:c r="H216" s="14" t="n">
        <x:v>2023</x:v>
      </x:c>
      <x:c r="I216" s="14" t="n">
        <x:v>2025</x:v>
      </x:c>
      <x:c r="J216" s="14" t="str">
        <x:v>Earlier-Production Carry-In Cohort</x:v>
      </x:c>
      <x:c r="K216" s="14" t="n">
        <x:v>2023</x:v>
      </x:c>
      <x:c r="L216" s="14" t="str">
        <x:v>Not inherited</x:v>
      </x:c>
      <x:c r="M216" s="15" t="n">
        <x:v>89</x:v>
      </x:c>
      <x:c r="N216" s="14" t="str">
        <x:v>Emmy Stonelake</x:v>
      </x:c>
      <x:c r="O216" s="14" t="str">
        <x:v>nm9286296</x:v>
      </x:c>
      <x:c r="P216" s="14" t="str">
        <x:v>Katie</x:v>
      </x:c>
      <x:c r="Q216" s="15" t="n">
        <x:v>1</x:v>
      </x:c>
      <x:c r="R216" s="14" t="str">
        <x:v>2025</x:v>
      </x:c>
      <x:c r="S216" s="14" t="n">
        <x:v>2025</x:v>
      </x:c>
      <x:c r="T216" s="14" t="n">
        <x:v>2025</x:v>
      </x:c>
      <x:c r="U216" s="14" t="str">
        <x:v>Explicit source first year retained</x:v>
      </x:c>
      <x:c r="V216" s="14" t="str">
        <x:v>Earliest supplied year is 2025.</x:v>
      </x:c>
      <x:c r="W216" s="14"/>
      <x:c r="X216" s="14" t="str">
        <x:v>Included</x:v>
      </x:c>
      <x:c r="Y216" s="14"/>
      <x:c r="Z216" s="14" t="str">
        <x:v>Dreaming Whilst Black.docx</x:v>
      </x:c>
      <x:c r="AA216" s="14" t="str">
        <x:v>HYPERLINK is not implemented. linkLocation=https://www.imdb.com/title/tt14488438/fullcredits/,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1</x:v>
      </x:c>
      <x:c r="BS216" s="16" t="n">
        <x:v>0.08333333333333333</x:v>
      </x:c>
      <x:c r="BT216" s="14" t="str">
        <x:v>One episode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4" t="str">
        <x:v>HYPERLINK is not implemented. linkLocation=https://www.imdb.com/title/tt14488438/fullcredits/,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tt14488438|nm7881890|french waiter</x:v>
      </x:c>
      <x:c r="B217" s="14" t="str">
        <x:v>02</x:v>
      </x:c>
      <x:c r="C217" s="14" t="str">
        <x:v>2023_IMDb_Cast_Lists_Batch_02(2).xlsx</x:v>
      </x:c>
      <x:c r="D217" s="14" t="str">
        <x:v>Dreaming Whilst Black</x:v>
      </x:c>
      <x:c r="E217" s="14" t="n">
        <x:v>97</x:v>
      </x:c>
      <x:c r="F217" s="14" t="str">
        <x:v>Dreaming Whilst Black</x:v>
      </x:c>
      <x:c r="G217" s="14" t="str">
        <x:v>tt14488438</x:v>
      </x:c>
      <x:c r="H217" s="14" t="n">
        <x:v>2023</x:v>
      </x:c>
      <x:c r="I217" s="14" t="n">
        <x:v>2025</x:v>
      </x:c>
      <x:c r="J217" s="14" t="str">
        <x:v>Earlier-Production Carry-In Cohort</x:v>
      </x:c>
      <x:c r="K217" s="14" t="n">
        <x:v>2023</x:v>
      </x:c>
      <x:c r="L217" s="14" t="str">
        <x:v>Not inherited</x:v>
      </x:c>
      <x:c r="M217" s="15" t="n">
        <x:v>90</x:v>
      </x:c>
      <x:c r="N217" s="14" t="str">
        <x:v>Alexis Larrue</x:v>
      </x:c>
      <x:c r="O217" s="14" t="str">
        <x:v>nm7881890</x:v>
      </x:c>
      <x:c r="P217" s="14" t="str">
        <x:v>French Waiter</x:v>
      </x:c>
      <x:c r="Q217" s="15" t="n">
        <x:v>1</x:v>
      </x:c>
      <x:c r="R217" s="14" t="str">
        <x:v>2025</x:v>
      </x:c>
      <x:c r="S217" s="14" t="n">
        <x:v>2025</x:v>
      </x:c>
      <x:c r="T217" s="14" t="n">
        <x:v>2025</x:v>
      </x:c>
      <x:c r="U217" s="14" t="str">
        <x:v>Explicit source first year retained</x:v>
      </x:c>
      <x:c r="V217" s="14" t="str">
        <x:v>Earliest supplied year is 2025.</x:v>
      </x:c>
      <x:c r="W217" s="14"/>
      <x:c r="X217" s="14" t="str">
        <x:v>Included</x:v>
      </x:c>
      <x:c r="Y217" s="14"/>
      <x:c r="Z217" s="14" t="str">
        <x:v>Dreaming Whilst Black.docx</x:v>
      </x:c>
      <x:c r="AA217" s="14" t="str">
        <x:v>HYPERLINK is not implemented. linkLocation=https://www.imdb.com/title/tt14488438/fullcredits/,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1</x:v>
      </x:c>
      <x:c r="BS217" s="16" t="n">
        <x:v>0.08333333333333333</x:v>
      </x:c>
      <x:c r="BT217" s="14" t="str">
        <x:v>One episode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4" t="str">
        <x:v>HYPERLINK is not implemented. linkLocation=https://www.imdb.com/title/tt14488438/fullcredits/,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tt14488438|nm2120534|producer 3</x:v>
      </x:c>
      <x:c r="B218" s="14" t="str">
        <x:v>02</x:v>
      </x:c>
      <x:c r="C218" s="14" t="str">
        <x:v>2023_IMDb_Cast_Lists_Batch_02(2).xlsx</x:v>
      </x:c>
      <x:c r="D218" s="14" t="str">
        <x:v>Dreaming Whilst Black</x:v>
      </x:c>
      <x:c r="E218" s="14" t="n">
        <x:v>98</x:v>
      </x:c>
      <x:c r="F218" s="14" t="str">
        <x:v>Dreaming Whilst Black</x:v>
      </x:c>
      <x:c r="G218" s="14" t="str">
        <x:v>tt14488438</x:v>
      </x:c>
      <x:c r="H218" s="14" t="n">
        <x:v>2023</x:v>
      </x:c>
      <x:c r="I218" s="14" t="n">
        <x:v>2025</x:v>
      </x:c>
      <x:c r="J218" s="14" t="str">
        <x:v>Earlier-Production Carry-In Cohort</x:v>
      </x:c>
      <x:c r="K218" s="14" t="n">
        <x:v>2023</x:v>
      </x:c>
      <x:c r="L218" s="14" t="str">
        <x:v>Not inherited</x:v>
      </x:c>
      <x:c r="M218" s="15" t="n">
        <x:v>91</x:v>
      </x:c>
      <x:c r="N218" s="14" t="str">
        <x:v>Eleanor Brunsdon</x:v>
      </x:c>
      <x:c r="O218" s="14" t="str">
        <x:v>nm2120534</x:v>
      </x:c>
      <x:c r="P218" s="14" t="str">
        <x:v>Producer 3</x:v>
      </x:c>
      <x:c r="Q218" s="15" t="n">
        <x:v>1</x:v>
      </x:c>
      <x:c r="R218" s="14" t="str">
        <x:v>2025</x:v>
      </x:c>
      <x:c r="S218" s="14" t="n">
        <x:v>2025</x:v>
      </x:c>
      <x:c r="T218" s="14" t="n">
        <x:v>2025</x:v>
      </x:c>
      <x:c r="U218" s="14" t="str">
        <x:v>Explicit source first year retained</x:v>
      </x:c>
      <x:c r="V218" s="14" t="str">
        <x:v>Earliest supplied year is 2025.</x:v>
      </x:c>
      <x:c r="W218" s="14"/>
      <x:c r="X218" s="14" t="str">
        <x:v>Included</x:v>
      </x:c>
      <x:c r="Y218" s="14"/>
      <x:c r="Z218" s="14" t="str">
        <x:v>Dreaming Whilst Black.docx</x:v>
      </x:c>
      <x:c r="AA218" s="14" t="str">
        <x:v>HYPERLINK is not implemented. linkLocation=https://www.imdb.com/title/tt14488438/fullcredits/,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0.08333333333333333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4" t="str">
        <x:v>HYPERLINK is not implemented. linkLocation=https://www.imdb.com/title/tt14488438/fullcredits/,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tt14488438|nm15867461|theatre manager</x:v>
      </x:c>
      <x:c r="B219" s="14" t="str">
        <x:v>02</x:v>
      </x:c>
      <x:c r="C219" s="14" t="str">
        <x:v>2023_IMDb_Cast_Lists_Batch_02(2).xlsx</x:v>
      </x:c>
      <x:c r="D219" s="14" t="str">
        <x:v>Dreaming Whilst Black</x:v>
      </x:c>
      <x:c r="E219" s="14" t="n">
        <x:v>99</x:v>
      </x:c>
      <x:c r="F219" s="14" t="str">
        <x:v>Dreaming Whilst Black</x:v>
      </x:c>
      <x:c r="G219" s="14" t="str">
        <x:v>tt14488438</x:v>
      </x:c>
      <x:c r="H219" s="14" t="n">
        <x:v>2023</x:v>
      </x:c>
      <x:c r="I219" s="14" t="n">
        <x:v>2025</x:v>
      </x:c>
      <x:c r="J219" s="14" t="str">
        <x:v>Earlier-Production Carry-In Cohort</x:v>
      </x:c>
      <x:c r="K219" s="14" t="n">
        <x:v>2023</x:v>
      </x:c>
      <x:c r="L219" s="14" t="str">
        <x:v>Not inherited</x:v>
      </x:c>
      <x:c r="M219" s="15" t="n">
        <x:v>92</x:v>
      </x:c>
      <x:c r="N219" s="14" t="str">
        <x:v>Joanne Gray</x:v>
      </x:c>
      <x:c r="O219" s="14" t="str">
        <x:v>nm15867461</x:v>
      </x:c>
      <x:c r="P219" s="14" t="str">
        <x:v>Theatre Manager</x:v>
      </x:c>
      <x:c r="Q219" s="15" t="n">
        <x:v>1</x:v>
      </x:c>
      <x:c r="R219" s="14" t="str">
        <x:v>2025</x:v>
      </x:c>
      <x:c r="S219" s="14" t="n">
        <x:v>2025</x:v>
      </x:c>
      <x:c r="T219" s="14" t="n">
        <x:v>2025</x:v>
      </x:c>
      <x:c r="U219" s="14" t="str">
        <x:v>Explicit source first year retained</x:v>
      </x:c>
      <x:c r="V219" s="14" t="str">
        <x:v>Earliest supplied year is 2025.</x:v>
      </x:c>
      <x:c r="W219" s="14"/>
      <x:c r="X219" s="14" t="str">
        <x:v>Included</x:v>
      </x:c>
      <x:c r="Y219" s="14"/>
      <x:c r="Z219" s="14" t="str">
        <x:v>Dreaming Whilst Black.docx</x:v>
      </x:c>
      <x:c r="AA219" s="14" t="str">
        <x:v>HYPERLINK is not implemented. linkLocation=https://www.imdb.com/title/tt14488438/fullcredits/,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0.08333333333333333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4" t="str">
        <x:v>HYPERLINK is not implemented. linkLocation=https://www.imdb.com/title/tt14488438/fullcredits/,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tt14488438|nm17693857|jesse</x:v>
      </x:c>
      <x:c r="B220" s="14" t="str">
        <x:v>02</x:v>
      </x:c>
      <x:c r="C220" s="14" t="str">
        <x:v>2023_IMDb_Cast_Lists_Batch_02(2).xlsx</x:v>
      </x:c>
      <x:c r="D220" s="14" t="str">
        <x:v>Dreaming Whilst Black</x:v>
      </x:c>
      <x:c r="E220" s="14" t="n">
        <x:v>100</x:v>
      </x:c>
      <x:c r="F220" s="14" t="str">
        <x:v>Dreaming Whilst Black</x:v>
      </x:c>
      <x:c r="G220" s="14" t="str">
        <x:v>tt14488438</x:v>
      </x:c>
      <x:c r="H220" s="14" t="n">
        <x:v>2023</x:v>
      </x:c>
      <x:c r="I220" s="14" t="n">
        <x:v>2025</x:v>
      </x:c>
      <x:c r="J220" s="14" t="str">
        <x:v>Earlier-Production Carry-In Cohort</x:v>
      </x:c>
      <x:c r="K220" s="14" t="n">
        <x:v>2023</x:v>
      </x:c>
      <x:c r="L220" s="14" t="str">
        <x:v>Not inherited</x:v>
      </x:c>
      <x:c r="M220" s="15" t="n">
        <x:v>93</x:v>
      </x:c>
      <x:c r="N220" s="14" t="str">
        <x:v>Tyrone Forde</x:v>
      </x:c>
      <x:c r="O220" s="14" t="str">
        <x:v>nm17693857</x:v>
      </x:c>
      <x:c r="P220" s="14" t="str">
        <x:v>Jesse</x:v>
      </x:c>
      <x:c r="Q220" s="15" t="n">
        <x:v>1</x:v>
      </x:c>
      <x:c r="R220" s="14" t="str">
        <x:v>2025</x:v>
      </x:c>
      <x:c r="S220" s="14" t="n">
        <x:v>2025</x:v>
      </x:c>
      <x:c r="T220" s="14" t="n">
        <x:v>2025</x:v>
      </x:c>
      <x:c r="U220" s="14" t="str">
        <x:v>Explicit source first year retained</x:v>
      </x:c>
      <x:c r="V220" s="14" t="str">
        <x:v>Earliest supplied year is 2025.</x:v>
      </x:c>
      <x:c r="W220" s="14"/>
      <x:c r="X220" s="14" t="str">
        <x:v>Included</x:v>
      </x:c>
      <x:c r="Y220" s="14"/>
      <x:c r="Z220" s="14" t="str">
        <x:v>Dreaming Whilst Black.docx</x:v>
      </x:c>
      <x:c r="AA220" s="14" t="str">
        <x:v>HYPERLINK is not implemented. linkLocation=https://www.imdb.com/title/tt14488438/fullcredits/,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0.08333333333333333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4" t="str">
        <x:v>HYPERLINK is not implemented. linkLocation=https://www.imdb.com/title/tt14488438/fullcredits/,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tt14488438|nm14045891|patron 2</x:v>
      </x:c>
      <x:c r="B221" s="14" t="str">
        <x:v>02</x:v>
      </x:c>
      <x:c r="C221" s="14" t="str">
        <x:v>2023_IMDb_Cast_Lists_Batch_02(2).xlsx</x:v>
      </x:c>
      <x:c r="D221" s="14" t="str">
        <x:v>Dreaming Whilst Black</x:v>
      </x:c>
      <x:c r="E221" s="14" t="n">
        <x:v>101</x:v>
      </x:c>
      <x:c r="F221" s="14" t="str">
        <x:v>Dreaming Whilst Black</x:v>
      </x:c>
      <x:c r="G221" s="14" t="str">
        <x:v>tt14488438</x:v>
      </x:c>
      <x:c r="H221" s="14" t="n">
        <x:v>2023</x:v>
      </x:c>
      <x:c r="I221" s="14" t="n">
        <x:v>2025</x:v>
      </x:c>
      <x:c r="J221" s="14" t="str">
        <x:v>Earlier-Production Carry-In Cohort</x:v>
      </x:c>
      <x:c r="K221" s="14" t="n">
        <x:v>2023</x:v>
      </x:c>
      <x:c r="L221" s="14" t="str">
        <x:v>Not inherited</x:v>
      </x:c>
      <x:c r="M221" s="15" t="n">
        <x:v>94</x:v>
      </x:c>
      <x:c r="N221" s="14" t="str">
        <x:v>Connor Going</x:v>
      </x:c>
      <x:c r="O221" s="14" t="str">
        <x:v>nm14045891</x:v>
      </x:c>
      <x:c r="P221" s="14" t="str">
        <x:v>Patron 2</x:v>
      </x:c>
      <x:c r="Q221" s="15" t="n">
        <x:v>1</x:v>
      </x:c>
      <x:c r="R221" s="14" t="str">
        <x:v>2025</x:v>
      </x:c>
      <x:c r="S221" s="14" t="n">
        <x:v>2025</x:v>
      </x:c>
      <x:c r="T221" s="14" t="n">
        <x:v>2025</x:v>
      </x:c>
      <x:c r="U221" s="14" t="str">
        <x:v>Explicit source first year retained</x:v>
      </x:c>
      <x:c r="V221" s="14" t="str">
        <x:v>Earliest supplied year is 2025.</x:v>
      </x:c>
      <x:c r="W221" s="14"/>
      <x:c r="X221" s="14" t="str">
        <x:v>Included</x:v>
      </x:c>
      <x:c r="Y221" s="14"/>
      <x:c r="Z221" s="14" t="str">
        <x:v>Dreaming Whilst Black.docx</x:v>
      </x:c>
      <x:c r="AA221" s="14" t="str">
        <x:v>HYPERLINK is not implemented. linkLocation=https://www.imdb.com/title/tt14488438/fullcredits/,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0.08333333333333333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4" t="str">
        <x:v>HYPERLINK is not implemented. linkLocation=https://www.imdb.com/title/tt14488438/fullcredits/,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tt14488438|nm12206208|abu</x:v>
      </x:c>
      <x:c r="B222" s="14" t="str">
        <x:v>02</x:v>
      </x:c>
      <x:c r="C222" s="14" t="str">
        <x:v>2023_IMDb_Cast_Lists_Batch_02(2).xlsx</x:v>
      </x:c>
      <x:c r="D222" s="14" t="str">
        <x:v>Dreaming Whilst Black</x:v>
      </x:c>
      <x:c r="E222" s="14" t="n">
        <x:v>102</x:v>
      </x:c>
      <x:c r="F222" s="14" t="str">
        <x:v>Dreaming Whilst Black</x:v>
      </x:c>
      <x:c r="G222" s="14" t="str">
        <x:v>tt14488438</x:v>
      </x:c>
      <x:c r="H222" s="14" t="n">
        <x:v>2023</x:v>
      </x:c>
      <x:c r="I222" s="14" t="n">
        <x:v>2025</x:v>
      </x:c>
      <x:c r="J222" s="14" t="str">
        <x:v>Earlier-Production Carry-In Cohort</x:v>
      </x:c>
      <x:c r="K222" s="14" t="n">
        <x:v>2023</x:v>
      </x:c>
      <x:c r="L222" s="14" t="str">
        <x:v>Not inherited</x:v>
      </x:c>
      <x:c r="M222" s="15" t="n">
        <x:v>95</x:v>
      </x:c>
      <x:c r="N222" s="14" t="str">
        <x:v>Harel Glazer</x:v>
      </x:c>
      <x:c r="O222" s="14" t="str">
        <x:v>nm12206208</x:v>
      </x:c>
      <x:c r="P222" s="14" t="str">
        <x:v>Abu</x:v>
      </x:c>
      <x:c r="Q222" s="15" t="n">
        <x:v>1</x:v>
      </x:c>
      <x:c r="R222" s="14" t="str">
        <x:v>2025</x:v>
      </x:c>
      <x:c r="S222" s="14" t="n">
        <x:v>2025</x:v>
      </x:c>
      <x:c r="T222" s="14" t="n">
        <x:v>2025</x:v>
      </x:c>
      <x:c r="U222" s="14" t="str">
        <x:v>Explicit source first year retained</x:v>
      </x:c>
      <x:c r="V222" s="14" t="str">
        <x:v>Earliest supplied year is 2025.</x:v>
      </x:c>
      <x:c r="W222" s="14"/>
      <x:c r="X222" s="14" t="str">
        <x:v>Included</x:v>
      </x:c>
      <x:c r="Y222" s="14"/>
      <x:c r="Z222" s="14" t="str">
        <x:v>Dreaming Whilst Black.docx</x:v>
      </x:c>
      <x:c r="AA222" s="14" t="str">
        <x:v>HYPERLINK is not implemented. linkLocation=https://www.imdb.com/title/tt14488438/fullcredits/,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HYPERLINK("https://en.wikipedia.org/wiki/Dreaming_Whilst_Black","Open source")</x:f>
        <x:v>HYPERLINK is not implemented. linkLocation=https://en.wikipedia.org/wiki/Dreaming_Whilst_Black, friendlyName=Open source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0.08333333333333333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4" t="str">
        <x:v>HYPERLINK is not implemented. linkLocation=https://www.imdb.com/title/tt14488438/fullcredits/,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tt20918594|nm3433735|dr. james ford</x:v>
      </x:c>
      <x:c r="B223" s="14" t="str">
        <x:v>02</x:v>
      </x:c>
      <x:c r="C223" s="14" t="str">
        <x:v>2023_IMDb_Cast_Lists_Batch_02(2).xlsx</x:v>
      </x:c>
      <x:c r="D223" s="14" t="str">
        <x:v>Malpractice</x:v>
      </x:c>
      <x:c r="E223" s="14" t="n">
        <x:v>13</x:v>
      </x:c>
      <x:c r="F223" s="14" t="str">
        <x:v>Malpractice</x:v>
      </x:c>
      <x:c r="G223" s="14" t="str">
        <x:v>tt20918594</x:v>
      </x:c>
      <x:c r="H223" s="14" t="n">
        <x:v>2023</x:v>
      </x:c>
      <x:c r="I223" s="14" t="n">
        <x:v>2025</x:v>
      </x:c>
      <x:c r="J223" s="14" t="str">
        <x:v>Earlier-Production Carry-In Cohort</x:v>
      </x:c>
      <x:c r="K223" s="14" t="n">
        <x:v>2023</x:v>
      </x:c>
      <x:c r="L223" s="14" t="str">
        <x:v>Not inherited</x:v>
      </x:c>
      <x:c r="M223" s="15" t="n">
        <x:v>6</x:v>
      </x:c>
      <x:c r="N223" s="14" t="str">
        <x:v>Tom Hughes</x:v>
      </x:c>
      <x:c r="O223" s="14" t="str">
        <x:v>nm3433735</x:v>
      </x:c>
      <x:c r="P223" s="14" t="str">
        <x:v>Dr. James Ford</x:v>
      </x:c>
      <x:c r="Q223" s="15" t="n">
        <x:v>5</x:v>
      </x:c>
      <x:c r="R223" s="14" t="str">
        <x:v>2025</x:v>
      </x:c>
      <x:c r="S223" s="14" t="n">
        <x:v>2025</x:v>
      </x:c>
      <x:c r="T223" s="14" t="n">
        <x:v>2025</x:v>
      </x:c>
      <x:c r="U223" s="14" t="str">
        <x:v>Explicit source first year retained</x:v>
      </x:c>
      <x:c r="V223" s="14" t="str">
        <x:v>Earliest supplied year is 2025.</x:v>
      </x:c>
      <x:c r="W223" s="14"/>
      <x:c r="X223" s="14" t="str">
        <x:v>Included</x:v>
      </x:c>
      <x:c r="Y223" s="14"/>
      <x:c r="Z223" s="14" t="str">
        <x:v>Malpractice.docx</x:v>
      </x:c>
      <x:c r="AA223" s="14" t="str">
        <x:v>HYPERLINK is not implemented. linkLocation=https://www.imdb.com/title/tt20918594/fullcredits/,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HYPERLINK("https://en.wikipedia.org/wiki/Malpractice","Open source")</x:f>
        <x:v>HYPERLINK is not implemented. linkLocation=https://en.wikipedia.org/wiki/Malpractice,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10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5</x:v>
      </x:c>
      <x:c r="BS223" s="16" t="n">
        <x:v>0.5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4" t="str">
        <x:v>HYPERLINK is not implemented. linkLocation=https://www.imdb.com/title/tt20918594/fullcredits/,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tt20918594|nm4271607|dr. sophia hernandez</x:v>
      </x:c>
      <x:c r="B224" s="14" t="str">
        <x:v>02</x:v>
      </x:c>
      <x:c r="C224" s="14" t="str">
        <x:v>2023_IMDb_Cast_Lists_Batch_02(2).xlsx</x:v>
      </x:c>
      <x:c r="D224" s="14" t="str">
        <x:v>Malpractice</x:v>
      </x:c>
      <x:c r="E224" s="14" t="n">
        <x:v>14</x:v>
      </x:c>
      <x:c r="F224" s="14" t="str">
        <x:v>Malpractice</x:v>
      </x:c>
      <x:c r="G224" s="14" t="str">
        <x:v>tt20918594</x:v>
      </x:c>
      <x:c r="H224" s="14" t="n">
        <x:v>2023</x:v>
      </x:c>
      <x:c r="I224" s="14" t="n">
        <x:v>2025</x:v>
      </x:c>
      <x:c r="J224" s="14" t="str">
        <x:v>Earlier-Production Carry-In Cohort</x:v>
      </x:c>
      <x:c r="K224" s="14" t="n">
        <x:v>2023</x:v>
      </x:c>
      <x:c r="L224" s="14" t="str">
        <x:v>Not inherited</x:v>
      </x:c>
      <x:c r="M224" s="15" t="n">
        <x:v>7</x:v>
      </x:c>
      <x:c r="N224" s="14" t="str">
        <x:v>Selin Hizli</x:v>
      </x:c>
      <x:c r="O224" s="14" t="str">
        <x:v>nm4271607</x:v>
      </x:c>
      <x:c r="P224" s="14" t="str">
        <x:v>Dr. Sophia Hernandez</x:v>
      </x:c>
      <x:c r="Q224" s="15" t="n">
        <x:v>5</x:v>
      </x:c>
      <x:c r="R224" s="14" t="str">
        <x:v>2025</x:v>
      </x:c>
      <x:c r="S224" s="14" t="n">
        <x:v>2025</x:v>
      </x:c>
      <x:c r="T224" s="14" t="n">
        <x:v>2025</x:v>
      </x:c>
      <x:c r="U224" s="14" t="str">
        <x:v>Explicit source first year retained</x:v>
      </x:c>
      <x:c r="V224" s="14" t="str">
        <x:v>Earliest supplied year is 2025.</x:v>
      </x:c>
      <x:c r="W224" s="14"/>
      <x:c r="X224" s="14" t="str">
        <x:v>Included</x:v>
      </x:c>
      <x:c r="Y224" s="14"/>
      <x:c r="Z224" s="14" t="str">
        <x:v>Malpractice.docx</x:v>
      </x:c>
      <x:c r="AA224" s="14" t="str">
        <x:v>HYPERLINK is not implemented. linkLocation=https://www.imdb.com/title/tt20918594/fullcredits/,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HYPERLINK("https://en.wikipedia.org/wiki/Malpractice","Open source")</x:f>
        <x:v>HYPERLINK is not implemented. linkLocation=https://en.wikipedia.org/wiki/Malpractice,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10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5</x:v>
      </x:c>
      <x:c r="BS224" s="16" t="n">
        <x:v>0.5</x:v>
      </x:c>
      <x:c r="BT224" s="14" t="str">
        <x:v>Minority of episodes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4" t="str">
        <x:v>HYPERLINK is not implemented. linkLocation=https://www.imdb.com/title/tt20918594/fullcredits/,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tt20918594|nm0854364|dr. kate mcallister</x:v>
      </x:c>
      <x:c r="B225" s="14" t="str">
        <x:v>02</x:v>
      </x:c>
      <x:c r="C225" s="14" t="str">
        <x:v>2023_IMDb_Cast_Lists_Batch_02(2).xlsx</x:v>
      </x:c>
      <x:c r="D225" s="14" t="str">
        <x:v>Malpractice</x:v>
      </x:c>
      <x:c r="E225" s="14" t="n">
        <x:v>15</x:v>
      </x:c>
      <x:c r="F225" s="14" t="str">
        <x:v>Malpractice</x:v>
      </x:c>
      <x:c r="G225" s="14" t="str">
        <x:v>tt20918594</x:v>
      </x:c>
      <x:c r="H225" s="14" t="n">
        <x:v>2023</x:v>
      </x:c>
      <x:c r="I225" s="14" t="n">
        <x:v>2025</x:v>
      </x:c>
      <x:c r="J225" s="14" t="str">
        <x:v>Earlier-Production Carry-In Cohort</x:v>
      </x:c>
      <x:c r="K225" s="14" t="n">
        <x:v>2023</x:v>
      </x:c>
      <x:c r="L225" s="14" t="str">
        <x:v>Not inherited</x:v>
      </x:c>
      <x:c r="M225" s="15" t="n">
        <x:v>8</x:v>
      </x:c>
      <x:c r="N225" s="14" t="str">
        <x:v>Zoe Telford</x:v>
      </x:c>
      <x:c r="O225" s="14" t="str">
        <x:v>nm0854364</x:v>
      </x:c>
      <x:c r="P225" s="14" t="str">
        <x:v>Dr. Kate McAllister</x:v>
      </x:c>
      <x:c r="Q225" s="15" t="n">
        <x:v>5</x:v>
      </x:c>
      <x:c r="R225" s="14" t="str">
        <x:v>2025</x:v>
      </x:c>
      <x:c r="S225" s="14" t="n">
        <x:v>2025</x:v>
      </x:c>
      <x:c r="T225" s="14" t="n">
        <x:v>2025</x:v>
      </x:c>
      <x:c r="U225" s="14" t="str">
        <x:v>Explicit source first year retained</x:v>
      </x:c>
      <x:c r="V225" s="14" t="str">
        <x:v>Earliest supplied year is 2025.</x:v>
      </x:c>
      <x:c r="W225" s="14"/>
      <x:c r="X225" s="14" t="str">
        <x:v>Included</x:v>
      </x:c>
      <x:c r="Y225" s="14" t="str">
        <x:v>(as Zoë Telford)</x:v>
      </x:c>
      <x:c r="Z225" s="14" t="str">
        <x:v>Malpractice.docx</x:v>
      </x:c>
      <x:c r="AA225" s="14" t="str">
        <x:v>HYPERLINK is not implemented. linkLocation=https://www.imdb.com/title/tt20918594/fullcredits/,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HYPERLINK("https://en.wikipedia.org/wiki/Malpractice","Open source")</x:f>
        <x:v>HYPERLINK is not implemented. linkLocation=https://en.wikipedia.org/wiki/Malpractice,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10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5</x:v>
      </x:c>
      <x:c r="BS225" s="16" t="n">
        <x:v>0.5</x:v>
      </x:c>
      <x:c r="BT225" s="14" t="str">
        <x:v>Minority of episodes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4" t="str">
        <x:v>HYPERLINK is not implemented. linkLocation=https://www.imdb.com/title/tt20918594/fullcredits/,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tt20918594|nm0090069|maria carter</x:v>
      </x:c>
      <x:c r="B226" s="14" t="str">
        <x:v>02</x:v>
      </x:c>
      <x:c r="C226" s="14" t="str">
        <x:v>2023_IMDb_Cast_Lists_Batch_02(2).xlsx</x:v>
      </x:c>
      <x:c r="D226" s="14" t="str">
        <x:v>Malpractice</x:v>
      </x:c>
      <x:c r="E226" s="14" t="n">
        <x:v>22</x:v>
      </x:c>
      <x:c r="F226" s="14" t="str">
        <x:v>Malpractice</x:v>
      </x:c>
      <x:c r="G226" s="14" t="str">
        <x:v>tt20918594</x:v>
      </x:c>
      <x:c r="H226" s="14" t="n">
        <x:v>2023</x:v>
      </x:c>
      <x:c r="I226" s="14" t="n">
        <x:v>2025</x:v>
      </x:c>
      <x:c r="J226" s="14" t="str">
        <x:v>Earlier-Production Carry-In Cohort</x:v>
      </x:c>
      <x:c r="K226" s="14" t="n">
        <x:v>2023</x:v>
      </x:c>
      <x:c r="L226" s="14" t="str">
        <x:v>Not inherited</x:v>
      </x:c>
      <x:c r="M226" s="15" t="n">
        <x:v>15</x:v>
      </x:c>
      <x:c r="N226" s="14" t="str">
        <x:v>Katherine Dow Blyton</x:v>
      </x:c>
      <x:c r="O226" s="14" t="str">
        <x:v>nm0090069</x:v>
      </x:c>
      <x:c r="P226" s="14" t="str">
        <x:v>Maria Carter</x:v>
      </x:c>
      <x:c r="Q226" s="15" t="n">
        <x:v>5</x:v>
      </x:c>
      <x:c r="R226" s="14" t="str">
        <x:v>2025</x:v>
      </x:c>
      <x:c r="S226" s="14" t="n">
        <x:v>2025</x:v>
      </x:c>
      <x:c r="T226" s="14" t="n">
        <x:v>2025</x:v>
      </x:c>
      <x:c r="U226" s="14" t="str">
        <x:v>Explicit source first year retained</x:v>
      </x:c>
      <x:c r="V226" s="14" t="str">
        <x:v>Earliest supplied year is 2025.</x:v>
      </x:c>
      <x:c r="W226" s="14"/>
      <x:c r="X226" s="14" t="str">
        <x:v>Included</x:v>
      </x:c>
      <x:c r="Y226" s="14"/>
      <x:c r="Z226" s="14" t="str">
        <x:v>Malpractice.docx</x:v>
      </x:c>
      <x:c r="AA226" s="14" t="str">
        <x:v>HYPERLINK is not implemented. linkLocation=https://www.imdb.com/title/tt20918594/fullcredits/,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HYPERLINK("https://en.wikipedia.org/wiki/Malpractice","Open source")</x:f>
        <x:v>HYPERLINK is not implemented. linkLocation=https://en.wikipedia.org/wiki/Malpractice,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10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5</x:v>
      </x:c>
      <x:c r="BS226" s="16" t="n">
        <x:v>0.5</x:v>
      </x:c>
      <x:c r="BT226" s="14" t="str">
        <x:v>Minority of episodes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4" t="str">
        <x:v>HYPERLINK is not implemented. linkLocation=https://www.imdb.com/title/tt20918594/fullcredits/,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tt20918594|nm0551349|aislene</x:v>
      </x:c>
      <x:c r="B227" s="14" t="str">
        <x:v>02</x:v>
      </x:c>
      <x:c r="C227" s="14" t="str">
        <x:v>2023_IMDb_Cast_Lists_Batch_02(2).xlsx</x:v>
      </x:c>
      <x:c r="D227" s="14" t="str">
        <x:v>Malpractice</x:v>
      </x:c>
      <x:c r="E227" s="14" t="n">
        <x:v>23</x:v>
      </x:c>
      <x:c r="F227" s="14" t="str">
        <x:v>Malpractice</x:v>
      </x:c>
      <x:c r="G227" s="14" t="str">
        <x:v>tt20918594</x:v>
      </x:c>
      <x:c r="H227" s="14" t="n">
        <x:v>2023</x:v>
      </x:c>
      <x:c r="I227" s="14" t="n">
        <x:v>2025</x:v>
      </x:c>
      <x:c r="J227" s="14" t="str">
        <x:v>Earlier-Production Carry-In Cohort</x:v>
      </x:c>
      <x:c r="K227" s="14" t="n">
        <x:v>2023</x:v>
      </x:c>
      <x:c r="L227" s="14" t="str">
        <x:v>Not inherited</x:v>
      </x:c>
      <x:c r="M227" s="15" t="n">
        <x:v>16</x:v>
      </x:c>
      <x:c r="N227" s="14" t="str">
        <x:v>Amy Marston</x:v>
      </x:c>
      <x:c r="O227" s="14" t="str">
        <x:v>nm0551349</x:v>
      </x:c>
      <x:c r="P227" s="14" t="str">
        <x:v>Aislene</x:v>
      </x:c>
      <x:c r="Q227" s="15" t="n">
        <x:v>5</x:v>
      </x:c>
      <x:c r="R227" s="14" t="str">
        <x:v>2025</x:v>
      </x:c>
      <x:c r="S227" s="14" t="n">
        <x:v>2025</x:v>
      </x:c>
      <x:c r="T227" s="14" t="n">
        <x:v>2025</x:v>
      </x:c>
      <x:c r="U227" s="14" t="str">
        <x:v>Explicit source first year retained</x:v>
      </x:c>
      <x:c r="V227" s="14" t="str">
        <x:v>Earliest supplied year is 2025.</x:v>
      </x:c>
      <x:c r="W227" s="14"/>
      <x:c r="X227" s="14" t="str">
        <x:v>Included</x:v>
      </x:c>
      <x:c r="Y227" s="14"/>
      <x:c r="Z227" s="14" t="str">
        <x:v>Malpractice.docx</x:v>
      </x:c>
      <x:c r="AA227" s="14" t="str">
        <x:v>HYPERLINK is not implemented. linkLocation=https://www.imdb.com/title/tt20918594/fullcredits/,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HYPERLINK("https://en.wikipedia.org/wiki/Malpractice","Open source")</x:f>
        <x:v>HYPERLINK is not implemented. linkLocation=https://en.wikipedia.org/wiki/Malpractice,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10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5</x:v>
      </x:c>
      <x:c r="BS227" s="16" t="n">
        <x:v>0.5</x:v>
      </x:c>
      <x:c r="BT227" s="14" t="str">
        <x:v>Minority of episodes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4" t="str">
        <x:v>HYPERLINK is not implemented. linkLocation=https://www.imdb.com/title/tt20918594/fullcredits/,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tt20918594|nm0080372|mr. arun mansoor</x:v>
      </x:c>
      <x:c r="B228" s="14" t="str">
        <x:v>02</x:v>
      </x:c>
      <x:c r="C228" s="14" t="str">
        <x:v>2023_IMDb_Cast_Lists_Batch_02(2).xlsx</x:v>
      </x:c>
      <x:c r="D228" s="14" t="str">
        <x:v>Malpractice</x:v>
      </x:c>
      <x:c r="E228" s="14" t="n">
        <x:v>24</x:v>
      </x:c>
      <x:c r="F228" s="14" t="str">
        <x:v>Malpractice</x:v>
      </x:c>
      <x:c r="G228" s="14" t="str">
        <x:v>tt20918594</x:v>
      </x:c>
      <x:c r="H228" s="14" t="n">
        <x:v>2023</x:v>
      </x:c>
      <x:c r="I228" s="14" t="n">
        <x:v>2025</x:v>
      </x:c>
      <x:c r="J228" s="14" t="str">
        <x:v>Earlier-Production Carry-In Cohort</x:v>
      </x:c>
      <x:c r="K228" s="14" t="n">
        <x:v>2023</x:v>
      </x:c>
      <x:c r="L228" s="14" t="str">
        <x:v>Not inherited</x:v>
      </x:c>
      <x:c r="M228" s="15" t="n">
        <x:v>17</x:v>
      </x:c>
      <x:c r="N228" s="14" t="str">
        <x:v>Ace Bhatti</x:v>
      </x:c>
      <x:c r="O228" s="14" t="str">
        <x:v>nm0080372</x:v>
      </x:c>
      <x:c r="P228" s="14" t="str">
        <x:v>Mr. Arun Mansoor</x:v>
      </x:c>
      <x:c r="Q228" s="15" t="n">
        <x:v>5</x:v>
      </x:c>
      <x:c r="R228" s="14" t="str">
        <x:v>2025</x:v>
      </x:c>
      <x:c r="S228" s="14" t="n">
        <x:v>2025</x:v>
      </x:c>
      <x:c r="T228" s="14" t="n">
        <x:v>2025</x:v>
      </x:c>
      <x:c r="U228" s="14" t="str">
        <x:v>Explicit source first year retained</x:v>
      </x:c>
      <x:c r="V228" s="14" t="str">
        <x:v>Earliest supplied year is 2025.</x:v>
      </x:c>
      <x:c r="W228" s="14"/>
      <x:c r="X228" s="14" t="str">
        <x:v>Included</x:v>
      </x:c>
      <x:c r="Y228" s="14"/>
      <x:c r="Z228" s="14" t="str">
        <x:v>Malpractice.docx</x:v>
      </x:c>
      <x:c r="AA228" s="14" t="str">
        <x:v>HYPERLINK is not implemented. linkLocation=https://www.imdb.com/title/tt20918594/fullcredits/,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HYPERLINK("https://en.wikipedia.org/wiki/Malpractice","Open source")</x:f>
        <x:v>HYPERLINK is not implemented. linkLocation=https://en.wikipedia.org/wiki/Malpractice,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10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5</x:v>
      </x:c>
      <x:c r="BS228" s="16" t="n">
        <x:v>0.5</x:v>
      </x:c>
      <x:c r="BT228" s="14" t="str">
        <x:v>Minority of episodes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4" t="str">
        <x:v>HYPERLINK is not implemented. linkLocation=https://www.imdb.com/title/tt20918594/fullcredits/,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tt20918594|nm2713033|kwame essiedu</x:v>
      </x:c>
      <x:c r="B229" s="14" t="str">
        <x:v>02</x:v>
      </x:c>
      <x:c r="C229" s="14" t="str">
        <x:v>2023_IMDb_Cast_Lists_Batch_02(2).xlsx</x:v>
      </x:c>
      <x:c r="D229" s="14" t="str">
        <x:v>Malpractice</x:v>
      </x:c>
      <x:c r="E229" s="14" t="n">
        <x:v>25</x:v>
      </x:c>
      <x:c r="F229" s="14" t="str">
        <x:v>Malpractice</x:v>
      </x:c>
      <x:c r="G229" s="14" t="str">
        <x:v>tt20918594</x:v>
      </x:c>
      <x:c r="H229" s="14" t="n">
        <x:v>2023</x:v>
      </x:c>
      <x:c r="I229" s="14" t="n">
        <x:v>2025</x:v>
      </x:c>
      <x:c r="J229" s="14" t="str">
        <x:v>Earlier-Production Carry-In Cohort</x:v>
      </x:c>
      <x:c r="K229" s="14" t="n">
        <x:v>2023</x:v>
      </x:c>
      <x:c r="L229" s="14" t="str">
        <x:v>Not inherited</x:v>
      </x:c>
      <x:c r="M229" s="15" t="n">
        <x:v>18</x:v>
      </x:c>
      <x:c r="N229" s="14" t="str">
        <x:v>Tobi Bakare</x:v>
      </x:c>
      <x:c r="O229" s="14" t="str">
        <x:v>nm2713033</x:v>
      </x:c>
      <x:c r="P229" s="14" t="str">
        <x:v>Kwame Essiedu</x:v>
      </x:c>
      <x:c r="Q229" s="15" t="n">
        <x:v>5</x:v>
      </x:c>
      <x:c r="R229" s="14" t="str">
        <x:v>2025</x:v>
      </x:c>
      <x:c r="S229" s="14" t="n">
        <x:v>2025</x:v>
      </x:c>
      <x:c r="T229" s="14" t="n">
        <x:v>2025</x:v>
      </x:c>
      <x:c r="U229" s="14" t="str">
        <x:v>Explicit source first year retained</x:v>
      </x:c>
      <x:c r="V229" s="14" t="str">
        <x:v>Earliest supplied year is 2025.</x:v>
      </x:c>
      <x:c r="W229" s="14"/>
      <x:c r="X229" s="14" t="str">
        <x:v>Included</x:v>
      </x:c>
      <x:c r="Y229" s="14"/>
      <x:c r="Z229" s="14" t="str">
        <x:v>Malpractice.docx</x:v>
      </x:c>
      <x:c r="AA229" s="14" t="str">
        <x:v>HYPERLINK is not implemented. linkLocation=https://www.imdb.com/title/tt20918594/fullcredits/,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HYPERLINK("https://en.wikipedia.org/wiki/Malpractice","Open source")</x:f>
        <x:v>HYPERLINK is not implemented. linkLocation=https://en.wikipedia.org/wiki/Malpractice, friendlyName=Open source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10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5</x:v>
      </x:c>
      <x:c r="BS229" s="16" t="n">
        <x:v>0.5</x:v>
      </x:c>
      <x:c r="BT229" s="14" t="str">
        <x:v>Minority of episodes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4" t="str">
        <x:v>HYPERLINK is not implemented. linkLocation=https://www.imdb.com/title/tt20918594/fullcredits/,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tt20918594|nm3910615|precious danso</x:v>
      </x:c>
      <x:c r="B230" s="14" t="str">
        <x:v>02</x:v>
      </x:c>
      <x:c r="C230" s="14" t="str">
        <x:v>2023_IMDb_Cast_Lists_Batch_02(2).xlsx</x:v>
      </x:c>
      <x:c r="D230" s="14" t="str">
        <x:v>Malpractice</x:v>
      </x:c>
      <x:c r="E230" s="14" t="n">
        <x:v>26</x:v>
      </x:c>
      <x:c r="F230" s="14" t="str">
        <x:v>Malpractice</x:v>
      </x:c>
      <x:c r="G230" s="14" t="str">
        <x:v>tt20918594</x:v>
      </x:c>
      <x:c r="H230" s="14" t="n">
        <x:v>2023</x:v>
      </x:c>
      <x:c r="I230" s="14" t="n">
        <x:v>2025</x:v>
      </x:c>
      <x:c r="J230" s="14" t="str">
        <x:v>Earlier-Production Carry-In Cohort</x:v>
      </x:c>
      <x:c r="K230" s="14" t="n">
        <x:v>2023</x:v>
      </x:c>
      <x:c r="L230" s="14" t="str">
        <x:v>Not inherited</x:v>
      </x:c>
      <x:c r="M230" s="15" t="n">
        <x:v>19</x:v>
      </x:c>
      <x:c r="N230" s="14" t="str">
        <x:v>Naana Agyei Ampadu</x:v>
      </x:c>
      <x:c r="O230" s="14" t="str">
        <x:v>nm3910615</x:v>
      </x:c>
      <x:c r="P230" s="14" t="str">
        <x:v>Precious Danso</x:v>
      </x:c>
      <x:c r="Q230" s="15" t="n">
        <x:v>5</x:v>
      </x:c>
      <x:c r="R230" s="14" t="str">
        <x:v>2025</x:v>
      </x:c>
      <x:c r="S230" s="14" t="n">
        <x:v>2025</x:v>
      </x:c>
      <x:c r="T230" s="14" t="n">
        <x:v>2025</x:v>
      </x:c>
      <x:c r="U230" s="14" t="str">
        <x:v>Explicit source first year retained</x:v>
      </x:c>
      <x:c r="V230" s="14" t="str">
        <x:v>Earliest supplied year is 2025.</x:v>
      </x:c>
      <x:c r="W230" s="14"/>
      <x:c r="X230" s="14" t="str">
        <x:v>Included</x:v>
      </x:c>
      <x:c r="Y230" s="14" t="str">
        <x:v>(as Naana Agyei-Ampadu)</x:v>
      </x:c>
      <x:c r="Z230" s="14" t="str">
        <x:v>Malpractice.docx</x:v>
      </x:c>
      <x:c r="AA230" s="14" t="str">
        <x:v>HYPERLINK is not implemented. linkLocation=https://www.imdb.com/title/tt20918594/fullcredits/,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HYPERLINK("https://en.wikipedia.org/wiki/Malpractice","Open source")</x:f>
        <x:v>HYPERLINK is not implemented. linkLocation=https://en.wikipedia.org/wiki/Malpractice, friendlyName=Open source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10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5</x:v>
      </x:c>
      <x:c r="BS230" s="16" t="n">
        <x:v>0.5</x:v>
      </x:c>
      <x:c r="BT230" s="14" t="str">
        <x:v>Minority of episodes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4" t="str">
        <x:v>HYPERLINK is not implemented. linkLocation=https://www.imdb.com/title/tt20918594/fullcredits/,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tt20918594|nm7306322|dr. bernadette asamoah</x:v>
      </x:c>
      <x:c r="B231" s="14" t="str">
        <x:v>02</x:v>
      </x:c>
      <x:c r="C231" s="14" t="str">
        <x:v>2023_IMDb_Cast_Lists_Batch_02(2).xlsx</x:v>
      </x:c>
      <x:c r="D231" s="14" t="str">
        <x:v>Malpractice</x:v>
      </x:c>
      <x:c r="E231" s="14" t="n">
        <x:v>27</x:v>
      </x:c>
      <x:c r="F231" s="14" t="str">
        <x:v>Malpractice</x:v>
      </x:c>
      <x:c r="G231" s="14" t="str">
        <x:v>tt20918594</x:v>
      </x:c>
      <x:c r="H231" s="14" t="n">
        <x:v>2023</x:v>
      </x:c>
      <x:c r="I231" s="14" t="n">
        <x:v>2025</x:v>
      </x:c>
      <x:c r="J231" s="14" t="str">
        <x:v>Earlier-Production Carry-In Cohort</x:v>
      </x:c>
      <x:c r="K231" s="14" t="n">
        <x:v>2023</x:v>
      </x:c>
      <x:c r="L231" s="14" t="str">
        <x:v>Not inherited</x:v>
      </x:c>
      <x:c r="M231" s="15" t="n">
        <x:v>20</x:v>
      </x:c>
      <x:c r="N231" s="14" t="str">
        <x:v>Jessica Layde</x:v>
      </x:c>
      <x:c r="O231" s="14" t="str">
        <x:v>nm7306322</x:v>
      </x:c>
      <x:c r="P231" s="14" t="str">
        <x:v>Dr. Bernadette Asamoah</x:v>
      </x:c>
      <x:c r="Q231" s="15" t="n">
        <x:v>5</x:v>
      </x:c>
      <x:c r="R231" s="14" t="str">
        <x:v>2025</x:v>
      </x:c>
      <x:c r="S231" s="14" t="n">
        <x:v>2025</x:v>
      </x:c>
      <x:c r="T231" s="14" t="n">
        <x:v>2025</x:v>
      </x:c>
      <x:c r="U231" s="14" t="str">
        <x:v>Explicit source first year retained</x:v>
      </x:c>
      <x:c r="V231" s="14" t="str">
        <x:v>Earliest supplied year is 2025.</x:v>
      </x:c>
      <x:c r="W231" s="14"/>
      <x:c r="X231" s="14" t="str">
        <x:v>Included</x:v>
      </x:c>
      <x:c r="Y231" s="14"/>
      <x:c r="Z231" s="14" t="str">
        <x:v>Malpractice.docx</x:v>
      </x:c>
      <x:c r="AA231" s="14" t="str">
        <x:v>HYPERLINK is not implemented. linkLocation=https://www.imdb.com/title/tt20918594/fullcredits/,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HYPERLINK("https://en.wikipedia.org/wiki/Malpractice","Open source")</x:f>
        <x:v>HYPERLINK is not implemented. linkLocation=https://en.wikipedia.org/wiki/Malpractice, friendlyName=Open source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10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5</x:v>
      </x:c>
      <x:c r="BS231" s="16" t="n">
        <x:v>0.5</x:v>
      </x:c>
      <x:c r="BT231" s="14" t="str">
        <x:v>Minority of episodes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4" t="str">
        <x:v>HYPERLINK is not implemented. linkLocation=https://www.imdb.com/title/tt20918594/fullcredits/,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tt20918594|nm0912012|eric sawers</x:v>
      </x:c>
      <x:c r="B232" s="14" t="str">
        <x:v>02</x:v>
      </x:c>
      <x:c r="C232" s="14" t="str">
        <x:v>2023_IMDb_Cast_Lists_Batch_02(2).xlsx</x:v>
      </x:c>
      <x:c r="D232" s="14" t="str">
        <x:v>Malpractice</x:v>
      </x:c>
      <x:c r="E232" s="14" t="n">
        <x:v>32</x:v>
      </x:c>
      <x:c r="F232" s="14" t="str">
        <x:v>Malpractice</x:v>
      </x:c>
      <x:c r="G232" s="14" t="str">
        <x:v>tt20918594</x:v>
      </x:c>
      <x:c r="H232" s="14" t="n">
        <x:v>2023</x:v>
      </x:c>
      <x:c r="I232" s="14" t="n">
        <x:v>2025</x:v>
      </x:c>
      <x:c r="J232" s="14" t="str">
        <x:v>Earlier-Production Carry-In Cohort</x:v>
      </x:c>
      <x:c r="K232" s="14" t="n">
        <x:v>2023</x:v>
      </x:c>
      <x:c r="L232" s="14" t="str">
        <x:v>Not inherited</x:v>
      </x:c>
      <x:c r="M232" s="15" t="n">
        <x:v>25</x:v>
      </x:c>
      <x:c r="N232" s="14" t="str">
        <x:v>Rick Warden</x:v>
      </x:c>
      <x:c r="O232" s="14" t="str">
        <x:v>nm0912012</x:v>
      </x:c>
      <x:c r="P232" s="14" t="str">
        <x:v>Eric Sawers</x:v>
      </x:c>
      <x:c r="Q232" s="15" t="n">
        <x:v>4</x:v>
      </x:c>
      <x:c r="R232" s="14" t="str">
        <x:v>2025</x:v>
      </x:c>
      <x:c r="S232" s="14" t="n">
        <x:v>2025</x:v>
      </x:c>
      <x:c r="T232" s="14" t="n">
        <x:v>2025</x:v>
      </x:c>
      <x:c r="U232" s="14" t="str">
        <x:v>Explicit source first year retained</x:v>
      </x:c>
      <x:c r="V232" s="14" t="str">
        <x:v>Earliest supplied year is 2025.</x:v>
      </x:c>
      <x:c r="W232" s="14"/>
      <x:c r="X232" s="14" t="str">
        <x:v>Included</x:v>
      </x:c>
      <x:c r="Y232" s="14"/>
      <x:c r="Z232" s="14" t="str">
        <x:v>Malpractice.docx</x:v>
      </x:c>
      <x:c r="AA232" s="14" t="str">
        <x:v>HYPERLINK is not implemented. linkLocation=https://www.imdb.com/title/tt20918594/fullcredits/,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HYPERLINK("https://en.wikipedia.org/wiki/Malpractice","Open source")</x:f>
        <x:v>HYPERLINK is not implemented. linkLocation=https://en.wikipedia.org/wiki/Malpractice, friendlyName=Open source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10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4</x:v>
      </x:c>
      <x:c r="BS232" s="16" t="n">
        <x:v>0.4</x:v>
      </x:c>
      <x:c r="BT232" s="14" t="str">
        <x:v>Minority of episodes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4" t="str">
        <x:v>HYPERLINK is not implemented. linkLocation=https://www.imdb.com/title/tt20918594/fullcredits/,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tt20918594|nm1918701|indira</x:v>
      </x:c>
      <x:c r="B233" s="14" t="str">
        <x:v>02</x:v>
      </x:c>
      <x:c r="C233" s="14" t="str">
        <x:v>2023_IMDb_Cast_Lists_Batch_02(2).xlsx</x:v>
      </x:c>
      <x:c r="D233" s="14" t="str">
        <x:v>Malpractice</x:v>
      </x:c>
      <x:c r="E233" s="14" t="n">
        <x:v>33</x:v>
      </x:c>
      <x:c r="F233" s="14" t="str">
        <x:v>Malpractice</x:v>
      </x:c>
      <x:c r="G233" s="14" t="str">
        <x:v>tt20918594</x:v>
      </x:c>
      <x:c r="H233" s="14" t="n">
        <x:v>2023</x:v>
      </x:c>
      <x:c r="I233" s="14" t="n">
        <x:v>2025</x:v>
      </x:c>
      <x:c r="J233" s="14" t="str">
        <x:v>Earlier-Production Carry-In Cohort</x:v>
      </x:c>
      <x:c r="K233" s="14" t="n">
        <x:v>2023</x:v>
      </x:c>
      <x:c r="L233" s="14" t="str">
        <x:v>Not inherited</x:v>
      </x:c>
      <x:c r="M233" s="15" t="n">
        <x:v>26</x:v>
      </x:c>
      <x:c r="N233" s="14" t="str">
        <x:v>Shereen Martin</x:v>
      </x:c>
      <x:c r="O233" s="14" t="str">
        <x:v>nm1918701</x:v>
      </x:c>
      <x:c r="P233" s="14" t="str">
        <x:v>Indira</x:v>
      </x:c>
      <x:c r="Q233" s="15" t="n">
        <x:v>4</x:v>
      </x:c>
      <x:c r="R233" s="14" t="str">
        <x:v>2025</x:v>
      </x:c>
      <x:c r="S233" s="14" t="n">
        <x:v>2025</x:v>
      </x:c>
      <x:c r="T233" s="14" t="n">
        <x:v>2025</x:v>
      </x:c>
      <x:c r="U233" s="14" t="str">
        <x:v>Explicit source first year retained</x:v>
      </x:c>
      <x:c r="V233" s="14" t="str">
        <x:v>Earliest supplied year is 2025.</x:v>
      </x:c>
      <x:c r="W233" s="14"/>
      <x:c r="X233" s="14" t="str">
        <x:v>Included</x:v>
      </x:c>
      <x:c r="Y233" s="14"/>
      <x:c r="Z233" s="14" t="str">
        <x:v>Malpractice.docx</x:v>
      </x:c>
      <x:c r="AA233" s="14" t="str">
        <x:v>HYPERLINK is not implemented. linkLocation=https://www.imdb.com/title/tt20918594/fullcredits/,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HYPERLINK("https://en.wikipedia.org/wiki/Malpractice","Open source")</x:f>
        <x:v>HYPERLINK is not implemented. linkLocation=https://en.wikipedia.org/wiki/Malpractice, friendlyName=Open source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10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4</x:v>
      </x:c>
      <x:c r="BS233" s="16" t="n">
        <x:v>0.4</x:v>
      </x:c>
      <x:c r="BT233" s="14" t="str">
        <x:v>Minority of episodes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4" t="str">
        <x:v>HYPERLINK is not implemented. linkLocation=https://www.imdb.com/title/tt20918594/fullcredits/,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tt20918594|nm6739323|toni campbell-brown</x:v>
      </x:c>
      <x:c r="B234" s="14" t="str">
        <x:v>02</x:v>
      </x:c>
      <x:c r="C234" s="14" t="str">
        <x:v>2023_IMDb_Cast_Lists_Batch_02(2).xlsx</x:v>
      </x:c>
      <x:c r="D234" s="14" t="str">
        <x:v>Malpractice</x:v>
      </x:c>
      <x:c r="E234" s="14" t="n">
        <x:v>34</x:v>
      </x:c>
      <x:c r="F234" s="14" t="str">
        <x:v>Malpractice</x:v>
      </x:c>
      <x:c r="G234" s="14" t="str">
        <x:v>tt20918594</x:v>
      </x:c>
      <x:c r="H234" s="14" t="n">
        <x:v>2023</x:v>
      </x:c>
      <x:c r="I234" s="14" t="n">
        <x:v>2025</x:v>
      </x:c>
      <x:c r="J234" s="14" t="str">
        <x:v>Earlier-Production Carry-In Cohort</x:v>
      </x:c>
      <x:c r="K234" s="14" t="n">
        <x:v>2023</x:v>
      </x:c>
      <x:c r="L234" s="14" t="str">
        <x:v>Not inherited</x:v>
      </x:c>
      <x:c r="M234" s="15" t="n">
        <x:v>27</x:v>
      </x:c>
      <x:c r="N234" s="14" t="str">
        <x:v>Seraphina Beh-Moore</x:v>
      </x:c>
      <x:c r="O234" s="14" t="str">
        <x:v>nm6739323</x:v>
      </x:c>
      <x:c r="P234" s="14" t="str">
        <x:v>Toni Campbell-Brown</x:v>
      </x:c>
      <x:c r="Q234" s="15" t="n">
        <x:v>4</x:v>
      </x:c>
      <x:c r="R234" s="14" t="str">
        <x:v>2025</x:v>
      </x:c>
      <x:c r="S234" s="14" t="n">
        <x:v>2025</x:v>
      </x:c>
      <x:c r="T234" s="14" t="n">
        <x:v>2025</x:v>
      </x:c>
      <x:c r="U234" s="14" t="str">
        <x:v>Explicit source first year retained</x:v>
      </x:c>
      <x:c r="V234" s="14" t="str">
        <x:v>Earliest supplied year is 2025.</x:v>
      </x:c>
      <x:c r="W234" s="14"/>
      <x:c r="X234" s="14" t="str">
        <x:v>Included</x:v>
      </x:c>
      <x:c r="Y234" s="14" t="str">
        <x:v>(as Seraphina Beh)</x:v>
      </x:c>
      <x:c r="Z234" s="14" t="str">
        <x:v>Malpractice.docx</x:v>
      </x:c>
      <x:c r="AA234" s="14" t="str">
        <x:v>HYPERLINK is not implemented. linkLocation=https://www.imdb.com/title/tt20918594/fullcredits/,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HYPERLINK("https://en.wikipedia.org/wiki/Malpractice","Open source")</x:f>
        <x:v>HYPERLINK is not implemented. linkLocation=https://en.wikipedia.org/wiki/Malpractice, friendlyName=Open source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10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4</x:v>
      </x:c>
      <x:c r="BS234" s="16" t="n">
        <x:v>0.4</x:v>
      </x:c>
      <x:c r="BT234" s="14" t="str">
        <x:v>Minority of episodes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4" t="str">
        <x:v>HYPERLINK is not implemented. linkLocation=https://www.imdb.com/title/tt20918594/fullcredits/,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tt20918594|nm7509509|will</x:v>
      </x:c>
      <x:c r="B235" s="14" t="str">
        <x:v>02</x:v>
      </x:c>
      <x:c r="C235" s="14" t="str">
        <x:v>2023_IMDb_Cast_Lists_Batch_02(2).xlsx</x:v>
      </x:c>
      <x:c r="D235" s="14" t="str">
        <x:v>Malpractice</x:v>
      </x:c>
      <x:c r="E235" s="14" t="n">
        <x:v>35</x:v>
      </x:c>
      <x:c r="F235" s="14" t="str">
        <x:v>Malpractice</x:v>
      </x:c>
      <x:c r="G235" s="14" t="str">
        <x:v>tt20918594</x:v>
      </x:c>
      <x:c r="H235" s="14" t="n">
        <x:v>2023</x:v>
      </x:c>
      <x:c r="I235" s="14" t="n">
        <x:v>2025</x:v>
      </x:c>
      <x:c r="J235" s="14" t="str">
        <x:v>Earlier-Production Carry-In Cohort</x:v>
      </x:c>
      <x:c r="K235" s="14" t="n">
        <x:v>2023</x:v>
      </x:c>
      <x:c r="L235" s="14" t="str">
        <x:v>Not inherited</x:v>
      </x:c>
      <x:c r="M235" s="15" t="n">
        <x:v>28</x:v>
      </x:c>
      <x:c r="N235" s="14" t="str">
        <x:v>Joshua Lacey</x:v>
      </x:c>
      <x:c r="O235" s="14" t="str">
        <x:v>nm7509509</x:v>
      </x:c>
      <x:c r="P235" s="14" t="str">
        <x:v>Will</x:v>
      </x:c>
      <x:c r="Q235" s="15" t="n">
        <x:v>4</x:v>
      </x:c>
      <x:c r="R235" s="14" t="str">
        <x:v>2025</x:v>
      </x:c>
      <x:c r="S235" s="14" t="n">
        <x:v>2025</x:v>
      </x:c>
      <x:c r="T235" s="14" t="n">
        <x:v>2025</x:v>
      </x:c>
      <x:c r="U235" s="14" t="str">
        <x:v>Explicit source first year retained</x:v>
      </x:c>
      <x:c r="V235" s="14" t="str">
        <x:v>Earliest supplied year is 2025.</x:v>
      </x:c>
      <x:c r="W235" s="14"/>
      <x:c r="X235" s="14" t="str">
        <x:v>Included</x:v>
      </x:c>
      <x:c r="Y235" s="14"/>
      <x:c r="Z235" s="14" t="str">
        <x:v>Malpractice.docx</x:v>
      </x:c>
      <x:c r="AA235" s="14" t="str">
        <x:v>HYPERLINK is not implemented. linkLocation=https://www.imdb.com/title/tt20918594/fullcredits/,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HYPERLINK("https://en.wikipedia.org/wiki/Malpractice","Open source")</x:f>
        <x:v>HYPERLINK is not implemented. linkLocation=https://en.wikipedia.org/wiki/Malpractice, friendlyName=Open source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10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4</x:v>
      </x:c>
      <x:c r="BS235" s="16" t="n">
        <x:v>0.4</x:v>
      </x:c>
      <x:c r="BT235" s="14" t="str">
        <x:v>Minority of episodes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4" t="str">
        <x:v>HYPERLINK is not implemented. linkLocation=https://www.imdb.com/title/tt20918594/fullcredits/,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tt20918594|nm4926812|samira</x:v>
      </x:c>
      <x:c r="B236" s="14" t="str">
        <x:v>02</x:v>
      </x:c>
      <x:c r="C236" s="14" t="str">
        <x:v>2023_IMDb_Cast_Lists_Batch_02(2).xlsx</x:v>
      </x:c>
      <x:c r="D236" s="14" t="str">
        <x:v>Malpractice</x:v>
      </x:c>
      <x:c r="E236" s="14" t="n">
        <x:v>36</x:v>
      </x:c>
      <x:c r="F236" s="14" t="str">
        <x:v>Malpractice</x:v>
      </x:c>
      <x:c r="G236" s="14" t="str">
        <x:v>tt20918594</x:v>
      </x:c>
      <x:c r="H236" s="14" t="n">
        <x:v>2023</x:v>
      </x:c>
      <x:c r="I236" s="14" t="n">
        <x:v>2025</x:v>
      </x:c>
      <x:c r="J236" s="14" t="str">
        <x:v>Earlier-Production Carry-In Cohort</x:v>
      </x:c>
      <x:c r="K236" s="14" t="n">
        <x:v>2023</x:v>
      </x:c>
      <x:c r="L236" s="14" t="str">
        <x:v>Not inherited</x:v>
      </x:c>
      <x:c r="M236" s="15" t="n">
        <x:v>29</x:v>
      </x:c>
      <x:c r="N236" s="14" t="str">
        <x:v>Romona Lewis-Malley</x:v>
      </x:c>
      <x:c r="O236" s="14" t="str">
        <x:v>nm4926812</x:v>
      </x:c>
      <x:c r="P236" s="14" t="str">
        <x:v>Samira</x:v>
      </x:c>
      <x:c r="Q236" s="15" t="n">
        <x:v>4</x:v>
      </x:c>
      <x:c r="R236" s="14" t="str">
        <x:v>2025</x:v>
      </x:c>
      <x:c r="S236" s="14" t="n">
        <x:v>2025</x:v>
      </x:c>
      <x:c r="T236" s="14" t="n">
        <x:v>2025</x:v>
      </x:c>
      <x:c r="U236" s="14" t="str">
        <x:v>Explicit source first year retained</x:v>
      </x:c>
      <x:c r="V236" s="14" t="str">
        <x:v>Earliest supplied year is 2025.</x:v>
      </x:c>
      <x:c r="W236" s="14"/>
      <x:c r="X236" s="14" t="str">
        <x:v>Included</x:v>
      </x:c>
      <x:c r="Y236" s="14"/>
      <x:c r="Z236" s="14" t="str">
        <x:v>Malpractice.docx</x:v>
      </x:c>
      <x:c r="AA236" s="14" t="str">
        <x:v>HYPERLINK is not implemented. linkLocation=https://www.imdb.com/title/tt20918594/fullcredits/,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HYPERLINK("https://en.wikipedia.org/wiki/Malpractice","Open source")</x:f>
        <x:v>HYPERLINK is not implemented. linkLocation=https://en.wikipedia.org/wiki/Malpractice, friendlyName=Open source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10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4</x:v>
      </x:c>
      <x:c r="BS236" s="16" t="n">
        <x:v>0.4</x:v>
      </x:c>
      <x:c r="BT236" s="14" t="str">
        <x:v>Minority of episodes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4" t="str">
        <x:v>HYPERLINK is not implemented. linkLocation=https://www.imdb.com/title/tt20918594/fullcredits/,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tt20918594|nm2469730|ed newman</x:v>
      </x:c>
      <x:c r="B237" s="14" t="str">
        <x:v>02</x:v>
      </x:c>
      <x:c r="C237" s="14" t="str">
        <x:v>2023_IMDb_Cast_Lists_Batch_02(2).xlsx</x:v>
      </x:c>
      <x:c r="D237" s="14" t="str">
        <x:v>Malpractice</x:v>
      </x:c>
      <x:c r="E237" s="14" t="n">
        <x:v>40</x:v>
      </x:c>
      <x:c r="F237" s="14" t="str">
        <x:v>Malpractice</x:v>
      </x:c>
      <x:c r="G237" s="14" t="str">
        <x:v>tt20918594</x:v>
      </x:c>
      <x:c r="H237" s="14" t="n">
        <x:v>2023</x:v>
      </x:c>
      <x:c r="I237" s="14" t="n">
        <x:v>2025</x:v>
      </x:c>
      <x:c r="J237" s="14" t="str">
        <x:v>Earlier-Production Carry-In Cohort</x:v>
      </x:c>
      <x:c r="K237" s="14" t="n">
        <x:v>2023</x:v>
      </x:c>
      <x:c r="L237" s="14" t="str">
        <x:v>Not inherited</x:v>
      </x:c>
      <x:c r="M237" s="15" t="n">
        <x:v>33</x:v>
      </x:c>
      <x:c r="N237" s="14" t="str">
        <x:v>Alex Price</x:v>
      </x:c>
      <x:c r="O237" s="14" t="str">
        <x:v>nm2469730</x:v>
      </x:c>
      <x:c r="P237" s="14" t="str">
        <x:v>Ed Newman</x:v>
      </x:c>
      <x:c r="Q237" s="15" t="n">
        <x:v>3</x:v>
      </x:c>
      <x:c r="R237" s="14" t="str">
        <x:v>2025</x:v>
      </x:c>
      <x:c r="S237" s="14" t="n">
        <x:v>2025</x:v>
      </x:c>
      <x:c r="T237" s="14" t="n">
        <x:v>2025</x:v>
      </x:c>
      <x:c r="U237" s="14" t="str">
        <x:v>Explicit source first year retained</x:v>
      </x:c>
      <x:c r="V237" s="14" t="str">
        <x:v>Earliest supplied year is 2025.</x:v>
      </x:c>
      <x:c r="W237" s="14"/>
      <x:c r="X237" s="14" t="str">
        <x:v>Included</x:v>
      </x:c>
      <x:c r="Y237" s="14"/>
      <x:c r="Z237" s="14" t="str">
        <x:v>Malpractice.docx</x:v>
      </x:c>
      <x:c r="AA237" s="14" t="str">
        <x:v>HYPERLINK is not implemented. linkLocation=https://www.imdb.com/title/tt20918594/fullcredits/,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ITV / ITVX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HYPERLINK("https://en.wikipedia.org/wiki/Malpractice","Open source")</x:f>
        <x:v>HYPERLINK is not implemented. linkLocation=https://en.wikipedia.org/wiki/Malpractice, friendlyName=Open source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10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4" t="str">
        <x:v>HYPERLINK is not implemented. linkLocation=https://www.imdb.com/title/tt20918594/fullcredits/,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tt20918594|nm7658803|gina</x:v>
      </x:c>
      <x:c r="B238" s="14" t="str">
        <x:v>02</x:v>
      </x:c>
      <x:c r="C238" s="14" t="str">
        <x:v>2023_IMDb_Cast_Lists_Batch_02(2).xlsx</x:v>
      </x:c>
      <x:c r="D238" s="14" t="str">
        <x:v>Malpractice</x:v>
      </x:c>
      <x:c r="E238" s="14" t="n">
        <x:v>41</x:v>
      </x:c>
      <x:c r="F238" s="14" t="str">
        <x:v>Malpractice</x:v>
      </x:c>
      <x:c r="G238" s="14" t="str">
        <x:v>tt20918594</x:v>
      </x:c>
      <x:c r="H238" s="14" t="n">
        <x:v>2023</x:v>
      </x:c>
      <x:c r="I238" s="14" t="n">
        <x:v>2025</x:v>
      </x:c>
      <x:c r="J238" s="14" t="str">
        <x:v>Earlier-Production Carry-In Cohort</x:v>
      </x:c>
      <x:c r="K238" s="14" t="n">
        <x:v>2023</x:v>
      </x:c>
      <x:c r="L238" s="14" t="str">
        <x:v>Not inherited</x:v>
      </x:c>
      <x:c r="M238" s="15" t="n">
        <x:v>34</x:v>
      </x:c>
      <x:c r="N238" s="14" t="str">
        <x:v>Phoebe Sparrow</x:v>
      </x:c>
      <x:c r="O238" s="14" t="str">
        <x:v>nm7658803</x:v>
      </x:c>
      <x:c r="P238" s="14" t="str">
        <x:v>Gina</x:v>
      </x:c>
      <x:c r="Q238" s="15" t="n">
        <x:v>3</x:v>
      </x:c>
      <x:c r="R238" s="14" t="str">
        <x:v>2025</x:v>
      </x:c>
      <x:c r="S238" s="14" t="n">
        <x:v>2025</x:v>
      </x:c>
      <x:c r="T238" s="14" t="n">
        <x:v>2025</x:v>
      </x:c>
      <x:c r="U238" s="14" t="str">
        <x:v>Explicit source first year retained</x:v>
      </x:c>
      <x:c r="V238" s="14" t="str">
        <x:v>Earliest supplied year is 2025.</x:v>
      </x:c>
      <x:c r="W238" s="14"/>
      <x:c r="X238" s="14" t="str">
        <x:v>Included</x:v>
      </x:c>
      <x:c r="Y238" s="14"/>
      <x:c r="Z238" s="14" t="str">
        <x:v>Malpractice.docx</x:v>
      </x:c>
      <x:c r="AA238" s="14" t="str">
        <x:v>HYPERLINK is not implemented. linkLocation=https://www.imdb.com/title/tt20918594/fullcredits/,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ITV / ITVX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HYPERLINK("https://en.wikipedia.org/wiki/Malpractice","Open source")</x:f>
        <x:v>HYPERLINK is not implemented. linkLocation=https://en.wikipedia.org/wiki/Malpractice, friendlyName=Open source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10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3</x:v>
      </x:c>
      <x:c r="BS238" s="16" t="n">
        <x:v>0.3</x:v>
      </x:c>
      <x:c r="BT238" s="14" t="str">
        <x:v>Minority of episodes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4" t="str">
        <x:v>HYPERLINK is not implemented. linkLocation=https://www.imdb.com/title/tt20918594/fullcredits/,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tt20918594|nm6247581|fizz</x:v>
      </x:c>
      <x:c r="B239" s="14" t="str">
        <x:v>02</x:v>
      </x:c>
      <x:c r="C239" s="14" t="str">
        <x:v>2023_IMDb_Cast_Lists_Batch_02(2).xlsx</x:v>
      </x:c>
      <x:c r="D239" s="14" t="str">
        <x:v>Malpractice</x:v>
      </x:c>
      <x:c r="E239" s="14" t="n">
        <x:v>42</x:v>
      </x:c>
      <x:c r="F239" s="14" t="str">
        <x:v>Malpractice</x:v>
      </x:c>
      <x:c r="G239" s="14" t="str">
        <x:v>tt20918594</x:v>
      </x:c>
      <x:c r="H239" s="14" t="n">
        <x:v>2023</x:v>
      </x:c>
      <x:c r="I239" s="14" t="n">
        <x:v>2025</x:v>
      </x:c>
      <x:c r="J239" s="14" t="str">
        <x:v>Earlier-Production Carry-In Cohort</x:v>
      </x:c>
      <x:c r="K239" s="14" t="n">
        <x:v>2023</x:v>
      </x:c>
      <x:c r="L239" s="14" t="str">
        <x:v>Not inherited</x:v>
      </x:c>
      <x:c r="M239" s="15" t="n">
        <x:v>35</x:v>
      </x:c>
      <x:c r="N239" s="14" t="str">
        <x:v>Hannah Chinn</x:v>
      </x:c>
      <x:c r="O239" s="14" t="str">
        <x:v>nm6247581</x:v>
      </x:c>
      <x:c r="P239" s="14" t="str">
        <x:v>Fizz</x:v>
      </x:c>
      <x:c r="Q239" s="15" t="n">
        <x:v>3</x:v>
      </x:c>
      <x:c r="R239" s="14" t="str">
        <x:v>2025</x:v>
      </x:c>
      <x:c r="S239" s="14" t="n">
        <x:v>2025</x:v>
      </x:c>
      <x:c r="T239" s="14" t="n">
        <x:v>2025</x:v>
      </x:c>
      <x:c r="U239" s="14" t="str">
        <x:v>Explicit source first year retained</x:v>
      </x:c>
      <x:c r="V239" s="14" t="str">
        <x:v>Earliest supplied year is 2025.</x:v>
      </x:c>
      <x:c r="W239" s="14"/>
      <x:c r="X239" s="14" t="str">
        <x:v>Included</x:v>
      </x:c>
      <x:c r="Y239" s="14"/>
      <x:c r="Z239" s="14" t="str">
        <x:v>Malpractice.docx</x:v>
      </x:c>
      <x:c r="AA239" s="14" t="str">
        <x:v>HYPERLINK is not implemented. linkLocation=https://www.imdb.com/title/tt20918594/fullcredits/,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ITV / ITVX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HYPERLINK("https://en.wikipedia.org/wiki/Malpractice","Open source")</x:f>
        <x:v>HYPERLINK is not implemented. linkLocation=https://en.wikipedia.org/wiki/Malpractice, friendlyName=Open source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10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3</x:v>
      </x:c>
      <x:c r="BS239" s="16" t="n">
        <x:v>0.3</x:v>
      </x:c>
      <x:c r="BT239" s="14" t="str">
        <x:v>Minority of episodes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4" t="str">
        <x:v>HYPERLINK is not implemented. linkLocation=https://www.imdb.com/title/tt20918594/fullcredits/,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tt20918594|nm5344575|martha</x:v>
      </x:c>
      <x:c r="B240" s="14" t="str">
        <x:v>02</x:v>
      </x:c>
      <x:c r="C240" s="14" t="str">
        <x:v>2023_IMDb_Cast_Lists_Batch_02(2).xlsx</x:v>
      </x:c>
      <x:c r="D240" s="14" t="str">
        <x:v>Malpractice</x:v>
      </x:c>
      <x:c r="E240" s="14" t="n">
        <x:v>43</x:v>
      </x:c>
      <x:c r="F240" s="14" t="str">
        <x:v>Malpractice</x:v>
      </x:c>
      <x:c r="G240" s="14" t="str">
        <x:v>tt20918594</x:v>
      </x:c>
      <x:c r="H240" s="14" t="n">
        <x:v>2023</x:v>
      </x:c>
      <x:c r="I240" s="14" t="n">
        <x:v>2025</x:v>
      </x:c>
      <x:c r="J240" s="14" t="str">
        <x:v>Earlier-Production Carry-In Cohort</x:v>
      </x:c>
      <x:c r="K240" s="14" t="n">
        <x:v>2023</x:v>
      </x:c>
      <x:c r="L240" s="14" t="str">
        <x:v>Not inherited</x:v>
      </x:c>
      <x:c r="M240" s="15" t="n">
        <x:v>36</x:v>
      </x:c>
      <x:c r="N240" s="14" t="str">
        <x:v>Kirsty Averton</x:v>
      </x:c>
      <x:c r="O240" s="14" t="str">
        <x:v>nm5344575</x:v>
      </x:c>
      <x:c r="P240" s="14" t="str">
        <x:v>Martha</x:v>
      </x:c>
      <x:c r="Q240" s="15" t="n">
        <x:v>3</x:v>
      </x:c>
      <x:c r="R240" s="14" t="str">
        <x:v>2025</x:v>
      </x:c>
      <x:c r="S240" s="14" t="n">
        <x:v>2025</x:v>
      </x:c>
      <x:c r="T240" s="14" t="n">
        <x:v>2025</x:v>
      </x:c>
      <x:c r="U240" s="14" t="str">
        <x:v>Explicit source first year retained</x:v>
      </x:c>
      <x:c r="V240" s="14" t="str">
        <x:v>Earliest supplied year is 2025.</x:v>
      </x:c>
      <x:c r="W240" s="14"/>
      <x:c r="X240" s="14" t="str">
        <x:v>Included</x:v>
      </x:c>
      <x:c r="Y240" s="14"/>
      <x:c r="Z240" s="14" t="str">
        <x:v>Malpractice.docx</x:v>
      </x:c>
      <x:c r="AA240" s="14" t="str">
        <x:v>HYPERLINK is not implemented. linkLocation=https://www.imdb.com/title/tt20918594/fullcredits/,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ITV / ITVX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HYPERLINK("https://en.wikipedia.org/wiki/Malpractice","Open source")</x:f>
        <x:v>HYPERLINK is not implemented. linkLocation=https://en.wikipedia.org/wiki/Malpractice, friendlyName=Open source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10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3</x:v>
      </x:c>
      <x:c r="BS240" s="16" t="n">
        <x:v>0.3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4" t="str">
        <x:v>HYPERLINK is not implemented. linkLocation=https://www.imdb.com/title/tt20918594/fullcredits/,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tt20918594|nm15713902|rubi</x:v>
      </x:c>
      <x:c r="B241" s="14" t="str">
        <x:v>02</x:v>
      </x:c>
      <x:c r="C241" s="14" t="str">
        <x:v>2023_IMDb_Cast_Lists_Batch_02(2).xlsx</x:v>
      </x:c>
      <x:c r="D241" s="14" t="str">
        <x:v>Malpractice</x:v>
      </x:c>
      <x:c r="E241" s="14" t="n">
        <x:v>44</x:v>
      </x:c>
      <x:c r="F241" s="14" t="str">
        <x:v>Malpractice</x:v>
      </x:c>
      <x:c r="G241" s="14" t="str">
        <x:v>tt20918594</x:v>
      </x:c>
      <x:c r="H241" s="14" t="n">
        <x:v>2023</x:v>
      </x:c>
      <x:c r="I241" s="14" t="n">
        <x:v>2025</x:v>
      </x:c>
      <x:c r="J241" s="14" t="str">
        <x:v>Earlier-Production Carry-In Cohort</x:v>
      </x:c>
      <x:c r="K241" s="14" t="n">
        <x:v>2023</x:v>
      </x:c>
      <x:c r="L241" s="14" t="str">
        <x:v>Not inherited</x:v>
      </x:c>
      <x:c r="M241" s="15" t="n">
        <x:v>37</x:v>
      </x:c>
      <x:c r="N241" s="14" t="str">
        <x:v>Imogen Sandhu</x:v>
      </x:c>
      <x:c r="O241" s="14" t="str">
        <x:v>nm15713902</x:v>
      </x:c>
      <x:c r="P241" s="14" t="str">
        <x:v>Rubi</x:v>
      </x:c>
      <x:c r="Q241" s="15" t="n">
        <x:v>3</x:v>
      </x:c>
      <x:c r="R241" s="14" t="str">
        <x:v>2025</x:v>
      </x:c>
      <x:c r="S241" s="14" t="n">
        <x:v>2025</x:v>
      </x:c>
      <x:c r="T241" s="14" t="n">
        <x:v>2025</x:v>
      </x:c>
      <x:c r="U241" s="14" t="str">
        <x:v>Explicit source first year retained</x:v>
      </x:c>
      <x:c r="V241" s="14" t="str">
        <x:v>Earliest supplied year is 2025.</x:v>
      </x:c>
      <x:c r="W241" s="14"/>
      <x:c r="X241" s="14" t="str">
        <x:v>Included</x:v>
      </x:c>
      <x:c r="Y241" s="14"/>
      <x:c r="Z241" s="14" t="str">
        <x:v>Malpractice.docx</x:v>
      </x:c>
      <x:c r="AA241" s="14" t="str">
        <x:v>HYPERLINK is not implemented. linkLocation=https://www.imdb.com/title/tt20918594/fullcredits/,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ITV / ITVX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HYPERLINK("https://en.wikipedia.org/wiki/Malpractice","Open source")</x:f>
        <x:v>HYPERLINK is not implemented. linkLocation=https://en.wikipedia.org/wiki/Malpractice, friendlyName=Open source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10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3</x:v>
      </x:c>
      <x:c r="BS241" s="16" t="n">
        <x:v>0.3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4" t="str">
        <x:v>HYPERLINK is not implemented. linkLocation=https://www.imdb.com/title/tt20918594/fullcredits/,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tt20918594|nm9537585|ravi</x:v>
      </x:c>
      <x:c r="B242" s="14" t="str">
        <x:v>02</x:v>
      </x:c>
      <x:c r="C242" s="14" t="str">
        <x:v>2023_IMDb_Cast_Lists_Batch_02(2).xlsx</x:v>
      </x:c>
      <x:c r="D242" s="14" t="str">
        <x:v>Malpractice</x:v>
      </x:c>
      <x:c r="E242" s="14" t="n">
        <x:v>51</x:v>
      </x:c>
      <x:c r="F242" s="14" t="str">
        <x:v>Malpractice</x:v>
      </x:c>
      <x:c r="G242" s="14" t="str">
        <x:v>tt20918594</x:v>
      </x:c>
      <x:c r="H242" s="14" t="n">
        <x:v>2023</x:v>
      </x:c>
      <x:c r="I242" s="14" t="n">
        <x:v>2025</x:v>
      </x:c>
      <x:c r="J242" s="14" t="str">
        <x:v>Earlier-Production Carry-In Cohort</x:v>
      </x:c>
      <x:c r="K242" s="14" t="n">
        <x:v>2023</x:v>
      </x:c>
      <x:c r="L242" s="14" t="str">
        <x:v>Not inherited</x:v>
      </x:c>
      <x:c r="M242" s="15" t="n">
        <x:v>44</x:v>
      </x:c>
      <x:c r="N242" s="14" t="str">
        <x:v>Bhav Joshi</x:v>
      </x:c>
      <x:c r="O242" s="14" t="str">
        <x:v>nm9537585</x:v>
      </x:c>
      <x:c r="P242" s="14" t="str">
        <x:v>Ravi</x:v>
      </x:c>
      <x:c r="Q242" s="15" t="n">
        <x:v>2</x:v>
      </x:c>
      <x:c r="R242" s="14" t="str">
        <x:v>2025</x:v>
      </x:c>
      <x:c r="S242" s="14" t="n">
        <x:v>2025</x:v>
      </x:c>
      <x:c r="T242" s="14" t="n">
        <x:v>2025</x:v>
      </x:c>
      <x:c r="U242" s="14" t="str">
        <x:v>Explicit source first year retained</x:v>
      </x:c>
      <x:c r="V242" s="14" t="str">
        <x:v>Earliest supplied year is 2025.</x:v>
      </x:c>
      <x:c r="W242" s="14"/>
      <x:c r="X242" s="14" t="str">
        <x:v>Included</x:v>
      </x:c>
      <x:c r="Y242" s="14"/>
      <x:c r="Z242" s="14" t="str">
        <x:v>Malpractice.docx</x:v>
      </x:c>
      <x:c r="AA242" s="14" t="str">
        <x:v>HYPERLINK is not implemented. linkLocation=https://www.imdb.com/title/tt20918594/fullcredits/,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ITV / ITVX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HYPERLINK("https://en.wikipedia.org/wiki/Malpractice","Open source")</x:f>
        <x:v>HYPERLINK is not implemented. linkLocation=https://en.wikipedia.org/wiki/Malpractice, friendlyName=Open source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10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2</x:v>
      </x:c>
      <x:c r="BS242" s="16" t="n">
        <x:v>0.2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4" t="str">
        <x:v>HYPERLINK is not implemented. linkLocation=https://www.imdb.com/title/tt20918594/fullcredits/,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tt20918594|nm6007345|rosie newman</x:v>
      </x:c>
      <x:c r="B243" s="14" t="str">
        <x:v>02</x:v>
      </x:c>
      <x:c r="C243" s="14" t="str">
        <x:v>2023_IMDb_Cast_Lists_Batch_02(2).xlsx</x:v>
      </x:c>
      <x:c r="D243" s="14" t="str">
        <x:v>Malpractice</x:v>
      </x:c>
      <x:c r="E243" s="14" t="n">
        <x:v>52</x:v>
      </x:c>
      <x:c r="F243" s="14" t="str">
        <x:v>Malpractice</x:v>
      </x:c>
      <x:c r="G243" s="14" t="str">
        <x:v>tt20918594</x:v>
      </x:c>
      <x:c r="H243" s="14" t="n">
        <x:v>2023</x:v>
      </x:c>
      <x:c r="I243" s="14" t="n">
        <x:v>2025</x:v>
      </x:c>
      <x:c r="J243" s="14" t="str">
        <x:v>Earlier-Production Carry-In Cohort</x:v>
      </x:c>
      <x:c r="K243" s="14" t="n">
        <x:v>2023</x:v>
      </x:c>
      <x:c r="L243" s="14" t="str">
        <x:v>Not inherited</x:v>
      </x:c>
      <x:c r="M243" s="15" t="n">
        <x:v>45</x:v>
      </x:c>
      <x:c r="N243" s="14" t="str">
        <x:v>Hannah McClean</x:v>
      </x:c>
      <x:c r="O243" s="14" t="str">
        <x:v>nm6007345</x:v>
      </x:c>
      <x:c r="P243" s="14" t="str">
        <x:v>Rosie Newman</x:v>
      </x:c>
      <x:c r="Q243" s="15" t="n">
        <x:v>2</x:v>
      </x:c>
      <x:c r="R243" s="14" t="str">
        <x:v>2025</x:v>
      </x:c>
      <x:c r="S243" s="14" t="n">
        <x:v>2025</x:v>
      </x:c>
      <x:c r="T243" s="14" t="n">
        <x:v>2025</x:v>
      </x:c>
      <x:c r="U243" s="14" t="str">
        <x:v>Explicit source first year retained</x:v>
      </x:c>
      <x:c r="V243" s="14" t="str">
        <x:v>Earliest supplied year is 2025.</x:v>
      </x:c>
      <x:c r="W243" s="14"/>
      <x:c r="X243" s="14" t="str">
        <x:v>Included</x:v>
      </x:c>
      <x:c r="Y243" s="14"/>
      <x:c r="Z243" s="14" t="str">
        <x:v>Malpractice.docx</x:v>
      </x:c>
      <x:c r="AA243" s="14" t="str">
        <x:v>HYPERLINK is not implemented. linkLocation=https://www.imdb.com/title/tt20918594/fullcredits/,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ITV / ITVX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HYPERLINK("https://en.wikipedia.org/wiki/Malpractice","Open source")</x:f>
        <x:v>HYPERLINK is not implemented. linkLocation=https://en.wikipedia.org/wiki/Malpractice, friendlyName=Open source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10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2</x:v>
      </x:c>
      <x:c r="BS243" s="16" t="n">
        <x:v>0.2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4" t="str">
        <x:v>HYPERLINK is not implemented. linkLocation=https://www.imdb.com/title/tt20918594/fullcredits/,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tt20918594|nm10067328|freya</x:v>
      </x:c>
      <x:c r="B244" s="14" t="str">
        <x:v>02</x:v>
      </x:c>
      <x:c r="C244" s="14" t="str">
        <x:v>2023_IMDb_Cast_Lists_Batch_02(2).xlsx</x:v>
      </x:c>
      <x:c r="D244" s="14" t="str">
        <x:v>Malpractice</x:v>
      </x:c>
      <x:c r="E244" s="14" t="n">
        <x:v>53</x:v>
      </x:c>
      <x:c r="F244" s="14" t="str">
        <x:v>Malpractice</x:v>
      </x:c>
      <x:c r="G244" s="14" t="str">
        <x:v>tt20918594</x:v>
      </x:c>
      <x:c r="H244" s="14" t="n">
        <x:v>2023</x:v>
      </x:c>
      <x:c r="I244" s="14" t="n">
        <x:v>2025</x:v>
      </x:c>
      <x:c r="J244" s="14" t="str">
        <x:v>Earlier-Production Carry-In Cohort</x:v>
      </x:c>
      <x:c r="K244" s="14" t="n">
        <x:v>2023</x:v>
      </x:c>
      <x:c r="L244" s="14" t="str">
        <x:v>Not inherited</x:v>
      </x:c>
      <x:c r="M244" s="15" t="n">
        <x:v>46</x:v>
      </x:c>
      <x:c r="N244" s="14" t="str">
        <x:v>Jessica Temple</x:v>
      </x:c>
      <x:c r="O244" s="14" t="str">
        <x:v>nm10067328</x:v>
      </x:c>
      <x:c r="P244" s="14" t="str">
        <x:v>Freya</x:v>
      </x:c>
      <x:c r="Q244" s="15" t="n">
        <x:v>2</x:v>
      </x:c>
      <x:c r="R244" s="14" t="str">
        <x:v>2025</x:v>
      </x:c>
      <x:c r="S244" s="14" t="n">
        <x:v>2025</x:v>
      </x:c>
      <x:c r="T244" s="14" t="n">
        <x:v>2025</x:v>
      </x:c>
      <x:c r="U244" s="14" t="str">
        <x:v>Explicit source first year retained</x:v>
      </x:c>
      <x:c r="V244" s="14" t="str">
        <x:v>Earliest supplied year is 2025.</x:v>
      </x:c>
      <x:c r="W244" s="14"/>
      <x:c r="X244" s="14" t="str">
        <x:v>Included</x:v>
      </x:c>
      <x:c r="Y244" s="14"/>
      <x:c r="Z244" s="14" t="str">
        <x:v>Malpractice.docx</x:v>
      </x:c>
      <x:c r="AA244" s="14" t="str">
        <x:v>HYPERLINK is not implemented. linkLocation=https://www.imdb.com/title/tt20918594/fullcredits/,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ITV / ITVX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HYPERLINK("https://en.wikipedia.org/wiki/Malpractice","Open source")</x:f>
        <x:v>HYPERLINK is not implemented. linkLocation=https://en.wikipedia.org/wiki/Malpractice, friendlyName=Open source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10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2</x:v>
      </x:c>
      <x:c r="BS244" s="16" t="n">
        <x:v>0.2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4" t="str">
        <x:v>HYPERLINK is not implemented. linkLocation=https://www.imdb.com/title/tt20918594/fullcredits/,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tt20918594|nm8269025|ben munro</x:v>
      </x:c>
      <x:c r="B245" s="14" t="str">
        <x:v>02</x:v>
      </x:c>
      <x:c r="C245" s="14" t="str">
        <x:v>2023_IMDb_Cast_Lists_Batch_02(2).xlsx</x:v>
      </x:c>
      <x:c r="D245" s="14" t="str">
        <x:v>Malpractice</x:v>
      </x:c>
      <x:c r="E245" s="14" t="n">
        <x:v>54</x:v>
      </x:c>
      <x:c r="F245" s="14" t="str">
        <x:v>Malpractice</x:v>
      </x:c>
      <x:c r="G245" s="14" t="str">
        <x:v>tt20918594</x:v>
      </x:c>
      <x:c r="H245" s="14" t="n">
        <x:v>2023</x:v>
      </x:c>
      <x:c r="I245" s="14" t="n">
        <x:v>2025</x:v>
      </x:c>
      <x:c r="J245" s="14" t="str">
        <x:v>Earlier-Production Carry-In Cohort</x:v>
      </x:c>
      <x:c r="K245" s="14" t="n">
        <x:v>2023</x:v>
      </x:c>
      <x:c r="L245" s="14" t="str">
        <x:v>Not inherited</x:v>
      </x:c>
      <x:c r="M245" s="15" t="n">
        <x:v>47</x:v>
      </x:c>
      <x:c r="N245" s="14" t="str">
        <x:v>Neil Pendleton</x:v>
      </x:c>
      <x:c r="O245" s="14" t="str">
        <x:v>nm8269025</x:v>
      </x:c>
      <x:c r="P245" s="14" t="str">
        <x:v>Ben Munro</x:v>
      </x:c>
      <x:c r="Q245" s="15" t="n">
        <x:v>2</x:v>
      </x:c>
      <x:c r="R245" s="14" t="str">
        <x:v>2025</x:v>
      </x:c>
      <x:c r="S245" s="14" t="n">
        <x:v>2025</x:v>
      </x:c>
      <x:c r="T245" s="14" t="n">
        <x:v>2025</x:v>
      </x:c>
      <x:c r="U245" s="14" t="str">
        <x:v>Explicit source first year retained</x:v>
      </x:c>
      <x:c r="V245" s="14" t="str">
        <x:v>Earliest supplied year is 2025.</x:v>
      </x:c>
      <x:c r="W245" s="14"/>
      <x:c r="X245" s="14" t="str">
        <x:v>Included</x:v>
      </x:c>
      <x:c r="Y245" s="14"/>
      <x:c r="Z245" s="14" t="str">
        <x:v>Malpractice.docx</x:v>
      </x:c>
      <x:c r="AA245" s="14" t="str">
        <x:v>HYPERLINK is not implemented. linkLocation=https://www.imdb.com/title/tt20918594/fullcredits/,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ITV / ITVX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HYPERLINK("https://en.wikipedia.org/wiki/Malpractice","Open source")</x:f>
        <x:v>HYPERLINK is not implemented. linkLocation=https://en.wikipedia.org/wiki/Malpractice, friendlyName=Open source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10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2</x:v>
      </x:c>
      <x:c r="BS245" s="16" t="n">
        <x:v>0.2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4" t="str">
        <x:v>HYPERLINK is not implemented. linkLocation=https://www.imdb.com/title/tt20918594/fullcredits/,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tt20918594|nm7787239|dr. amit shafi</x:v>
      </x:c>
      <x:c r="B246" s="14" t="str">
        <x:v>02</x:v>
      </x:c>
      <x:c r="C246" s="14" t="str">
        <x:v>2023_IMDb_Cast_Lists_Batch_02(2).xlsx</x:v>
      </x:c>
      <x:c r="D246" s="14" t="str">
        <x:v>Malpractice</x:v>
      </x:c>
      <x:c r="E246" s="14" t="n">
        <x:v>55</x:v>
      </x:c>
      <x:c r="F246" s="14" t="str">
        <x:v>Malpractice</x:v>
      </x:c>
      <x:c r="G246" s="14" t="str">
        <x:v>tt20918594</x:v>
      </x:c>
      <x:c r="H246" s="14" t="n">
        <x:v>2023</x:v>
      </x:c>
      <x:c r="I246" s="14" t="n">
        <x:v>2025</x:v>
      </x:c>
      <x:c r="J246" s="14" t="str">
        <x:v>Earlier-Production Carry-In Cohort</x:v>
      </x:c>
      <x:c r="K246" s="14" t="n">
        <x:v>2023</x:v>
      </x:c>
      <x:c r="L246" s="14" t="str">
        <x:v>Not inherited</x:v>
      </x:c>
      <x:c r="M246" s="15" t="n">
        <x:v>48</x:v>
      </x:c>
      <x:c r="N246" s="14" t="str">
        <x:v>Ash Rizi</x:v>
      </x:c>
      <x:c r="O246" s="14" t="str">
        <x:v>nm7787239</x:v>
      </x:c>
      <x:c r="P246" s="14" t="str">
        <x:v>Dr. Amit Shafi</x:v>
      </x:c>
      <x:c r="Q246" s="15" t="n">
        <x:v>2</x:v>
      </x:c>
      <x:c r="R246" s="14" t="str">
        <x:v>2025</x:v>
      </x:c>
      <x:c r="S246" s="14" t="n">
        <x:v>2025</x:v>
      </x:c>
      <x:c r="T246" s="14" t="n">
        <x:v>2025</x:v>
      </x:c>
      <x:c r="U246" s="14" t="str">
        <x:v>Explicit source first year retained</x:v>
      </x:c>
      <x:c r="V246" s="14" t="str">
        <x:v>Earliest supplied year is 2025.</x:v>
      </x:c>
      <x:c r="W246" s="14"/>
      <x:c r="X246" s="14" t="str">
        <x:v>Included</x:v>
      </x:c>
      <x:c r="Y246" s="14"/>
      <x:c r="Z246" s="14" t="str">
        <x:v>Malpractice.docx</x:v>
      </x:c>
      <x:c r="AA246" s="14" t="str">
        <x:v>HYPERLINK is not implemented. linkLocation=https://www.imdb.com/title/tt20918594/fullcredits/,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ITV / ITVX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HYPERLINK("https://en.wikipedia.org/wiki/Malpractice","Open source")</x:f>
        <x:v>HYPERLINK is not implemented. linkLocation=https://en.wikipedia.org/wiki/Malpractice, friendlyName=Open source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10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2</x:v>
      </x:c>
      <x:c r="BS246" s="16" t="n">
        <x:v>0.2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4" t="str">
        <x:v>HYPERLINK is not implemented. linkLocation=https://www.imdb.com/title/tt20918594/fullcredits/,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tt20918594|nm7313350|michelle dornaway</x:v>
      </x:c>
      <x:c r="B247" s="14" t="str">
        <x:v>02</x:v>
      </x:c>
      <x:c r="C247" s="14" t="str">
        <x:v>2023_IMDb_Cast_Lists_Batch_02(2).xlsx</x:v>
      </x:c>
      <x:c r="D247" s="14" t="str">
        <x:v>Malpractice</x:v>
      </x:c>
      <x:c r="E247" s="14" t="n">
        <x:v>56</x:v>
      </x:c>
      <x:c r="F247" s="14" t="str">
        <x:v>Malpractice</x:v>
      </x:c>
      <x:c r="G247" s="14" t="str">
        <x:v>tt20918594</x:v>
      </x:c>
      <x:c r="H247" s="14" t="n">
        <x:v>2023</x:v>
      </x:c>
      <x:c r="I247" s="14" t="n">
        <x:v>2025</x:v>
      </x:c>
      <x:c r="J247" s="14" t="str">
        <x:v>Earlier-Production Carry-In Cohort</x:v>
      </x:c>
      <x:c r="K247" s="14" t="n">
        <x:v>2023</x:v>
      </x:c>
      <x:c r="L247" s="14" t="str">
        <x:v>Not inherited</x:v>
      </x:c>
      <x:c r="M247" s="15" t="n">
        <x:v>49</x:v>
      </x:c>
      <x:c r="N247" s="14" t="str">
        <x:v>Charlotte Mills</x:v>
      </x:c>
      <x:c r="O247" s="14" t="str">
        <x:v>nm7313350</x:v>
      </x:c>
      <x:c r="P247" s="14" t="str">
        <x:v>Michelle Dornaway</x:v>
      </x:c>
      <x:c r="Q247" s="15" t="n">
        <x:v>2</x:v>
      </x:c>
      <x:c r="R247" s="14" t="str">
        <x:v>2025</x:v>
      </x:c>
      <x:c r="S247" s="14" t="n">
        <x:v>2025</x:v>
      </x:c>
      <x:c r="T247" s="14" t="n">
        <x:v>2025</x:v>
      </x:c>
      <x:c r="U247" s="14" t="str">
        <x:v>Explicit source first year retained</x:v>
      </x:c>
      <x:c r="V247" s="14" t="str">
        <x:v>Earliest supplied year is 2025.</x:v>
      </x:c>
      <x:c r="W247" s="14"/>
      <x:c r="X247" s="14" t="str">
        <x:v>Included</x:v>
      </x:c>
      <x:c r="Y247" s="14"/>
      <x:c r="Z247" s="14" t="str">
        <x:v>Malpractice.docx</x:v>
      </x:c>
      <x:c r="AA247" s="14" t="str">
        <x:v>HYPERLINK is not implemented. linkLocation=https://www.imdb.com/title/tt20918594/fullcredits/,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ITV / ITVX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HYPERLINK("https://en.wikipedia.org/wiki/Malpractice","Open source")</x:f>
        <x:v>HYPERLINK is not implemented. linkLocation=https://en.wikipedia.org/wiki/Malpractice, friendlyName=Open source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10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2</x:v>
      </x:c>
      <x:c r="BS247" s="16" t="n">
        <x:v>0.2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4" t="str">
        <x:v>HYPERLINK is not implemented. linkLocation=https://www.imdb.com/title/tt20918594/fullcredits/,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tt20918594|nm2265675|deepa mbu midwife / deepa bhatia</x:v>
      </x:c>
      <x:c r="B248" s="14" t="str">
        <x:v>02</x:v>
      </x:c>
      <x:c r="C248" s="14" t="str">
        <x:v>2023_IMDb_Cast_Lists_Batch_02(2).xlsx</x:v>
      </x:c>
      <x:c r="D248" s="14" t="str">
        <x:v>Malpractice</x:v>
      </x:c>
      <x:c r="E248" s="14" t="n">
        <x:v>57</x:v>
      </x:c>
      <x:c r="F248" s="14" t="str">
        <x:v>Malpractice</x:v>
      </x:c>
      <x:c r="G248" s="14" t="str">
        <x:v>tt20918594</x:v>
      </x:c>
      <x:c r="H248" s="14" t="n">
        <x:v>2023</x:v>
      </x:c>
      <x:c r="I248" s="14" t="n">
        <x:v>2025</x:v>
      </x:c>
      <x:c r="J248" s="14" t="str">
        <x:v>Earlier-Production Carry-In Cohort</x:v>
      </x:c>
      <x:c r="K248" s="14" t="n">
        <x:v>2023</x:v>
      </x:c>
      <x:c r="L248" s="14" t="str">
        <x:v>Not inherited</x:v>
      </x:c>
      <x:c r="M248" s="15" t="n">
        <x:v>50</x:v>
      </x:c>
      <x:c r="N248" s="14" t="str">
        <x:v>Sheena Bhattessa</x:v>
      </x:c>
      <x:c r="O248" s="14" t="str">
        <x:v>nm2265675</x:v>
      </x:c>
      <x:c r="P248" s="14" t="str">
        <x:v>Deepa MBU Midwife / Deepa Bhatia</x:v>
      </x:c>
      <x:c r="Q248" s="15" t="n">
        <x:v>2</x:v>
      </x:c>
      <x:c r="R248" s="14" t="str">
        <x:v>2025</x:v>
      </x:c>
      <x:c r="S248" s="14" t="n">
        <x:v>2025</x:v>
      </x:c>
      <x:c r="T248" s="14" t="n">
        <x:v>2025</x:v>
      </x:c>
      <x:c r="U248" s="14" t="str">
        <x:v>Explicit source first year retained</x:v>
      </x:c>
      <x:c r="V248" s="14" t="str">
        <x:v>Earliest supplied year is 2025.</x:v>
      </x:c>
      <x:c r="W248" s="14"/>
      <x:c r="X248" s="14" t="str">
        <x:v>Included</x:v>
      </x:c>
      <x:c r="Y248" s="14"/>
      <x:c r="Z248" s="14" t="str">
        <x:v>Malpractice.docx</x:v>
      </x:c>
      <x:c r="AA248" s="14" t="str">
        <x:v>HYPERLINK is not implemented. linkLocation=https://www.imdb.com/title/tt20918594/fullcredits/,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ITV / ITVX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HYPERLINK("https://en.wikipedia.org/wiki/Malpractice","Open source")</x:f>
        <x:v>HYPERLINK is not implemented. linkLocation=https://en.wikipedia.org/wiki/Malpractice, friendlyName=Open source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10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4" t="str">
        <x:v>HYPERLINK is not implemented. linkLocation=https://www.imdb.com/title/tt20918594/fullcredits/,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tt20918594|nm0188780|senior midwife</x:v>
      </x:c>
      <x:c r="B249" s="14" t="str">
        <x:v>02</x:v>
      </x:c>
      <x:c r="C249" s="14" t="str">
        <x:v>2023_IMDb_Cast_Lists_Batch_02(2).xlsx</x:v>
      </x:c>
      <x:c r="D249" s="14" t="str">
        <x:v>Malpractice</x:v>
      </x:c>
      <x:c r="E249" s="14" t="n">
        <x:v>58</x:v>
      </x:c>
      <x:c r="F249" s="14" t="str">
        <x:v>Malpractice</x:v>
      </x:c>
      <x:c r="G249" s="14" t="str">
        <x:v>tt20918594</x:v>
      </x:c>
      <x:c r="H249" s="14" t="n">
        <x:v>2023</x:v>
      </x:c>
      <x:c r="I249" s="14" t="n">
        <x:v>2025</x:v>
      </x:c>
      <x:c r="J249" s="14" t="str">
        <x:v>Earlier-Production Carry-In Cohort</x:v>
      </x:c>
      <x:c r="K249" s="14" t="n">
        <x:v>2023</x:v>
      </x:c>
      <x:c r="L249" s="14" t="str">
        <x:v>Not inherited</x:v>
      </x:c>
      <x:c r="M249" s="15" t="n">
        <x:v>51</x:v>
      </x:c>
      <x:c r="N249" s="14" t="str">
        <x:v>Maggie Cronin</x:v>
      </x:c>
      <x:c r="O249" s="14" t="str">
        <x:v>nm0188780</x:v>
      </x:c>
      <x:c r="P249" s="14" t="str">
        <x:v>Senior Midwife</x:v>
      </x:c>
      <x:c r="Q249" s="15" t="n">
        <x:v>2</x:v>
      </x:c>
      <x:c r="R249" s="14" t="str">
        <x:v>2025</x:v>
      </x:c>
      <x:c r="S249" s="14" t="n">
        <x:v>2025</x:v>
      </x:c>
      <x:c r="T249" s="14" t="n">
        <x:v>2025</x:v>
      </x:c>
      <x:c r="U249" s="14" t="str">
        <x:v>Explicit source first year retained</x:v>
      </x:c>
      <x:c r="V249" s="14" t="str">
        <x:v>Earliest supplied year is 2025.</x:v>
      </x:c>
      <x:c r="W249" s="14"/>
      <x:c r="X249" s="14" t="str">
        <x:v>Included</x:v>
      </x:c>
      <x:c r="Y249" s="14"/>
      <x:c r="Z249" s="14" t="str">
        <x:v>Malpractice.docx</x:v>
      </x:c>
      <x:c r="AA249" s="14" t="str">
        <x:v>HYPERLINK is not implemented. linkLocation=https://www.imdb.com/title/tt20918594/fullcredits/,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ITV / ITVX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HYPERLINK("https://en.wikipedia.org/wiki/Malpractice","Open source")</x:f>
        <x:v>HYPERLINK is not implemented. linkLocation=https://en.wikipedia.org/wiki/Malpractice, friendlyName=Open source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10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4" t="str">
        <x:v>HYPERLINK is not implemented. linkLocation=https://www.imdb.com/title/tt20918594/fullcredits/,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tt20918594|nm5098614|francis</x:v>
      </x:c>
      <x:c r="B250" s="14" t="str">
        <x:v>02</x:v>
      </x:c>
      <x:c r="C250" s="14" t="str">
        <x:v>2023_IMDb_Cast_Lists_Batch_02(2).xlsx</x:v>
      </x:c>
      <x:c r="D250" s="14" t="str">
        <x:v>Malpractice</x:v>
      </x:c>
      <x:c r="E250" s="14" t="n">
        <x:v>59</x:v>
      </x:c>
      <x:c r="F250" s="14" t="str">
        <x:v>Malpractice</x:v>
      </x:c>
      <x:c r="G250" s="14" t="str">
        <x:v>tt20918594</x:v>
      </x:c>
      <x:c r="H250" s="14" t="n">
        <x:v>2023</x:v>
      </x:c>
      <x:c r="I250" s="14" t="n">
        <x:v>2025</x:v>
      </x:c>
      <x:c r="J250" s="14" t="str">
        <x:v>Earlier-Production Carry-In Cohort</x:v>
      </x:c>
      <x:c r="K250" s="14" t="n">
        <x:v>2023</x:v>
      </x:c>
      <x:c r="L250" s="14" t="str">
        <x:v>Not inherited</x:v>
      </x:c>
      <x:c r="M250" s="15" t="n">
        <x:v>52</x:v>
      </x:c>
      <x:c r="N250" s="14" t="str">
        <x:v>Alexander Theo</x:v>
      </x:c>
      <x:c r="O250" s="14" t="str">
        <x:v>nm5098614</x:v>
      </x:c>
      <x:c r="P250" s="14" t="str">
        <x:v>Francis</x:v>
      </x:c>
      <x:c r="Q250" s="15" t="n">
        <x:v>2</x:v>
      </x:c>
      <x:c r="R250" s="14" t="str">
        <x:v>2025</x:v>
      </x:c>
      <x:c r="S250" s="14" t="n">
        <x:v>2025</x:v>
      </x:c>
      <x:c r="T250" s="14" t="n">
        <x:v>2025</x:v>
      </x:c>
      <x:c r="U250" s="14" t="str">
        <x:v>Explicit source first year retained</x:v>
      </x:c>
      <x:c r="V250" s="14" t="str">
        <x:v>Earliest supplied year is 2025.</x:v>
      </x:c>
      <x:c r="W250" s="14"/>
      <x:c r="X250" s="14" t="str">
        <x:v>Included</x:v>
      </x:c>
      <x:c r="Y250" s="14"/>
      <x:c r="Z250" s="14" t="str">
        <x:v>Malpractice.docx</x:v>
      </x:c>
      <x:c r="AA250" s="14" t="str">
        <x:v>HYPERLINK is not implemented. linkLocation=https://www.imdb.com/title/tt20918594/fullcredits/,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ITV / ITVX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HYPERLINK("https://en.wikipedia.org/wiki/Malpractice","Open source")</x:f>
        <x:v>HYPERLINK is not implemented. linkLocation=https://en.wikipedia.org/wiki/Malpractice, friendlyName=Open source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10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4" t="str">
        <x:v>HYPERLINK is not implemented. linkLocation=https://www.imdb.com/title/tt20918594/fullcredits/,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tt20918594|nm17459018|imogen newman / imogen newman</x:v>
      </x:c>
      <x:c r="B251" s="14" t="str">
        <x:v>02</x:v>
      </x:c>
      <x:c r="C251" s="14" t="str">
        <x:v>2023_IMDb_Cast_Lists_Batch_02(2).xlsx</x:v>
      </x:c>
      <x:c r="D251" s="14" t="str">
        <x:v>Malpractice</x:v>
      </x:c>
      <x:c r="E251" s="14" t="n">
        <x:v>60</x:v>
      </x:c>
      <x:c r="F251" s="14" t="str">
        <x:v>Malpractice</x:v>
      </x:c>
      <x:c r="G251" s="14" t="str">
        <x:v>tt20918594</x:v>
      </x:c>
      <x:c r="H251" s="14" t="n">
        <x:v>2023</x:v>
      </x:c>
      <x:c r="I251" s="14" t="n">
        <x:v>2025</x:v>
      </x:c>
      <x:c r="J251" s="14" t="str">
        <x:v>Earlier-Production Carry-In Cohort</x:v>
      </x:c>
      <x:c r="K251" s="14" t="n">
        <x:v>2023</x:v>
      </x:c>
      <x:c r="L251" s="14" t="str">
        <x:v>Not inherited</x:v>
      </x:c>
      <x:c r="M251" s="15" t="n">
        <x:v>53</x:v>
      </x:c>
      <x:c r="N251" s="14" t="str">
        <x:v>Sophie Elizabeth Ann Shaw</x:v>
      </x:c>
      <x:c r="O251" s="14" t="str">
        <x:v>nm17459018</x:v>
      </x:c>
      <x:c r="P251" s="14" t="str">
        <x:v>Imogen Newman / Imogen newman</x:v>
      </x:c>
      <x:c r="Q251" s="15" t="n">
        <x:v>2</x:v>
      </x:c>
      <x:c r="R251" s="14" t="str">
        <x:v>2025</x:v>
      </x:c>
      <x:c r="S251" s="14" t="n">
        <x:v>2025</x:v>
      </x:c>
      <x:c r="T251" s="14" t="n">
        <x:v>2025</x:v>
      </x:c>
      <x:c r="U251" s="14" t="str">
        <x:v>Explicit source first year retained</x:v>
      </x:c>
      <x:c r="V251" s="14" t="str">
        <x:v>Earliest supplied year is 2025.</x:v>
      </x:c>
      <x:c r="W251" s="14"/>
      <x:c r="X251" s="14" t="str">
        <x:v>Included</x:v>
      </x:c>
      <x:c r="Y251" s="14"/>
      <x:c r="Z251" s="14" t="str">
        <x:v>Malpractice.docx</x:v>
      </x:c>
      <x:c r="AA251" s="14" t="str">
        <x:v>HYPERLINK is not implemented. linkLocation=https://www.imdb.com/title/tt20918594/fullcredits/,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ITV / ITVX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HYPERLINK("https://en.wikipedia.org/wiki/Malpractice","Open source")</x:f>
        <x:v>HYPERLINK is not implemented. linkLocation=https://en.wikipedia.org/wiki/Malpractice, friendlyName=Open source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10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2</x:v>
      </x:c>
      <x:c r="BS251" s="16" t="n">
        <x:v>0.2</x:v>
      </x:c>
      <x:c r="BT251" s="14" t="str">
        <x:v>Minority of episodes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4" t="str">
        <x:v>HYPERLINK is not implemented. linkLocation=https://www.imdb.com/title/tt20918594/fullcredits/,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tt20918594|nm9130037|nurse (136 suite)</x:v>
      </x:c>
      <x:c r="B252" s="14" t="str">
        <x:v>02</x:v>
      </x:c>
      <x:c r="C252" s="14" t="str">
        <x:v>2023_IMDb_Cast_Lists_Batch_02(2).xlsx</x:v>
      </x:c>
      <x:c r="D252" s="14" t="str">
        <x:v>Malpractice</x:v>
      </x:c>
      <x:c r="E252" s="14" t="n">
        <x:v>89</x:v>
      </x:c>
      <x:c r="F252" s="14" t="str">
        <x:v>Malpractice</x:v>
      </x:c>
      <x:c r="G252" s="14" t="str">
        <x:v>tt20918594</x:v>
      </x:c>
      <x:c r="H252" s="14" t="n">
        <x:v>2023</x:v>
      </x:c>
      <x:c r="I252" s="14" t="n">
        <x:v>2025</x:v>
      </x:c>
      <x:c r="J252" s="14" t="str">
        <x:v>Earlier-Production Carry-In Cohort</x:v>
      </x:c>
      <x:c r="K252" s="14" t="n">
        <x:v>2023</x:v>
      </x:c>
      <x:c r="L252" s="14" t="str">
        <x:v>Not inherited</x:v>
      </x:c>
      <x:c r="M252" s="15" t="n">
        <x:v>82</x:v>
      </x:c>
      <x:c r="N252" s="14" t="str">
        <x:v>Dearbháile McKinney</x:v>
      </x:c>
      <x:c r="O252" s="14" t="str">
        <x:v>nm9130037</x:v>
      </x:c>
      <x:c r="P252" s="14" t="str">
        <x:v>Nurse (136 Suite)</x:v>
      </x:c>
      <x:c r="Q252" s="15" t="n">
        <x:v>1</x:v>
      </x:c>
      <x:c r="R252" s="14" t="str">
        <x:v>2025</x:v>
      </x:c>
      <x:c r="S252" s="14" t="n">
        <x:v>2025</x:v>
      </x:c>
      <x:c r="T252" s="14" t="n">
        <x:v>2025</x:v>
      </x:c>
      <x:c r="U252" s="14" t="str">
        <x:v>Explicit source first year retained</x:v>
      </x:c>
      <x:c r="V252" s="14" t="str">
        <x:v>Earliest supplied year is 2025.</x:v>
      </x:c>
      <x:c r="W252" s="14"/>
      <x:c r="X252" s="14" t="str">
        <x:v>Included</x:v>
      </x:c>
      <x:c r="Y252" s="14"/>
      <x:c r="Z252" s="14" t="str">
        <x:v>Malpractice.docx</x:v>
      </x:c>
      <x:c r="AA252" s="14" t="str">
        <x:v>HYPERLINK is not implemented. linkLocation=https://www.imdb.com/title/tt20918594/fullcredits/,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ITV / ITVX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HYPERLINK("https://en.wikipedia.org/wiki/Malpractice","Open source")</x:f>
        <x:v>HYPERLINK is not implemented. linkLocation=https://en.wikipedia.org/wiki/Malpractice, friendlyName=Open source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10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4" t="str">
        <x:v>HYPERLINK is not implemented. linkLocation=https://www.imdb.com/title/tt20918594/fullcredits/,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tt20918594|nm0822697|amy</x:v>
      </x:c>
      <x:c r="B253" s="14" t="str">
        <x:v>02</x:v>
      </x:c>
      <x:c r="C253" s="14" t="str">
        <x:v>2023_IMDb_Cast_Lists_Batch_02(2).xlsx</x:v>
      </x:c>
      <x:c r="D253" s="14" t="str">
        <x:v>Malpractice</x:v>
      </x:c>
      <x:c r="E253" s="14" t="n">
        <x:v>90</x:v>
      </x:c>
      <x:c r="F253" s="14" t="str">
        <x:v>Malpractice</x:v>
      </x:c>
      <x:c r="G253" s="14" t="str">
        <x:v>tt20918594</x:v>
      </x:c>
      <x:c r="H253" s="14" t="n">
        <x:v>2023</x:v>
      </x:c>
      <x:c r="I253" s="14" t="n">
        <x:v>2025</x:v>
      </x:c>
      <x:c r="J253" s="14" t="str">
        <x:v>Earlier-Production Carry-In Cohort</x:v>
      </x:c>
      <x:c r="K253" s="14" t="n">
        <x:v>2023</x:v>
      </x:c>
      <x:c r="L253" s="14" t="str">
        <x:v>Not inherited</x:v>
      </x:c>
      <x:c r="M253" s="15" t="n">
        <x:v>83</x:v>
      </x:c>
      <x:c r="N253" s="14" t="str">
        <x:v>Emma Stansfield</x:v>
      </x:c>
      <x:c r="O253" s="14" t="str">
        <x:v>nm0822697</x:v>
      </x:c>
      <x:c r="P253" s="14" t="str">
        <x:v>Amy</x:v>
      </x:c>
      <x:c r="Q253" s="15" t="n">
        <x:v>1</x:v>
      </x:c>
      <x:c r="R253" s="14" t="str">
        <x:v>2025</x:v>
      </x:c>
      <x:c r="S253" s="14" t="n">
        <x:v>2025</x:v>
      </x:c>
      <x:c r="T253" s="14" t="n">
        <x:v>2025</x:v>
      </x:c>
      <x:c r="U253" s="14" t="str">
        <x:v>Explicit source first year retained</x:v>
      </x:c>
      <x:c r="V253" s="14" t="str">
        <x:v>Earliest supplied year is 2025.</x:v>
      </x:c>
      <x:c r="W253" s="14"/>
      <x:c r="X253" s="14" t="str">
        <x:v>Included</x:v>
      </x:c>
      <x:c r="Y253" s="14"/>
      <x:c r="Z253" s="14" t="str">
        <x:v>Malpractice.docx</x:v>
      </x:c>
      <x:c r="AA253" s="14" t="str">
        <x:v>HYPERLINK is not implemented. linkLocation=https://www.imdb.com/title/tt20918594/fullcredits/,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ITV / ITVX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HYPERLINK("https://en.wikipedia.org/wiki/Malpractice","Open source")</x:f>
        <x:v>HYPERLINK is not implemented. linkLocation=https://en.wikipedia.org/wiki/Malpractice, friendlyName=Open source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10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4" t="str">
        <x:v>HYPERLINK is not implemented. linkLocation=https://www.imdb.com/title/tt20918594/fullcredits/,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tt20918594|nm4337810|pc john penwell</x:v>
      </x:c>
      <x:c r="B254" s="14" t="str">
        <x:v>02</x:v>
      </x:c>
      <x:c r="C254" s="14" t="str">
        <x:v>2023_IMDb_Cast_Lists_Batch_02(2).xlsx</x:v>
      </x:c>
      <x:c r="D254" s="14" t="str">
        <x:v>Malpractice</x:v>
      </x:c>
      <x:c r="E254" s="14" t="n">
        <x:v>91</x:v>
      </x:c>
      <x:c r="F254" s="14" t="str">
        <x:v>Malpractice</x:v>
      </x:c>
      <x:c r="G254" s="14" t="str">
        <x:v>tt20918594</x:v>
      </x:c>
      <x:c r="H254" s="14" t="n">
        <x:v>2023</x:v>
      </x:c>
      <x:c r="I254" s="14" t="n">
        <x:v>2025</x:v>
      </x:c>
      <x:c r="J254" s="14" t="str">
        <x:v>Earlier-Production Carry-In Cohort</x:v>
      </x:c>
      <x:c r="K254" s="14" t="n">
        <x:v>2023</x:v>
      </x:c>
      <x:c r="L254" s="14" t="str">
        <x:v>Not inherited</x:v>
      </x:c>
      <x:c r="M254" s="15" t="n">
        <x:v>84</x:v>
      </x:c>
      <x:c r="N254" s="14" t="str">
        <x:v>Alistair Brammer</x:v>
      </x:c>
      <x:c r="O254" s="14" t="str">
        <x:v>nm4337810</x:v>
      </x:c>
      <x:c r="P254" s="14" t="str">
        <x:v>PC John Penwell</x:v>
      </x:c>
      <x:c r="Q254" s="15" t="n">
        <x:v>1</x:v>
      </x:c>
      <x:c r="R254" s="14" t="str">
        <x:v>2025</x:v>
      </x:c>
      <x:c r="S254" s="14" t="n">
        <x:v>2025</x:v>
      </x:c>
      <x:c r="T254" s="14" t="n">
        <x:v>2025</x:v>
      </x:c>
      <x:c r="U254" s="14" t="str">
        <x:v>Explicit source first year retained</x:v>
      </x:c>
      <x:c r="V254" s="14" t="str">
        <x:v>Earliest supplied year is 2025.</x:v>
      </x:c>
      <x:c r="W254" s="14"/>
      <x:c r="X254" s="14" t="str">
        <x:v>Included</x:v>
      </x:c>
      <x:c r="Y254" s="14"/>
      <x:c r="Z254" s="14" t="str">
        <x:v>Malpractice.docx</x:v>
      </x:c>
      <x:c r="AA254" s="14" t="str">
        <x:v>HYPERLINK is not implemented. linkLocation=https://www.imdb.com/title/tt20918594/fullcredits/,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ITV / ITVX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HYPERLINK("https://en.wikipedia.org/wiki/Malpractice","Open source")</x:f>
        <x:v>HYPERLINK is not implemented. linkLocation=https://en.wikipedia.org/wiki/Malpractice, friendlyName=Open source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10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4" t="str">
        <x:v>HYPERLINK is not implemented. linkLocation=https://www.imdb.com/title/tt20918594/fullcredits/,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tt20918594|nm13278985|ellie</x:v>
      </x:c>
      <x:c r="B255" s="14" t="str">
        <x:v>02</x:v>
      </x:c>
      <x:c r="C255" s="14" t="str">
        <x:v>2023_IMDb_Cast_Lists_Batch_02(2).xlsx</x:v>
      </x:c>
      <x:c r="D255" s="14" t="str">
        <x:v>Malpractice</x:v>
      </x:c>
      <x:c r="E255" s="14" t="n">
        <x:v>92</x:v>
      </x:c>
      <x:c r="F255" s="14" t="str">
        <x:v>Malpractice</x:v>
      </x:c>
      <x:c r="G255" s="14" t="str">
        <x:v>tt20918594</x:v>
      </x:c>
      <x:c r="H255" s="14" t="n">
        <x:v>2023</x:v>
      </x:c>
      <x:c r="I255" s="14" t="n">
        <x:v>2025</x:v>
      </x:c>
      <x:c r="J255" s="14" t="str">
        <x:v>Earlier-Production Carry-In Cohort</x:v>
      </x:c>
      <x:c r="K255" s="14" t="n">
        <x:v>2023</x:v>
      </x:c>
      <x:c r="L255" s="14" t="str">
        <x:v>Not inherited</x:v>
      </x:c>
      <x:c r="M255" s="15" t="n">
        <x:v>85</x:v>
      </x:c>
      <x:c r="N255" s="14" t="str">
        <x:v>Katie Eldred</x:v>
      </x:c>
      <x:c r="O255" s="14" t="str">
        <x:v>nm13278985</x:v>
      </x:c>
      <x:c r="P255" s="14" t="str">
        <x:v>Ellie</x:v>
      </x:c>
      <x:c r="Q255" s="15" t="n">
        <x:v>1</x:v>
      </x:c>
      <x:c r="R255" s="14" t="str">
        <x:v>2025</x:v>
      </x:c>
      <x:c r="S255" s="14" t="n">
        <x:v>2025</x:v>
      </x:c>
      <x:c r="T255" s="14" t="n">
        <x:v>2025</x:v>
      </x:c>
      <x:c r="U255" s="14" t="str">
        <x:v>Explicit source first year retained</x:v>
      </x:c>
      <x:c r="V255" s="14" t="str">
        <x:v>Earliest supplied year is 2025.</x:v>
      </x:c>
      <x:c r="W255" s="14"/>
      <x:c r="X255" s="14" t="str">
        <x:v>Included</x:v>
      </x:c>
      <x:c r="Y255" s="14"/>
      <x:c r="Z255" s="14" t="str">
        <x:v>Malpractice.docx</x:v>
      </x:c>
      <x:c r="AA255" s="14" t="str">
        <x:v>HYPERLINK is not implemented. linkLocation=https://www.imdb.com/title/tt20918594/fullcredits/,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ITV / ITVX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HYPERLINK("https://en.wikipedia.org/wiki/Malpractice","Open source")</x:f>
        <x:v>HYPERLINK is not implemented. linkLocation=https://en.wikipedia.org/wiki/Malpractice, friendlyName=Open source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10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4" t="str">
        <x:v>HYPERLINK is not implemented. linkLocation=https://www.imdb.com/title/tt20918594/fullcredits/,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tt20918594|nm8490593|pc blakefield</x:v>
      </x:c>
      <x:c r="B256" s="14" t="str">
        <x:v>02</x:v>
      </x:c>
      <x:c r="C256" s="14" t="str">
        <x:v>2023_IMDb_Cast_Lists_Batch_02(2).xlsx</x:v>
      </x:c>
      <x:c r="D256" s="14" t="str">
        <x:v>Malpractice</x:v>
      </x:c>
      <x:c r="E256" s="14" t="n">
        <x:v>93</x:v>
      </x:c>
      <x:c r="F256" s="14" t="str">
        <x:v>Malpractice</x:v>
      </x:c>
      <x:c r="G256" s="14" t="str">
        <x:v>tt20918594</x:v>
      </x:c>
      <x:c r="H256" s="14" t="n">
        <x:v>2023</x:v>
      </x:c>
      <x:c r="I256" s="14" t="n">
        <x:v>2025</x:v>
      </x:c>
      <x:c r="J256" s="14" t="str">
        <x:v>Earlier-Production Carry-In Cohort</x:v>
      </x:c>
      <x:c r="K256" s="14" t="n">
        <x:v>2023</x:v>
      </x:c>
      <x:c r="L256" s="14" t="str">
        <x:v>Not inherited</x:v>
      </x:c>
      <x:c r="M256" s="15" t="n">
        <x:v>86</x:v>
      </x:c>
      <x:c r="N256" s="14" t="str">
        <x:v>Matthew Forsythe</x:v>
      </x:c>
      <x:c r="O256" s="14" t="str">
        <x:v>nm8490593</x:v>
      </x:c>
      <x:c r="P256" s="14" t="str">
        <x:v>PC Blakefield</x:v>
      </x:c>
      <x:c r="Q256" s="15" t="n">
        <x:v>1</x:v>
      </x:c>
      <x:c r="R256" s="14" t="str">
        <x:v>2025</x:v>
      </x:c>
      <x:c r="S256" s="14" t="n">
        <x:v>2025</x:v>
      </x:c>
      <x:c r="T256" s="14" t="n">
        <x:v>2025</x:v>
      </x:c>
      <x:c r="U256" s="14" t="str">
        <x:v>Explicit source first year retained</x:v>
      </x:c>
      <x:c r="V256" s="14" t="str">
        <x:v>Earliest supplied year is 2025.</x:v>
      </x:c>
      <x:c r="W256" s="14"/>
      <x:c r="X256" s="14" t="str">
        <x:v>Included</x:v>
      </x:c>
      <x:c r="Y256" s="14"/>
      <x:c r="Z256" s="14" t="str">
        <x:v>Malpractice.docx</x:v>
      </x:c>
      <x:c r="AA256" s="14" t="str">
        <x:v>HYPERLINK is not implemented. linkLocation=https://www.imdb.com/title/tt20918594/fullcredits/,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ITV / ITVX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HYPERLINK("https://en.wikipedia.org/wiki/Malpractice","Open source")</x:f>
        <x:v>HYPERLINK is not implemented. linkLocation=https://en.wikipedia.org/wiki/Malpractice,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10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1</x:v>
      </x:c>
      <x:c r="BS256" s="16" t="n">
        <x:v>0.1</x:v>
      </x:c>
      <x:c r="BT256" s="14" t="str">
        <x:v>One episode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4" t="str">
        <x:v>HYPERLINK is not implemented. linkLocation=https://www.imdb.com/title/tt20918594/fullcredits/,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tt20918594|nm0042001|mr. anwaar</x:v>
      </x:c>
      <x:c r="B257" s="14" t="str">
        <x:v>02</x:v>
      </x:c>
      <x:c r="C257" s="14" t="str">
        <x:v>2023_IMDb_Cast_Lists_Batch_02(2).xlsx</x:v>
      </x:c>
      <x:c r="D257" s="14" t="str">
        <x:v>Malpractice</x:v>
      </x:c>
      <x:c r="E257" s="14" t="n">
        <x:v>94</x:v>
      </x:c>
      <x:c r="F257" s="14" t="str">
        <x:v>Malpractice</x:v>
      </x:c>
      <x:c r="G257" s="14" t="str">
        <x:v>tt20918594</x:v>
      </x:c>
      <x:c r="H257" s="14" t="n">
        <x:v>2023</x:v>
      </x:c>
      <x:c r="I257" s="14" t="n">
        <x:v>2025</x:v>
      </x:c>
      <x:c r="J257" s="14" t="str">
        <x:v>Earlier-Production Carry-In Cohort</x:v>
      </x:c>
      <x:c r="K257" s="14" t="n">
        <x:v>2023</x:v>
      </x:c>
      <x:c r="L257" s="14" t="str">
        <x:v>Not inherited</x:v>
      </x:c>
      <x:c r="M257" s="15" t="n">
        <x:v>87</x:v>
      </x:c>
      <x:c r="N257" s="14" t="str">
        <x:v>Ravi Aujla</x:v>
      </x:c>
      <x:c r="O257" s="14" t="str">
        <x:v>nm0042001</x:v>
      </x:c>
      <x:c r="P257" s="14" t="str">
        <x:v>Mr. Anwaar</x:v>
      </x:c>
      <x:c r="Q257" s="15" t="n">
        <x:v>1</x:v>
      </x:c>
      <x:c r="R257" s="14" t="str">
        <x:v>2025</x:v>
      </x:c>
      <x:c r="S257" s="14" t="n">
        <x:v>2025</x:v>
      </x:c>
      <x:c r="T257" s="14" t="n">
        <x:v>2025</x:v>
      </x:c>
      <x:c r="U257" s="14" t="str">
        <x:v>Explicit source first year retained</x:v>
      </x:c>
      <x:c r="V257" s="14" t="str">
        <x:v>Earliest supplied year is 2025.</x:v>
      </x:c>
      <x:c r="W257" s="14"/>
      <x:c r="X257" s="14" t="str">
        <x:v>Included</x:v>
      </x:c>
      <x:c r="Y257" s="14"/>
      <x:c r="Z257" s="14" t="str">
        <x:v>Malpractice.docx</x:v>
      </x:c>
      <x:c r="AA257" s="14" t="str">
        <x:v>HYPERLINK is not implemented. linkLocation=https://www.imdb.com/title/tt20918594/fullcredits/,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ITV / ITVX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HYPERLINK("https://en.wikipedia.org/wiki/Malpractice","Open source")</x:f>
        <x:v>HYPERLINK is not implemented. linkLocation=https://en.wikipedia.org/wiki/Malpractice,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10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1</x:v>
      </x:c>
      <x:c r="BS257" s="16" t="n">
        <x:v>0.1</x:v>
      </x:c>
      <x:c r="BT257" s="14" t="str">
        <x:v>One episode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4" t="str">
        <x:v>HYPERLINK is not implemented. linkLocation=https://www.imdb.com/title/tt20918594/fullcredits/,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tt20918594|nm10029083|emma</x:v>
      </x:c>
      <x:c r="B258" s="14" t="str">
        <x:v>02</x:v>
      </x:c>
      <x:c r="C258" s="14" t="str">
        <x:v>2023_IMDb_Cast_Lists_Batch_02(2).xlsx</x:v>
      </x:c>
      <x:c r="D258" s="14" t="str">
        <x:v>Malpractice</x:v>
      </x:c>
      <x:c r="E258" s="14" t="n">
        <x:v>95</x:v>
      </x:c>
      <x:c r="F258" s="14" t="str">
        <x:v>Malpractice</x:v>
      </x:c>
      <x:c r="G258" s="14" t="str">
        <x:v>tt20918594</x:v>
      </x:c>
      <x:c r="H258" s="14" t="n">
        <x:v>2023</x:v>
      </x:c>
      <x:c r="I258" s="14" t="n">
        <x:v>2025</x:v>
      </x:c>
      <x:c r="J258" s="14" t="str">
        <x:v>Earlier-Production Carry-In Cohort</x:v>
      </x:c>
      <x:c r="K258" s="14" t="n">
        <x:v>2023</x:v>
      </x:c>
      <x:c r="L258" s="14" t="str">
        <x:v>Not inherited</x:v>
      </x:c>
      <x:c r="M258" s="15" t="n">
        <x:v>88</x:v>
      </x:c>
      <x:c r="N258" s="14" t="str">
        <x:v>Allison Harding</x:v>
      </x:c>
      <x:c r="O258" s="14" t="str">
        <x:v>nm10029083</x:v>
      </x:c>
      <x:c r="P258" s="14" t="str">
        <x:v>Emma</x:v>
      </x:c>
      <x:c r="Q258" s="15" t="n">
        <x:v>1</x:v>
      </x:c>
      <x:c r="R258" s="14" t="str">
        <x:v>2025</x:v>
      </x:c>
      <x:c r="S258" s="14" t="n">
        <x:v>2025</x:v>
      </x:c>
      <x:c r="T258" s="14" t="n">
        <x:v>2025</x:v>
      </x:c>
      <x:c r="U258" s="14" t="str">
        <x:v>Explicit source first year retained</x:v>
      </x:c>
      <x:c r="V258" s="14" t="str">
        <x:v>Earliest supplied year is 2025.</x:v>
      </x:c>
      <x:c r="W258" s="14"/>
      <x:c r="X258" s="14" t="str">
        <x:v>Included</x:v>
      </x:c>
      <x:c r="Y258" s="14"/>
      <x:c r="Z258" s="14" t="str">
        <x:v>Malpractice.docx</x:v>
      </x:c>
      <x:c r="AA258" s="14" t="str">
        <x:v>HYPERLINK is not implemented. linkLocation=https://www.imdb.com/title/tt20918594/fullcredits/,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ITV / ITVX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HYPERLINK("https://en.wikipedia.org/wiki/Malpractice","Open source")</x:f>
        <x:v>HYPERLINK is not implemented. linkLocation=https://en.wikipedia.org/wiki/Malpractice,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10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1</x:v>
      </x:c>
      <x:c r="BS258" s="16" t="n">
        <x:v>0.1</x:v>
      </x:c>
      <x:c r="BT258" s="14" t="str">
        <x:v>One episode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4" t="str">
        <x:v>HYPERLINK is not implemented. linkLocation=https://www.imdb.com/title/tt20918594/fullcredits/,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tt20918594|nm13782082|dr. hussain</x:v>
      </x:c>
      <x:c r="B259" s="14" t="str">
        <x:v>02</x:v>
      </x:c>
      <x:c r="C259" s="14" t="str">
        <x:v>2023_IMDb_Cast_Lists_Batch_02(2).xlsx</x:v>
      </x:c>
      <x:c r="D259" s="14" t="str">
        <x:v>Malpractice</x:v>
      </x:c>
      <x:c r="E259" s="14" t="n">
        <x:v>96</x:v>
      </x:c>
      <x:c r="F259" s="14" t="str">
        <x:v>Malpractice</x:v>
      </x:c>
      <x:c r="G259" s="14" t="str">
        <x:v>tt20918594</x:v>
      </x:c>
      <x:c r="H259" s="14" t="n">
        <x:v>2023</x:v>
      </x:c>
      <x:c r="I259" s="14" t="n">
        <x:v>2025</x:v>
      </x:c>
      <x:c r="J259" s="14" t="str">
        <x:v>Earlier-Production Carry-In Cohort</x:v>
      </x:c>
      <x:c r="K259" s="14" t="n">
        <x:v>2023</x:v>
      </x:c>
      <x:c r="L259" s="14" t="str">
        <x:v>Not inherited</x:v>
      </x:c>
      <x:c r="M259" s="15" t="n">
        <x:v>89</x:v>
      </x:c>
      <x:c r="N259" s="14" t="str">
        <x:v>Bairavi Manoharan</x:v>
      </x:c>
      <x:c r="O259" s="14" t="str">
        <x:v>nm13782082</x:v>
      </x:c>
      <x:c r="P259" s="14" t="str">
        <x:v>Dr. Hussain</x:v>
      </x:c>
      <x:c r="Q259" s="15" t="n">
        <x:v>1</x:v>
      </x:c>
      <x:c r="R259" s="14" t="str">
        <x:v>2025</x:v>
      </x:c>
      <x:c r="S259" s="14" t="n">
        <x:v>2025</x:v>
      </x:c>
      <x:c r="T259" s="14" t="n">
        <x:v>2025</x:v>
      </x:c>
      <x:c r="U259" s="14" t="str">
        <x:v>Explicit source first year retained</x:v>
      </x:c>
      <x:c r="V259" s="14" t="str">
        <x:v>Earliest supplied year is 2025.</x:v>
      </x:c>
      <x:c r="W259" s="14"/>
      <x:c r="X259" s="14" t="str">
        <x:v>Included</x:v>
      </x:c>
      <x:c r="Y259" s="14"/>
      <x:c r="Z259" s="14" t="str">
        <x:v>Malpractice.docx</x:v>
      </x:c>
      <x:c r="AA259" s="14" t="str">
        <x:v>HYPERLINK is not implemented. linkLocation=https://www.imdb.com/title/tt20918594/fullcredits/,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ITV / ITVX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HYPERLINK("https://en.wikipedia.org/wiki/Malpractice","Open source")</x:f>
        <x:v>HYPERLINK is not implemented. linkLocation=https://en.wikipedia.org/wiki/Malpractice,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10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1</x:v>
      </x:c>
      <x:c r="BS259" s="16" t="n">
        <x:v>0.1</x:v>
      </x:c>
      <x:c r="BT259" s="14" t="str">
        <x:v>One episode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4" t="str">
        <x:v>HYPERLINK is not implemented. linkLocation=https://www.imdb.com/title/tt20918594/fullcredits/,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tt20918594|nm0043293|dr. glyn armitage</x:v>
      </x:c>
      <x:c r="B260" s="14" t="str">
        <x:v>02</x:v>
      </x:c>
      <x:c r="C260" s="14" t="str">
        <x:v>2023_IMDb_Cast_Lists_Batch_02(2).xlsx</x:v>
      </x:c>
      <x:c r="D260" s="14" t="str">
        <x:v>Malpractice</x:v>
      </x:c>
      <x:c r="E260" s="14" t="n">
        <x:v>97</x:v>
      </x:c>
      <x:c r="F260" s="14" t="str">
        <x:v>Malpractice</x:v>
      </x:c>
      <x:c r="G260" s="14" t="str">
        <x:v>tt20918594</x:v>
      </x:c>
      <x:c r="H260" s="14" t="n">
        <x:v>2023</x:v>
      </x:c>
      <x:c r="I260" s="14" t="n">
        <x:v>2025</x:v>
      </x:c>
      <x:c r="J260" s="14" t="str">
        <x:v>Earlier-Production Carry-In Cohort</x:v>
      </x:c>
      <x:c r="K260" s="14" t="n">
        <x:v>2023</x:v>
      </x:c>
      <x:c r="L260" s="14" t="str">
        <x:v>Not inherited</x:v>
      </x:c>
      <x:c r="M260" s="15" t="n">
        <x:v>90</x:v>
      </x:c>
      <x:c r="N260" s="14" t="str">
        <x:v>Justin Avoth</x:v>
      </x:c>
      <x:c r="O260" s="14" t="str">
        <x:v>nm0043293</x:v>
      </x:c>
      <x:c r="P260" s="14" t="str">
        <x:v>Dr. Glyn Armitage</x:v>
      </x:c>
      <x:c r="Q260" s="15" t="n">
        <x:v>1</x:v>
      </x:c>
      <x:c r="R260" s="14" t="str">
        <x:v>2025</x:v>
      </x:c>
      <x:c r="S260" s="14" t="n">
        <x:v>2025</x:v>
      </x:c>
      <x:c r="T260" s="14" t="n">
        <x:v>2025</x:v>
      </x:c>
      <x:c r="U260" s="14" t="str">
        <x:v>Explicit source first year retained</x:v>
      </x:c>
      <x:c r="V260" s="14" t="str">
        <x:v>Earliest supplied year is 2025.</x:v>
      </x:c>
      <x:c r="W260" s="14"/>
      <x:c r="X260" s="14" t="str">
        <x:v>Included</x:v>
      </x:c>
      <x:c r="Y260" s="14"/>
      <x:c r="Z260" s="14" t="str">
        <x:v>Malpractice.docx</x:v>
      </x:c>
      <x:c r="AA260" s="14" t="str">
        <x:v>HYPERLINK is not implemented. linkLocation=https://www.imdb.com/title/tt20918594/fullcredits/,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ITV / ITVX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HYPERLINK("https://en.wikipedia.org/wiki/Malpractice","Open source")</x:f>
        <x:v>HYPERLINK is not implemented. linkLocation=https://en.wikipedia.org/wiki/Malpractice,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10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1</x:v>
      </x:c>
      <x:c r="BS260" s="16" t="n">
        <x:v>0.1</x:v>
      </x:c>
      <x:c r="BT260" s="14" t="str">
        <x:v>One episode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4" t="str">
        <x:v>HYPERLINK is not implemented. linkLocation=https://www.imdb.com/title/tt20918594/fullcredits/,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tt20918594|nm7750520|kirsty</x:v>
      </x:c>
      <x:c r="B261" s="14" t="str">
        <x:v>02</x:v>
      </x:c>
      <x:c r="C261" s="14" t="str">
        <x:v>2023_IMDb_Cast_Lists_Batch_02(2).xlsx</x:v>
      </x:c>
      <x:c r="D261" s="14" t="str">
        <x:v>Malpractice</x:v>
      </x:c>
      <x:c r="E261" s="14" t="n">
        <x:v>98</x:v>
      </x:c>
      <x:c r="F261" s="14" t="str">
        <x:v>Malpractice</x:v>
      </x:c>
      <x:c r="G261" s="14" t="str">
        <x:v>tt20918594</x:v>
      </x:c>
      <x:c r="H261" s="14" t="n">
        <x:v>2023</x:v>
      </x:c>
      <x:c r="I261" s="14" t="n">
        <x:v>2025</x:v>
      </x:c>
      <x:c r="J261" s="14" t="str">
        <x:v>Earlier-Production Carry-In Cohort</x:v>
      </x:c>
      <x:c r="K261" s="14" t="n">
        <x:v>2023</x:v>
      </x:c>
      <x:c r="L261" s="14" t="str">
        <x:v>Not inherited</x:v>
      </x:c>
      <x:c r="M261" s="15" t="n">
        <x:v>91</x:v>
      </x:c>
      <x:c r="N261" s="14" t="str">
        <x:v>Amy Drake</x:v>
      </x:c>
      <x:c r="O261" s="14" t="str">
        <x:v>nm7750520</x:v>
      </x:c>
      <x:c r="P261" s="14" t="str">
        <x:v>Kirsty</x:v>
      </x:c>
      <x:c r="Q261" s="15" t="n">
        <x:v>1</x:v>
      </x:c>
      <x:c r="R261" s="14" t="str">
        <x:v>2025</x:v>
      </x:c>
      <x:c r="S261" s="14" t="n">
        <x:v>2025</x:v>
      </x:c>
      <x:c r="T261" s="14" t="n">
        <x:v>2025</x:v>
      </x:c>
      <x:c r="U261" s="14" t="str">
        <x:v>Explicit source first year retained</x:v>
      </x:c>
      <x:c r="V261" s="14" t="str">
        <x:v>Earliest supplied year is 2025.</x:v>
      </x:c>
      <x:c r="W261" s="14"/>
      <x:c r="X261" s="14" t="str">
        <x:v>Included</x:v>
      </x:c>
      <x:c r="Y261" s="14"/>
      <x:c r="Z261" s="14" t="str">
        <x:v>Malpractice.docx</x:v>
      </x:c>
      <x:c r="AA261" s="14" t="str">
        <x:v>HYPERLINK is not implemented. linkLocation=https://www.imdb.com/title/tt20918594/fullcredits/,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ITV / ITVX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HYPERLINK("https://en.wikipedia.org/wiki/Malpractice","Open source")</x:f>
        <x:v>HYPERLINK is not implemented. linkLocation=https://en.wikipedia.org/wiki/Malpractice,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10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0.1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4" t="str">
        <x:v>HYPERLINK is not implemented. linkLocation=https://www.imdb.com/title/tt20918594/fullcredits/,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tt20918594|nm5937421|claire martin</x:v>
      </x:c>
      <x:c r="B262" s="14" t="str">
        <x:v>02</x:v>
      </x:c>
      <x:c r="C262" s="14" t="str">
        <x:v>2023_IMDb_Cast_Lists_Batch_02(2).xlsx</x:v>
      </x:c>
      <x:c r="D262" s="14" t="str">
        <x:v>Malpractice</x:v>
      </x:c>
      <x:c r="E262" s="14" t="n">
        <x:v>99</x:v>
      </x:c>
      <x:c r="F262" s="14" t="str">
        <x:v>Malpractice</x:v>
      </x:c>
      <x:c r="G262" s="14" t="str">
        <x:v>tt20918594</x:v>
      </x:c>
      <x:c r="H262" s="14" t="n">
        <x:v>2023</x:v>
      </x:c>
      <x:c r="I262" s="14" t="n">
        <x:v>2025</x:v>
      </x:c>
      <x:c r="J262" s="14" t="str">
        <x:v>Earlier-Production Carry-In Cohort</x:v>
      </x:c>
      <x:c r="K262" s="14" t="n">
        <x:v>2023</x:v>
      </x:c>
      <x:c r="L262" s="14" t="str">
        <x:v>Not inherited</x:v>
      </x:c>
      <x:c r="M262" s="15" t="n">
        <x:v>92</x:v>
      </x:c>
      <x:c r="N262" s="14" t="str">
        <x:v>Kristy Philipps</x:v>
      </x:c>
      <x:c r="O262" s="14" t="str">
        <x:v>nm5937421</x:v>
      </x:c>
      <x:c r="P262" s="14" t="str">
        <x:v>Claire Martin</x:v>
      </x:c>
      <x:c r="Q262" s="15" t="n">
        <x:v>1</x:v>
      </x:c>
      <x:c r="R262" s="14" t="str">
        <x:v>2025</x:v>
      </x:c>
      <x:c r="S262" s="14" t="n">
        <x:v>2025</x:v>
      </x:c>
      <x:c r="T262" s="14" t="n">
        <x:v>2025</x:v>
      </x:c>
      <x:c r="U262" s="14" t="str">
        <x:v>Explicit source first year retained</x:v>
      </x:c>
      <x:c r="V262" s="14" t="str">
        <x:v>Earliest supplied year is 2025.</x:v>
      </x:c>
      <x:c r="W262" s="14"/>
      <x:c r="X262" s="14" t="str">
        <x:v>Included</x:v>
      </x:c>
      <x:c r="Y262" s="14"/>
      <x:c r="Z262" s="14" t="str">
        <x:v>Malpractice.docx</x:v>
      </x:c>
      <x:c r="AA262" s="14" t="str">
        <x:v>HYPERLINK is not implemented. linkLocation=https://www.imdb.com/title/tt20918594/fullcredits/,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ITV / ITVX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HYPERLINK("https://en.wikipedia.org/wiki/Malpractice","Open source")</x:f>
        <x:v>HYPERLINK is not implemented. linkLocation=https://en.wikipedia.org/wiki/Malpractice,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10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0.1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4" t="str">
        <x:v>HYPERLINK is not implemented. linkLocation=https://www.imdb.com/title/tt20918594/fullcredits/,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tt20918594|nm2375611|mark</x:v>
      </x:c>
      <x:c r="B263" s="14" t="str">
        <x:v>02</x:v>
      </x:c>
      <x:c r="C263" s="14" t="str">
        <x:v>2023_IMDb_Cast_Lists_Batch_02(2).xlsx</x:v>
      </x:c>
      <x:c r="D263" s="14" t="str">
        <x:v>Malpractice</x:v>
      </x:c>
      <x:c r="E263" s="14" t="n">
        <x:v>100</x:v>
      </x:c>
      <x:c r="F263" s="14" t="str">
        <x:v>Malpractice</x:v>
      </x:c>
      <x:c r="G263" s="14" t="str">
        <x:v>tt20918594</x:v>
      </x:c>
      <x:c r="H263" s="14" t="n">
        <x:v>2023</x:v>
      </x:c>
      <x:c r="I263" s="14" t="n">
        <x:v>2025</x:v>
      </x:c>
      <x:c r="J263" s="14" t="str">
        <x:v>Earlier-Production Carry-In Cohort</x:v>
      </x:c>
      <x:c r="K263" s="14" t="n">
        <x:v>2023</x:v>
      </x:c>
      <x:c r="L263" s="14" t="str">
        <x:v>Not inherited</x:v>
      </x:c>
      <x:c r="M263" s="15" t="n">
        <x:v>93</x:v>
      </x:c>
      <x:c r="N263" s="14" t="str">
        <x:v>Tom Lorcan</x:v>
      </x:c>
      <x:c r="O263" s="14" t="str">
        <x:v>nm2375611</x:v>
      </x:c>
      <x:c r="P263" s="14" t="str">
        <x:v>Mark</x:v>
      </x:c>
      <x:c r="Q263" s="15" t="n">
        <x:v>1</x:v>
      </x:c>
      <x:c r="R263" s="14" t="str">
        <x:v>2025</x:v>
      </x:c>
      <x:c r="S263" s="14" t="n">
        <x:v>2025</x:v>
      </x:c>
      <x:c r="T263" s="14" t="n">
        <x:v>2025</x:v>
      </x:c>
      <x:c r="U263" s="14" t="str">
        <x:v>Explicit source first year retained</x:v>
      </x:c>
      <x:c r="V263" s="14" t="str">
        <x:v>Earliest supplied year is 2025.</x:v>
      </x:c>
      <x:c r="W263" s="14"/>
      <x:c r="X263" s="14" t="str">
        <x:v>Included</x:v>
      </x:c>
      <x:c r="Y263" s="14"/>
      <x:c r="Z263" s="14" t="str">
        <x:v>Malpractice.docx</x:v>
      </x:c>
      <x:c r="AA263" s="14" t="str">
        <x:v>HYPERLINK is not implemented. linkLocation=https://www.imdb.com/title/tt20918594/fullcredits/,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ITV / ITVX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HYPERLINK("https://en.wikipedia.org/wiki/Malpractice","Open source")</x:f>
        <x:v>HYPERLINK is not implemented. linkLocation=https://en.wikipedia.org/wiki/Malpractice,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10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0.1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4" t="str">
        <x:v>HYPERLINK is not implemented. linkLocation=https://www.imdb.com/title/tt20918594/fullcredits/,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tt20918594|nm7828260|dr. ava lawal</x:v>
      </x:c>
      <x:c r="B264" s="14" t="str">
        <x:v>02</x:v>
      </x:c>
      <x:c r="C264" s="14" t="str">
        <x:v>2023_IMDb_Cast_Lists_Batch_02(2).xlsx</x:v>
      </x:c>
      <x:c r="D264" s="14" t="str">
        <x:v>Malpractice</x:v>
      </x:c>
      <x:c r="E264" s="14" t="n">
        <x:v>101</x:v>
      </x:c>
      <x:c r="F264" s="14" t="str">
        <x:v>Malpractice</x:v>
      </x:c>
      <x:c r="G264" s="14" t="str">
        <x:v>tt20918594</x:v>
      </x:c>
      <x:c r="H264" s="14" t="n">
        <x:v>2023</x:v>
      </x:c>
      <x:c r="I264" s="14" t="n">
        <x:v>2025</x:v>
      </x:c>
      <x:c r="J264" s="14" t="str">
        <x:v>Earlier-Production Carry-In Cohort</x:v>
      </x:c>
      <x:c r="K264" s="14" t="n">
        <x:v>2023</x:v>
      </x:c>
      <x:c r="L264" s="14" t="str">
        <x:v>Not inherited</x:v>
      </x:c>
      <x:c r="M264" s="15" t="n">
        <x:v>94</x:v>
      </x:c>
      <x:c r="N264" s="14" t="str">
        <x:v>Charis Agbonlahor</x:v>
      </x:c>
      <x:c r="O264" s="14" t="str">
        <x:v>nm7828260</x:v>
      </x:c>
      <x:c r="P264" s="14" t="str">
        <x:v>Dr. Ava Lawal</x:v>
      </x:c>
      <x:c r="Q264" s="15" t="n">
        <x:v>1</x:v>
      </x:c>
      <x:c r="R264" s="14" t="str">
        <x:v>2025</x:v>
      </x:c>
      <x:c r="S264" s="14" t="n">
        <x:v>2025</x:v>
      </x:c>
      <x:c r="T264" s="14" t="n">
        <x:v>2025</x:v>
      </x:c>
      <x:c r="U264" s="14" t="str">
        <x:v>Explicit source first year retained</x:v>
      </x:c>
      <x:c r="V264" s="14" t="str">
        <x:v>Earliest supplied year is 2025.</x:v>
      </x:c>
      <x:c r="W264" s="14"/>
      <x:c r="X264" s="14" t="str">
        <x:v>Included</x:v>
      </x:c>
      <x:c r="Y264" s="14"/>
      <x:c r="Z264" s="14" t="str">
        <x:v>Malpractice.docx</x:v>
      </x:c>
      <x:c r="AA264" s="14" t="str">
        <x:v>HYPERLINK is not implemented. linkLocation=https://www.imdb.com/title/tt20918594/fullcredits/,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ITV / ITVX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HYPERLINK("https://en.wikipedia.org/wiki/Malpractice","Open source")</x:f>
        <x:v>HYPERLINK is not implemented. linkLocation=https://en.wikipedia.org/wiki/Malpractice,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10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0.1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4" t="str">
        <x:v>HYPERLINK is not implemented. linkLocation=https://www.imdb.com/title/tt20918594/fullcredits/,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tt20918594|nm1418006|fiona</x:v>
      </x:c>
      <x:c r="B265" s="14" t="str">
        <x:v>02</x:v>
      </x:c>
      <x:c r="C265" s="14" t="str">
        <x:v>2023_IMDb_Cast_Lists_Batch_02(2).xlsx</x:v>
      </x:c>
      <x:c r="D265" s="14" t="str">
        <x:v>Malpractice</x:v>
      </x:c>
      <x:c r="E265" s="14" t="n">
        <x:v>102</x:v>
      </x:c>
      <x:c r="F265" s="14" t="str">
        <x:v>Malpractice</x:v>
      </x:c>
      <x:c r="G265" s="14" t="str">
        <x:v>tt20918594</x:v>
      </x:c>
      <x:c r="H265" s="14" t="n">
        <x:v>2023</x:v>
      </x:c>
      <x:c r="I265" s="14" t="n">
        <x:v>2025</x:v>
      </x:c>
      <x:c r="J265" s="14" t="str">
        <x:v>Earlier-Production Carry-In Cohort</x:v>
      </x:c>
      <x:c r="K265" s="14" t="n">
        <x:v>2023</x:v>
      </x:c>
      <x:c r="L265" s="14" t="str">
        <x:v>Not inherited</x:v>
      </x:c>
      <x:c r="M265" s="15" t="n">
        <x:v>95</x:v>
      </x:c>
      <x:c r="N265" s="14" t="str">
        <x:v>Una Kavanagh</x:v>
      </x:c>
      <x:c r="O265" s="14" t="str">
        <x:v>nm1418006</x:v>
      </x:c>
      <x:c r="P265" s="14" t="str">
        <x:v>Fiona</x:v>
      </x:c>
      <x:c r="Q265" s="15" t="n">
        <x:v>1</x:v>
      </x:c>
      <x:c r="R265" s="14" t="str">
        <x:v>2025</x:v>
      </x:c>
      <x:c r="S265" s="14" t="n">
        <x:v>2025</x:v>
      </x:c>
      <x:c r="T265" s="14" t="n">
        <x:v>2025</x:v>
      </x:c>
      <x:c r="U265" s="14" t="str">
        <x:v>Explicit source first year retained</x:v>
      </x:c>
      <x:c r="V265" s="14" t="str">
        <x:v>Earliest supplied year is 2025.</x:v>
      </x:c>
      <x:c r="W265" s="14"/>
      <x:c r="X265" s="14" t="str">
        <x:v>Included</x:v>
      </x:c>
      <x:c r="Y265" s="14" t="str">
        <x:v>(as Úna Kavanagh)</x:v>
      </x:c>
      <x:c r="Z265" s="14" t="str">
        <x:v>Malpractice.docx</x:v>
      </x:c>
      <x:c r="AA265" s="14" t="str">
        <x:v>HYPERLINK is not implemented. linkLocation=https://www.imdb.com/title/tt20918594/fullcredits/,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ITV / ITVX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HYPERLINK("https://en.wikipedia.org/wiki/Malpractice","Open source")</x:f>
        <x:v>HYPERLINK is not implemented. linkLocation=https://en.wikipedia.org/wiki/Malpractice,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10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0.1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4" t="str">
        <x:v>HYPERLINK is not implemented. linkLocation=https://www.imdb.com/title/tt20918594/fullcredits/,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tt20918594|nm8719478|alison masters</x:v>
      </x:c>
      <x:c r="B266" s="14" t="str">
        <x:v>02</x:v>
      </x:c>
      <x:c r="C266" s="14" t="str">
        <x:v>2023_IMDb_Cast_Lists_Batch_02(2).xlsx</x:v>
      </x:c>
      <x:c r="D266" s="14" t="str">
        <x:v>Malpractice</x:v>
      </x:c>
      <x:c r="E266" s="14" t="n">
        <x:v>103</x:v>
      </x:c>
      <x:c r="F266" s="14" t="str">
        <x:v>Malpractice</x:v>
      </x:c>
      <x:c r="G266" s="14" t="str">
        <x:v>tt20918594</x:v>
      </x:c>
      <x:c r="H266" s="14" t="n">
        <x:v>2023</x:v>
      </x:c>
      <x:c r="I266" s="14" t="n">
        <x:v>2025</x:v>
      </x:c>
      <x:c r="J266" s="14" t="str">
        <x:v>Earlier-Production Carry-In Cohort</x:v>
      </x:c>
      <x:c r="K266" s="14" t="n">
        <x:v>2023</x:v>
      </x:c>
      <x:c r="L266" s="14" t="str">
        <x:v>Not inherited</x:v>
      </x:c>
      <x:c r="M266" s="15" t="n">
        <x:v>96</x:v>
      </x:c>
      <x:c r="N266" s="14" t="str">
        <x:v>Maeve Smyth</x:v>
      </x:c>
      <x:c r="O266" s="14" t="str">
        <x:v>nm8719478</x:v>
      </x:c>
      <x:c r="P266" s="14" t="str">
        <x:v>Alison Masters</x:v>
      </x:c>
      <x:c r="Q266" s="15" t="n">
        <x:v>1</x:v>
      </x:c>
      <x:c r="R266" s="14" t="str">
        <x:v>2025</x:v>
      </x:c>
      <x:c r="S266" s="14" t="n">
        <x:v>2025</x:v>
      </x:c>
      <x:c r="T266" s="14" t="n">
        <x:v>2025</x:v>
      </x:c>
      <x:c r="U266" s="14" t="str">
        <x:v>Explicit source first year retained</x:v>
      </x:c>
      <x:c r="V266" s="14" t="str">
        <x:v>Earliest supplied year is 2025.</x:v>
      </x:c>
      <x:c r="W266" s="14"/>
      <x:c r="X266" s="14" t="str">
        <x:v>Included</x:v>
      </x:c>
      <x:c r="Y266" s="14"/>
      <x:c r="Z266" s="14" t="str">
        <x:v>Malpractice.docx</x:v>
      </x:c>
      <x:c r="AA266" s="14" t="str">
        <x:v>HYPERLINK is not implemented. linkLocation=https://www.imdb.com/title/tt20918594/fullcredits/,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ITV / ITVX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HYPERLINK("https://en.wikipedia.org/wiki/Malpractice","Open source")</x:f>
        <x:v>HYPERLINK is not implemented. linkLocation=https://en.wikipedia.org/wiki/Malpractice,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10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0.1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4" t="str">
        <x:v>HYPERLINK is not implemented. linkLocation=https://www.imdb.com/title/tt20918594/fullcredits/,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tt20918594|nm3792905|johnny</x:v>
      </x:c>
      <x:c r="B267" s="14" t="str">
        <x:v>02</x:v>
      </x:c>
      <x:c r="C267" s="14" t="str">
        <x:v>2023_IMDb_Cast_Lists_Batch_02(2).xlsx</x:v>
      </x:c>
      <x:c r="D267" s="14" t="str">
        <x:v>Malpractice</x:v>
      </x:c>
      <x:c r="E267" s="14" t="n">
        <x:v>104</x:v>
      </x:c>
      <x:c r="F267" s="14" t="str">
        <x:v>Malpractice</x:v>
      </x:c>
      <x:c r="G267" s="14" t="str">
        <x:v>tt20918594</x:v>
      </x:c>
      <x:c r="H267" s="14" t="n">
        <x:v>2023</x:v>
      </x:c>
      <x:c r="I267" s="14" t="n">
        <x:v>2025</x:v>
      </x:c>
      <x:c r="J267" s="14" t="str">
        <x:v>Earlier-Production Carry-In Cohort</x:v>
      </x:c>
      <x:c r="K267" s="14" t="n">
        <x:v>2023</x:v>
      </x:c>
      <x:c r="L267" s="14" t="str">
        <x:v>Not inherited</x:v>
      </x:c>
      <x:c r="M267" s="15" t="n">
        <x:v>97</x:v>
      </x:c>
      <x:c r="N267" s="14" t="str">
        <x:v>Rob Witcomb</x:v>
      </x:c>
      <x:c r="O267" s="14" t="str">
        <x:v>nm3792905</x:v>
      </x:c>
      <x:c r="P267" s="14" t="str">
        <x:v>Johnny</x:v>
      </x:c>
      <x:c r="Q267" s="15" t="n">
        <x:v>1</x:v>
      </x:c>
      <x:c r="R267" s="14" t="str">
        <x:v>2025</x:v>
      </x:c>
      <x:c r="S267" s="14" t="n">
        <x:v>2025</x:v>
      </x:c>
      <x:c r="T267" s="14" t="n">
        <x:v>2025</x:v>
      </x:c>
      <x:c r="U267" s="14" t="str">
        <x:v>Explicit source first year retained</x:v>
      </x:c>
      <x:c r="V267" s="14" t="str">
        <x:v>Earliest supplied year is 2025.</x:v>
      </x:c>
      <x:c r="W267" s="14"/>
      <x:c r="X267" s="14" t="str">
        <x:v>Included</x:v>
      </x:c>
      <x:c r="Y267" s="14"/>
      <x:c r="Z267" s="14" t="str">
        <x:v>Malpractice.docx</x:v>
      </x:c>
      <x:c r="AA267" s="14" t="str">
        <x:v>HYPERLINK is not implemented. linkLocation=https://www.imdb.com/title/tt20918594/fullcredits/,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ITV / ITVX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HYPERLINK("https://en.wikipedia.org/wiki/Malpractice","Open source")</x:f>
        <x:v>HYPERLINK is not implemented. linkLocation=https://en.wikipedia.org/wiki/Malpractice,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10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0.1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4" t="str">
        <x:v>HYPERLINK is not implemented. linkLocation=https://www.imdb.com/title/tt20918594/fullcredits/,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tt20918594|nm7233931|security guard</x:v>
      </x:c>
      <x:c r="B268" s="14" t="str">
        <x:v>02</x:v>
      </x:c>
      <x:c r="C268" s="14" t="str">
        <x:v>2023_IMDb_Cast_Lists_Batch_02(2).xlsx</x:v>
      </x:c>
      <x:c r="D268" s="14" t="str">
        <x:v>Malpractice</x:v>
      </x:c>
      <x:c r="E268" s="14" t="n">
        <x:v>105</x:v>
      </x:c>
      <x:c r="F268" s="14" t="str">
        <x:v>Malpractice</x:v>
      </x:c>
      <x:c r="G268" s="14" t="str">
        <x:v>tt20918594</x:v>
      </x:c>
      <x:c r="H268" s="14" t="n">
        <x:v>2023</x:v>
      </x:c>
      <x:c r="I268" s="14" t="n">
        <x:v>2025</x:v>
      </x:c>
      <x:c r="J268" s="14" t="str">
        <x:v>Earlier-Production Carry-In Cohort</x:v>
      </x:c>
      <x:c r="K268" s="14" t="n">
        <x:v>2023</x:v>
      </x:c>
      <x:c r="L268" s="14" t="str">
        <x:v>Not inherited</x:v>
      </x:c>
      <x:c r="M268" s="15" t="n">
        <x:v>98</x:v>
      </x:c>
      <x:c r="N268" s="14" t="str">
        <x:v>Desmond Edwards</x:v>
      </x:c>
      <x:c r="O268" s="14" t="str">
        <x:v>nm7233931</x:v>
      </x:c>
      <x:c r="P268" s="14" t="str">
        <x:v>Security Guard</x:v>
      </x:c>
      <x:c r="Q268" s="15" t="n">
        <x:v>1</x:v>
      </x:c>
      <x:c r="R268" s="14" t="str">
        <x:v>2025</x:v>
      </x:c>
      <x:c r="S268" s="14" t="n">
        <x:v>2025</x:v>
      </x:c>
      <x:c r="T268" s="14" t="n">
        <x:v>2025</x:v>
      </x:c>
      <x:c r="U268" s="14" t="str">
        <x:v>Explicit source first year retained</x:v>
      </x:c>
      <x:c r="V268" s="14" t="str">
        <x:v>Earliest supplied year is 2025.</x:v>
      </x:c>
      <x:c r="W268" s="14"/>
      <x:c r="X268" s="14" t="str">
        <x:v>Included</x:v>
      </x:c>
      <x:c r="Y268" s="14"/>
      <x:c r="Z268" s="14" t="str">
        <x:v>Malpractice.docx</x:v>
      </x:c>
      <x:c r="AA268" s="14" t="str">
        <x:v>HYPERLINK is not implemented. linkLocation=https://www.imdb.com/title/tt20918594/fullcredits/,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ITV / ITVX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HYPERLINK("https://en.wikipedia.org/wiki/Malpractice","Open source")</x:f>
        <x:v>HYPERLINK is not implemented. linkLocation=https://en.wikipedia.org/wiki/Malpractice,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10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0.1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4" t="str">
        <x:v>HYPERLINK is not implemented. linkLocation=https://www.imdb.com/title/tt20918594/fullcredits/,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tt20918594|nm9286165|dean</x:v>
      </x:c>
      <x:c r="B269" s="14" t="str">
        <x:v>02</x:v>
      </x:c>
      <x:c r="C269" s="14" t="str">
        <x:v>2023_IMDb_Cast_Lists_Batch_02(2).xlsx</x:v>
      </x:c>
      <x:c r="D269" s="14" t="str">
        <x:v>Malpractice</x:v>
      </x:c>
      <x:c r="E269" s="14" t="n">
        <x:v>106</x:v>
      </x:c>
      <x:c r="F269" s="14" t="str">
        <x:v>Malpractice</x:v>
      </x:c>
      <x:c r="G269" s="14" t="str">
        <x:v>tt20918594</x:v>
      </x:c>
      <x:c r="H269" s="14" t="n">
        <x:v>2023</x:v>
      </x:c>
      <x:c r="I269" s="14" t="n">
        <x:v>2025</x:v>
      </x:c>
      <x:c r="J269" s="14" t="str">
        <x:v>Earlier-Production Carry-In Cohort</x:v>
      </x:c>
      <x:c r="K269" s="14" t="n">
        <x:v>2023</x:v>
      </x:c>
      <x:c r="L269" s="14" t="str">
        <x:v>Not inherited</x:v>
      </x:c>
      <x:c r="M269" s="15" t="n">
        <x:v>99</x:v>
      </x:c>
      <x:c r="N269" s="14" t="str">
        <x:v>Cailum Carragher</x:v>
      </x:c>
      <x:c r="O269" s="14" t="str">
        <x:v>nm9286165</x:v>
      </x:c>
      <x:c r="P269" s="14" t="str">
        <x:v>Dean</x:v>
      </x:c>
      <x:c r="Q269" s="15" t="n">
        <x:v>1</x:v>
      </x:c>
      <x:c r="R269" s="14" t="str">
        <x:v>2025</x:v>
      </x:c>
      <x:c r="S269" s="14" t="n">
        <x:v>2025</x:v>
      </x:c>
      <x:c r="T269" s="14" t="n">
        <x:v>2025</x:v>
      </x:c>
      <x:c r="U269" s="14" t="str">
        <x:v>Explicit source first year retained</x:v>
      </x:c>
      <x:c r="V269" s="14" t="str">
        <x:v>Earliest supplied year is 2025.</x:v>
      </x:c>
      <x:c r="W269" s="14"/>
      <x:c r="X269" s="14" t="str">
        <x:v>Included</x:v>
      </x:c>
      <x:c r="Y269" s="14" t="str">
        <x:v>(as Cáilum Carragher)</x:v>
      </x:c>
      <x:c r="Z269" s="14" t="str">
        <x:v>Malpractice.docx</x:v>
      </x:c>
      <x:c r="AA269" s="14" t="str">
        <x:v>HYPERLINK is not implemented. linkLocation=https://www.imdb.com/title/tt20918594/fullcredits/,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ITV / ITVX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HYPERLINK("https://en.wikipedia.org/wiki/Malpractice","Open source")</x:f>
        <x:v>HYPERLINK is not implemented. linkLocation=https://en.wikipedia.org/wiki/Malpractice,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10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0.1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4" t="str">
        <x:v>HYPERLINK is not implemented. linkLocation=https://www.imdb.com/title/tt20918594/fullcredits/,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tt20918594|nm0372293|a&amp;e staff nurse</x:v>
      </x:c>
      <x:c r="B270" s="14" t="str">
        <x:v>02</x:v>
      </x:c>
      <x:c r="C270" s="14" t="str">
        <x:v>2023_IMDb_Cast_Lists_Batch_02(2).xlsx</x:v>
      </x:c>
      <x:c r="D270" s="14" t="str">
        <x:v>Malpractice</x:v>
      </x:c>
      <x:c r="E270" s="14" t="n">
        <x:v>107</x:v>
      </x:c>
      <x:c r="F270" s="14" t="str">
        <x:v>Malpractice</x:v>
      </x:c>
      <x:c r="G270" s="14" t="str">
        <x:v>tt20918594</x:v>
      </x:c>
      <x:c r="H270" s="14" t="n">
        <x:v>2023</x:v>
      </x:c>
      <x:c r="I270" s="14" t="n">
        <x:v>2025</x:v>
      </x:c>
      <x:c r="J270" s="14" t="str">
        <x:v>Earlier-Production Carry-In Cohort</x:v>
      </x:c>
      <x:c r="K270" s="14" t="n">
        <x:v>2023</x:v>
      </x:c>
      <x:c r="L270" s="14" t="str">
        <x:v>Not inherited</x:v>
      </x:c>
      <x:c r="M270" s="15" t="n">
        <x:v>100</x:v>
      </x:c>
      <x:c r="N270" s="14" t="str">
        <x:v>Anna Healy</x:v>
      </x:c>
      <x:c r="O270" s="14" t="str">
        <x:v>nm0372293</x:v>
      </x:c>
      <x:c r="P270" s="14" t="str">
        <x:v>A&amp;E Staff Nurse</x:v>
      </x:c>
      <x:c r="Q270" s="15" t="n">
        <x:v>1</x:v>
      </x:c>
      <x:c r="R270" s="14" t="str">
        <x:v>2025</x:v>
      </x:c>
      <x:c r="S270" s="14" t="n">
        <x:v>2025</x:v>
      </x:c>
      <x:c r="T270" s="14" t="n">
        <x:v>2025</x:v>
      </x:c>
      <x:c r="U270" s="14" t="str">
        <x:v>Explicit source first year retained</x:v>
      </x:c>
      <x:c r="V270" s="14" t="str">
        <x:v>Earliest supplied year is 2025.</x:v>
      </x:c>
      <x:c r="W270" s="14"/>
      <x:c r="X270" s="14" t="str">
        <x:v>Included</x:v>
      </x:c>
      <x:c r="Y270" s="14"/>
      <x:c r="Z270" s="14" t="str">
        <x:v>Malpractice.docx</x:v>
      </x:c>
      <x:c r="AA270" s="14" t="str">
        <x:v>HYPERLINK is not implemented. linkLocation=https://www.imdb.com/title/tt20918594/fullcredits/,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ITV / ITVX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HYPERLINK("https://en.wikipedia.org/wiki/Malpractice","Open source")</x:f>
        <x:v>HYPERLINK is not implemented. linkLocation=https://en.wikipedia.org/wiki/Malpractice,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10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0.1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4" t="str">
        <x:v>HYPERLINK is not implemented. linkLocation=https://www.imdb.com/title/tt20918594/fullcredits/,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tt20918594|nm14466087|volunteer</x:v>
      </x:c>
      <x:c r="B271" s="14" t="str">
        <x:v>02</x:v>
      </x:c>
      <x:c r="C271" s="14" t="str">
        <x:v>2023_IMDb_Cast_Lists_Batch_02(2).xlsx</x:v>
      </x:c>
      <x:c r="D271" s="14" t="str">
        <x:v>Malpractice</x:v>
      </x:c>
      <x:c r="E271" s="14" t="n">
        <x:v>108</x:v>
      </x:c>
      <x:c r="F271" s="14" t="str">
        <x:v>Malpractice</x:v>
      </x:c>
      <x:c r="G271" s="14" t="str">
        <x:v>tt20918594</x:v>
      </x:c>
      <x:c r="H271" s="14" t="n">
        <x:v>2023</x:v>
      </x:c>
      <x:c r="I271" s="14" t="n">
        <x:v>2025</x:v>
      </x:c>
      <x:c r="J271" s="14" t="str">
        <x:v>Earlier-Production Carry-In Cohort</x:v>
      </x:c>
      <x:c r="K271" s="14" t="n">
        <x:v>2023</x:v>
      </x:c>
      <x:c r="L271" s="14" t="str">
        <x:v>Not inherited</x:v>
      </x:c>
      <x:c r="M271" s="15" t="n">
        <x:v>101</x:v>
      </x:c>
      <x:c r="N271" s="14" t="str">
        <x:v>Yvonne Jeffrey</x:v>
      </x:c>
      <x:c r="O271" s="14" t="str">
        <x:v>nm14466087</x:v>
      </x:c>
      <x:c r="P271" s="14" t="str">
        <x:v>Volunteer</x:v>
      </x:c>
      <x:c r="Q271" s="15" t="n">
        <x:v>1</x:v>
      </x:c>
      <x:c r="R271" s="14" t="str">
        <x:v>2025</x:v>
      </x:c>
      <x:c r="S271" s="14" t="n">
        <x:v>2025</x:v>
      </x:c>
      <x:c r="T271" s="14" t="n">
        <x:v>2025</x:v>
      </x:c>
      <x:c r="U271" s="14" t="str">
        <x:v>Explicit source first year retained</x:v>
      </x:c>
      <x:c r="V271" s="14" t="str">
        <x:v>Earliest supplied year is 2025.</x:v>
      </x:c>
      <x:c r="W271" s="14"/>
      <x:c r="X271" s="14" t="str">
        <x:v>Included</x:v>
      </x:c>
      <x:c r="Y271" s="14"/>
      <x:c r="Z271" s="14" t="str">
        <x:v>Malpractice.docx</x:v>
      </x:c>
      <x:c r="AA271" s="14" t="str">
        <x:v>HYPERLINK is not implemented. linkLocation=https://www.imdb.com/title/tt20918594/fullcredits/,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ITV / ITVX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HYPERLINK("https://en.wikipedia.org/wiki/Malpractice","Open source")</x:f>
        <x:v>HYPERLINK is not implemented. linkLocation=https://en.wikipedia.org/wiki/Malpractice,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10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0.1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4" t="str">
        <x:v>HYPERLINK is not implemented. linkLocation=https://www.imdb.com/title/tt20918594/fullcredits/,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tt20918594|nm2589753|police officer 3</x:v>
      </x:c>
      <x:c r="B272" s="14" t="str">
        <x:v>02</x:v>
      </x:c>
      <x:c r="C272" s="14" t="str">
        <x:v>2023_IMDb_Cast_Lists_Batch_02(2).xlsx</x:v>
      </x:c>
      <x:c r="D272" s="14" t="str">
        <x:v>Malpractice</x:v>
      </x:c>
      <x:c r="E272" s="14" t="n">
        <x:v>109</x:v>
      </x:c>
      <x:c r="F272" s="14" t="str">
        <x:v>Malpractice</x:v>
      </x:c>
      <x:c r="G272" s="14" t="str">
        <x:v>tt20918594</x:v>
      </x:c>
      <x:c r="H272" s="14" t="n">
        <x:v>2023</x:v>
      </x:c>
      <x:c r="I272" s="14" t="n">
        <x:v>2025</x:v>
      </x:c>
      <x:c r="J272" s="14" t="str">
        <x:v>Earlier-Production Carry-In Cohort</x:v>
      </x:c>
      <x:c r="K272" s="14" t="n">
        <x:v>2023</x:v>
      </x:c>
      <x:c r="L272" s="14" t="str">
        <x:v>Not inherited</x:v>
      </x:c>
      <x:c r="M272" s="15" t="n">
        <x:v>102</x:v>
      </x:c>
      <x:c r="N272" s="14" t="str">
        <x:v>Paul Livingstone</x:v>
      </x:c>
      <x:c r="O272" s="14" t="str">
        <x:v>nm2589753</x:v>
      </x:c>
      <x:c r="P272" s="14" t="str">
        <x:v>Police Officer 3</x:v>
      </x:c>
      <x:c r="Q272" s="15" t="n">
        <x:v>1</x:v>
      </x:c>
      <x:c r="R272" s="14" t="str">
        <x:v>2025</x:v>
      </x:c>
      <x:c r="S272" s="14" t="n">
        <x:v>2025</x:v>
      </x:c>
      <x:c r="T272" s="14" t="n">
        <x:v>2025</x:v>
      </x:c>
      <x:c r="U272" s="14" t="str">
        <x:v>Explicit source first year retained</x:v>
      </x:c>
      <x:c r="V272" s="14" t="str">
        <x:v>Earliest supplied year is 2025.</x:v>
      </x:c>
      <x:c r="W272" s="14"/>
      <x:c r="X272" s="14" t="str">
        <x:v>Included</x:v>
      </x:c>
      <x:c r="Y272" s="14"/>
      <x:c r="Z272" s="14" t="str">
        <x:v>Malpractice.docx</x:v>
      </x:c>
      <x:c r="AA272" s="14" t="str">
        <x:v>HYPERLINK is not implemented. linkLocation=https://www.imdb.com/title/tt20918594/fullcredits/,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ITV / ITVX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HYPERLINK("https://en.wikipedia.org/wiki/Malpractice","Open source")</x:f>
        <x:v>HYPERLINK is not implemented. linkLocation=https://en.wikipedia.org/wiki/Malpractice, friendlyName=Open source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10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0.1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4" t="str">
        <x:v>HYPERLINK is not implemented. linkLocation=https://www.imdb.com/title/tt20918594/fullcredits/,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tt20918594|nm8773879|north yorkshire dr.</x:v>
      </x:c>
      <x:c r="B273" s="14" t="str">
        <x:v>02</x:v>
      </x:c>
      <x:c r="C273" s="14" t="str">
        <x:v>2023_IMDb_Cast_Lists_Batch_02(2).xlsx</x:v>
      </x:c>
      <x:c r="D273" s="14" t="str">
        <x:v>Malpractice</x:v>
      </x:c>
      <x:c r="E273" s="14" t="n">
        <x:v>110</x:v>
      </x:c>
      <x:c r="F273" s="14" t="str">
        <x:v>Malpractice</x:v>
      </x:c>
      <x:c r="G273" s="14" t="str">
        <x:v>tt20918594</x:v>
      </x:c>
      <x:c r="H273" s="14" t="n">
        <x:v>2023</x:v>
      </x:c>
      <x:c r="I273" s="14" t="n">
        <x:v>2025</x:v>
      </x:c>
      <x:c r="J273" s="14" t="str">
        <x:v>Earlier-Production Carry-In Cohort</x:v>
      </x:c>
      <x:c r="K273" s="14" t="n">
        <x:v>2023</x:v>
      </x:c>
      <x:c r="L273" s="14" t="str">
        <x:v>Not inherited</x:v>
      </x:c>
      <x:c r="M273" s="15" t="n">
        <x:v>103</x:v>
      </x:c>
      <x:c r="N273" s="14" t="str">
        <x:v>Rosie Barry</x:v>
      </x:c>
      <x:c r="O273" s="14" t="str">
        <x:v>nm8773879</x:v>
      </x:c>
      <x:c r="P273" s="14" t="str">
        <x:v>North Yorkshire Dr.</x:v>
      </x:c>
      <x:c r="Q273" s="15" t="n">
        <x:v>1</x:v>
      </x:c>
      <x:c r="R273" s="14" t="str">
        <x:v>2025</x:v>
      </x:c>
      <x:c r="S273" s="14" t="n">
        <x:v>2025</x:v>
      </x:c>
      <x:c r="T273" s="14" t="n">
        <x:v>2025</x:v>
      </x:c>
      <x:c r="U273" s="14" t="str">
        <x:v>Explicit source first year retained</x:v>
      </x:c>
      <x:c r="V273" s="14" t="str">
        <x:v>Earliest supplied year is 2025.</x:v>
      </x:c>
      <x:c r="W273" s="14"/>
      <x:c r="X273" s="14" t="str">
        <x:v>Included</x:v>
      </x:c>
      <x:c r="Y273" s="14"/>
      <x:c r="Z273" s="14" t="str">
        <x:v>Malpractice.docx</x:v>
      </x:c>
      <x:c r="AA273" s="14" t="str">
        <x:v>HYPERLINK is not implemented. linkLocation=https://www.imdb.com/title/tt20918594/fullcredits/,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ITV / ITVX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HYPERLINK("https://en.wikipedia.org/wiki/Malpractice","Open source")</x:f>
        <x:v>HYPERLINK is not implemented. linkLocation=https://en.wikipedia.org/wiki/Malpractice, friendlyName=Open source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10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0.1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4" t="str">
        <x:v>HYPERLINK is not implemented. linkLocation=https://www.imdb.com/title/tt20918594/fullcredits/,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tt20918594|nm3666991|midwife (ruth)</x:v>
      </x:c>
      <x:c r="B274" s="14" t="str">
        <x:v>02</x:v>
      </x:c>
      <x:c r="C274" s="14" t="str">
        <x:v>2023_IMDb_Cast_Lists_Batch_02(2).xlsx</x:v>
      </x:c>
      <x:c r="D274" s="14" t="str">
        <x:v>Malpractice</x:v>
      </x:c>
      <x:c r="E274" s="14" t="n">
        <x:v>111</x:v>
      </x:c>
      <x:c r="F274" s="14" t="str">
        <x:v>Malpractice</x:v>
      </x:c>
      <x:c r="G274" s="14" t="str">
        <x:v>tt20918594</x:v>
      </x:c>
      <x:c r="H274" s="14" t="n">
        <x:v>2023</x:v>
      </x:c>
      <x:c r="I274" s="14" t="n">
        <x:v>2025</x:v>
      </x:c>
      <x:c r="J274" s="14" t="str">
        <x:v>Earlier-Production Carry-In Cohort</x:v>
      </x:c>
      <x:c r="K274" s="14" t="n">
        <x:v>2023</x:v>
      </x:c>
      <x:c r="L274" s="14" t="str">
        <x:v>Not inherited</x:v>
      </x:c>
      <x:c r="M274" s="15" t="n">
        <x:v>104</x:v>
      </x:c>
      <x:c r="N274" s="14" t="str">
        <x:v>Julie Kinsella</x:v>
      </x:c>
      <x:c r="O274" s="14" t="str">
        <x:v>nm3666991</x:v>
      </x:c>
      <x:c r="P274" s="14" t="str">
        <x:v>Midwife (Ruth)</x:v>
      </x:c>
      <x:c r="Q274" s="15" t="n">
        <x:v>1</x:v>
      </x:c>
      <x:c r="R274" s="14" t="str">
        <x:v>2025</x:v>
      </x:c>
      <x:c r="S274" s="14" t="n">
        <x:v>2025</x:v>
      </x:c>
      <x:c r="T274" s="14" t="n">
        <x:v>2025</x:v>
      </x:c>
      <x:c r="U274" s="14" t="str">
        <x:v>Explicit source first year retained</x:v>
      </x:c>
      <x:c r="V274" s="14" t="str">
        <x:v>Earliest supplied year is 2025.</x:v>
      </x:c>
      <x:c r="W274" s="14"/>
      <x:c r="X274" s="14" t="str">
        <x:v>Included</x:v>
      </x:c>
      <x:c r="Y274" s="14"/>
      <x:c r="Z274" s="14" t="str">
        <x:v>Malpractice.docx</x:v>
      </x:c>
      <x:c r="AA274" s="14" t="str">
        <x:v>HYPERLINK is not implemented. linkLocation=https://www.imdb.com/title/tt20918594/fullcredits/,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ITV / ITVX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HYPERLINK("https://en.wikipedia.org/wiki/Malpractice","Open source")</x:f>
        <x:v>HYPERLINK is not implemented. linkLocation=https://en.wikipedia.org/wiki/Malpractice, friendlyName=Open source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10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0.1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4" t="str">
        <x:v>HYPERLINK is not implemented. linkLocation=https://www.imdb.com/title/tt20918594/fullcredits/,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tt20918594|nm17936081|imogen newman</x:v>
      </x:c>
      <x:c r="B275" s="14" t="str">
        <x:v>02</x:v>
      </x:c>
      <x:c r="C275" s="14" t="str">
        <x:v>2023_IMDb_Cast_Lists_Batch_02(2).xlsx</x:v>
      </x:c>
      <x:c r="D275" s="14" t="str">
        <x:v>Malpractice</x:v>
      </x:c>
      <x:c r="E275" s="14" t="n">
        <x:v>112</x:v>
      </x:c>
      <x:c r="F275" s="14" t="str">
        <x:v>Malpractice</x:v>
      </x:c>
      <x:c r="G275" s="14" t="str">
        <x:v>tt20918594</x:v>
      </x:c>
      <x:c r="H275" s="14" t="n">
        <x:v>2023</x:v>
      </x:c>
      <x:c r="I275" s="14" t="n">
        <x:v>2025</x:v>
      </x:c>
      <x:c r="J275" s="14" t="str">
        <x:v>Earlier-Production Carry-In Cohort</x:v>
      </x:c>
      <x:c r="K275" s="14" t="n">
        <x:v>2023</x:v>
      </x:c>
      <x:c r="L275" s="14" t="str">
        <x:v>Not inherited</x:v>
      </x:c>
      <x:c r="M275" s="15" t="n">
        <x:v>105</x:v>
      </x:c>
      <x:c r="N275" s="14" t="str">
        <x:v>Freya Shaw</x:v>
      </x:c>
      <x:c r="O275" s="14" t="str">
        <x:v>nm17936081</x:v>
      </x:c>
      <x:c r="P275" s="14" t="str">
        <x:v>Imogen Newman</x:v>
      </x:c>
      <x:c r="Q275" s="15" t="n">
        <x:v>1</x:v>
      </x:c>
      <x:c r="R275" s="14" t="str">
        <x:v>2025</x:v>
      </x:c>
      <x:c r="S275" s="14" t="n">
        <x:v>2025</x:v>
      </x:c>
      <x:c r="T275" s="14" t="n">
        <x:v>2025</x:v>
      </x:c>
      <x:c r="U275" s="14" t="str">
        <x:v>Explicit source first year retained</x:v>
      </x:c>
      <x:c r="V275" s="14" t="str">
        <x:v>Earliest supplied year is 2025.</x:v>
      </x:c>
      <x:c r="W275" s="14"/>
      <x:c r="X275" s="14" t="str">
        <x:v>Included</x:v>
      </x:c>
      <x:c r="Y275" s="14"/>
      <x:c r="Z275" s="14" t="str">
        <x:v>Malpractice.docx</x:v>
      </x:c>
      <x:c r="AA275" s="14" t="str">
        <x:v>HYPERLINK is not implemented. linkLocation=https://www.imdb.com/title/tt20918594/fullcredits/,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ITV / ITVX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HYPERLINK("https://en.wikipedia.org/wiki/Malpractice","Open source")</x:f>
        <x:v>HYPERLINK is not implemented. linkLocation=https://en.wikipedia.org/wiki/Malpractice, friendlyName=Open source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10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0.1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4" t="str">
        <x:v>HYPERLINK is not implemented. linkLocation=https://www.imdb.com/title/tt20918594/fullcredits/,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tt20918594|nm1487512|lorraine hegarty</x:v>
      </x:c>
      <x:c r="B276" s="14" t="str">
        <x:v>02</x:v>
      </x:c>
      <x:c r="C276" s="14" t="str">
        <x:v>2023_IMDb_Cast_Lists_Batch_02(2).xlsx</x:v>
      </x:c>
      <x:c r="D276" s="14" t="str">
        <x:v>Malpractice</x:v>
      </x:c>
      <x:c r="E276" s="14" t="n">
        <x:v>113</x:v>
      </x:c>
      <x:c r="F276" s="14" t="str">
        <x:v>Malpractice</x:v>
      </x:c>
      <x:c r="G276" s="14" t="str">
        <x:v>tt20918594</x:v>
      </x:c>
      <x:c r="H276" s="14" t="n">
        <x:v>2023</x:v>
      </x:c>
      <x:c r="I276" s="14" t="n">
        <x:v>2025</x:v>
      </x:c>
      <x:c r="J276" s="14" t="str">
        <x:v>Earlier-Production Carry-In Cohort</x:v>
      </x:c>
      <x:c r="K276" s="14" t="n">
        <x:v>2023</x:v>
      </x:c>
      <x:c r="L276" s="14" t="str">
        <x:v>Not inherited</x:v>
      </x:c>
      <x:c r="M276" s="15" t="n">
        <x:v>106</x:v>
      </x:c>
      <x:c r="N276" s="14" t="str">
        <x:v>Judith McSpadden</x:v>
      </x:c>
      <x:c r="O276" s="14" t="str">
        <x:v>nm1487512</x:v>
      </x:c>
      <x:c r="P276" s="14" t="str">
        <x:v>Lorraine Hegarty</x:v>
      </x:c>
      <x:c r="Q276" s="15" t="n">
        <x:v>1</x:v>
      </x:c>
      <x:c r="R276" s="14" t="str">
        <x:v>2025</x:v>
      </x:c>
      <x:c r="S276" s="14" t="n">
        <x:v>2025</x:v>
      </x:c>
      <x:c r="T276" s="14" t="n">
        <x:v>2025</x:v>
      </x:c>
      <x:c r="U276" s="14" t="str">
        <x:v>Explicit source first year retained</x:v>
      </x:c>
      <x:c r="V276" s="14" t="str">
        <x:v>Earliest supplied year is 2025.</x:v>
      </x:c>
      <x:c r="W276" s="14"/>
      <x:c r="X276" s="14" t="str">
        <x:v>Included</x:v>
      </x:c>
      <x:c r="Y276" s="14"/>
      <x:c r="Z276" s="14" t="str">
        <x:v>Malpractice.docx</x:v>
      </x:c>
      <x:c r="AA276" s="14" t="str">
        <x:v>HYPERLINK is not implemented. linkLocation=https://www.imdb.com/title/tt20918594/fullcredits/,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ITV / ITVX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HYPERLINK("https://en.wikipedia.org/wiki/Malpractice","Open source")</x:f>
        <x:v>HYPERLINK is not implemented. linkLocation=https://en.wikipedia.org/wiki/Malpractice, friendlyName=Open source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10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0.1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4" t="str">
        <x:v>HYPERLINK is not implemented. linkLocation=https://www.imdb.com/title/tt20918594/fullcredits/,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tt20918594|nm4377292|paramedic</x:v>
      </x:c>
      <x:c r="B277" s="14" t="str">
        <x:v>02</x:v>
      </x:c>
      <x:c r="C277" s="14" t="str">
        <x:v>2023_IMDb_Cast_Lists_Batch_02(2).xlsx</x:v>
      </x:c>
      <x:c r="D277" s="14" t="str">
        <x:v>Malpractice</x:v>
      </x:c>
      <x:c r="E277" s="14" t="n">
        <x:v>114</x:v>
      </x:c>
      <x:c r="F277" s="14" t="str">
        <x:v>Malpractice</x:v>
      </x:c>
      <x:c r="G277" s="14" t="str">
        <x:v>tt20918594</x:v>
      </x:c>
      <x:c r="H277" s="14" t="n">
        <x:v>2023</x:v>
      </x:c>
      <x:c r="I277" s="14" t="n">
        <x:v>2025</x:v>
      </x:c>
      <x:c r="J277" s="14" t="str">
        <x:v>Earlier-Production Carry-In Cohort</x:v>
      </x:c>
      <x:c r="K277" s="14" t="n">
        <x:v>2023</x:v>
      </x:c>
      <x:c r="L277" s="14" t="str">
        <x:v>Not inherited</x:v>
      </x:c>
      <x:c r="M277" s="15" t="n">
        <x:v>107</x:v>
      </x:c>
      <x:c r="N277" s="14" t="str">
        <x:v>Cat Barter</x:v>
      </x:c>
      <x:c r="O277" s="14" t="str">
        <x:v>nm4377292</x:v>
      </x:c>
      <x:c r="P277" s="14" t="str">
        <x:v>Paramedic</x:v>
      </x:c>
      <x:c r="Q277" s="15" t="n">
        <x:v>1</x:v>
      </x:c>
      <x:c r="R277" s="14" t="str">
        <x:v>2025</x:v>
      </x:c>
      <x:c r="S277" s="14" t="n">
        <x:v>2025</x:v>
      </x:c>
      <x:c r="T277" s="14" t="n">
        <x:v>2025</x:v>
      </x:c>
      <x:c r="U277" s="14" t="str">
        <x:v>Explicit source first year retained</x:v>
      </x:c>
      <x:c r="V277" s="14" t="str">
        <x:v>Earliest supplied year is 2025.</x:v>
      </x:c>
      <x:c r="W277" s="14"/>
      <x:c r="X277" s="14" t="str">
        <x:v>Included</x:v>
      </x:c>
      <x:c r="Y277" s="14"/>
      <x:c r="Z277" s="14" t="str">
        <x:v>Malpractice.docx</x:v>
      </x:c>
      <x:c r="AA277" s="14" t="str">
        <x:v>HYPERLINK is not implemented. linkLocation=https://www.imdb.com/title/tt20918594/fullcredits/,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ITV / ITVX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HYPERLINK("https://en.wikipedia.org/wiki/Malpractice","Open source")</x:f>
        <x:v>HYPERLINK is not implemented. linkLocation=https://en.wikipedia.org/wiki/Malpractice, friendlyName=Open source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10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0.1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4" t="str">
        <x:v>HYPERLINK is not implemented. linkLocation=https://www.imdb.com/title/tt20918594/fullcredits/,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tt20918594|nm17666868|anaesthetist</x:v>
      </x:c>
      <x:c r="B278" s="14" t="str">
        <x:v>02</x:v>
      </x:c>
      <x:c r="C278" s="14" t="str">
        <x:v>2023_IMDb_Cast_Lists_Batch_02(2).xlsx</x:v>
      </x:c>
      <x:c r="D278" s="14" t="str">
        <x:v>Malpractice</x:v>
      </x:c>
      <x:c r="E278" s="14" t="n">
        <x:v>115</x:v>
      </x:c>
      <x:c r="F278" s="14" t="str">
        <x:v>Malpractice</x:v>
      </x:c>
      <x:c r="G278" s="14" t="str">
        <x:v>tt20918594</x:v>
      </x:c>
      <x:c r="H278" s="14" t="n">
        <x:v>2023</x:v>
      </x:c>
      <x:c r="I278" s="14" t="n">
        <x:v>2025</x:v>
      </x:c>
      <x:c r="J278" s="14" t="str">
        <x:v>Earlier-Production Carry-In Cohort</x:v>
      </x:c>
      <x:c r="K278" s="14" t="n">
        <x:v>2023</x:v>
      </x:c>
      <x:c r="L278" s="14" t="str">
        <x:v>Not inherited</x:v>
      </x:c>
      <x:c r="M278" s="15" t="n">
        <x:v>108</x:v>
      </x:c>
      <x:c r="N278" s="14" t="str">
        <x:v>Alice O'Neill</x:v>
      </x:c>
      <x:c r="O278" s="14" t="str">
        <x:v>nm17666868</x:v>
      </x:c>
      <x:c r="P278" s="14" t="str">
        <x:v>Anaesthetist</x:v>
      </x:c>
      <x:c r="Q278" s="15" t="n">
        <x:v>1</x:v>
      </x:c>
      <x:c r="R278" s="14" t="str">
        <x:v>2025</x:v>
      </x:c>
      <x:c r="S278" s="14" t="n">
        <x:v>2025</x:v>
      </x:c>
      <x:c r="T278" s="14" t="n">
        <x:v>2025</x:v>
      </x:c>
      <x:c r="U278" s="14" t="str">
        <x:v>Explicit source first year retained</x:v>
      </x:c>
      <x:c r="V278" s="14" t="str">
        <x:v>Earliest supplied year is 2025.</x:v>
      </x:c>
      <x:c r="W278" s="14"/>
      <x:c r="X278" s="14" t="str">
        <x:v>Included</x:v>
      </x:c>
      <x:c r="Y278" s="14" t="str">
        <x:v>(as Dr Alice O'Neill)</x:v>
      </x:c>
      <x:c r="Z278" s="14" t="str">
        <x:v>Malpractice.docx</x:v>
      </x:c>
      <x:c r="AA278" s="14" t="str">
        <x:v>HYPERLINK is not implemented. linkLocation=https://www.imdb.com/title/tt20918594/fullcredits/,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ITV / ITVX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HYPERLINK("https://en.wikipedia.org/wiki/Malpractice","Open source")</x:f>
        <x:v>HYPERLINK is not implemented. linkLocation=https://en.wikipedia.org/wiki/Malpractice, friendlyName=Open source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10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0.1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4" t="str">
        <x:v>HYPERLINK is not implemented. linkLocation=https://www.imdb.com/title/tt20918594/fullcredits/,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tt26115810|nm2131821|theresa</x:v>
      </x:c>
      <x:c r="B279" s="14" t="str">
        <x:v>04</x:v>
      </x:c>
      <x:c r="C279" s="14" t="str">
        <x:v>2023_IMDb_Cast_Lists_Batch_04(2).xlsx</x:v>
      </x:c>
      <x:c r="D279" s="14" t="str">
        <x:v>The Change</x:v>
      </x:c>
      <x:c r="E279" s="14" t="n">
        <x:v>18</x:v>
      </x:c>
      <x:c r="F279" s="14" t="str">
        <x:v>The Change</x:v>
      </x:c>
      <x:c r="G279" s="14" t="str">
        <x:v>tt26115810</x:v>
      </x:c>
      <x:c r="H279" s="14" t="n">
        <x:v>2023</x:v>
      </x:c>
      <x:c r="I279" s="14" t="n">
        <x:v>2025</x:v>
      </x:c>
      <x:c r="J279" s="14" t="str">
        <x:v>Earlier-Production Carry-In Cohort</x:v>
      </x:c>
      <x:c r="K279" s="14" t="n">
        <x:v>2023</x:v>
      </x:c>
      <x:c r="L279" s="14" t="str">
        <x:v>Not inherited</x:v>
      </x:c>
      <x:c r="M279" s="15" t="n">
        <x:v>11</x:v>
      </x:c>
      <x:c r="N279" s="14" t="str">
        <x:v>Laura Checkley</x:v>
      </x:c>
      <x:c r="O279" s="14" t="str">
        <x:v>nm2131821</x:v>
      </x:c>
      <x:c r="P279" s="14" t="str">
        <x:v>Theresa</x:v>
      </x:c>
      <x:c r="Q279" s="15" t="n">
        <x:v>6</x:v>
      </x:c>
      <x:c r="R279" s="14" t="str">
        <x:v>2025</x:v>
      </x:c>
      <x:c r="S279" s="14" t="n">
        <x:v>2025</x:v>
      </x:c>
      <x:c r="T279" s="14" t="n">
        <x:v>2025</x:v>
      </x:c>
      <x:c r="U279" s="14" t="str">
        <x:v>Explicit source first year retained</x:v>
      </x:c>
      <x:c r="V279" s="14" t="str">
        <x:v>Earliest supplied year is 2025.</x:v>
      </x:c>
      <x:c r="W279" s="14"/>
      <x:c r="X279" s="14" t="str">
        <x:v>Included</x:v>
      </x:c>
      <x:c r="Y279" s="14"/>
      <x:c r="Z279" s="14" t="str">
        <x:v>The Change.docx</x:v>
      </x:c>
      <x:c r="AA279" s="14" t="str">
        <x:v>HYPERLINK is not implemented. linkLocation=https://www.imdb.com/title/tt26115810/fullcredits/,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Channel 4 / E4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HYPERLINK("https://en.wikipedia.org/wiki/Change","Open source")</x:f>
        <x:v>HYPERLINK is not implemented. linkLocation=https://en.wikipedia.org/wiki/Change, friendlyName=Open source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6</x:v>
      </x:c>
      <x:c r="BS279" s="16" t="n">
        <x:v>0.5</x:v>
      </x:c>
      <x:c r="BT279" s="14" t="str">
        <x:v>Minority of episodes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4" t="str">
        <x:v>HYPERLINK is not implemented. linkLocation=https://www.imdb.com/title/tt26115810/fullcredits/,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tt26115810|nm13640091|forest fm cafe wheelchair user</x:v>
      </x:c>
      <x:c r="B280" s="14" t="str">
        <x:v>04</x:v>
      </x:c>
      <x:c r="C280" s="14" t="str">
        <x:v>2023_IMDb_Cast_Lists_Batch_04(2).xlsx</x:v>
      </x:c>
      <x:c r="D280" s="14" t="str">
        <x:v>The Change</x:v>
      </x:c>
      <x:c r="E280" s="14" t="n">
        <x:v>19</x:v>
      </x:c>
      <x:c r="F280" s="14" t="str">
        <x:v>The Change</x:v>
      </x:c>
      <x:c r="G280" s="14" t="str">
        <x:v>tt26115810</x:v>
      </x:c>
      <x:c r="H280" s="14" t="n">
        <x:v>2023</x:v>
      </x:c>
      <x:c r="I280" s="14" t="n">
        <x:v>2025</x:v>
      </x:c>
      <x:c r="J280" s="14" t="str">
        <x:v>Earlier-Production Carry-In Cohort</x:v>
      </x:c>
      <x:c r="K280" s="14" t="n">
        <x:v>2023</x:v>
      </x:c>
      <x:c r="L280" s="14" t="str">
        <x:v>Not inherited</x:v>
      </x:c>
      <x:c r="M280" s="15" t="n">
        <x:v>12</x:v>
      </x:c>
      <x:c r="N280" s="14" t="str">
        <x:v>Malcolm J K Baker</x:v>
      </x:c>
      <x:c r="O280" s="14" t="str">
        <x:v>nm13640091</x:v>
      </x:c>
      <x:c r="P280" s="14" t="str">
        <x:v>Forest FM cafe wheelchair user</x:v>
      </x:c>
      <x:c r="Q280" s="15" t="n">
        <x:v>6</x:v>
      </x:c>
      <x:c r="R280" s="14" t="str">
        <x:v>2025</x:v>
      </x:c>
      <x:c r="S280" s="14" t="n">
        <x:v>2025</x:v>
      </x:c>
      <x:c r="T280" s="14" t="n">
        <x:v>2025</x:v>
      </x:c>
      <x:c r="U280" s="14" t="str">
        <x:v>Explicit source first year retained</x:v>
      </x:c>
      <x:c r="V280" s="14" t="str">
        <x:v>Earliest supplied year is 2025.</x:v>
      </x:c>
      <x:c r="W280" s="14"/>
      <x:c r="X280" s="14" t="str">
        <x:v>Included</x:v>
      </x:c>
      <x:c r="Y280" s="14"/>
      <x:c r="Z280" s="14" t="str">
        <x:v>The Change.docx</x:v>
      </x:c>
      <x:c r="AA280" s="14" t="str">
        <x:v>HYPERLINK is not implemented. linkLocation=https://www.imdb.com/title/tt26115810/fullcredits/,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Channel 4 / E4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HYPERLINK("https://en.wikipedia.org/wiki/Change","Open source")</x:f>
        <x:v>HYPERLINK is not implemented. linkLocation=https://en.wikipedia.org/wiki/Change, friendlyName=Open source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6</x:v>
      </x:c>
      <x:c r="BS280" s="16" t="n">
        <x:v>0.5</x:v>
      </x:c>
      <x:c r="BT280" s="14" t="str">
        <x:v>Minority of episodes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4" t="str">
        <x:v>HYPERLINK is not implemented. linkLocation=https://www.imdb.com/title/tt26115810/fullcredits/,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tt26115810|nm17164561|young siobhain</x:v>
      </x:c>
      <x:c r="B281" s="14" t="str">
        <x:v>04</x:v>
      </x:c>
      <x:c r="C281" s="14" t="str">
        <x:v>2023_IMDb_Cast_Lists_Batch_04(2).xlsx</x:v>
      </x:c>
      <x:c r="D281" s="14" t="str">
        <x:v>The Change</x:v>
      </x:c>
      <x:c r="E281" s="14" t="n">
        <x:v>24</x:v>
      </x:c>
      <x:c r="F281" s="14" t="str">
        <x:v>The Change</x:v>
      </x:c>
      <x:c r="G281" s="14" t="str">
        <x:v>tt26115810</x:v>
      </x:c>
      <x:c r="H281" s="14" t="n">
        <x:v>2023</x:v>
      </x:c>
      <x:c r="I281" s="14" t="n">
        <x:v>2025</x:v>
      </x:c>
      <x:c r="J281" s="14" t="str">
        <x:v>Earlier-Production Carry-In Cohort</x:v>
      </x:c>
      <x:c r="K281" s="14" t="n">
        <x:v>2023</x:v>
      </x:c>
      <x:c r="L281" s="14" t="str">
        <x:v>Not inherited</x:v>
      </x:c>
      <x:c r="M281" s="15" t="n">
        <x:v>17</x:v>
      </x:c>
      <x:c r="N281" s="14" t="str">
        <x:v>Orla Neill</x:v>
      </x:c>
      <x:c r="O281" s="14" t="str">
        <x:v>nm17164561</x:v>
      </x:c>
      <x:c r="P281" s="14" t="str">
        <x:v>Young Siobhain</x:v>
      </x:c>
      <x:c r="Q281" s="15" t="n">
        <x:v>3</x:v>
      </x:c>
      <x:c r="R281" s="14" t="str">
        <x:v>2025</x:v>
      </x:c>
      <x:c r="S281" s="14" t="n">
        <x:v>2025</x:v>
      </x:c>
      <x:c r="T281" s="14" t="n">
        <x:v>2025</x:v>
      </x:c>
      <x:c r="U281" s="14" t="str">
        <x:v>Explicit source first year retained</x:v>
      </x:c>
      <x:c r="V281" s="14" t="str">
        <x:v>Earliest supplied year is 2025.</x:v>
      </x:c>
      <x:c r="W281" s="14"/>
      <x:c r="X281" s="14" t="str">
        <x:v>Included</x:v>
      </x:c>
      <x:c r="Y281" s="14" t="str">
        <x:v>(as Orla Neil)</x:v>
      </x:c>
      <x:c r="Z281" s="14" t="str">
        <x:v>The Change.docx</x:v>
      </x:c>
      <x:c r="AA281" s="14" t="str">
        <x:v>HYPERLINK is not implemented. linkLocation=https://www.imdb.com/title/tt26115810/fullcredits/,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Channel 4 / E4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HYPERLINK("https://en.wikipedia.org/wiki/Change","Open source")</x:f>
        <x:v>HYPERLINK is not implemented. linkLocation=https://en.wikipedia.org/wiki/Change, friendlyName=Open source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3</x:v>
      </x:c>
      <x:c r="BS281" s="16" t="n">
        <x:v>0.25</x:v>
      </x:c>
      <x:c r="BT281" s="14" t="str">
        <x:v>Minority of episodes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4" t="str">
        <x:v>HYPERLINK is not implemented. linkLocation=https://www.imdb.com/title/tt26115810/fullcredits/,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tt26115810|nm14430582|young linda</x:v>
      </x:c>
      <x:c r="B282" s="14" t="str">
        <x:v>04</x:v>
      </x:c>
      <x:c r="C282" s="14" t="str">
        <x:v>2023_IMDb_Cast_Lists_Batch_04(2).xlsx</x:v>
      </x:c>
      <x:c r="D282" s="14" t="str">
        <x:v>The Change</x:v>
      </x:c>
      <x:c r="E282" s="14" t="n">
        <x:v>25</x:v>
      </x:c>
      <x:c r="F282" s="14" t="str">
        <x:v>The Change</x:v>
      </x:c>
      <x:c r="G282" s="14" t="str">
        <x:v>tt26115810</x:v>
      </x:c>
      <x:c r="H282" s="14" t="n">
        <x:v>2023</x:v>
      </x:c>
      <x:c r="I282" s="14" t="n">
        <x:v>2025</x:v>
      </x:c>
      <x:c r="J282" s="14" t="str">
        <x:v>Earlier-Production Carry-In Cohort</x:v>
      </x:c>
      <x:c r="K282" s="14" t="n">
        <x:v>2023</x:v>
      </x:c>
      <x:c r="L282" s="14" t="str">
        <x:v>Not inherited</x:v>
      </x:c>
      <x:c r="M282" s="15" t="n">
        <x:v>18</x:v>
      </x:c>
      <x:c r="N282" s="14" t="str">
        <x:v>Bonnie Stott</x:v>
      </x:c>
      <x:c r="O282" s="14" t="str">
        <x:v>nm14430582</x:v>
      </x:c>
      <x:c r="P282" s="14" t="str">
        <x:v>Young Linda</x:v>
      </x:c>
      <x:c r="Q282" s="15" t="n">
        <x:v>3</x:v>
      </x:c>
      <x:c r="R282" s="14" t="str">
        <x:v>2025</x:v>
      </x:c>
      <x:c r="S282" s="14" t="n">
        <x:v>2025</x:v>
      </x:c>
      <x:c r="T282" s="14" t="n">
        <x:v>2025</x:v>
      </x:c>
      <x:c r="U282" s="14" t="str">
        <x:v>Explicit source first year retained</x:v>
      </x:c>
      <x:c r="V282" s="14" t="str">
        <x:v>Earliest supplied year is 2025.</x:v>
      </x:c>
      <x:c r="W282" s="14"/>
      <x:c r="X282" s="14" t="str">
        <x:v>Included</x:v>
      </x:c>
      <x:c r="Y282" s="14"/>
      <x:c r="Z282" s="14" t="str">
        <x:v>The Change.docx</x:v>
      </x:c>
      <x:c r="AA282" s="14" t="str">
        <x:v>HYPERLINK is not implemented. linkLocation=https://www.imdb.com/title/tt26115810/fullcredits/,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Channel 4 / E4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HYPERLINK("https://en.wikipedia.org/wiki/Change","Open source")</x:f>
        <x:v>HYPERLINK is not implemented. linkLocation=https://en.wikipedia.org/wiki/Change, friendlyName=Open source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3</x:v>
      </x:c>
      <x:c r="BS282" s="16" t="n">
        <x:v>0.25</x:v>
      </x:c>
      <x:c r="BT282" s="14" t="str">
        <x:v>Minority of episodes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4" t="str">
        <x:v>HYPERLINK is not implemented. linkLocation=https://www.imdb.com/title/tt26115810/fullcredits/,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tt26115810|nm6410424|ian</x:v>
      </x:c>
      <x:c r="B283" s="14" t="str">
        <x:v>04</x:v>
      </x:c>
      <x:c r="C283" s="14" t="str">
        <x:v>2023_IMDb_Cast_Lists_Batch_04(2).xlsx</x:v>
      </x:c>
      <x:c r="D283" s="14" t="str">
        <x:v>The Change</x:v>
      </x:c>
      <x:c r="E283" s="14" t="n">
        <x:v>27</x:v>
      </x:c>
      <x:c r="F283" s="14" t="str">
        <x:v>The Change</x:v>
      </x:c>
      <x:c r="G283" s="14" t="str">
        <x:v>tt26115810</x:v>
      </x:c>
      <x:c r="H283" s="14" t="n">
        <x:v>2023</x:v>
      </x:c>
      <x:c r="I283" s="14" t="n">
        <x:v>2025</x:v>
      </x:c>
      <x:c r="J283" s="14" t="str">
        <x:v>Earlier-Production Carry-In Cohort</x:v>
      </x:c>
      <x:c r="K283" s="14" t="n">
        <x:v>2023</x:v>
      </x:c>
      <x:c r="L283" s="14" t="str">
        <x:v>Not inherited</x:v>
      </x:c>
      <x:c r="M283" s="15" t="n">
        <x:v>20</x:v>
      </x:c>
      <x:c r="N283" s="14" t="str">
        <x:v>Danny Flack</x:v>
      </x:c>
      <x:c r="O283" s="14" t="str">
        <x:v>nm6410424</x:v>
      </x:c>
      <x:c r="P283" s="14" t="str">
        <x:v>Ian</x:v>
      </x:c>
      <x:c r="Q283" s="15" t="n">
        <x:v>2</x:v>
      </x:c>
      <x:c r="R283" s="14" t="str">
        <x:v>2025</x:v>
      </x:c>
      <x:c r="S283" s="14" t="n">
        <x:v>2025</x:v>
      </x:c>
      <x:c r="T283" s="14" t="n">
        <x:v>2025</x:v>
      </x:c>
      <x:c r="U283" s="14" t="str">
        <x:v>Explicit source first year retained</x:v>
      </x:c>
      <x:c r="V283" s="14" t="str">
        <x:v>Earliest supplied year is 2025.</x:v>
      </x:c>
      <x:c r="W283" s="14"/>
      <x:c r="X283" s="14" t="str">
        <x:v>Included</x:v>
      </x:c>
      <x:c r="Y283" s="14"/>
      <x:c r="Z283" s="14" t="str">
        <x:v>The Change.docx</x:v>
      </x:c>
      <x:c r="AA283" s="14" t="str">
        <x:v>HYPERLINK is not implemented. linkLocation=https://www.imdb.com/title/tt26115810/fullcredits/,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Channel 4 / E4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HYPERLINK("https://en.wikipedia.org/wiki/Change","Open source")</x:f>
        <x:v>HYPERLINK is not implemented. linkLocation=https://en.wikipedia.org/wiki/Change, friendlyName=Open source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2</x:v>
      </x:c>
      <x:c r="BS283" s="16" t="n">
        <x:v>0.16666666666666666</x:v>
      </x:c>
      <x:c r="BT283" s="14" t="str">
        <x:v>Minority of episodes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4" t="str">
        <x:v>HYPERLINK is not implemented. linkLocation=https://www.imdb.com/title/tt26115810/fullcredits/,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tt26115810|nm15484293|verderer's man</x:v>
      </x:c>
      <x:c r="B284" s="14" t="str">
        <x:v>04</x:v>
      </x:c>
      <x:c r="C284" s="14" t="str">
        <x:v>2023_IMDb_Cast_Lists_Batch_04(2).xlsx</x:v>
      </x:c>
      <x:c r="D284" s="14" t="str">
        <x:v>The Change</x:v>
      </x:c>
      <x:c r="E284" s="14" t="n">
        <x:v>33</x:v>
      </x:c>
      <x:c r="F284" s="14" t="str">
        <x:v>The Change</x:v>
      </x:c>
      <x:c r="G284" s="14" t="str">
        <x:v>tt26115810</x:v>
      </x:c>
      <x:c r="H284" s="14" t="n">
        <x:v>2023</x:v>
      </x:c>
      <x:c r="I284" s="14" t="n">
        <x:v>2025</x:v>
      </x:c>
      <x:c r="J284" s="14" t="str">
        <x:v>Earlier-Production Carry-In Cohort</x:v>
      </x:c>
      <x:c r="K284" s="14" t="n">
        <x:v>2023</x:v>
      </x:c>
      <x:c r="L284" s="14" t="str">
        <x:v>Not inherited</x:v>
      </x:c>
      <x:c r="M284" s="15" t="n">
        <x:v>26</x:v>
      </x:c>
      <x:c r="N284" s="14" t="str">
        <x:v>Arnold Baksi</x:v>
      </x:c>
      <x:c r="O284" s="14" t="str">
        <x:v>nm15484293</x:v>
      </x:c>
      <x:c r="P284" s="14" t="str">
        <x:v>Verderer's man</x:v>
      </x:c>
      <x:c r="Q284" s="15" t="n">
        <x:v>2</x:v>
      </x:c>
      <x:c r="R284" s="14" t="str">
        <x:v>2025</x:v>
      </x:c>
      <x:c r="S284" s="14" t="n">
        <x:v>2025</x:v>
      </x:c>
      <x:c r="T284" s="14" t="n">
        <x:v>2025</x:v>
      </x:c>
      <x:c r="U284" s="14" t="str">
        <x:v>Explicit source first year retained</x:v>
      </x:c>
      <x:c r="V284" s="14" t="str">
        <x:v>Earliest supplied year is 2025.</x:v>
      </x:c>
      <x:c r="W284" s="14"/>
      <x:c r="X284" s="14" t="str">
        <x:v>Included</x:v>
      </x:c>
      <x:c r="Y284" s="14"/>
      <x:c r="Z284" s="14" t="str">
        <x:v>The Change.docx</x:v>
      </x:c>
      <x:c r="AA284" s="14" t="str">
        <x:v>HYPERLINK is not implemented. linkLocation=https://www.imdb.com/title/tt26115810/fullcredits/,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Channel 4 / E4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HYPERLINK("https://en.wikipedia.org/wiki/Change","Open source")</x:f>
        <x:v>HYPERLINK is not implemented. linkLocation=https://en.wikipedia.org/wiki/Change, friendlyName=Open source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2</x:v>
      </x:c>
      <x:c r="BS284" s="16" t="n">
        <x:v>0.16666666666666666</x:v>
      </x:c>
      <x:c r="BT284" s="14" t="str">
        <x:v>Minority of episodes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4" t="str">
        <x:v>HYPERLINK is not implemented. linkLocation=https://www.imdb.com/title/tt26115810/fullcredits/,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tt26115810|nm0332817|shirley</x:v>
      </x:c>
      <x:c r="B285" s="14" t="str">
        <x:v>04</x:v>
      </x:c>
      <x:c r="C285" s="14" t="str">
        <x:v>2023_IMDb_Cast_Lists_Batch_04(2).xlsx</x:v>
      </x:c>
      <x:c r="D285" s="14" t="str">
        <x:v>The Change</x:v>
      </x:c>
      <x:c r="E285" s="14" t="n">
        <x:v>37</x:v>
      </x:c>
      <x:c r="F285" s="14" t="str">
        <x:v>The Change</x:v>
      </x:c>
      <x:c r="G285" s="14" t="str">
        <x:v>tt26115810</x:v>
      </x:c>
      <x:c r="H285" s="14" t="n">
        <x:v>2023</x:v>
      </x:c>
      <x:c r="I285" s="14" t="n">
        <x:v>2025</x:v>
      </x:c>
      <x:c r="J285" s="14" t="str">
        <x:v>Earlier-Production Carry-In Cohort</x:v>
      </x:c>
      <x:c r="K285" s="14" t="n">
        <x:v>2023</x:v>
      </x:c>
      <x:c r="L285" s="14" t="str">
        <x:v>Not inherited</x:v>
      </x:c>
      <x:c r="M285" s="15" t="n">
        <x:v>30</x:v>
      </x:c>
      <x:c r="N285" s="14" t="str">
        <x:v>Shenagh Govan</x:v>
      </x:c>
      <x:c r="O285" s="14" t="str">
        <x:v>nm0332817</x:v>
      </x:c>
      <x:c r="P285" s="14" t="str">
        <x:v>Shirley</x:v>
      </x:c>
      <x:c r="Q285" s="15" t="n">
        <x:v>1</x:v>
      </x:c>
      <x:c r="R285" s="14" t="str">
        <x:v>2025</x:v>
      </x:c>
      <x:c r="S285" s="14" t="n">
        <x:v>2025</x:v>
      </x:c>
      <x:c r="T285" s="14" t="n">
        <x:v>2025</x:v>
      </x:c>
      <x:c r="U285" s="14" t="str">
        <x:v>Explicit source first year retained</x:v>
      </x:c>
      <x:c r="V285" s="14" t="str">
        <x:v>Earliest supplied year is 2025.</x:v>
      </x:c>
      <x:c r="W285" s="14"/>
      <x:c r="X285" s="14" t="str">
        <x:v>Included</x:v>
      </x:c>
      <x:c r="Y285" s="14"/>
      <x:c r="Z285" s="14" t="str">
        <x:v>The Change.docx</x:v>
      </x:c>
      <x:c r="AA285" s="14" t="str">
        <x:v>HYPERLINK is not implemented. linkLocation=https://www.imdb.com/title/tt26115810/fullcredits/,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Channel 4 / E4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HYPERLINK("https://en.wikipedia.org/wiki/Change","Open source")</x:f>
        <x:v>HYPERLINK is not implemented. linkLocation=https://en.wikipedia.org/wiki/Change, friendlyName=Open source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4" t="str">
        <x:v>HYPERLINK is not implemented. linkLocation=https://www.imdb.com/title/tt26115810/fullcredits/,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tt26115810|nm3540491|paul</x:v>
      </x:c>
      <x:c r="B286" s="14" t="str">
        <x:v>04</x:v>
      </x:c>
      <x:c r="C286" s="14" t="str">
        <x:v>2023_IMDb_Cast_Lists_Batch_04(2).xlsx</x:v>
      </x:c>
      <x:c r="D286" s="14" t="str">
        <x:v>The Change</x:v>
      </x:c>
      <x:c r="E286" s="14" t="n">
        <x:v>39</x:v>
      </x:c>
      <x:c r="F286" s="14" t="str">
        <x:v>The Change</x:v>
      </x:c>
      <x:c r="G286" s="14" t="str">
        <x:v>tt26115810</x:v>
      </x:c>
      <x:c r="H286" s="14" t="n">
        <x:v>2023</x:v>
      </x:c>
      <x:c r="I286" s="14" t="n">
        <x:v>2025</x:v>
      </x:c>
      <x:c r="J286" s="14" t="str">
        <x:v>Earlier-Production Carry-In Cohort</x:v>
      </x:c>
      <x:c r="K286" s="14" t="n">
        <x:v>2023</x:v>
      </x:c>
      <x:c r="L286" s="14" t="str">
        <x:v>Not inherited</x:v>
      </x:c>
      <x:c r="M286" s="15" t="n">
        <x:v>32</x:v>
      </x:c>
      <x:c r="N286" s="14" t="str">
        <x:v>Adam Howden</x:v>
      </x:c>
      <x:c r="O286" s="14" t="str">
        <x:v>nm3540491</x:v>
      </x:c>
      <x:c r="P286" s="14" t="str">
        <x:v>Paul</x:v>
      </x:c>
      <x:c r="Q286" s="15" t="n">
        <x:v>1</x:v>
      </x:c>
      <x:c r="R286" s="14" t="str">
        <x:v>2025</x:v>
      </x:c>
      <x:c r="S286" s="14" t="n">
        <x:v>2025</x:v>
      </x:c>
      <x:c r="T286" s="14" t="n">
        <x:v>2025</x:v>
      </x:c>
      <x:c r="U286" s="14" t="str">
        <x:v>Explicit source first year retained</x:v>
      </x:c>
      <x:c r="V286" s="14" t="str">
        <x:v>Earliest supplied year is 2025.</x:v>
      </x:c>
      <x:c r="W286" s="14"/>
      <x:c r="X286" s="14" t="str">
        <x:v>Included</x:v>
      </x:c>
      <x:c r="Y286" s="14"/>
      <x:c r="Z286" s="14" t="str">
        <x:v>The Change.docx</x:v>
      </x:c>
      <x:c r="AA286" s="14" t="str">
        <x:v>HYPERLINK is not implemented. linkLocation=https://www.imdb.com/title/tt26115810/fullcredits/,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Channel 4 / E4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HYPERLINK("https://en.wikipedia.org/wiki/Change","Open source")</x:f>
        <x:v>HYPERLINK is not implemented. linkLocation=https://en.wikipedia.org/wiki/Change, friendlyName=Open source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4" t="str">
        <x:v>HYPERLINK is not implemented. linkLocation=https://www.imdb.com/title/tt26115810/fullcredits/,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tt26115810|nm8015845|tattooist</x:v>
      </x:c>
      <x:c r="B287" s="14" t="str">
        <x:v>04</x:v>
      </x:c>
      <x:c r="C287" s="14" t="str">
        <x:v>2023_IMDb_Cast_Lists_Batch_04(2).xlsx</x:v>
      </x:c>
      <x:c r="D287" s="14" t="str">
        <x:v>The Change</x:v>
      </x:c>
      <x:c r="E287" s="14" t="n">
        <x:v>40</x:v>
      </x:c>
      <x:c r="F287" s="14" t="str">
        <x:v>The Change</x:v>
      </x:c>
      <x:c r="G287" s="14" t="str">
        <x:v>tt26115810</x:v>
      </x:c>
      <x:c r="H287" s="14" t="n">
        <x:v>2023</x:v>
      </x:c>
      <x:c r="I287" s="14" t="n">
        <x:v>2025</x:v>
      </x:c>
      <x:c r="J287" s="14" t="str">
        <x:v>Earlier-Production Carry-In Cohort</x:v>
      </x:c>
      <x:c r="K287" s="14" t="n">
        <x:v>2023</x:v>
      </x:c>
      <x:c r="L287" s="14" t="str">
        <x:v>Not inherited</x:v>
      </x:c>
      <x:c r="M287" s="15" t="n">
        <x:v>33</x:v>
      </x:c>
      <x:c r="N287" s="14" t="str">
        <x:v>Rob Auton</x:v>
      </x:c>
      <x:c r="O287" s="14" t="str">
        <x:v>nm8015845</x:v>
      </x:c>
      <x:c r="P287" s="14" t="str">
        <x:v>Tattooist</x:v>
      </x:c>
      <x:c r="Q287" s="15" t="n">
        <x:v>1</x:v>
      </x:c>
      <x:c r="R287" s="14" t="str">
        <x:v>2025</x:v>
      </x:c>
      <x:c r="S287" s="14" t="n">
        <x:v>2025</x:v>
      </x:c>
      <x:c r="T287" s="14" t="n">
        <x:v>2025</x:v>
      </x:c>
      <x:c r="U287" s="14" t="str">
        <x:v>Explicit source first year retained</x:v>
      </x:c>
      <x:c r="V287" s="14" t="str">
        <x:v>Earliest supplied year is 2025.</x:v>
      </x:c>
      <x:c r="W287" s="14"/>
      <x:c r="X287" s="14" t="str">
        <x:v>Included</x:v>
      </x:c>
      <x:c r="Y287" s="14"/>
      <x:c r="Z287" s="14" t="str">
        <x:v>The Change.docx</x:v>
      </x:c>
      <x:c r="AA287" s="14" t="str">
        <x:v>HYPERLINK is not implemented. linkLocation=https://www.imdb.com/title/tt26115810/fullcredits/,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Channel 4 / E4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HYPERLINK("https://en.wikipedia.org/wiki/Change","Open source")</x:f>
        <x:v>HYPERLINK is not implemented. linkLocation=https://en.wikipedia.org/wiki/Change, friendlyName=Open source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4" t="str">
        <x:v>HYPERLINK is not implemented. linkLocation=https://www.imdb.com/title/tt26115810/fullcredits/,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tt26115810|nm5655989|sally</x:v>
      </x:c>
      <x:c r="B288" s="14" t="str">
        <x:v>04</x:v>
      </x:c>
      <x:c r="C288" s="14" t="str">
        <x:v>2023_IMDb_Cast_Lists_Batch_04(2).xlsx</x:v>
      </x:c>
      <x:c r="D288" s="14" t="str">
        <x:v>The Change</x:v>
      </x:c>
      <x:c r="E288" s="14" t="n">
        <x:v>42</x:v>
      </x:c>
      <x:c r="F288" s="14" t="str">
        <x:v>The Change</x:v>
      </x:c>
      <x:c r="G288" s="14" t="str">
        <x:v>tt26115810</x:v>
      </x:c>
      <x:c r="H288" s="14" t="n">
        <x:v>2023</x:v>
      </x:c>
      <x:c r="I288" s="14" t="n">
        <x:v>2025</x:v>
      </x:c>
      <x:c r="J288" s="14" t="str">
        <x:v>Earlier-Production Carry-In Cohort</x:v>
      </x:c>
      <x:c r="K288" s="14" t="n">
        <x:v>2023</x:v>
      </x:c>
      <x:c r="L288" s="14" t="str">
        <x:v>Not inherited</x:v>
      </x:c>
      <x:c r="M288" s="15" t="n">
        <x:v>35</x:v>
      </x:c>
      <x:c r="N288" s="14" t="str">
        <x:v>Philippa Cole</x:v>
      </x:c>
      <x:c r="O288" s="14" t="str">
        <x:v>nm5655989</x:v>
      </x:c>
      <x:c r="P288" s="14" t="str">
        <x:v>Sally</x:v>
      </x:c>
      <x:c r="Q288" s="15" t="n">
        <x:v>1</x:v>
      </x:c>
      <x:c r="R288" s="14" t="str">
        <x:v>2025</x:v>
      </x:c>
      <x:c r="S288" s="14" t="n">
        <x:v>2025</x:v>
      </x:c>
      <x:c r="T288" s="14" t="n">
        <x:v>2025</x:v>
      </x:c>
      <x:c r="U288" s="14" t="str">
        <x:v>Explicit source first year retained</x:v>
      </x:c>
      <x:c r="V288" s="14" t="str">
        <x:v>Earliest supplied year is 2025.</x:v>
      </x:c>
      <x:c r="W288" s="14"/>
      <x:c r="X288" s="14" t="str">
        <x:v>Included</x:v>
      </x:c>
      <x:c r="Y288" s="14"/>
      <x:c r="Z288" s="14" t="str">
        <x:v>The Change.docx</x:v>
      </x:c>
      <x:c r="AA288" s="14" t="str">
        <x:v>HYPERLINK is not implemented. linkLocation=https://www.imdb.com/title/tt26115810/fullcredits/,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4 / E4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HYPERLINK("https://en.wikipedia.org/wiki/Change","Open source")</x:f>
        <x:v>HYPERLINK is not implemented. linkLocation=https://en.wikipedia.org/wiki/Change, friendlyName=Open source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4" t="str">
        <x:v>HYPERLINK is not implemented. linkLocation=https://www.imdb.com/title/tt26115810/fullcredits/,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tt26115810|nm18532051|daughter</x:v>
      </x:c>
      <x:c r="B289" s="14" t="str">
        <x:v>04</x:v>
      </x:c>
      <x:c r="C289" s="14" t="str">
        <x:v>2023_IMDb_Cast_Lists_Batch_04(2).xlsx</x:v>
      </x:c>
      <x:c r="D289" s="14" t="str">
        <x:v>The Change</x:v>
      </x:c>
      <x:c r="E289" s="14" t="n">
        <x:v>46</x:v>
      </x:c>
      <x:c r="F289" s="14" t="str">
        <x:v>The Change</x:v>
      </x:c>
      <x:c r="G289" s="14" t="str">
        <x:v>tt26115810</x:v>
      </x:c>
      <x:c r="H289" s="14" t="n">
        <x:v>2023</x:v>
      </x:c>
      <x:c r="I289" s="14" t="n">
        <x:v>2025</x:v>
      </x:c>
      <x:c r="J289" s="14" t="str">
        <x:v>Earlier-Production Carry-In Cohort</x:v>
      </x:c>
      <x:c r="K289" s="14" t="n">
        <x:v>2023</x:v>
      </x:c>
      <x:c r="L289" s="14" t="str">
        <x:v>Not inherited</x:v>
      </x:c>
      <x:c r="M289" s="15" t="n">
        <x:v>39</x:v>
      </x:c>
      <x:c r="N289" s="14" t="str">
        <x:v>Freya Milne-Brown</x:v>
      </x:c>
      <x:c r="O289" s="14" t="str">
        <x:v>nm18532051</x:v>
      </x:c>
      <x:c r="P289" s="14" t="str">
        <x:v>Daughter</x:v>
      </x:c>
      <x:c r="Q289" s="15" t="n">
        <x:v>1</x:v>
      </x:c>
      <x:c r="R289" s="14" t="str">
        <x:v>2025</x:v>
      </x:c>
      <x:c r="S289" s="14" t="n">
        <x:v>2025</x:v>
      </x:c>
      <x:c r="T289" s="14" t="n">
        <x:v>2025</x:v>
      </x:c>
      <x:c r="U289" s="14" t="str">
        <x:v>Explicit source first year retained</x:v>
      </x:c>
      <x:c r="V289" s="14" t="str">
        <x:v>Earliest supplied year is 2025.</x:v>
      </x:c>
      <x:c r="W289" s="14"/>
      <x:c r="X289" s="14" t="str">
        <x:v>Included</x:v>
      </x:c>
      <x:c r="Y289" s="14"/>
      <x:c r="Z289" s="14" t="str">
        <x:v>The Change.docx</x:v>
      </x:c>
      <x:c r="AA289" s="14" t="str">
        <x:v>HYPERLINK is not implemented. linkLocation=https://www.imdb.com/title/tt26115810/fullcredits/,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HYPERLINK("https://en.wikipedia.org/wiki/Change","Open source")</x:f>
        <x:v>HYPERLINK is not implemented. linkLocation=https://en.wikipedia.org/wiki/Change, friendlyName=Open source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0.08333333333333333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4" t="str">
        <x:v>HYPERLINK is not implemented. linkLocation=https://www.imdb.com/title/tt26115810/fullcredits/,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tt27369122|nm4112253|jacob</x:v>
      </x:c>
      <x:c r="B290" s="14" t="str">
        <x:v>04</x:v>
      </x:c>
      <x:c r="C290" s="14" t="str">
        <x:v>2023_IMDb_Cast_Lists_Batch_04(2).xlsx</x:v>
      </x:c>
      <x:c r="D290" s="14" t="str">
        <x:v>The Couple Next Door</x:v>
      </x:c>
      <x:c r="E290" s="14" t="n">
        <x:v>11</x:v>
      </x:c>
      <x:c r="F290" s="14" t="str">
        <x:v>The Couple Next Door</x:v>
      </x:c>
      <x:c r="G290" s="14" t="str">
        <x:v>tt27369122</x:v>
      </x:c>
      <x:c r="H290" s="14" t="n">
        <x:v>2023</x:v>
      </x:c>
      <x:c r="I290" s="14" t="n">
        <x:v>2025</x:v>
      </x:c>
      <x:c r="J290" s="14" t="str">
        <x:v>Earlier-Production Carry-In Cohort</x:v>
      </x:c>
      <x:c r="K290" s="14" t="n">
        <x:v>2023</x:v>
      </x:c>
      <x:c r="L290" s="14" t="str">
        <x:v>Not inherited</x:v>
      </x:c>
      <x:c r="M290" s="15" t="n">
        <x:v>4</x:v>
      </x:c>
      <x:c r="N290" s="14" t="str">
        <x:v>Sam Palladio</x:v>
      </x:c>
      <x:c r="O290" s="14" t="str">
        <x:v>nm4112253</x:v>
      </x:c>
      <x:c r="P290" s="14" t="str">
        <x:v>Jacob</x:v>
      </x:c>
      <x:c r="Q290" s="15" t="n">
        <x:v>6</x:v>
      </x:c>
      <x:c r="R290" s="14" t="str">
        <x:v>2025</x:v>
      </x:c>
      <x:c r="S290" s="14" t="n">
        <x:v>2025</x:v>
      </x:c>
      <x:c r="T290" s="14" t="n">
        <x:v>2025</x:v>
      </x:c>
      <x:c r="U290" s="14" t="str">
        <x:v>Explicit source first year retained</x:v>
      </x:c>
      <x:c r="V290" s="14" t="str">
        <x:v>Earliest supplied year is 2025.</x:v>
      </x:c>
      <x:c r="W290" s="14"/>
      <x:c r="X290" s="14" t="str">
        <x:v>Included</x:v>
      </x:c>
      <x:c r="Y290" s="14"/>
      <x:c r="Z290" s="14" t="str">
        <x:v>The Couple Next Door.docx</x:v>
      </x:c>
      <x:c r="AA290" s="14" t="str">
        <x:v>HYPERLINK is not implemented. linkLocation=https://www.imdb.com/title/tt27369122/fullcredits/,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Qualifying UK co-commission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qualifying uk co-commission.</x:v>
      </x:c>
      <x:c r="AM29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6</x:v>
      </x:c>
      <x:c r="BS290" s="16" t="n">
        <x:v>0.5</x:v>
      </x:c>
      <x:c r="BT290" s="14" t="str">
        <x:v>Minority of episodes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4" t="str">
        <x:v>HYPERLINK is not implemented. linkLocation=https://www.imdb.com/title/tt27369122/fullcredits/,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tt27369122|nm4890759|mia</x:v>
      </x:c>
      <x:c r="B291" s="14" t="str">
        <x:v>04</x:v>
      </x:c>
      <x:c r="C291" s="14" t="str">
        <x:v>2023_IMDb_Cast_Lists_Batch_04(2).xlsx</x:v>
      </x:c>
      <x:c r="D291" s="14" t="str">
        <x:v>The Couple Next Door</x:v>
      </x:c>
      <x:c r="E291" s="14" t="n">
        <x:v>12</x:v>
      </x:c>
      <x:c r="F291" s="14" t="str">
        <x:v>The Couple Next Door</x:v>
      </x:c>
      <x:c r="G291" s="14" t="str">
        <x:v>tt27369122</x:v>
      </x:c>
      <x:c r="H291" s="14" t="n">
        <x:v>2023</x:v>
      </x:c>
      <x:c r="I291" s="14" t="n">
        <x:v>2025</x:v>
      </x:c>
      <x:c r="J291" s="14" t="str">
        <x:v>Earlier-Production Carry-In Cohort</x:v>
      </x:c>
      <x:c r="K291" s="14" t="n">
        <x:v>2023</x:v>
      </x:c>
      <x:c r="L291" s="14" t="str">
        <x:v>Not inherited</x:v>
      </x:c>
      <x:c r="M291" s="15" t="n">
        <x:v>5</x:v>
      </x:c>
      <x:c r="N291" s="14" t="str">
        <x:v>Aggy K. Adams</x:v>
      </x:c>
      <x:c r="O291" s="14" t="str">
        <x:v>nm4890759</x:v>
      </x:c>
      <x:c r="P291" s="14" t="str">
        <x:v>Mia</x:v>
      </x:c>
      <x:c r="Q291" s="15" t="n">
        <x:v>6</x:v>
      </x:c>
      <x:c r="R291" s="14" t="str">
        <x:v>2025</x:v>
      </x:c>
      <x:c r="S291" s="14" t="n">
        <x:v>2025</x:v>
      </x:c>
      <x:c r="T291" s="14" t="n">
        <x:v>2025</x:v>
      </x:c>
      <x:c r="U291" s="14" t="str">
        <x:v>Explicit source first year retained</x:v>
      </x:c>
      <x:c r="V291" s="14" t="str">
        <x:v>Earliest supplied year is 2025.</x:v>
      </x:c>
      <x:c r="W291" s="14"/>
      <x:c r="X291" s="14" t="str">
        <x:v>Included</x:v>
      </x:c>
      <x:c r="Y291" s="14"/>
      <x:c r="Z291" s="14" t="str">
        <x:v>The Couple Next Door.docx</x:v>
      </x:c>
      <x:c r="AA291" s="14" t="str">
        <x:v>HYPERLINK is not implemented. linkLocation=https://www.imdb.com/title/tt27369122/fullcredits/,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Qualifying UK co-commission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qualifying uk co-commission.</x:v>
      </x:c>
      <x:c r="AM29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6</x:v>
      </x:c>
      <x:c r="BS291" s="16" t="n">
        <x:v>0.5</x:v>
      </x:c>
      <x:c r="BT291" s="14" t="str">
        <x:v>Minority of episodes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4" t="str">
        <x:v>HYPERLINK is not implemented. linkLocation=https://www.imdb.com/title/tt27369122/fullcredits/,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tt27369122|nm2118257|charlotte</x:v>
      </x:c>
      <x:c r="B292" s="14" t="str">
        <x:v>04</x:v>
      </x:c>
      <x:c r="C292" s="14" t="str">
        <x:v>2023_IMDb_Cast_Lists_Batch_04(2).xlsx</x:v>
      </x:c>
      <x:c r="D292" s="14" t="str">
        <x:v>The Couple Next Door</x:v>
      </x:c>
      <x:c r="E292" s="14" t="n">
        <x:v>14</x:v>
      </x:c>
      <x:c r="F292" s="14" t="str">
        <x:v>The Couple Next Door</x:v>
      </x:c>
      <x:c r="G292" s="14" t="str">
        <x:v>tt27369122</x:v>
      </x:c>
      <x:c r="H292" s="14" t="n">
        <x:v>2023</x:v>
      </x:c>
      <x:c r="I292" s="14" t="n">
        <x:v>2025</x:v>
      </x:c>
      <x:c r="J292" s="14" t="str">
        <x:v>Earlier-Production Carry-In Cohort</x:v>
      </x:c>
      <x:c r="K292" s="14" t="n">
        <x:v>2023</x:v>
      </x:c>
      <x:c r="L292" s="14" t="str">
        <x:v>Not inherited</x:v>
      </x:c>
      <x:c r="M292" s="15" t="n">
        <x:v>7</x:v>
      </x:c>
      <x:c r="N292" s="14" t="str">
        <x:v>Annabel Scholey</x:v>
      </x:c>
      <x:c r="O292" s="14" t="str">
        <x:v>nm2118257</x:v>
      </x:c>
      <x:c r="P292" s="14" t="str">
        <x:v>Charlotte</x:v>
      </x:c>
      <x:c r="Q292" s="15" t="n">
        <x:v>6</x:v>
      </x:c>
      <x:c r="R292" s="14" t="str">
        <x:v>2025</x:v>
      </x:c>
      <x:c r="S292" s="14" t="n">
        <x:v>2025</x:v>
      </x:c>
      <x:c r="T292" s="14" t="n">
        <x:v>2025</x:v>
      </x:c>
      <x:c r="U292" s="14" t="str">
        <x:v>Explicit source first year retained</x:v>
      </x:c>
      <x:c r="V292" s="14" t="str">
        <x:v>Earliest supplied year is 2025.</x:v>
      </x:c>
      <x:c r="W292" s="14"/>
      <x:c r="X292" s="14" t="str">
        <x:v>Included</x:v>
      </x:c>
      <x:c r="Y292" s="14"/>
      <x:c r="Z292" s="14" t="str">
        <x:v>The Couple Next Door.docx</x:v>
      </x:c>
      <x:c r="AA292" s="14" t="str">
        <x:v>HYPERLINK is not implemented. linkLocation=https://www.imdb.com/title/tt27369122/fullcredits/,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Qualifying UK co-commission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qualifying uk co-commission.</x:v>
      </x:c>
      <x:c r="AM29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6</x:v>
      </x:c>
      <x:c r="BS292" s="16" t="n">
        <x:v>0.5</x:v>
      </x:c>
      <x:c r="BT292" s="14" t="str">
        <x:v>Minority of episodes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4" t="str">
        <x:v>HYPERLINK is not implemented. linkLocation=https://www.imdb.com/title/tt27369122/fullcredits/,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tt27369122|nm0707983|leo</x:v>
      </x:c>
      <x:c r="B293" s="14" t="str">
        <x:v>04</x:v>
      </x:c>
      <x:c r="C293" s="14" t="str">
        <x:v>2023_IMDb_Cast_Lists_Batch_04(2).xlsx</x:v>
      </x:c>
      <x:c r="D293" s="14" t="str">
        <x:v>The Couple Next Door</x:v>
      </x:c>
      <x:c r="E293" s="14" t="n">
        <x:v>17</x:v>
      </x:c>
      <x:c r="F293" s="14" t="str">
        <x:v>The Couple Next Door</x:v>
      </x:c>
      <x:c r="G293" s="14" t="str">
        <x:v>tt27369122</x:v>
      </x:c>
      <x:c r="H293" s="14" t="n">
        <x:v>2023</x:v>
      </x:c>
      <x:c r="I293" s="14" t="n">
        <x:v>2025</x:v>
      </x:c>
      <x:c r="J293" s="14" t="str">
        <x:v>Earlier-Production Carry-In Cohort</x:v>
      </x:c>
      <x:c r="K293" s="14" t="n">
        <x:v>2023</x:v>
      </x:c>
      <x:c r="L293" s="14" t="str">
        <x:v>Not inherited</x:v>
      </x:c>
      <x:c r="M293" s="15" t="n">
        <x:v>10</x:v>
      </x:c>
      <x:c r="N293" s="14" t="str">
        <x:v>Sendhil Ramamurthy</x:v>
      </x:c>
      <x:c r="O293" s="14" t="str">
        <x:v>nm0707983</x:v>
      </x:c>
      <x:c r="P293" s="14" t="str">
        <x:v>Leo</x:v>
      </x:c>
      <x:c r="Q293" s="15" t="n">
        <x:v>6</x:v>
      </x:c>
      <x:c r="R293" s="14" t="str">
        <x:v>2025</x:v>
      </x:c>
      <x:c r="S293" s="14" t="n">
        <x:v>2025</x:v>
      </x:c>
      <x:c r="T293" s="14" t="n">
        <x:v>2025</x:v>
      </x:c>
      <x:c r="U293" s="14" t="str">
        <x:v>Explicit source first year retained</x:v>
      </x:c>
      <x:c r="V293" s="14" t="str">
        <x:v>Earliest supplied year is 2025.</x:v>
      </x:c>
      <x:c r="W293" s="14"/>
      <x:c r="X293" s="14" t="str">
        <x:v>Included</x:v>
      </x:c>
      <x:c r="Y293" s="14"/>
      <x:c r="Z293" s="14" t="str">
        <x:v>The Couple Next Door.docx</x:v>
      </x:c>
      <x:c r="AA293" s="14" t="str">
        <x:v>HYPERLINK is not implemented. linkLocation=https://www.imdb.com/title/tt27369122/fullcredits/,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Qualifying UK co-commission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qualifying uk co-commission.</x:v>
      </x:c>
      <x:c r="AM29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6</x:v>
      </x:c>
      <x:c r="BS293" s="16" t="n">
        <x:v>0.5</x:v>
      </x:c>
      <x:c r="BT293" s="14" t="str">
        <x:v>Minority of episodes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4" t="str">
        <x:v>HYPERLINK is not implemented. linkLocation=https://www.imdb.com/title/tt27369122/fullcredits/,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tt27369122|nm0416253|ben</x:v>
      </x:c>
      <x:c r="B294" s="14" t="str">
        <x:v>04</x:v>
      </x:c>
      <x:c r="C294" s="14" t="str">
        <x:v>2023_IMDb_Cast_Lists_Batch_04(2).xlsx</x:v>
      </x:c>
      <x:c r="D294" s="14" t="str">
        <x:v>The Couple Next Door</x:v>
      </x:c>
      <x:c r="E294" s="14" t="n">
        <x:v>19</x:v>
      </x:c>
      <x:c r="F294" s="14" t="str">
        <x:v>The Couple Next Door</x:v>
      </x:c>
      <x:c r="G294" s="14" t="str">
        <x:v>tt27369122</x:v>
      </x:c>
      <x:c r="H294" s="14" t="n">
        <x:v>2023</x:v>
      </x:c>
      <x:c r="I294" s="14" t="n">
        <x:v>2025</x:v>
      </x:c>
      <x:c r="J294" s="14" t="str">
        <x:v>Earlier-Production Carry-In Cohort</x:v>
      </x:c>
      <x:c r="K294" s="14" t="n">
        <x:v>2023</x:v>
      </x:c>
      <x:c r="L294" s="14" t="str">
        <x:v>Not inherited</x:v>
      </x:c>
      <x:c r="M294" s="15" t="n">
        <x:v>12</x:v>
      </x:c>
      <x:c r="N294" s="14" t="str">
        <x:v>Adam James</x:v>
      </x:c>
      <x:c r="O294" s="14" t="str">
        <x:v>nm0416253</x:v>
      </x:c>
      <x:c r="P294" s="14" t="str">
        <x:v>Ben</x:v>
      </x:c>
      <x:c r="Q294" s="15" t="n">
        <x:v>6</x:v>
      </x:c>
      <x:c r="R294" s="14" t="str">
        <x:v>2025</x:v>
      </x:c>
      <x:c r="S294" s="14" t="n">
        <x:v>2025</x:v>
      </x:c>
      <x:c r="T294" s="14" t="n">
        <x:v>2025</x:v>
      </x:c>
      <x:c r="U294" s="14" t="str">
        <x:v>Explicit source first year retained</x:v>
      </x:c>
      <x:c r="V294" s="14" t="str">
        <x:v>Earliest supplied year is 2025.</x:v>
      </x:c>
      <x:c r="W294" s="14"/>
      <x:c r="X294" s="14" t="str">
        <x:v>Included</x:v>
      </x:c>
      <x:c r="Y294" s="14"/>
      <x:c r="Z294" s="14" t="str">
        <x:v>The Couple Next Door.docx</x:v>
      </x:c>
      <x:c r="AA294" s="14" t="str">
        <x:v>HYPERLINK is not implemented. linkLocation=https://www.imdb.com/title/tt27369122/fullcredits/,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Qualifying UK co-commission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qualifying uk co-commission.</x:v>
      </x:c>
      <x:c r="AM29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6</x:v>
      </x:c>
      <x:c r="BS294" s="16" t="n">
        <x:v>0.5</x:v>
      </x:c>
      <x:c r="BT294" s="14" t="str">
        <x:v>Minority of episodes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4" t="str">
        <x:v>HYPERLINK is not implemented. linkLocation=https://www.imdb.com/title/tt27369122/fullcredits/,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tt27369122|nm1676622|gemma</x:v>
      </x:c>
      <x:c r="B295" s="14" t="str">
        <x:v>04</x:v>
      </x:c>
      <x:c r="C295" s="14" t="str">
        <x:v>2023_IMDb_Cast_Lists_Batch_04(2).xlsx</x:v>
      </x:c>
      <x:c r="D295" s="14" t="str">
        <x:v>The Couple Next Door</x:v>
      </x:c>
      <x:c r="E295" s="14" t="n">
        <x:v>21</x:v>
      </x:c>
      <x:c r="F295" s="14" t="str">
        <x:v>The Couple Next Door</x:v>
      </x:c>
      <x:c r="G295" s="14" t="str">
        <x:v>tt27369122</x:v>
      </x:c>
      <x:c r="H295" s="14" t="n">
        <x:v>2023</x:v>
      </x:c>
      <x:c r="I295" s="14" t="n">
        <x:v>2025</x:v>
      </x:c>
      <x:c r="J295" s="14" t="str">
        <x:v>Earlier-Production Carry-In Cohort</x:v>
      </x:c>
      <x:c r="K295" s="14" t="n">
        <x:v>2023</x:v>
      </x:c>
      <x:c r="L295" s="14" t="str">
        <x:v>Not inherited</x:v>
      </x:c>
      <x:c r="M295" s="15" t="n">
        <x:v>14</x:v>
      </x:c>
      <x:c r="N295" s="14" t="str">
        <x:v>Maimie McCoy</x:v>
      </x:c>
      <x:c r="O295" s="14" t="str">
        <x:v>nm1676622</x:v>
      </x:c>
      <x:c r="P295" s="14" t="str">
        <x:v>Gemma</x:v>
      </x:c>
      <x:c r="Q295" s="15" t="n">
        <x:v>6</x:v>
      </x:c>
      <x:c r="R295" s="14" t="str">
        <x:v>2025</x:v>
      </x:c>
      <x:c r="S295" s="14" t="n">
        <x:v>2025</x:v>
      </x:c>
      <x:c r="T295" s="14" t="n">
        <x:v>2025</x:v>
      </x:c>
      <x:c r="U295" s="14" t="str">
        <x:v>Explicit source first year retained</x:v>
      </x:c>
      <x:c r="V295" s="14" t="str">
        <x:v>Earliest supplied year is 2025.</x:v>
      </x:c>
      <x:c r="W295" s="14"/>
      <x:c r="X295" s="14" t="str">
        <x:v>Included</x:v>
      </x:c>
      <x:c r="Y295" s="14"/>
      <x:c r="Z295" s="14" t="str">
        <x:v>The Couple Next Door.docx</x:v>
      </x:c>
      <x:c r="AA295" s="14" t="str">
        <x:v>HYPERLINK is not implemented. linkLocation=https://www.imdb.com/title/tt27369122/fullcredits/,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Qualifying UK co-commission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qualifying uk co-commission.</x:v>
      </x:c>
      <x:c r="AM29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6</x:v>
      </x:c>
      <x:c r="BS295" s="16" t="n">
        <x:v>0.5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4" t="str">
        <x:v>HYPERLINK is not implemented. linkLocation=https://www.imdb.com/title/tt27369122/fullcredits/,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tt27369122|nm0167334|annette</x:v>
      </x:c>
      <x:c r="B296" s="14" t="str">
        <x:v>04</x:v>
      </x:c>
      <x:c r="C296" s="14" t="str">
        <x:v>2023_IMDb_Cast_Lists_Batch_04(2).xlsx</x:v>
      </x:c>
      <x:c r="D296" s="14" t="str">
        <x:v>The Couple Next Door</x:v>
      </x:c>
      <x:c r="E296" s="14" t="n">
        <x:v>22</x:v>
      </x:c>
      <x:c r="F296" s="14" t="str">
        <x:v>The Couple Next Door</x:v>
      </x:c>
      <x:c r="G296" s="14" t="str">
        <x:v>tt27369122</x:v>
      </x:c>
      <x:c r="H296" s="14" t="n">
        <x:v>2023</x:v>
      </x:c>
      <x:c r="I296" s="14" t="n">
        <x:v>2025</x:v>
      </x:c>
      <x:c r="J296" s="14" t="str">
        <x:v>Earlier-Production Carry-In Cohort</x:v>
      </x:c>
      <x:c r="K296" s="14" t="n">
        <x:v>2023</x:v>
      </x:c>
      <x:c r="L296" s="14" t="str">
        <x:v>Not inherited</x:v>
      </x:c>
      <x:c r="M296" s="15" t="n">
        <x:v>15</x:v>
      </x:c>
      <x:c r="N296" s="14" t="str">
        <x:v>Jackie Clune</x:v>
      </x:c>
      <x:c r="O296" s="14" t="str">
        <x:v>nm0167334</x:v>
      </x:c>
      <x:c r="P296" s="14" t="str">
        <x:v>Annette</x:v>
      </x:c>
      <x:c r="Q296" s="15" t="n">
        <x:v>6</x:v>
      </x:c>
      <x:c r="R296" s="14" t="str">
        <x:v>2025</x:v>
      </x:c>
      <x:c r="S296" s="14" t="n">
        <x:v>2025</x:v>
      </x:c>
      <x:c r="T296" s="14" t="n">
        <x:v>2025</x:v>
      </x:c>
      <x:c r="U296" s="14" t="str">
        <x:v>Explicit source first year retained</x:v>
      </x:c>
      <x:c r="V296" s="14" t="str">
        <x:v>Earliest supplied year is 2025.</x:v>
      </x:c>
      <x:c r="W296" s="14"/>
      <x:c r="X296" s="14" t="str">
        <x:v>Included</x:v>
      </x:c>
      <x:c r="Y296" s="14"/>
      <x:c r="Z296" s="14" t="str">
        <x:v>The Couple Next Door.docx</x:v>
      </x:c>
      <x:c r="AA296" s="14" t="str">
        <x:v>HYPERLINK is not implemented. linkLocation=https://www.imdb.com/title/tt27369122/fullcredits/,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Qualifying UK co-commission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qualifying uk co-commission.</x:v>
      </x:c>
      <x:c r="AM29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6</x:v>
      </x:c>
      <x:c r="BS296" s="16" t="n">
        <x:v>0.5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4" t="str">
        <x:v>HYPERLINK is not implemented. linkLocation=https://www.imdb.com/title/tt27369122/fullcredits/,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tt27369122|nm1914298|isak</x:v>
      </x:c>
      <x:c r="B297" s="14" t="str">
        <x:v>04</x:v>
      </x:c>
      <x:c r="C297" s="14" t="str">
        <x:v>2023_IMDb_Cast_Lists_Batch_04(2).xlsx</x:v>
      </x:c>
      <x:c r="D297" s="14" t="str">
        <x:v>The Couple Next Door</x:v>
      </x:c>
      <x:c r="E297" s="14" t="n">
        <x:v>23</x:v>
      </x:c>
      <x:c r="F297" s="14" t="str">
        <x:v>The Couple Next Door</x:v>
      </x:c>
      <x:c r="G297" s="14" t="str">
        <x:v>tt27369122</x:v>
      </x:c>
      <x:c r="H297" s="14" t="n">
        <x:v>2023</x:v>
      </x:c>
      <x:c r="I297" s="14" t="n">
        <x:v>2025</x:v>
      </x:c>
      <x:c r="J297" s="14" t="str">
        <x:v>Earlier-Production Carry-In Cohort</x:v>
      </x:c>
      <x:c r="K297" s="14" t="n">
        <x:v>2023</x:v>
      </x:c>
      <x:c r="L297" s="14" t="str">
        <x:v>Not inherited</x:v>
      </x:c>
      <x:c r="M297" s="15" t="n">
        <x:v>16</x:v>
      </x:c>
      <x:c r="N297" s="14" t="str">
        <x:v>Pål Sverre Hagen</x:v>
      </x:c>
      <x:c r="O297" s="14" t="str">
        <x:v>nm1914298</x:v>
      </x:c>
      <x:c r="P297" s="14" t="str">
        <x:v>Isak</x:v>
      </x:c>
      <x:c r="Q297" s="15" t="n">
        <x:v>5</x:v>
      </x:c>
      <x:c r="R297" s="14" t="str">
        <x:v>2025</x:v>
      </x:c>
      <x:c r="S297" s="14" t="n">
        <x:v>2025</x:v>
      </x:c>
      <x:c r="T297" s="14" t="n">
        <x:v>2025</x:v>
      </x:c>
      <x:c r="U297" s="14" t="str">
        <x:v>Explicit source first year retained</x:v>
      </x:c>
      <x:c r="V297" s="14" t="str">
        <x:v>Earliest supplied year is 2025.</x:v>
      </x:c>
      <x:c r="W297" s="14"/>
      <x:c r="X297" s="14" t="str">
        <x:v>Included</x:v>
      </x:c>
      <x:c r="Y297" s="14"/>
      <x:c r="Z297" s="14" t="str">
        <x:v>The Couple Next Door.docx</x:v>
      </x:c>
      <x:c r="AA297" s="14" t="str">
        <x:v>HYPERLINK is not implemented. linkLocation=https://www.imdb.com/title/tt27369122/fullcredits/,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Qualifying UK co-commission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qualifying uk co-commission.</x:v>
      </x:c>
      <x:c r="AM29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5</x:v>
      </x:c>
      <x:c r="BS297" s="16" t="n">
        <x:v>0.4166666666666667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4" t="str">
        <x:v>HYPERLINK is not implemented. linkLocation=https://www.imdb.com/title/tt27369122/fullcredits/,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tt27369122|nm1600132|hari</x:v>
      </x:c>
      <x:c r="B298" s="14" t="str">
        <x:v>04</x:v>
      </x:c>
      <x:c r="C298" s="14" t="str">
        <x:v>2023_IMDb_Cast_Lists_Batch_04(2).xlsx</x:v>
      </x:c>
      <x:c r="D298" s="14" t="str">
        <x:v>The Couple Next Door</x:v>
      </x:c>
      <x:c r="E298" s="14" t="n">
        <x:v>26</x:v>
      </x:c>
      <x:c r="F298" s="14" t="str">
        <x:v>The Couple Next Door</x:v>
      </x:c>
      <x:c r="G298" s="14" t="str">
        <x:v>tt27369122</x:v>
      </x:c>
      <x:c r="H298" s="14" t="n">
        <x:v>2023</x:v>
      </x:c>
      <x:c r="I298" s="14" t="n">
        <x:v>2025</x:v>
      </x:c>
      <x:c r="J298" s="14" t="str">
        <x:v>Earlier-Production Carry-In Cohort</x:v>
      </x:c>
      <x:c r="K298" s="14" t="n">
        <x:v>2023</x:v>
      </x:c>
      <x:c r="L298" s="14" t="str">
        <x:v>Not inherited</x:v>
      </x:c>
      <x:c r="M298" s="15" t="n">
        <x:v>19</x:v>
      </x:c>
      <x:c r="N298" s="14" t="str">
        <x:v>Shane Zaza</x:v>
      </x:c>
      <x:c r="O298" s="14" t="str">
        <x:v>nm1600132</x:v>
      </x:c>
      <x:c r="P298" s="14" t="str">
        <x:v>Hari</x:v>
      </x:c>
      <x:c r="Q298" s="15" t="n">
        <x:v>5</x:v>
      </x:c>
      <x:c r="R298" s="14" t="str">
        <x:v>2025</x:v>
      </x:c>
      <x:c r="S298" s="14" t="n">
        <x:v>2025</x:v>
      </x:c>
      <x:c r="T298" s="14" t="n">
        <x:v>2025</x:v>
      </x:c>
      <x:c r="U298" s="14" t="str">
        <x:v>Explicit source first year retained</x:v>
      </x:c>
      <x:c r="V298" s="14" t="str">
        <x:v>Earliest supplied year is 2025.</x:v>
      </x:c>
      <x:c r="W298" s="14"/>
      <x:c r="X298" s="14" t="str">
        <x:v>Included</x:v>
      </x:c>
      <x:c r="Y298" s="14"/>
      <x:c r="Z298" s="14" t="str">
        <x:v>The Couple Next Door.docx</x:v>
      </x:c>
      <x:c r="AA298" s="14" t="str">
        <x:v>HYPERLINK is not implemented. linkLocation=https://www.imdb.com/title/tt27369122/fullcredits/,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Qualifying UK co-commission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qualifying uk co-commission.</x:v>
      </x:c>
      <x:c r="AM29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5</x:v>
      </x:c>
      <x:c r="BS298" s="16" t="n">
        <x:v>0.4166666666666667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4" t="str">
        <x:v>HYPERLINK is not implemented. linkLocation=https://www.imdb.com/title/tt27369122/fullcredits/,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tt27369122|nm11922182|jaden</x:v>
      </x:c>
      <x:c r="B299" s="14" t="str">
        <x:v>04</x:v>
      </x:c>
      <x:c r="C299" s="14" t="str">
        <x:v>2023_IMDb_Cast_Lists_Batch_04(2).xlsx</x:v>
      </x:c>
      <x:c r="D299" s="14" t="str">
        <x:v>The Couple Next Door</x:v>
      </x:c>
      <x:c r="E299" s="14" t="n">
        <x:v>27</x:v>
      </x:c>
      <x:c r="F299" s="14" t="str">
        <x:v>The Couple Next Door</x:v>
      </x:c>
      <x:c r="G299" s="14" t="str">
        <x:v>tt27369122</x:v>
      </x:c>
      <x:c r="H299" s="14" t="n">
        <x:v>2023</x:v>
      </x:c>
      <x:c r="I299" s="14" t="n">
        <x:v>2025</x:v>
      </x:c>
      <x:c r="J299" s="14" t="str">
        <x:v>Earlier-Production Carry-In Cohort</x:v>
      </x:c>
      <x:c r="K299" s="14" t="n">
        <x:v>2023</x:v>
      </x:c>
      <x:c r="L299" s="14" t="str">
        <x:v>Not inherited</x:v>
      </x:c>
      <x:c r="M299" s="15" t="n">
        <x:v>20</x:v>
      </x:c>
      <x:c r="N299" s="14" t="str">
        <x:v>Anthony Rickman</x:v>
      </x:c>
      <x:c r="O299" s="14" t="str">
        <x:v>nm11922182</x:v>
      </x:c>
      <x:c r="P299" s="14" t="str">
        <x:v>Jaden</x:v>
      </x:c>
      <x:c r="Q299" s="15" t="n">
        <x:v>5</x:v>
      </x:c>
      <x:c r="R299" s="14" t="str">
        <x:v>2025</x:v>
      </x:c>
      <x:c r="S299" s="14" t="n">
        <x:v>2025</x:v>
      </x:c>
      <x:c r="T299" s="14" t="n">
        <x:v>2025</x:v>
      </x:c>
      <x:c r="U299" s="14" t="str">
        <x:v>Explicit source first year retained</x:v>
      </x:c>
      <x:c r="V299" s="14" t="str">
        <x:v>Earliest supplied year is 2025.</x:v>
      </x:c>
      <x:c r="W299" s="14"/>
      <x:c r="X299" s="14" t="str">
        <x:v>Included</x:v>
      </x:c>
      <x:c r="Y299" s="14"/>
      <x:c r="Z299" s="14" t="str">
        <x:v>The Couple Next Door.docx</x:v>
      </x:c>
      <x:c r="AA299" s="14" t="str">
        <x:v>HYPERLINK is not implemented. linkLocation=https://www.imdb.com/title/tt27369122/fullcredits/,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Qualifying UK co-commission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qualifying uk co-commission.</x:v>
      </x:c>
      <x:c r="AM29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5</x:v>
      </x:c>
      <x:c r="BS299" s="16" t="n">
        <x:v>0.4166666666666667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4" t="str">
        <x:v>HYPERLINK is not implemented. linkLocation=https://www.imdb.com/title/tt27369122/fullcredits/,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tt27369122|nm0600439|yvonne</x:v>
      </x:c>
      <x:c r="B300" s="14" t="str">
        <x:v>04</x:v>
      </x:c>
      <x:c r="C300" s="14" t="str">
        <x:v>2023_IMDb_Cast_Lists_Batch_04(2).xlsx</x:v>
      </x:c>
      <x:c r="D300" s="14" t="str">
        <x:v>The Couple Next Door</x:v>
      </x:c>
      <x:c r="E300" s="14" t="n">
        <x:v>28</x:v>
      </x:c>
      <x:c r="F300" s="14" t="str">
        <x:v>The Couple Next Door</x:v>
      </x:c>
      <x:c r="G300" s="14" t="str">
        <x:v>tt27369122</x:v>
      </x:c>
      <x:c r="H300" s="14" t="n">
        <x:v>2023</x:v>
      </x:c>
      <x:c r="I300" s="14" t="n">
        <x:v>2025</x:v>
      </x:c>
      <x:c r="J300" s="14" t="str">
        <x:v>Earlier-Production Carry-In Cohort</x:v>
      </x:c>
      <x:c r="K300" s="14" t="n">
        <x:v>2023</x:v>
      </x:c>
      <x:c r="L300" s="14" t="str">
        <x:v>Not inherited</x:v>
      </x:c>
      <x:c r="M300" s="15" t="n">
        <x:v>21</x:v>
      </x:c>
      <x:c r="N300" s="14" t="str">
        <x:v>Tanya Moodie</x:v>
      </x:c>
      <x:c r="O300" s="14" t="str">
        <x:v>nm0600439</x:v>
      </x:c>
      <x:c r="P300" s="14" t="str">
        <x:v>Yvonne</x:v>
      </x:c>
      <x:c r="Q300" s="15" t="n">
        <x:v>5</x:v>
      </x:c>
      <x:c r="R300" s="14" t="str">
        <x:v>2025</x:v>
      </x:c>
      <x:c r="S300" s="14" t="n">
        <x:v>2025</x:v>
      </x:c>
      <x:c r="T300" s="14" t="n">
        <x:v>2025</x:v>
      </x:c>
      <x:c r="U300" s="14" t="str">
        <x:v>Explicit source first year retained</x:v>
      </x:c>
      <x:c r="V300" s="14" t="str">
        <x:v>Earliest supplied year is 2025.</x:v>
      </x:c>
      <x:c r="W300" s="14"/>
      <x:c r="X300" s="14" t="str">
        <x:v>Included</x:v>
      </x:c>
      <x:c r="Y300" s="14"/>
      <x:c r="Z300" s="14" t="str">
        <x:v>The Couple Next Door.docx</x:v>
      </x:c>
      <x:c r="AA300" s="14" t="str">
        <x:v>HYPERLINK is not implemented. linkLocation=https://www.imdb.com/title/tt27369122/fullcredits/,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Qualifying UK co-commission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qualifying uk co-commission.</x:v>
      </x:c>
      <x:c r="AM30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5</x:v>
      </x:c>
      <x:c r="BS300" s="16" t="n">
        <x:v>0.4166666666666667</x:v>
      </x:c>
      <x:c r="BT300" s="14" t="str">
        <x:v>Minority of episodes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4" t="str">
        <x:v>HYPERLINK is not implemented. linkLocation=https://www.imdb.com/title/tt27369122/fullcredits/,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tt27369122|nm0788884|viraj</x:v>
      </x:c>
      <x:c r="B301" s="14" t="str">
        <x:v>04</x:v>
      </x:c>
      <x:c r="C301" s="14" t="str">
        <x:v>2023_IMDb_Cast_Lists_Batch_04(2).xlsx</x:v>
      </x:c>
      <x:c r="D301" s="14" t="str">
        <x:v>The Couple Next Door</x:v>
      </x:c>
      <x:c r="E301" s="14" t="n">
        <x:v>30</x:v>
      </x:c>
      <x:c r="F301" s="14" t="str">
        <x:v>The Couple Next Door</x:v>
      </x:c>
      <x:c r="G301" s="14" t="str">
        <x:v>tt27369122</x:v>
      </x:c>
      <x:c r="H301" s="14" t="n">
        <x:v>2023</x:v>
      </x:c>
      <x:c r="I301" s="14" t="n">
        <x:v>2025</x:v>
      </x:c>
      <x:c r="J301" s="14" t="str">
        <x:v>Earlier-Production Carry-In Cohort</x:v>
      </x:c>
      <x:c r="K301" s="14" t="n">
        <x:v>2023</x:v>
      </x:c>
      <x:c r="L301" s="14" t="str">
        <x:v>Not inherited</x:v>
      </x:c>
      <x:c r="M301" s="15" t="n">
        <x:v>23</x:v>
      </x:c>
      <x:c r="N301" s="14" t="str">
        <x:v>Madhav Sharma</x:v>
      </x:c>
      <x:c r="O301" s="14" t="str">
        <x:v>nm0788884</x:v>
      </x:c>
      <x:c r="P301" s="14" t="str">
        <x:v>Viraj</x:v>
      </x:c>
      <x:c r="Q301" s="15" t="n">
        <x:v>4</x:v>
      </x:c>
      <x:c r="R301" s="14" t="str">
        <x:v>2025</x:v>
      </x:c>
      <x:c r="S301" s="14" t="n">
        <x:v>2025</x:v>
      </x:c>
      <x:c r="T301" s="14" t="n">
        <x:v>2025</x:v>
      </x:c>
      <x:c r="U301" s="14" t="str">
        <x:v>Explicit source first year retained</x:v>
      </x:c>
      <x:c r="V301" s="14" t="str">
        <x:v>Earliest supplied year is 2025.</x:v>
      </x:c>
      <x:c r="W301" s="14"/>
      <x:c r="X301" s="14" t="str">
        <x:v>Included</x:v>
      </x:c>
      <x:c r="Y301" s="14"/>
      <x:c r="Z301" s="14" t="str">
        <x:v>The Couple Next Door.docx</x:v>
      </x:c>
      <x:c r="AA301" s="14" t="str">
        <x:v>HYPERLINK is not implemented. linkLocation=https://www.imdb.com/title/tt27369122/fullcredits/,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Qualifying UK co-commission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qualifying uk co-commission.</x:v>
      </x:c>
      <x:c r="AM30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4</x:v>
      </x:c>
      <x:c r="BS301" s="16" t="n">
        <x:v>0.3333333333333333</x:v>
      </x:c>
      <x:c r="BT301" s="14" t="str">
        <x:v>Minority of episodes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4" t="str">
        <x:v>HYPERLINK is not implemented. linkLocation=https://www.imdb.com/title/tt27369122/fullcredits/,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tt27369122|nm6657090|brandon</x:v>
      </x:c>
      <x:c r="B302" s="14" t="str">
        <x:v>04</x:v>
      </x:c>
      <x:c r="C302" s="14" t="str">
        <x:v>2023_IMDb_Cast_Lists_Batch_04(2).xlsx</x:v>
      </x:c>
      <x:c r="D302" s="14" t="str">
        <x:v>The Couple Next Door</x:v>
      </x:c>
      <x:c r="E302" s="14" t="n">
        <x:v>31</x:v>
      </x:c>
      <x:c r="F302" s="14" t="str">
        <x:v>The Couple Next Door</x:v>
      </x:c>
      <x:c r="G302" s="14" t="str">
        <x:v>tt27369122</x:v>
      </x:c>
      <x:c r="H302" s="14" t="n">
        <x:v>2023</x:v>
      </x:c>
      <x:c r="I302" s="14" t="n">
        <x:v>2025</x:v>
      </x:c>
      <x:c r="J302" s="14" t="str">
        <x:v>Earlier-Production Carry-In Cohort</x:v>
      </x:c>
      <x:c r="K302" s="14" t="n">
        <x:v>2023</x:v>
      </x:c>
      <x:c r="L302" s="14" t="str">
        <x:v>Not inherited</x:v>
      </x:c>
      <x:c r="M302" s="15" t="n">
        <x:v>24</x:v>
      </x:c>
      <x:c r="N302" s="14" t="str">
        <x:v>Barney White</x:v>
      </x:c>
      <x:c r="O302" s="14" t="str">
        <x:v>nm6657090</x:v>
      </x:c>
      <x:c r="P302" s="14" t="str">
        <x:v>Brandon</x:v>
      </x:c>
      <x:c r="Q302" s="15" t="n">
        <x:v>4</x:v>
      </x:c>
      <x:c r="R302" s="14" t="str">
        <x:v>2025</x:v>
      </x:c>
      <x:c r="S302" s="14" t="n">
        <x:v>2025</x:v>
      </x:c>
      <x:c r="T302" s="14" t="n">
        <x:v>2025</x:v>
      </x:c>
      <x:c r="U302" s="14" t="str">
        <x:v>Explicit source first year retained</x:v>
      </x:c>
      <x:c r="V302" s="14" t="str">
        <x:v>Earliest supplied year is 2025.</x:v>
      </x:c>
      <x:c r="W302" s="14"/>
      <x:c r="X302" s="14" t="str">
        <x:v>Included</x:v>
      </x:c>
      <x:c r="Y302" s="14"/>
      <x:c r="Z302" s="14" t="str">
        <x:v>The Couple Next Door.docx</x:v>
      </x:c>
      <x:c r="AA302" s="14" t="str">
        <x:v>HYPERLINK is not implemented. linkLocation=https://www.imdb.com/title/tt27369122/fullcredits/,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4 / E4</x:v>
      </x:c>
      <x:c r="AI302" s="14" t="str">
        <x:v>Qualifying UK co-commission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qualifying uk co-commission.</x:v>
      </x:c>
      <x:c r="AM30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4</x:v>
      </x:c>
      <x:c r="BS302" s="16" t="n">
        <x:v>0.3333333333333333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4" t="str">
        <x:v>HYPERLINK is not implemented. linkLocation=https://www.imdb.com/title/tt27369122/fullcredits/,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tt27369122|nm7478688|amber</x:v>
      </x:c>
      <x:c r="B303" s="14" t="str">
        <x:v>04</x:v>
      </x:c>
      <x:c r="C303" s="14" t="str">
        <x:v>2023_IMDb_Cast_Lists_Batch_04(2).xlsx</x:v>
      </x:c>
      <x:c r="D303" s="14" t="str">
        <x:v>The Couple Next Door</x:v>
      </x:c>
      <x:c r="E303" s="14" t="n">
        <x:v>33</x:v>
      </x:c>
      <x:c r="F303" s="14" t="str">
        <x:v>The Couple Next Door</x:v>
      </x:c>
      <x:c r="G303" s="14" t="str">
        <x:v>tt27369122</x:v>
      </x:c>
      <x:c r="H303" s="14" t="n">
        <x:v>2023</x:v>
      </x:c>
      <x:c r="I303" s="14" t="n">
        <x:v>2025</x:v>
      </x:c>
      <x:c r="J303" s="14" t="str">
        <x:v>Earlier-Production Carry-In Cohort</x:v>
      </x:c>
      <x:c r="K303" s="14" t="n">
        <x:v>2023</x:v>
      </x:c>
      <x:c r="L303" s="14" t="str">
        <x:v>Not inherited</x:v>
      </x:c>
      <x:c r="M303" s="15" t="n">
        <x:v>26</x:v>
      </x:c>
      <x:c r="N303" s="14" t="str">
        <x:v>Amy Trigg</x:v>
      </x:c>
      <x:c r="O303" s="14" t="str">
        <x:v>nm7478688</x:v>
      </x:c>
      <x:c r="P303" s="14" t="str">
        <x:v>Amber</x:v>
      </x:c>
      <x:c r="Q303" s="15" t="n">
        <x:v>4</x:v>
      </x:c>
      <x:c r="R303" s="14" t="str">
        <x:v>2025</x:v>
      </x:c>
      <x:c r="S303" s="14" t="n">
        <x:v>2025</x:v>
      </x:c>
      <x:c r="T303" s="14" t="n">
        <x:v>2025</x:v>
      </x:c>
      <x:c r="U303" s="14" t="str">
        <x:v>Explicit source first year retained</x:v>
      </x:c>
      <x:c r="V303" s="14" t="str">
        <x:v>Earliest supplied year is 2025.</x:v>
      </x:c>
      <x:c r="W303" s="14"/>
      <x:c r="X303" s="14" t="str">
        <x:v>Included</x:v>
      </x:c>
      <x:c r="Y303" s="14"/>
      <x:c r="Z303" s="14" t="str">
        <x:v>The Couple Next Door.docx</x:v>
      </x:c>
      <x:c r="AA303" s="14" t="str">
        <x:v>HYPERLINK is not implemented. linkLocation=https://www.imdb.com/title/tt27369122/fullcredits/, friendlyName=Open source</x:v>
      </x:c>
      <x:c r="AB303" s="14" t="str">
        <x:v>Existing established-register match</x:v>
      </x:c>
      <x:c r="AC303" s="14" t="str">
        <x:v>Wheelchair user | Physical disability</x:v>
      </x:c>
      <x:c r="AD303" s="14" t="str">
        <x:v>Existing register classification: Wheelchair user | Physical disability</x:v>
      </x:c>
      <x:c r="AE303" s="14" t="str">
        <x:v>Established_Disability_Category_Register V1.2.xlsx</x:v>
      </x:c>
      <x:c r="AF303" s="14"/>
      <x:c r="AG303" s="14" t="str">
        <x:v>Established user-supplied classification retained for deduplication; evidence was not re-researched in this batch.</x:v>
      </x:c>
      <x:c r="AH303" s="14" t="str">
        <x:v>Channel 4 / E4</x:v>
      </x:c>
      <x:c r="AI303" s="14" t="str">
        <x:v>Qualifying UK co-commission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qualifying uk co-commission.</x:v>
      </x:c>
      <x:c r="AM30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Exact IMDb performer ID match</x:v>
      </x:c>
      <x:c r="AT303" s="14" t="str">
        <x:v>nm7478688</x:v>
      </x:c>
      <x:c r="AU303" s="14" t="str">
        <x:v>Wheelchair user | Physical disability</x:v>
      </x:c>
      <x:c r="AV303" s="14" t="str">
        <x:v>Yes</x:v>
      </x:c>
      <x:c r="AW303" s="14" t="str">
        <x:v>Wheelchair user | Physical disability</x:v>
      </x:c>
      <x:c r="AX303" s="14" t="str">
        <x:v>No</x:v>
      </x:c>
      <x:c r="AY303" s="14" t="str">
        <x:v>Matched</x:v>
      </x:c>
      <x:c r="AZ303" s="14" t="str">
        <x:v>Final supplied register</x:v>
      </x:c>
      <x:c r="BA303" s="14"/>
      <x:c r="BB303" s="14" t="str">
        <x:v>Exact IMDb performer ID match</x:v>
      </x:c>
      <x:c r="BC303" s="14" t="str">
        <x:v>nm7478688</x:v>
      </x:c>
      <x:c r="BD303" s="14" t="str">
        <x:v>Amy Trigg</x:v>
      </x:c>
      <x:c r="BE303" s="14" t="str">
        <x:v>Wheelchair user | Physical disability</x:v>
      </x:c>
      <x:c r="BF303" s="14" t="str">
        <x:v>Yes</x:v>
      </x:c>
      <x:c r="BG303" s="14" t="str">
        <x:v>Wheelchair user | Physical disability</x:v>
      </x:c>
      <x:c r="BH303" s="14" t="str">
        <x:v>No</x:v>
      </x:c>
      <x:c r="BI303" s="14" t="str">
        <x:v>User-supplied established classification</x:v>
      </x:c>
      <x:c r="BJ303" s="14" t="str">
        <x:v>03_Wheelchair_user.csv | 04_Physical_disability.csv</x:v>
      </x:c>
      <x:c r="BK303" s="14"/>
      <x:c r="BL303" s="14" t="str">
        <x:v>Matched</x:v>
      </x:c>
      <x:c r="BM303" s="14" t="str">
        <x:v>Final supplied register</x:v>
      </x:c>
      <x:c r="BN303" s="14"/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4</x:v>
      </x:c>
      <x:c r="BS303" s="16" t="n">
        <x:v>0.3333333333333333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4" t="str">
        <x:v>HYPERLINK is not implemented. linkLocation=https://www.imdb.com/title/tt27369122/fullcredits/,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tt27369122|nm5937421|alyssa</x:v>
      </x:c>
      <x:c r="B304" s="14" t="str">
        <x:v>04</x:v>
      </x:c>
      <x:c r="C304" s="14" t="str">
        <x:v>2023_IMDb_Cast_Lists_Batch_04(2).xlsx</x:v>
      </x:c>
      <x:c r="D304" s="14" t="str">
        <x:v>The Couple Next Door</x:v>
      </x:c>
      <x:c r="E304" s="14" t="n">
        <x:v>34</x:v>
      </x:c>
      <x:c r="F304" s="14" t="str">
        <x:v>The Couple Next Door</x:v>
      </x:c>
      <x:c r="G304" s="14" t="str">
        <x:v>tt27369122</x:v>
      </x:c>
      <x:c r="H304" s="14" t="n">
        <x:v>2023</x:v>
      </x:c>
      <x:c r="I304" s="14" t="n">
        <x:v>2025</x:v>
      </x:c>
      <x:c r="J304" s="14" t="str">
        <x:v>Earlier-Production Carry-In Cohort</x:v>
      </x:c>
      <x:c r="K304" s="14" t="n">
        <x:v>2023</x:v>
      </x:c>
      <x:c r="L304" s="14" t="str">
        <x:v>Not inherited</x:v>
      </x:c>
      <x:c r="M304" s="15" t="n">
        <x:v>27</x:v>
      </x:c>
      <x:c r="N304" s="14" t="str">
        <x:v>Kristy Philipps</x:v>
      </x:c>
      <x:c r="O304" s="14" t="str">
        <x:v>nm5937421</x:v>
      </x:c>
      <x:c r="P304" s="14" t="str">
        <x:v>Alyssa</x:v>
      </x:c>
      <x:c r="Q304" s="15" t="n">
        <x:v>4</x:v>
      </x:c>
      <x:c r="R304" s="14" t="str">
        <x:v>2025</x:v>
      </x:c>
      <x:c r="S304" s="14" t="n">
        <x:v>2025</x:v>
      </x:c>
      <x:c r="T304" s="14" t="n">
        <x:v>2025</x:v>
      </x:c>
      <x:c r="U304" s="14" t="str">
        <x:v>Explicit source first year retained</x:v>
      </x:c>
      <x:c r="V304" s="14" t="str">
        <x:v>Earliest supplied year is 2025.</x:v>
      </x:c>
      <x:c r="W304" s="14"/>
      <x:c r="X304" s="14" t="str">
        <x:v>Included</x:v>
      </x:c>
      <x:c r="Y304" s="14"/>
      <x:c r="Z304" s="14" t="str">
        <x:v>The Couple Next Door.docx</x:v>
      </x:c>
      <x:c r="AA304" s="14" t="str">
        <x:v>HYPERLINK is not implemented. linkLocation=https://www.imdb.com/title/tt27369122/fullcredits/,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4 / E4</x:v>
      </x:c>
      <x:c r="AI304" s="14" t="str">
        <x:v>Qualifying UK co-commission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qualifying uk co-commission.</x:v>
      </x:c>
      <x:c r="AM30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4</x:v>
      </x:c>
      <x:c r="BS304" s="16" t="n">
        <x:v>0.3333333333333333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4" t="str">
        <x:v>HYPERLINK is not implemented. linkLocation=https://www.imdb.com/title/tt27369122/fullcredits/,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tt27369122|nm0712575|henry</x:v>
      </x:c>
      <x:c r="B305" s="14" t="str">
        <x:v>04</x:v>
      </x:c>
      <x:c r="C305" s="14" t="str">
        <x:v>2023_IMDb_Cast_Lists_Batch_04(2).xlsx</x:v>
      </x:c>
      <x:c r="D305" s="14" t="str">
        <x:v>The Couple Next Door</x:v>
      </x:c>
      <x:c r="E305" s="14" t="n">
        <x:v>35</x:v>
      </x:c>
      <x:c r="F305" s="14" t="str">
        <x:v>The Couple Next Door</x:v>
      </x:c>
      <x:c r="G305" s="14" t="str">
        <x:v>tt27369122</x:v>
      </x:c>
      <x:c r="H305" s="14" t="n">
        <x:v>2023</x:v>
      </x:c>
      <x:c r="I305" s="14" t="n">
        <x:v>2025</x:v>
      </x:c>
      <x:c r="J305" s="14" t="str">
        <x:v>Earlier-Production Carry-In Cohort</x:v>
      </x:c>
      <x:c r="K305" s="14" t="n">
        <x:v>2023</x:v>
      </x:c>
      <x:c r="L305" s="14" t="str">
        <x:v>Not inherited</x:v>
      </x:c>
      <x:c r="M305" s="15" t="n">
        <x:v>28</x:v>
      </x:c>
      <x:c r="N305" s="14" t="str">
        <x:v>Jeff Rawle</x:v>
      </x:c>
      <x:c r="O305" s="14" t="str">
        <x:v>nm0712575</x:v>
      </x:c>
      <x:c r="P305" s="14" t="str">
        <x:v>Henry</x:v>
      </x:c>
      <x:c r="Q305" s="15" t="n">
        <x:v>4</x:v>
      </x:c>
      <x:c r="R305" s="14" t="str">
        <x:v>2025</x:v>
      </x:c>
      <x:c r="S305" s="14" t="n">
        <x:v>2025</x:v>
      </x:c>
      <x:c r="T305" s="14" t="n">
        <x:v>2025</x:v>
      </x:c>
      <x:c r="U305" s="14" t="str">
        <x:v>Explicit source first year retained</x:v>
      </x:c>
      <x:c r="V305" s="14" t="str">
        <x:v>Earliest supplied year is 2025.</x:v>
      </x:c>
      <x:c r="W305" s="14"/>
      <x:c r="X305" s="14" t="str">
        <x:v>Included</x:v>
      </x:c>
      <x:c r="Y305" s="14"/>
      <x:c r="Z305" s="14" t="str">
        <x:v>The Couple Next Door.docx</x:v>
      </x:c>
      <x:c r="AA305" s="14" t="str">
        <x:v>HYPERLINK is not implemented. linkLocation=https://www.imdb.com/title/tt27369122/fullcredits/,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4 / E4</x:v>
      </x:c>
      <x:c r="AI305" s="14" t="str">
        <x:v>Qualifying UK co-commission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qualifying uk co-commission.</x:v>
      </x:c>
      <x:c r="AM30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4</x:v>
      </x:c>
      <x:c r="BS305" s="16" t="n">
        <x:v>0.3333333333333333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4" t="str">
        <x:v>HYPERLINK is not implemented. linkLocation=https://www.imdb.com/title/tt27369122/fullcredits/,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tt27369122|nm6704097|kali</x:v>
      </x:c>
      <x:c r="B306" s="14" t="str">
        <x:v>04</x:v>
      </x:c>
      <x:c r="C306" s="14" t="str">
        <x:v>2023_IMDb_Cast_Lists_Batch_04(2).xlsx</x:v>
      </x:c>
      <x:c r="D306" s="14" t="str">
        <x:v>The Couple Next Door</x:v>
      </x:c>
      <x:c r="E306" s="14" t="n">
        <x:v>37</x:v>
      </x:c>
      <x:c r="F306" s="14" t="str">
        <x:v>The Couple Next Door</x:v>
      </x:c>
      <x:c r="G306" s="14" t="str">
        <x:v>tt27369122</x:v>
      </x:c>
      <x:c r="H306" s="14" t="n">
        <x:v>2023</x:v>
      </x:c>
      <x:c r="I306" s="14" t="n">
        <x:v>2025</x:v>
      </x:c>
      <x:c r="J306" s="14" t="str">
        <x:v>Earlier-Production Carry-In Cohort</x:v>
      </x:c>
      <x:c r="K306" s="14" t="n">
        <x:v>2023</x:v>
      </x:c>
      <x:c r="L306" s="14" t="str">
        <x:v>Not inherited</x:v>
      </x:c>
      <x:c r="M306" s="15" t="n">
        <x:v>30</x:v>
      </x:c>
      <x:c r="N306" s="14" t="str">
        <x:v>Saskia Rose</x:v>
      </x:c>
      <x:c r="O306" s="14" t="str">
        <x:v>nm6704097</x:v>
      </x:c>
      <x:c r="P306" s="14" t="str">
        <x:v>Kali</x:v>
      </x:c>
      <x:c r="Q306" s="15" t="n">
        <x:v>3</x:v>
      </x:c>
      <x:c r="R306" s="14" t="str">
        <x:v>2025</x:v>
      </x:c>
      <x:c r="S306" s="14" t="n">
        <x:v>2025</x:v>
      </x:c>
      <x:c r="T306" s="14" t="n">
        <x:v>2025</x:v>
      </x:c>
      <x:c r="U306" s="14" t="str">
        <x:v>Explicit source first year retained</x:v>
      </x:c>
      <x:c r="V306" s="14" t="str">
        <x:v>Earliest supplied year is 2025.</x:v>
      </x:c>
      <x:c r="W306" s="14"/>
      <x:c r="X306" s="14" t="str">
        <x:v>Included</x:v>
      </x:c>
      <x:c r="Y306" s="14"/>
      <x:c r="Z306" s="14" t="str">
        <x:v>The Couple Next Door.docx</x:v>
      </x:c>
      <x:c r="AA306" s="14" t="str">
        <x:v>HYPERLINK is not implemented. linkLocation=https://www.imdb.com/title/tt27369122/fullcredits/,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4 / E4</x:v>
      </x:c>
      <x:c r="AI306" s="14" t="str">
        <x:v>Qualifying UK co-commission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qualifying uk co-commission.</x:v>
      </x:c>
      <x:c r="AM30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3</x:v>
      </x:c>
      <x:c r="BS306" s="16" t="n">
        <x:v>0.25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4" t="str">
        <x:v>HYPERLINK is not implemented. linkLocation=https://www.imdb.com/title/tt27369122/fullcredits/,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tt27369122|nm14908775|care home manager</x:v>
      </x:c>
      <x:c r="B307" s="14" t="str">
        <x:v>04</x:v>
      </x:c>
      <x:c r="C307" s="14" t="str">
        <x:v>2023_IMDb_Cast_Lists_Batch_04(2).xlsx</x:v>
      </x:c>
      <x:c r="D307" s="14" t="str">
        <x:v>The Couple Next Door</x:v>
      </x:c>
      <x:c r="E307" s="14" t="n">
        <x:v>51</x:v>
      </x:c>
      <x:c r="F307" s="14" t="str">
        <x:v>The Couple Next Door</x:v>
      </x:c>
      <x:c r="G307" s="14" t="str">
        <x:v>tt27369122</x:v>
      </x:c>
      <x:c r="H307" s="14" t="n">
        <x:v>2023</x:v>
      </x:c>
      <x:c r="I307" s="14" t="n">
        <x:v>2025</x:v>
      </x:c>
      <x:c r="J307" s="14" t="str">
        <x:v>Earlier-Production Carry-In Cohort</x:v>
      </x:c>
      <x:c r="K307" s="14" t="n">
        <x:v>2023</x:v>
      </x:c>
      <x:c r="L307" s="14" t="str">
        <x:v>Not inherited</x:v>
      </x:c>
      <x:c r="M307" s="15" t="n">
        <x:v>44</x:v>
      </x:c>
      <x:c r="N307" s="14" t="str">
        <x:v>Bonnie Milnes</x:v>
      </x:c>
      <x:c r="O307" s="14" t="str">
        <x:v>nm14908775</x:v>
      </x:c>
      <x:c r="P307" s="14" t="str">
        <x:v>Care Home Manager</x:v>
      </x:c>
      <x:c r="Q307" s="15" t="n">
        <x:v>2</x:v>
      </x:c>
      <x:c r="R307" s="14" t="str">
        <x:v>2025</x:v>
      </x:c>
      <x:c r="S307" s="14" t="n">
        <x:v>2025</x:v>
      </x:c>
      <x:c r="T307" s="14" t="n">
        <x:v>2025</x:v>
      </x:c>
      <x:c r="U307" s="14" t="str">
        <x:v>Explicit source first year retained</x:v>
      </x:c>
      <x:c r="V307" s="14" t="str">
        <x:v>Earliest supplied year is 2025.</x:v>
      </x:c>
      <x:c r="W307" s="14"/>
      <x:c r="X307" s="14" t="str">
        <x:v>Included</x:v>
      </x:c>
      <x:c r="Y307" s="14"/>
      <x:c r="Z307" s="14" t="str">
        <x:v>The Couple Next Door.docx</x:v>
      </x:c>
      <x:c r="AA307" s="14" t="str">
        <x:v>HYPERLINK is not implemented. linkLocation=https://www.imdb.com/title/tt27369122/fullcredits/,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4 / E4</x:v>
      </x:c>
      <x:c r="AI307" s="14" t="str">
        <x:v>Qualifying UK co-commission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qualifying uk co-commission.</x:v>
      </x:c>
      <x:c r="AM30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2</x:v>
      </x:c>
      <x:c r="BS307" s="16" t="n">
        <x:v>0.16666666666666666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4" t="str">
        <x:v>HYPERLINK is not implemented. linkLocation=https://www.imdb.com/title/tt27369122/fullcredits/,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tt27369122|nm1800937|anka</x:v>
      </x:c>
      <x:c r="B308" s="14" t="str">
        <x:v>04</x:v>
      </x:c>
      <x:c r="C308" s="14" t="str">
        <x:v>2023_IMDb_Cast_Lists_Batch_04(2).xlsx</x:v>
      </x:c>
      <x:c r="D308" s="14" t="str">
        <x:v>The Couple Next Door</x:v>
      </x:c>
      <x:c r="E308" s="14" t="n">
        <x:v>57</x:v>
      </x:c>
      <x:c r="F308" s="14" t="str">
        <x:v>The Couple Next Door</x:v>
      </x:c>
      <x:c r="G308" s="14" t="str">
        <x:v>tt27369122</x:v>
      </x:c>
      <x:c r="H308" s="14" t="n">
        <x:v>2023</x:v>
      </x:c>
      <x:c r="I308" s="14" t="n">
        <x:v>2025</x:v>
      </x:c>
      <x:c r="J308" s="14" t="str">
        <x:v>Earlier-Production Carry-In Cohort</x:v>
      </x:c>
      <x:c r="K308" s="14" t="n">
        <x:v>2023</x:v>
      </x:c>
      <x:c r="L308" s="14" t="str">
        <x:v>Not inherited</x:v>
      </x:c>
      <x:c r="M308" s="15" t="n">
        <x:v>50</x:v>
      </x:c>
      <x:c r="N308" s="14" t="str">
        <x:v>Dagmar Operskalski</x:v>
      </x:c>
      <x:c r="O308" s="14" t="str">
        <x:v>nm1800937</x:v>
      </x:c>
      <x:c r="P308" s="14" t="str">
        <x:v>Anka</x:v>
      </x:c>
      <x:c r="Q308" s="15" t="n">
        <x:v>1</x:v>
      </x:c>
      <x:c r="R308" s="14" t="str">
        <x:v>2025</x:v>
      </x:c>
      <x:c r="S308" s="14" t="n">
        <x:v>2025</x:v>
      </x:c>
      <x:c r="T308" s="14" t="n">
        <x:v>2025</x:v>
      </x:c>
      <x:c r="U308" s="14" t="str">
        <x:v>Explicit source first year retained</x:v>
      </x:c>
      <x:c r="V308" s="14" t="str">
        <x:v>Earliest supplied year is 2025.</x:v>
      </x:c>
      <x:c r="W308" s="14"/>
      <x:c r="X308" s="14" t="str">
        <x:v>Included</x:v>
      </x:c>
      <x:c r="Y308" s="14"/>
      <x:c r="Z308" s="14" t="str">
        <x:v>The Couple Next Door.docx</x:v>
      </x:c>
      <x:c r="AA308" s="14" t="str">
        <x:v>HYPERLINK is not implemented. linkLocation=https://www.imdb.com/title/tt27369122/fullcredits/,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4 / E4</x:v>
      </x:c>
      <x:c r="AI308" s="14" t="str">
        <x:v>Qualifying UK co-commission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qualifying uk co-commission.</x:v>
      </x:c>
      <x:c r="AM30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1</x:v>
      </x:c>
      <x:c r="BS308" s="16" t="n">
        <x:v>0.08333333333333333</x:v>
      </x:c>
      <x:c r="BT308" s="14" t="str">
        <x:v>One episode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4" t="str">
        <x:v>HYPERLINK is not implemented. linkLocation=https://www.imdb.com/title/tt27369122/fullcredits/,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tt27369122|nm17449475|case worker</x:v>
      </x:c>
      <x:c r="B309" s="14" t="str">
        <x:v>04</x:v>
      </x:c>
      <x:c r="C309" s="14" t="str">
        <x:v>2023_IMDb_Cast_Lists_Batch_04(2).xlsx</x:v>
      </x:c>
      <x:c r="D309" s="14" t="str">
        <x:v>The Couple Next Door</x:v>
      </x:c>
      <x:c r="E309" s="14" t="n">
        <x:v>58</x:v>
      </x:c>
      <x:c r="F309" s="14" t="str">
        <x:v>The Couple Next Door</x:v>
      </x:c>
      <x:c r="G309" s="14" t="str">
        <x:v>tt27369122</x:v>
      </x:c>
      <x:c r="H309" s="14" t="n">
        <x:v>2023</x:v>
      </x:c>
      <x:c r="I309" s="14" t="n">
        <x:v>2025</x:v>
      </x:c>
      <x:c r="J309" s="14" t="str">
        <x:v>Earlier-Production Carry-In Cohort</x:v>
      </x:c>
      <x:c r="K309" s="14" t="n">
        <x:v>2023</x:v>
      </x:c>
      <x:c r="L309" s="14" t="str">
        <x:v>Not inherited</x:v>
      </x:c>
      <x:c r="M309" s="15" t="n">
        <x:v>51</x:v>
      </x:c>
      <x:c r="N309" s="14" t="str">
        <x:v>Esthel Davidsen</x:v>
      </x:c>
      <x:c r="O309" s="14" t="str">
        <x:v>nm17449475</x:v>
      </x:c>
      <x:c r="P309" s="14" t="str">
        <x:v>Case Worker</x:v>
      </x:c>
      <x:c r="Q309" s="15" t="n">
        <x:v>1</x:v>
      </x:c>
      <x:c r="R309" s="14" t="str">
        <x:v>2025</x:v>
      </x:c>
      <x:c r="S309" s="14" t="n">
        <x:v>2025</x:v>
      </x:c>
      <x:c r="T309" s="14" t="n">
        <x:v>2025</x:v>
      </x:c>
      <x:c r="U309" s="14" t="str">
        <x:v>Explicit source first year retained</x:v>
      </x:c>
      <x:c r="V309" s="14" t="str">
        <x:v>Earliest supplied year is 2025.</x:v>
      </x:c>
      <x:c r="W309" s="14"/>
      <x:c r="X309" s="14" t="str">
        <x:v>Included</x:v>
      </x:c>
      <x:c r="Y309" s="14"/>
      <x:c r="Z309" s="14" t="str">
        <x:v>The Couple Next Door.docx</x:v>
      </x:c>
      <x:c r="AA309" s="14" t="str">
        <x:v>HYPERLINK is not implemented. linkLocation=https://www.imdb.com/title/tt27369122/fullcredits/,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4 / E4</x:v>
      </x:c>
      <x:c r="AI309" s="14" t="str">
        <x:v>Qualifying UK co-commission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qualifying uk co-commission.</x:v>
      </x:c>
      <x:c r="AM309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1</x:v>
      </x:c>
      <x:c r="BS309" s="16" t="n">
        <x:v>0.08333333333333333</x:v>
      </x:c>
      <x:c r="BT309" s="14" t="str">
        <x:v>One episode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4" t="str">
        <x:v>HYPERLINK is not implemented. linkLocation=https://www.imdb.com/title/tt27369122/fullcredits/,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tt27369122|nm3412606|receptionist</x:v>
      </x:c>
      <x:c r="B310" s="14" t="str">
        <x:v>04</x:v>
      </x:c>
      <x:c r="C310" s="14" t="str">
        <x:v>2023_IMDb_Cast_Lists_Batch_04(2).xlsx</x:v>
      </x:c>
      <x:c r="D310" s="14" t="str">
        <x:v>The Couple Next Door</x:v>
      </x:c>
      <x:c r="E310" s="14" t="n">
        <x:v>59</x:v>
      </x:c>
      <x:c r="F310" s="14" t="str">
        <x:v>The Couple Next Door</x:v>
      </x:c>
      <x:c r="G310" s="14" t="str">
        <x:v>tt27369122</x:v>
      </x:c>
      <x:c r="H310" s="14" t="n">
        <x:v>2023</x:v>
      </x:c>
      <x:c r="I310" s="14" t="n">
        <x:v>2025</x:v>
      </x:c>
      <x:c r="J310" s="14" t="str">
        <x:v>Earlier-Production Carry-In Cohort</x:v>
      </x:c>
      <x:c r="K310" s="14" t="n">
        <x:v>2023</x:v>
      </x:c>
      <x:c r="L310" s="14" t="str">
        <x:v>Not inherited</x:v>
      </x:c>
      <x:c r="M310" s="15" t="n">
        <x:v>52</x:v>
      </x:c>
      <x:c r="N310" s="14" t="str">
        <x:v>Marit Stocker</x:v>
      </x:c>
      <x:c r="O310" s="14" t="str">
        <x:v>nm3412606</x:v>
      </x:c>
      <x:c r="P310" s="14" t="str">
        <x:v>Receptionist</x:v>
      </x:c>
      <x:c r="Q310" s="15" t="n">
        <x:v>1</x:v>
      </x:c>
      <x:c r="R310" s="14" t="str">
        <x:v>2025</x:v>
      </x:c>
      <x:c r="S310" s="14" t="n">
        <x:v>2025</x:v>
      </x:c>
      <x:c r="T310" s="14" t="n">
        <x:v>2025</x:v>
      </x:c>
      <x:c r="U310" s="14" t="str">
        <x:v>Explicit source first year retained</x:v>
      </x:c>
      <x:c r="V310" s="14" t="str">
        <x:v>Earliest supplied year is 2025.</x:v>
      </x:c>
      <x:c r="W310" s="14"/>
      <x:c r="X310" s="14" t="str">
        <x:v>Included</x:v>
      </x:c>
      <x:c r="Y310" s="14"/>
      <x:c r="Z310" s="14" t="str">
        <x:v>The Couple Next Door.docx</x:v>
      </x:c>
      <x:c r="AA310" s="14" t="str">
        <x:v>HYPERLINK is not implemented. linkLocation=https://www.imdb.com/title/tt27369122/fullcredits/,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4 / E4</x:v>
      </x:c>
      <x:c r="AI310" s="14" t="str">
        <x:v>Qualifying UK co-commission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qualifying uk co-commission.</x:v>
      </x:c>
      <x:c r="AM310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1</x:v>
      </x:c>
      <x:c r="BS310" s="16" t="n">
        <x:v>0.08333333333333333</x:v>
      </x:c>
      <x:c r="BT310" s="14" t="str">
        <x:v>One episode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4" t="str">
        <x:v>HYPERLINK is not implemented. linkLocation=https://www.imdb.com/title/tt27369122/fullcredits/,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tt27369122|nm0708436|alfie</x:v>
      </x:c>
      <x:c r="B311" s="14" t="str">
        <x:v>04</x:v>
      </x:c>
      <x:c r="C311" s="14" t="str">
        <x:v>2023_IMDb_Cast_Lists_Batch_04(2).xlsx</x:v>
      </x:c>
      <x:c r="D311" s="14" t="str">
        <x:v>The Couple Next Door</x:v>
      </x:c>
      <x:c r="E311" s="14" t="n">
        <x:v>61</x:v>
      </x:c>
      <x:c r="F311" s="14" t="str">
        <x:v>The Couple Next Door</x:v>
      </x:c>
      <x:c r="G311" s="14" t="str">
        <x:v>tt27369122</x:v>
      </x:c>
      <x:c r="H311" s="14" t="n">
        <x:v>2023</x:v>
      </x:c>
      <x:c r="I311" s="14" t="n">
        <x:v>2025</x:v>
      </x:c>
      <x:c r="J311" s="14" t="str">
        <x:v>Earlier-Production Carry-In Cohort</x:v>
      </x:c>
      <x:c r="K311" s="14" t="n">
        <x:v>2023</x:v>
      </x:c>
      <x:c r="L311" s="14" t="str">
        <x:v>Not inherited</x:v>
      </x:c>
      <x:c r="M311" s="15" t="n">
        <x:v>54</x:v>
      </x:c>
      <x:c r="N311" s="14" t="str">
        <x:v>John Ramm</x:v>
      </x:c>
      <x:c r="O311" s="14" t="str">
        <x:v>nm0708436</x:v>
      </x:c>
      <x:c r="P311" s="14" t="str">
        <x:v>Alfie</x:v>
      </x:c>
      <x:c r="Q311" s="15" t="n">
        <x:v>1</x:v>
      </x:c>
      <x:c r="R311" s="14" t="str">
        <x:v>2025</x:v>
      </x:c>
      <x:c r="S311" s="14" t="n">
        <x:v>2025</x:v>
      </x:c>
      <x:c r="T311" s="14" t="n">
        <x:v>2025</x:v>
      </x:c>
      <x:c r="U311" s="14" t="str">
        <x:v>Explicit source first year retained</x:v>
      </x:c>
      <x:c r="V311" s="14" t="str">
        <x:v>Earliest supplied year is 2025.</x:v>
      </x:c>
      <x:c r="W311" s="14"/>
      <x:c r="X311" s="14" t="str">
        <x:v>Included</x:v>
      </x:c>
      <x:c r="Y311" s="14"/>
      <x:c r="Z311" s="14" t="str">
        <x:v>The Couple Next Door.docx</x:v>
      </x:c>
      <x:c r="AA311" s="14" t="str">
        <x:v>HYPERLINK is not implemented. linkLocation=https://www.imdb.com/title/tt27369122/fullcredits/,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4 / E4</x:v>
      </x:c>
      <x:c r="AI311" s="14" t="str">
        <x:v>Qualifying UK co-commission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qualifying uk co-commission.</x:v>
      </x:c>
      <x:c r="AM311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1</x:v>
      </x:c>
      <x:c r="BS311" s="16" t="n">
        <x:v>0.08333333333333333</x:v>
      </x:c>
      <x:c r="BT311" s="14" t="str">
        <x:v>One episode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4" t="str">
        <x:v>HYPERLINK is not implemented. linkLocation=https://www.imdb.com/title/tt27369122/fullcredits/,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tt27369122|nm2456166|tour guide</x:v>
      </x:c>
      <x:c r="B312" s="14" t="str">
        <x:v>04</x:v>
      </x:c>
      <x:c r="C312" s="14" t="str">
        <x:v>2023_IMDb_Cast_Lists_Batch_04(2).xlsx</x:v>
      </x:c>
      <x:c r="D312" s="14" t="str">
        <x:v>The Couple Next Door</x:v>
      </x:c>
      <x:c r="E312" s="14" t="n">
        <x:v>62</x:v>
      </x:c>
      <x:c r="F312" s="14" t="str">
        <x:v>The Couple Next Door</x:v>
      </x:c>
      <x:c r="G312" s="14" t="str">
        <x:v>tt27369122</x:v>
      </x:c>
      <x:c r="H312" s="14" t="n">
        <x:v>2023</x:v>
      </x:c>
      <x:c r="I312" s="14" t="n">
        <x:v>2025</x:v>
      </x:c>
      <x:c r="J312" s="14" t="str">
        <x:v>Earlier-Production Carry-In Cohort</x:v>
      </x:c>
      <x:c r="K312" s="14" t="n">
        <x:v>2023</x:v>
      </x:c>
      <x:c r="L312" s="14" t="str">
        <x:v>Not inherited</x:v>
      </x:c>
      <x:c r="M312" s="15" t="n">
        <x:v>55</x:v>
      </x:c>
      <x:c r="N312" s="14" t="str">
        <x:v>Tanguy Ottomer</x:v>
      </x:c>
      <x:c r="O312" s="14" t="str">
        <x:v>nm2456166</x:v>
      </x:c>
      <x:c r="P312" s="14" t="str">
        <x:v>Tour Guide</x:v>
      </x:c>
      <x:c r="Q312" s="15" t="n">
        <x:v>1</x:v>
      </x:c>
      <x:c r="R312" s="14" t="str">
        <x:v>2025</x:v>
      </x:c>
      <x:c r="S312" s="14" t="n">
        <x:v>2025</x:v>
      </x:c>
      <x:c r="T312" s="14" t="n">
        <x:v>2025</x:v>
      </x:c>
      <x:c r="U312" s="14" t="str">
        <x:v>Explicit source first year retained</x:v>
      </x:c>
      <x:c r="V312" s="14" t="str">
        <x:v>Earliest supplied year is 2025.</x:v>
      </x:c>
      <x:c r="W312" s="14"/>
      <x:c r="X312" s="14" t="str">
        <x:v>Included</x:v>
      </x:c>
      <x:c r="Y312" s="14"/>
      <x:c r="Z312" s="14" t="str">
        <x:v>The Couple Next Door.docx</x:v>
      </x:c>
      <x:c r="AA312" s="14" t="str">
        <x:v>HYPERLINK is not implemented. linkLocation=https://www.imdb.com/title/tt27369122/fullcredits/,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4 / E4</x:v>
      </x:c>
      <x:c r="AI312" s="14" t="str">
        <x:v>Qualifying UK co-commission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qualifying uk co-commission.</x:v>
      </x:c>
      <x:c r="AM312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1</x:v>
      </x:c>
      <x:c r="BS312" s="16" t="n">
        <x:v>0.08333333333333333</x:v>
      </x:c>
      <x:c r="BT312" s="14" t="str">
        <x:v>One episode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4" t="str">
        <x:v>HYPERLINK is not implemented. linkLocation=https://www.imdb.com/title/tt27369122/fullcredits/,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tt27369122|nm17025886|waiter</x:v>
      </x:c>
      <x:c r="B313" s="14" t="str">
        <x:v>04</x:v>
      </x:c>
      <x:c r="C313" s="14" t="str">
        <x:v>2023_IMDb_Cast_Lists_Batch_04(2).xlsx</x:v>
      </x:c>
      <x:c r="D313" s="14" t="str">
        <x:v>The Couple Next Door</x:v>
      </x:c>
      <x:c r="E313" s="14" t="n">
        <x:v>67</x:v>
      </x:c>
      <x:c r="F313" s="14" t="str">
        <x:v>The Couple Next Door</x:v>
      </x:c>
      <x:c r="G313" s="14" t="str">
        <x:v>tt27369122</x:v>
      </x:c>
      <x:c r="H313" s="14" t="n">
        <x:v>2023</x:v>
      </x:c>
      <x:c r="I313" s="14" t="n">
        <x:v>2025</x:v>
      </x:c>
      <x:c r="J313" s="14" t="str">
        <x:v>Earlier-Production Carry-In Cohort</x:v>
      </x:c>
      <x:c r="K313" s="14" t="n">
        <x:v>2023</x:v>
      </x:c>
      <x:c r="L313" s="14" t="str">
        <x:v>Not inherited</x:v>
      </x:c>
      <x:c r="M313" s="15" t="n">
        <x:v>60</x:v>
      </x:c>
      <x:c r="N313" s="14" t="str">
        <x:v>Andreas Claushuis</x:v>
      </x:c>
      <x:c r="O313" s="14" t="str">
        <x:v>nm17025886</x:v>
      </x:c>
      <x:c r="P313" s="14" t="str">
        <x:v>Waiter</x:v>
      </x:c>
      <x:c r="Q313" s="15" t="n">
        <x:v>1</x:v>
      </x:c>
      <x:c r="R313" s="14" t="str">
        <x:v>2025</x:v>
      </x:c>
      <x:c r="S313" s="14" t="n">
        <x:v>2025</x:v>
      </x:c>
      <x:c r="T313" s="14" t="n">
        <x:v>2025</x:v>
      </x:c>
      <x:c r="U313" s="14" t="str">
        <x:v>Explicit source first year retained</x:v>
      </x:c>
      <x:c r="V313" s="14" t="str">
        <x:v>Earliest supplied year is 2025.</x:v>
      </x:c>
      <x:c r="W313" s="14"/>
      <x:c r="X313" s="14" t="str">
        <x:v>Included</x:v>
      </x:c>
      <x:c r="Y313" s="14"/>
      <x:c r="Z313" s="14" t="str">
        <x:v>The Couple Next Door.docx</x:v>
      </x:c>
      <x:c r="AA313" s="14" t="str">
        <x:v>HYPERLINK is not implemented. linkLocation=https://www.imdb.com/title/tt27369122/fullcredits/,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4 / E4</x:v>
      </x:c>
      <x:c r="AI313" s="14" t="str">
        <x:v>Qualifying UK co-commission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qualifying uk co-commission.</x:v>
      </x:c>
      <x:c r="AM313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1</x:v>
      </x:c>
      <x:c r="BS313" s="16" t="n">
        <x:v>0.08333333333333333</x:v>
      </x:c>
      <x:c r="BT313" s="14" t="str">
        <x:v>One episode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4" t="str">
        <x:v>HYPERLINK is not implemented. linkLocation=https://www.imdb.com/title/tt27369122/fullcredits/,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tt27369122|nm1469299|business woman</x:v>
      </x:c>
      <x:c r="B314" s="14" t="str">
        <x:v>04</x:v>
      </x:c>
      <x:c r="C314" s="14" t="str">
        <x:v>2023_IMDb_Cast_Lists_Batch_04(2).xlsx</x:v>
      </x:c>
      <x:c r="D314" s="14" t="str">
        <x:v>The Couple Next Door</x:v>
      </x:c>
      <x:c r="E314" s="14" t="n">
        <x:v>68</x:v>
      </x:c>
      <x:c r="F314" s="14" t="str">
        <x:v>The Couple Next Door</x:v>
      </x:c>
      <x:c r="G314" s="14" t="str">
        <x:v>tt27369122</x:v>
      </x:c>
      <x:c r="H314" s="14" t="n">
        <x:v>2023</x:v>
      </x:c>
      <x:c r="I314" s="14" t="n">
        <x:v>2025</x:v>
      </x:c>
      <x:c r="J314" s="14" t="str">
        <x:v>Earlier-Production Carry-In Cohort</x:v>
      </x:c>
      <x:c r="K314" s="14" t="n">
        <x:v>2023</x:v>
      </x:c>
      <x:c r="L314" s="14" t="str">
        <x:v>Not inherited</x:v>
      </x:c>
      <x:c r="M314" s="15" t="n">
        <x:v>61</x:v>
      </x:c>
      <x:c r="N314" s="14" t="str">
        <x:v>Dianne Weller</x:v>
      </x:c>
      <x:c r="O314" s="14" t="str">
        <x:v>nm1469299</x:v>
      </x:c>
      <x:c r="P314" s="14" t="str">
        <x:v>Business Woman</x:v>
      </x:c>
      <x:c r="Q314" s="15" t="n">
        <x:v>1</x:v>
      </x:c>
      <x:c r="R314" s="14" t="str">
        <x:v>2025</x:v>
      </x:c>
      <x:c r="S314" s="14" t="n">
        <x:v>2025</x:v>
      </x:c>
      <x:c r="T314" s="14" t="n">
        <x:v>2025</x:v>
      </x:c>
      <x:c r="U314" s="14" t="str">
        <x:v>Explicit source first year retained</x:v>
      </x:c>
      <x:c r="V314" s="14" t="str">
        <x:v>Earliest supplied year is 2025.</x:v>
      </x:c>
      <x:c r="W314" s="14"/>
      <x:c r="X314" s="14" t="str">
        <x:v>Included</x:v>
      </x:c>
      <x:c r="Y314" s="14"/>
      <x:c r="Z314" s="14" t="str">
        <x:v>The Couple Next Door.docx</x:v>
      </x:c>
      <x:c r="AA314" s="14" t="str">
        <x:v>HYPERLINK is not implemented. linkLocation=https://www.imdb.com/title/tt27369122/fullcredits/,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4 / E4</x:v>
      </x:c>
      <x:c r="AI314" s="14" t="str">
        <x:v>Qualifying UK co-commission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qualifying uk co-commission.</x:v>
      </x:c>
      <x:c r="AM314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1</x:v>
      </x:c>
      <x:c r="BS314" s="16" t="n">
        <x:v>0.08333333333333333</x:v>
      </x:c>
      <x:c r="BT314" s="14" t="str">
        <x:v>One episode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4" t="str">
        <x:v>HYPERLINK is not implemented. linkLocation=https://www.imdb.com/title/tt27369122/fullcredits/,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tt27369122|nm15274674|norman</x:v>
      </x:c>
      <x:c r="B315" s="14" t="str">
        <x:v>04</x:v>
      </x:c>
      <x:c r="C315" s="14" t="str">
        <x:v>2023_IMDb_Cast_Lists_Batch_04(2).xlsx</x:v>
      </x:c>
      <x:c r="D315" s="14" t="str">
        <x:v>The Couple Next Door</x:v>
      </x:c>
      <x:c r="E315" s="14" t="n">
        <x:v>73</x:v>
      </x:c>
      <x:c r="F315" s="14" t="str">
        <x:v>The Couple Next Door</x:v>
      </x:c>
      <x:c r="G315" s="14" t="str">
        <x:v>tt27369122</x:v>
      </x:c>
      <x:c r="H315" s="14" t="n">
        <x:v>2023</x:v>
      </x:c>
      <x:c r="I315" s="14" t="n">
        <x:v>2025</x:v>
      </x:c>
      <x:c r="J315" s="14" t="str">
        <x:v>Earlier-Production Carry-In Cohort</x:v>
      </x:c>
      <x:c r="K315" s="14" t="n">
        <x:v>2023</x:v>
      </x:c>
      <x:c r="L315" s="14" t="str">
        <x:v>Not inherited</x:v>
      </x:c>
      <x:c r="M315" s="15" t="n">
        <x:v>66</x:v>
      </x:c>
      <x:c r="N315" s="14" t="str">
        <x:v>Chris Brooker</x:v>
      </x:c>
      <x:c r="O315" s="14" t="str">
        <x:v>nm15274674</x:v>
      </x:c>
      <x:c r="P315" s="14" t="str">
        <x:v>Norman</x:v>
      </x:c>
      <x:c r="Q315" s="15" t="n">
        <x:v>1</x:v>
      </x:c>
      <x:c r="R315" s="14" t="str">
        <x:v>2025</x:v>
      </x:c>
      <x:c r="S315" s="14" t="n">
        <x:v>2025</x:v>
      </x:c>
      <x:c r="T315" s="14" t="n">
        <x:v>2025</x:v>
      </x:c>
      <x:c r="U315" s="14" t="str">
        <x:v>Explicit source first year retained</x:v>
      </x:c>
      <x:c r="V315" s="14" t="str">
        <x:v>Earliest supplied year is 2025.</x:v>
      </x:c>
      <x:c r="W315" s="14"/>
      <x:c r="X315" s="14" t="str">
        <x:v>Included</x:v>
      </x:c>
      <x:c r="Y315" s="14"/>
      <x:c r="Z315" s="14" t="str">
        <x:v>The Couple Next Door.docx</x:v>
      </x:c>
      <x:c r="AA315" s="14" t="str">
        <x:v>HYPERLINK is not implemented. linkLocation=https://www.imdb.com/title/tt27369122/fullcredits/,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4 / E4</x:v>
      </x:c>
      <x:c r="AI315" s="14" t="str">
        <x:v>Qualifying UK co-commission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qualifying uk co-commission.</x:v>
      </x:c>
      <x:c r="AM315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1</x:v>
      </x:c>
      <x:c r="BS315" s="16" t="n">
        <x:v>0.08333333333333333</x:v>
      </x:c>
      <x:c r="BT315" s="14" t="str">
        <x:v>One episode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4" t="str">
        <x:v>HYPERLINK is not implemented. linkLocation=https://www.imdb.com/title/tt27369122/fullcredits/,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tt27369122|nm0898377|malcolm</x:v>
      </x:c>
      <x:c r="B316" s="14" t="str">
        <x:v>04</x:v>
      </x:c>
      <x:c r="C316" s="14" t="str">
        <x:v>2023_IMDb_Cast_Lists_Batch_04(2).xlsx</x:v>
      </x:c>
      <x:c r="D316" s="14" t="str">
        <x:v>The Couple Next Door</x:v>
      </x:c>
      <x:c r="E316" s="14" t="n">
        <x:v>76</x:v>
      </x:c>
      <x:c r="F316" s="14" t="str">
        <x:v>The Couple Next Door</x:v>
      </x:c>
      <x:c r="G316" s="14" t="str">
        <x:v>tt27369122</x:v>
      </x:c>
      <x:c r="H316" s="14" t="n">
        <x:v>2023</x:v>
      </x:c>
      <x:c r="I316" s="14" t="n">
        <x:v>2025</x:v>
      </x:c>
      <x:c r="J316" s="14" t="str">
        <x:v>Earlier-Production Carry-In Cohort</x:v>
      </x:c>
      <x:c r="K316" s="14" t="n">
        <x:v>2023</x:v>
      </x:c>
      <x:c r="L316" s="14" t="str">
        <x:v>Not inherited</x:v>
      </x:c>
      <x:c r="M316" s="15" t="n">
        <x:v>69</x:v>
      </x:c>
      <x:c r="N316" s="14" t="str">
        <x:v>Jay Villiers</x:v>
      </x:c>
      <x:c r="O316" s="14" t="str">
        <x:v>nm0898377</x:v>
      </x:c>
      <x:c r="P316" s="14" t="str">
        <x:v>Malcolm</x:v>
      </x:c>
      <x:c r="Q316" s="15" t="n">
        <x:v>1</x:v>
      </x:c>
      <x:c r="R316" s="14" t="str">
        <x:v>2025</x:v>
      </x:c>
      <x:c r="S316" s="14" t="n">
        <x:v>2025</x:v>
      </x:c>
      <x:c r="T316" s="14" t="n">
        <x:v>2025</x:v>
      </x:c>
      <x:c r="U316" s="14" t="str">
        <x:v>Explicit source first year retained</x:v>
      </x:c>
      <x:c r="V316" s="14" t="str">
        <x:v>Earliest supplied year is 2025.</x:v>
      </x:c>
      <x:c r="W316" s="14"/>
      <x:c r="X316" s="14" t="str">
        <x:v>Included</x:v>
      </x:c>
      <x:c r="Y316" s="14"/>
      <x:c r="Z316" s="14" t="str">
        <x:v>The Couple Next Door.docx</x:v>
      </x:c>
      <x:c r="AA316" s="14" t="str">
        <x:v>HYPERLINK is not implemented. linkLocation=https://www.imdb.com/title/tt27369122/fullcredits/,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4 / E4</x:v>
      </x:c>
      <x:c r="AI316" s="14" t="str">
        <x:v>Qualifying UK co-commission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qualifying uk co-commission.</x:v>
      </x:c>
      <x:c r="AM316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1</x:v>
      </x:c>
      <x:c r="BS316" s="16" t="n">
        <x:v>0.08333333333333333</x:v>
      </x:c>
      <x:c r="BT316" s="14" t="str">
        <x:v>One episode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4" t="str">
        <x:v>HYPERLINK is not implemented. linkLocation=https://www.imdb.com/title/tt27369122/fullcredits/,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tt27369122|nm17449476|community supervisor</x:v>
      </x:c>
      <x:c r="B317" s="14" t="str">
        <x:v>04</x:v>
      </x:c>
      <x:c r="C317" s="14" t="str">
        <x:v>2023_IMDb_Cast_Lists_Batch_04(2).xlsx</x:v>
      </x:c>
      <x:c r="D317" s="14" t="str">
        <x:v>The Couple Next Door</x:v>
      </x:c>
      <x:c r="E317" s="14" t="n">
        <x:v>81</x:v>
      </x:c>
      <x:c r="F317" s="14" t="str">
        <x:v>The Couple Next Door</x:v>
      </x:c>
      <x:c r="G317" s="14" t="str">
        <x:v>tt27369122</x:v>
      </x:c>
      <x:c r="H317" s="14" t="n">
        <x:v>2023</x:v>
      </x:c>
      <x:c r="I317" s="14" t="n">
        <x:v>2025</x:v>
      </x:c>
      <x:c r="J317" s="14" t="str">
        <x:v>Earlier-Production Carry-In Cohort</x:v>
      </x:c>
      <x:c r="K317" s="14" t="n">
        <x:v>2023</x:v>
      </x:c>
      <x:c r="L317" s="14" t="str">
        <x:v>Not inherited</x:v>
      </x:c>
      <x:c r="M317" s="15" t="n">
        <x:v>74</x:v>
      </x:c>
      <x:c r="N317" s="14" t="str">
        <x:v>Simon Turner</x:v>
      </x:c>
      <x:c r="O317" s="14" t="str">
        <x:v>nm17449476</x:v>
      </x:c>
      <x:c r="P317" s="14" t="str">
        <x:v>Community Supervisor</x:v>
      </x:c>
      <x:c r="Q317" s="15" t="n">
        <x:v>1</x:v>
      </x:c>
      <x:c r="R317" s="14" t="str">
        <x:v>2025</x:v>
      </x:c>
      <x:c r="S317" s="14" t="n">
        <x:v>2025</x:v>
      </x:c>
      <x:c r="T317" s="14" t="n">
        <x:v>2025</x:v>
      </x:c>
      <x:c r="U317" s="14" t="str">
        <x:v>Explicit source first year retained</x:v>
      </x:c>
      <x:c r="V317" s="14" t="str">
        <x:v>Earliest supplied year is 2025.</x:v>
      </x:c>
      <x:c r="W317" s="14"/>
      <x:c r="X317" s="14" t="str">
        <x:v>Included</x:v>
      </x:c>
      <x:c r="Y317" s="14"/>
      <x:c r="Z317" s="14" t="str">
        <x:v>The Couple Next Door.docx</x:v>
      </x:c>
      <x:c r="AA317" s="14" t="str">
        <x:v>HYPERLINK is not implemented. linkLocation=https://www.imdb.com/title/tt27369122/fullcredits/,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4 / E4</x:v>
      </x:c>
      <x:c r="AI317" s="14" t="str">
        <x:v>Qualifying UK co-commission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qualifying uk co-commission.</x:v>
      </x:c>
      <x:c r="AM317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1</x:v>
      </x:c>
      <x:c r="BS317" s="16" t="n">
        <x:v>0.08333333333333333</x:v>
      </x:c>
      <x:c r="BT317" s="14" t="str">
        <x:v>One episode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4" t="str">
        <x:v>HYPERLINK is not implemented. linkLocation=https://www.imdb.com/title/tt27369122/fullcredits/,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tt27369122|nm6932252|norwegian journalist</x:v>
      </x:c>
      <x:c r="B318" s="14" t="str">
        <x:v>04</x:v>
      </x:c>
      <x:c r="C318" s="14" t="str">
        <x:v>2023_IMDb_Cast_Lists_Batch_04(2).xlsx</x:v>
      </x:c>
      <x:c r="D318" s="14" t="str">
        <x:v>The Couple Next Door</x:v>
      </x:c>
      <x:c r="E318" s="14" t="n">
        <x:v>85</x:v>
      </x:c>
      <x:c r="F318" s="14" t="str">
        <x:v>The Couple Next Door</x:v>
      </x:c>
      <x:c r="G318" s="14" t="str">
        <x:v>tt27369122</x:v>
      </x:c>
      <x:c r="H318" s="14" t="n">
        <x:v>2023</x:v>
      </x:c>
      <x:c r="I318" s="14" t="n">
        <x:v>2025</x:v>
      </x:c>
      <x:c r="J318" s="14" t="str">
        <x:v>Earlier-Production Carry-In Cohort</x:v>
      </x:c>
      <x:c r="K318" s="14" t="n">
        <x:v>2023</x:v>
      </x:c>
      <x:c r="L318" s="14" t="str">
        <x:v>Not inherited</x:v>
      </x:c>
      <x:c r="M318" s="15" t="n">
        <x:v>78</x:v>
      </x:c>
      <x:c r="N318" s="14" t="str">
        <x:v>Nicholas Snyder</x:v>
      </x:c>
      <x:c r="O318" s="14" t="str">
        <x:v>nm6932252</x:v>
      </x:c>
      <x:c r="P318" s="14" t="str">
        <x:v>Norwegian Journalist</x:v>
      </x:c>
      <x:c r="Q318" s="15" t="n">
        <x:v>1</x:v>
      </x:c>
      <x:c r="R318" s="14" t="str">
        <x:v>2025</x:v>
      </x:c>
      <x:c r="S318" s="14" t="n">
        <x:v>2025</x:v>
      </x:c>
      <x:c r="T318" s="14" t="n">
        <x:v>2025</x:v>
      </x:c>
      <x:c r="U318" s="14" t="str">
        <x:v>Explicit source first year retained</x:v>
      </x:c>
      <x:c r="V318" s="14" t="str">
        <x:v>Earliest supplied year is 2025.</x:v>
      </x:c>
      <x:c r="W318" s="14"/>
      <x:c r="X318" s="14" t="str">
        <x:v>Included</x:v>
      </x:c>
      <x:c r="Y318" s="14"/>
      <x:c r="Z318" s="14" t="str">
        <x:v>The Couple Next Door.docx</x:v>
      </x:c>
      <x:c r="AA318" s="14" t="str">
        <x:v>HYPERLINK is not implemented. linkLocation=https://www.imdb.com/title/tt27369122/fullcredits/,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4 / E4</x:v>
      </x:c>
      <x:c r="AI318" s="14" t="str">
        <x:v>Qualifying UK co-commission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qualifying uk co-commission.</x:v>
      </x:c>
      <x:c r="AM318" s="17" t="e">
        <x:f>HYPERLINK("https://en.wikipedia.org/wiki/The_Couple_Next_Door","Open source")</x:f>
        <x:v>HYPERLINK is not implemented. linkLocation=https://en.wikipedia.org/wiki/The_Couple_Next_Door,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4" t="str">
        <x:v>HYPERLINK is not implemented. linkLocation=https://www.imdb.com/title/tt27369122/fullcredits/,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tt14063678|nm1304386|tony lundy</x:v>
      </x:c>
      <x:c r="B319" s="14" t="str">
        <x:v>04</x:v>
      </x:c>
      <x:c r="C319" s="14" t="str">
        <x:v>2023_IMDb_Cast_Lists_Batch_04(2).xlsx</x:v>
      </x:c>
      <x:c r="D319" s="14" t="str">
        <x:v>The Gold</x:v>
      </x:c>
      <x:c r="E319" s="14" t="n">
        <x:v>19</x:v>
      </x:c>
      <x:c r="F319" s="14" t="str">
        <x:v>The Gold</x:v>
      </x:c>
      <x:c r="G319" s="14" t="str">
        <x:v>tt14063678</x:v>
      </x:c>
      <x:c r="H319" s="14" t="n">
        <x:v>2023</x:v>
      </x:c>
      <x:c r="I319" s="14" t="n">
        <x:v>2025</x:v>
      </x:c>
      <x:c r="J319" s="14" t="str">
        <x:v>Earlier-Production Carry-In Cohort</x:v>
      </x:c>
      <x:c r="K319" s="14" t="n">
        <x:v>2023</x:v>
      </x:c>
      <x:c r="L319" s="14" t="str">
        <x:v>Not inherited</x:v>
      </x:c>
      <x:c r="M319" s="15" t="n">
        <x:v>12</x:v>
      </x:c>
      <x:c r="N319" s="14" t="str">
        <x:v>Stephen Campbell Moore</x:v>
      </x:c>
      <x:c r="O319" s="14" t="str">
        <x:v>nm1304386</x:v>
      </x:c>
      <x:c r="P319" s="14" t="str">
        <x:v>Tony Lundy</x:v>
      </x:c>
      <x:c r="Q319" s="15" t="n">
        <x:v>6</x:v>
      </x:c>
      <x:c r="R319" s="14" t="str">
        <x:v>2025</x:v>
      </x:c>
      <x:c r="S319" s="14" t="n">
        <x:v>2025</x:v>
      </x:c>
      <x:c r="T319" s="14" t="n">
        <x:v>2025</x:v>
      </x:c>
      <x:c r="U319" s="14" t="str">
        <x:v>Explicit source first year retained</x:v>
      </x:c>
      <x:c r="V319" s="14" t="str">
        <x:v>Earliest supplied year is 2025.</x:v>
      </x:c>
      <x:c r="W319" s="14"/>
      <x:c r="X319" s="14" t="str">
        <x:v>Included</x:v>
      </x:c>
      <x:c r="Y319" s="14"/>
      <x:c r="Z319" s="14" t="str">
        <x:v>The Gold.docx</x:v>
      </x:c>
      <x:c r="AA319" s="14" t="str">
        <x:v>HYPERLINK is not implemented. linkLocation=https://www.imdb.com/title/tt14063678/fullcredits/,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BBC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19" s="14" t="str">
        <x:v>BBC public-service commission</x:v>
      </x:c>
      <x:c r="AO319" s="14" t="str">
        <x:v>Yes</x:v>
      </x:c>
      <x:c r="AP319" s="14" t="str">
        <x:v>Direct BBC public-service scope</x:v>
      </x:c>
      <x:c r="AQ319" s="14" t="str">
        <x:v>Yes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6</x:v>
      </x:c>
      <x:c r="BS319" s="16" t="n">
        <x:v>0.5</x:v>
      </x:c>
      <x:c r="BT319" s="14" t="str">
        <x:v>Minority of episodes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4" t="str">
        <x:v>HYPERLINK is not implemented. linkLocation=https://www.imdb.com/title/tt14063678/fullcredits/,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tt14063678|nm3992182|douglas baxter</x:v>
      </x:c>
      <x:c r="B320" s="14" t="str">
        <x:v>04</x:v>
      </x:c>
      <x:c r="C320" s="14" t="str">
        <x:v>2023_IMDb_Cast_Lists_Batch_04(2).xlsx</x:v>
      </x:c>
      <x:c r="D320" s="14" t="str">
        <x:v>The Gold</x:v>
      </x:c>
      <x:c r="E320" s="14" t="n">
        <x:v>25</x:v>
      </x:c>
      <x:c r="F320" s="14" t="str">
        <x:v>The Gold</x:v>
      </x:c>
      <x:c r="G320" s="14" t="str">
        <x:v>tt14063678</x:v>
      </x:c>
      <x:c r="H320" s="14" t="n">
        <x:v>2023</x:v>
      </x:c>
      <x:c r="I320" s="14" t="n">
        <x:v>2025</x:v>
      </x:c>
      <x:c r="J320" s="14" t="str">
        <x:v>Earlier-Production Carry-In Cohort</x:v>
      </x:c>
      <x:c r="K320" s="14" t="n">
        <x:v>2023</x:v>
      </x:c>
      <x:c r="L320" s="14" t="str">
        <x:v>Not inherited</x:v>
      </x:c>
      <x:c r="M320" s="15" t="n">
        <x:v>18</x:v>
      </x:c>
      <x:c r="N320" s="14" t="str">
        <x:v>Joshua McGuire</x:v>
      </x:c>
      <x:c r="O320" s="14" t="str">
        <x:v>nm3992182</x:v>
      </x:c>
      <x:c r="P320" s="14" t="str">
        <x:v>Douglas Baxter</x:v>
      </x:c>
      <x:c r="Q320" s="15" t="n">
        <x:v>5</x:v>
      </x:c>
      <x:c r="R320" s="14" t="str">
        <x:v>2025</x:v>
      </x:c>
      <x:c r="S320" s="14" t="n">
        <x:v>2025</x:v>
      </x:c>
      <x:c r="T320" s="14" t="n">
        <x:v>2025</x:v>
      </x:c>
      <x:c r="U320" s="14" t="str">
        <x:v>Explicit source first year retained</x:v>
      </x:c>
      <x:c r="V320" s="14" t="str">
        <x:v>Earliest supplied year is 2025.</x:v>
      </x:c>
      <x:c r="W320" s="14"/>
      <x:c r="X320" s="14" t="str">
        <x:v>Included</x:v>
      </x:c>
      <x:c r="Y320" s="14"/>
      <x:c r="Z320" s="14" t="str">
        <x:v>The Gold.docx</x:v>
      </x:c>
      <x:c r="AA320" s="14" t="str">
        <x:v>HYPERLINK is not implemented. linkLocation=https://www.imdb.com/title/tt14063678/fullcredits/,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BBC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0" s="14" t="str">
        <x:v>BBC public-service commission</x:v>
      </x:c>
      <x:c r="AO320" s="14" t="str">
        <x:v>Yes</x:v>
      </x:c>
      <x:c r="AP320" s="14" t="str">
        <x:v>Direct BBC public-service scope</x:v>
      </x:c>
      <x:c r="AQ320" s="14" t="str">
        <x:v>Yes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5</x:v>
      </x:c>
      <x:c r="BS320" s="16" t="n">
        <x:v>0.4166666666666667</x:v>
      </x:c>
      <x:c r="BT320" s="14" t="str">
        <x:v>Minority of episodes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4" t="str">
        <x:v>HYPERLINK is not implemented. linkLocation=https://www.imdb.com/title/tt14063678/fullcredits/,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tt14063678|nm4148614|enriqué</x:v>
      </x:c>
      <x:c r="B321" s="14" t="str">
        <x:v>04</x:v>
      </x:c>
      <x:c r="C321" s="14" t="str">
        <x:v>2023_IMDb_Cast_Lists_Batch_04(2).xlsx</x:v>
      </x:c>
      <x:c r="D321" s="14" t="str">
        <x:v>The Gold</x:v>
      </x:c>
      <x:c r="E321" s="14" t="n">
        <x:v>27</x:v>
      </x:c>
      <x:c r="F321" s="14" t="str">
        <x:v>The Gold</x:v>
      </x:c>
      <x:c r="G321" s="14" t="str">
        <x:v>tt14063678</x:v>
      </x:c>
      <x:c r="H321" s="14" t="n">
        <x:v>2023</x:v>
      </x:c>
      <x:c r="I321" s="14" t="n">
        <x:v>2025</x:v>
      </x:c>
      <x:c r="J321" s="14" t="str">
        <x:v>Earlier-Production Carry-In Cohort</x:v>
      </x:c>
      <x:c r="K321" s="14" t="n">
        <x:v>2023</x:v>
      </x:c>
      <x:c r="L321" s="14" t="str">
        <x:v>Not inherited</x:v>
      </x:c>
      <x:c r="M321" s="15" t="n">
        <x:v>20</x:v>
      </x:c>
      <x:c r="N321" s="14" t="str">
        <x:v>Sean Teale</x:v>
      </x:c>
      <x:c r="O321" s="14" t="str">
        <x:v>nm4148614</x:v>
      </x:c>
      <x:c r="P321" s="14" t="str">
        <x:v>Enriqué</x:v>
      </x:c>
      <x:c r="Q321" s="15" t="n">
        <x:v>5</x:v>
      </x:c>
      <x:c r="R321" s="14" t="str">
        <x:v>2025</x:v>
      </x:c>
      <x:c r="S321" s="14" t="n">
        <x:v>2025</x:v>
      </x:c>
      <x:c r="T321" s="14" t="n">
        <x:v>2025</x:v>
      </x:c>
      <x:c r="U321" s="14" t="str">
        <x:v>Explicit source first year retained</x:v>
      </x:c>
      <x:c r="V321" s="14" t="str">
        <x:v>Earliest supplied year is 2025.</x:v>
      </x:c>
      <x:c r="W321" s="14"/>
      <x:c r="X321" s="14" t="str">
        <x:v>Included</x:v>
      </x:c>
      <x:c r="Y321" s="14"/>
      <x:c r="Z321" s="14" t="str">
        <x:v>The Gold.docx</x:v>
      </x:c>
      <x:c r="AA321" s="14" t="str">
        <x:v>HYPERLINK is not implemented. linkLocation=https://www.imdb.com/title/tt14063678/fullcredits/,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BBC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1" s="14" t="str">
        <x:v>BBC public-service commission</x:v>
      </x:c>
      <x:c r="AO321" s="14" t="str">
        <x:v>Yes</x:v>
      </x:c>
      <x:c r="AP321" s="14" t="str">
        <x:v>Direct BBC public-service scope</x:v>
      </x:c>
      <x:c r="AQ321" s="14" t="str">
        <x:v>Yes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5</x:v>
      </x:c>
      <x:c r="BS321" s="16" t="n">
        <x:v>0.4166666666666667</x:v>
      </x:c>
      <x:c r="BT321" s="14" t="str">
        <x:v>Minority of episodes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4" t="str">
        <x:v>HYPERLINK is not implemented. linkLocation=https://www.imdb.com/title/tt14063678/fullcredits/,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tt14063678|nm3433735|logan campbell</x:v>
      </x:c>
      <x:c r="B322" s="14" t="str">
        <x:v>04</x:v>
      </x:c>
      <x:c r="C322" s="14" t="str">
        <x:v>2023_IMDb_Cast_Lists_Batch_04(2).xlsx</x:v>
      </x:c>
      <x:c r="D322" s="14" t="str">
        <x:v>The Gold</x:v>
      </x:c>
      <x:c r="E322" s="14" t="n">
        <x:v>31</x:v>
      </x:c>
      <x:c r="F322" s="14" t="str">
        <x:v>The Gold</x:v>
      </x:c>
      <x:c r="G322" s="14" t="str">
        <x:v>tt14063678</x:v>
      </x:c>
      <x:c r="H322" s="14" t="n">
        <x:v>2023</x:v>
      </x:c>
      <x:c r="I322" s="14" t="n">
        <x:v>2025</x:v>
      </x:c>
      <x:c r="J322" s="14" t="str">
        <x:v>Earlier-Production Carry-In Cohort</x:v>
      </x:c>
      <x:c r="K322" s="14" t="n">
        <x:v>2023</x:v>
      </x:c>
      <x:c r="L322" s="14" t="str">
        <x:v>Not inherited</x:v>
      </x:c>
      <x:c r="M322" s="15" t="n">
        <x:v>24</x:v>
      </x:c>
      <x:c r="N322" s="14" t="str">
        <x:v>Tom Hughes</x:v>
      </x:c>
      <x:c r="O322" s="14" t="str">
        <x:v>nm3433735</x:v>
      </x:c>
      <x:c r="P322" s="14" t="str">
        <x:v>Logan Campbell</x:v>
      </x:c>
      <x:c r="Q322" s="15" t="n">
        <x:v>4</x:v>
      </x:c>
      <x:c r="R322" s="14" t="str">
        <x:v>2025</x:v>
      </x:c>
      <x:c r="S322" s="14" t="n">
        <x:v>2025</x:v>
      </x:c>
      <x:c r="T322" s="14" t="n">
        <x:v>2025</x:v>
      </x:c>
      <x:c r="U322" s="14" t="str">
        <x:v>Explicit source first year retained</x:v>
      </x:c>
      <x:c r="V322" s="14" t="str">
        <x:v>Earliest supplied year is 2025.</x:v>
      </x:c>
      <x:c r="W322" s="14"/>
      <x:c r="X322" s="14" t="str">
        <x:v>Included</x:v>
      </x:c>
      <x:c r="Y322" s="14"/>
      <x:c r="Z322" s="14" t="str">
        <x:v>The Gold.docx</x:v>
      </x:c>
      <x:c r="AA322" s="14" t="str">
        <x:v>HYPERLINK is not implemented. linkLocation=https://www.imdb.com/title/tt14063678/fullcredits/,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BBC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2" s="14" t="str">
        <x:v>BBC public-service commission</x:v>
      </x:c>
      <x:c r="AO322" s="14" t="str">
        <x:v>Yes</x:v>
      </x:c>
      <x:c r="AP322" s="14" t="str">
        <x:v>Direct BBC public-service scope</x:v>
      </x:c>
      <x:c r="AQ322" s="14" t="str">
        <x:v>Yes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4</x:v>
      </x:c>
      <x:c r="BS322" s="16" t="n">
        <x:v>0.3333333333333333</x:v>
      </x:c>
      <x:c r="BT322" s="14" t="str">
        <x:v>Minority of episodes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4" t="str">
        <x:v>HYPERLINK is not implemented. linkLocation=https://www.imdb.com/title/tt14063678/fullcredits/,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tt14063678|nm1202600|gabriella lunez</x:v>
      </x:c>
      <x:c r="B323" s="14" t="str">
        <x:v>04</x:v>
      </x:c>
      <x:c r="C323" s="14" t="str">
        <x:v>2023_IMDb_Cast_Lists_Batch_04(2).xlsx</x:v>
      </x:c>
      <x:c r="D323" s="14" t="str">
        <x:v>The Gold</x:v>
      </x:c>
      <x:c r="E323" s="14" t="n">
        <x:v>32</x:v>
      </x:c>
      <x:c r="F323" s="14" t="str">
        <x:v>The Gold</x:v>
      </x:c>
      <x:c r="G323" s="14" t="str">
        <x:v>tt14063678</x:v>
      </x:c>
      <x:c r="H323" s="14" t="n">
        <x:v>2023</x:v>
      </x:c>
      <x:c r="I323" s="14" t="n">
        <x:v>2025</x:v>
      </x:c>
      <x:c r="J323" s="14" t="str">
        <x:v>Earlier-Production Carry-In Cohort</x:v>
      </x:c>
      <x:c r="K323" s="14" t="n">
        <x:v>2023</x:v>
      </x:c>
      <x:c r="L323" s="14" t="str">
        <x:v>Not inherited</x:v>
      </x:c>
      <x:c r="M323" s="15" t="n">
        <x:v>25</x:v>
      </x:c>
      <x:c r="N323" s="14" t="str">
        <x:v>Madalena Alberto</x:v>
      </x:c>
      <x:c r="O323" s="14" t="str">
        <x:v>nm1202600</x:v>
      </x:c>
      <x:c r="P323" s="14" t="str">
        <x:v>Gabriella Lunez</x:v>
      </x:c>
      <x:c r="Q323" s="15" t="n">
        <x:v>4</x:v>
      </x:c>
      <x:c r="R323" s="14" t="str">
        <x:v>2025</x:v>
      </x:c>
      <x:c r="S323" s="14" t="n">
        <x:v>2025</x:v>
      </x:c>
      <x:c r="T323" s="14" t="n">
        <x:v>2025</x:v>
      </x:c>
      <x:c r="U323" s="14" t="str">
        <x:v>Explicit source first year retained</x:v>
      </x:c>
      <x:c r="V323" s="14" t="str">
        <x:v>Earliest supplied year is 2025.</x:v>
      </x:c>
      <x:c r="W323" s="14"/>
      <x:c r="X323" s="14" t="str">
        <x:v>Included</x:v>
      </x:c>
      <x:c r="Y323" s="14"/>
      <x:c r="Z323" s="14" t="str">
        <x:v>The Gold.docx</x:v>
      </x:c>
      <x:c r="AA323" s="14" t="str">
        <x:v>HYPERLINK is not implemented. linkLocation=https://www.imdb.com/title/tt14063678/fullcredits/,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BBC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3" s="14" t="str">
        <x:v>BBC public-service commission</x:v>
      </x:c>
      <x:c r="AO323" s="14" t="str">
        <x:v>Yes</x:v>
      </x:c>
      <x:c r="AP323" s="14" t="str">
        <x:v>Direct BBC public-service scope</x:v>
      </x:c>
      <x:c r="AQ323" s="14" t="str">
        <x:v>Yes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4</x:v>
      </x:c>
      <x:c r="BS323" s="16" t="n">
        <x:v>0.3333333333333333</x:v>
      </x:c>
      <x:c r="BT323" s="14" t="str">
        <x:v>Minority of episodes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4" t="str">
        <x:v>HYPERLINK is not implemented. linkLocation=https://www.imdb.com/title/tt14063678/fullcredits/,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tt14063678|nm2446898|léna</x:v>
      </x:c>
      <x:c r="B324" s="14" t="str">
        <x:v>04</x:v>
      </x:c>
      <x:c r="C324" s="14" t="str">
        <x:v>2023_IMDb_Cast_Lists_Batch_04(2).xlsx</x:v>
      </x:c>
      <x:c r="D324" s="14" t="str">
        <x:v>The Gold</x:v>
      </x:c>
      <x:c r="E324" s="14" t="n">
        <x:v>36</x:v>
      </x:c>
      <x:c r="F324" s="14" t="str">
        <x:v>The Gold</x:v>
      </x:c>
      <x:c r="G324" s="14" t="str">
        <x:v>tt14063678</x:v>
      </x:c>
      <x:c r="H324" s="14" t="n">
        <x:v>2023</x:v>
      </x:c>
      <x:c r="I324" s="14" t="n">
        <x:v>2025</x:v>
      </x:c>
      <x:c r="J324" s="14" t="str">
        <x:v>Earlier-Production Carry-In Cohort</x:v>
      </x:c>
      <x:c r="K324" s="14" t="n">
        <x:v>2023</x:v>
      </x:c>
      <x:c r="L324" s="14" t="str">
        <x:v>Not inherited</x:v>
      </x:c>
      <x:c r="M324" s="15" t="n">
        <x:v>29</x:v>
      </x:c>
      <x:c r="N324" s="14" t="str">
        <x:v>Antonia Desplat</x:v>
      </x:c>
      <x:c r="O324" s="14" t="str">
        <x:v>nm2446898</x:v>
      </x:c>
      <x:c r="P324" s="14" t="str">
        <x:v>Léna</x:v>
      </x:c>
      <x:c r="Q324" s="15" t="n">
        <x:v>4</x:v>
      </x:c>
      <x:c r="R324" s="14" t="str">
        <x:v>2025</x:v>
      </x:c>
      <x:c r="S324" s="14" t="n">
        <x:v>2025</x:v>
      </x:c>
      <x:c r="T324" s="14" t="n">
        <x:v>2025</x:v>
      </x:c>
      <x:c r="U324" s="14" t="str">
        <x:v>Explicit source first year retained</x:v>
      </x:c>
      <x:c r="V324" s="14" t="str">
        <x:v>Earliest supplied year is 2025.</x:v>
      </x:c>
      <x:c r="W324" s="14"/>
      <x:c r="X324" s="14" t="str">
        <x:v>Included</x:v>
      </x:c>
      <x:c r="Y324" s="14"/>
      <x:c r="Z324" s="14" t="str">
        <x:v>The Gold.docx</x:v>
      </x:c>
      <x:c r="AA324" s="14" t="str">
        <x:v>HYPERLINK is not implemented. linkLocation=https://www.imdb.com/title/tt14063678/fullcredits/,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BBC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4" s="14" t="str">
        <x:v>BBC public-service commission</x:v>
      </x:c>
      <x:c r="AO324" s="14" t="str">
        <x:v>Yes</x:v>
      </x:c>
      <x:c r="AP324" s="14" t="str">
        <x:v>Direct BBC public-service scope</x:v>
      </x:c>
      <x:c r="AQ324" s="14" t="str">
        <x:v>Yes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4</x:v>
      </x:c>
      <x:c r="BS324" s="16" t="n">
        <x:v>0.3333333333333333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4" t="str">
        <x:v>HYPERLINK is not implemented. linkLocation=https://www.imdb.com/title/tt14063678/fullcredits/,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tt14063678|nm0431235|ivan</x:v>
      </x:c>
      <x:c r="B325" s="14" t="str">
        <x:v>04</x:v>
      </x:c>
      <x:c r="C325" s="14" t="str">
        <x:v>2023_IMDb_Cast_Lists_Batch_04(2).xlsx</x:v>
      </x:c>
      <x:c r="D325" s="14" t="str">
        <x:v>The Gold</x:v>
      </x:c>
      <x:c r="E325" s="14" t="n">
        <x:v>37</x:v>
      </x:c>
      <x:c r="F325" s="14" t="str">
        <x:v>The Gold</x:v>
      </x:c>
      <x:c r="G325" s="14" t="str">
        <x:v>tt14063678</x:v>
      </x:c>
      <x:c r="H325" s="14" t="n">
        <x:v>2023</x:v>
      </x:c>
      <x:c r="I325" s="14" t="n">
        <x:v>2025</x:v>
      </x:c>
      <x:c r="J325" s="14" t="str">
        <x:v>Earlier-Production Carry-In Cohort</x:v>
      </x:c>
      <x:c r="K325" s="14" t="n">
        <x:v>2023</x:v>
      </x:c>
      <x:c r="L325" s="14" t="str">
        <x:v>Not inherited</x:v>
      </x:c>
      <x:c r="M325" s="15" t="n">
        <x:v>30</x:v>
      </x:c>
      <x:c r="N325" s="14" t="str">
        <x:v>Aleksandar Jovanovic</x:v>
      </x:c>
      <x:c r="O325" s="14" t="str">
        <x:v>nm0431235</x:v>
      </x:c>
      <x:c r="P325" s="14" t="str">
        <x:v>Ivan</x:v>
      </x:c>
      <x:c r="Q325" s="15" t="n">
        <x:v>4</x:v>
      </x:c>
      <x:c r="R325" s="14" t="str">
        <x:v>2025</x:v>
      </x:c>
      <x:c r="S325" s="14" t="n">
        <x:v>2025</x:v>
      </x:c>
      <x:c r="T325" s="14" t="n">
        <x:v>2025</x:v>
      </x:c>
      <x:c r="U325" s="14" t="str">
        <x:v>Explicit source first year retained</x:v>
      </x:c>
      <x:c r="V325" s="14" t="str">
        <x:v>Earliest supplied year is 2025.</x:v>
      </x:c>
      <x:c r="W325" s="14"/>
      <x:c r="X325" s="14" t="str">
        <x:v>Included</x:v>
      </x:c>
      <x:c r="Y325" s="14"/>
      <x:c r="Z325" s="14" t="str">
        <x:v>The Gold.docx</x:v>
      </x:c>
      <x:c r="AA325" s="14" t="str">
        <x:v>HYPERLINK is not implemented. linkLocation=https://www.imdb.com/title/tt14063678/fullcredits/,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BBC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5" s="14" t="str">
        <x:v>BBC public-service commission</x:v>
      </x:c>
      <x:c r="AO325" s="14" t="str">
        <x:v>Yes</x:v>
      </x:c>
      <x:c r="AP325" s="14" t="str">
        <x:v>Direct BBC public-service scope</x:v>
      </x:c>
      <x:c r="AQ325" s="14" t="str">
        <x:v>Yes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4</x:v>
      </x:c>
      <x:c r="BS325" s="16" t="n">
        <x:v>0.3333333333333333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4" t="str">
        <x:v>HYPERLINK is not implemented. linkLocation=https://www.imdb.com/title/tt14063678/fullcredits/,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tt14063678|nm2406518|kadene</x:v>
      </x:c>
      <x:c r="B326" s="14" t="str">
        <x:v>04</x:v>
      </x:c>
      <x:c r="C326" s="14" t="str">
        <x:v>2023_IMDb_Cast_Lists_Batch_04(2).xlsx</x:v>
      </x:c>
      <x:c r="D326" s="14" t="str">
        <x:v>The Gold</x:v>
      </x:c>
      <x:c r="E326" s="14" t="n">
        <x:v>39</x:v>
      </x:c>
      <x:c r="F326" s="14" t="str">
        <x:v>The Gold</x:v>
      </x:c>
      <x:c r="G326" s="14" t="str">
        <x:v>tt14063678</x:v>
      </x:c>
      <x:c r="H326" s="14" t="n">
        <x:v>2023</x:v>
      </x:c>
      <x:c r="I326" s="14" t="n">
        <x:v>2025</x:v>
      </x:c>
      <x:c r="J326" s="14" t="str">
        <x:v>Earlier-Production Carry-In Cohort</x:v>
      </x:c>
      <x:c r="K326" s="14" t="n">
        <x:v>2023</x:v>
      </x:c>
      <x:c r="L326" s="14" t="str">
        <x:v>Not inherited</x:v>
      </x:c>
      <x:c r="M326" s="15" t="n">
        <x:v>32</x:v>
      </x:c>
      <x:c r="N326" s="14" t="str">
        <x:v>Rochelle Neil</x:v>
      </x:c>
      <x:c r="O326" s="14" t="str">
        <x:v>nm2406518</x:v>
      </x:c>
      <x:c r="P326" s="14" t="str">
        <x:v>Kadene</x:v>
      </x:c>
      <x:c r="Q326" s="15" t="n">
        <x:v>4</x:v>
      </x:c>
      <x:c r="R326" s="14" t="str">
        <x:v>2025</x:v>
      </x:c>
      <x:c r="S326" s="14" t="n">
        <x:v>2025</x:v>
      </x:c>
      <x:c r="T326" s="14" t="n">
        <x:v>2025</x:v>
      </x:c>
      <x:c r="U326" s="14" t="str">
        <x:v>Explicit source first year retained</x:v>
      </x:c>
      <x:c r="V326" s="14" t="str">
        <x:v>Earliest supplied year is 2025.</x:v>
      </x:c>
      <x:c r="W326" s="14"/>
      <x:c r="X326" s="14" t="str">
        <x:v>Included</x:v>
      </x:c>
      <x:c r="Y326" s="14"/>
      <x:c r="Z326" s="14" t="str">
        <x:v>The Gold.docx</x:v>
      </x:c>
      <x:c r="AA326" s="14" t="str">
        <x:v>HYPERLINK is not implemented. linkLocation=https://www.imdb.com/title/tt14063678/fullcredits/,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BBC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6" s="14" t="str">
        <x:v>BBC public-service commission</x:v>
      </x:c>
      <x:c r="AO326" s="14" t="str">
        <x:v>Yes</x:v>
      </x:c>
      <x:c r="AP326" s="14" t="str">
        <x:v>Direct BBC public-service scope</x:v>
      </x:c>
      <x:c r="AQ326" s="14" t="str">
        <x:v>Yes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4</x:v>
      </x:c>
      <x:c r="BS326" s="16" t="n">
        <x:v>0.3333333333333333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4" t="str">
        <x:v>HYPERLINK is not implemented. linkLocation=https://www.imdb.com/title/tt14063678/fullcredits/,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tt14063678|nm9870367|jerren</x:v>
      </x:c>
      <x:c r="B327" s="14" t="str">
        <x:v>04</x:v>
      </x:c>
      <x:c r="C327" s="14" t="str">
        <x:v>2023_IMDb_Cast_Lists_Batch_04(2).xlsx</x:v>
      </x:c>
      <x:c r="D327" s="14" t="str">
        <x:v>The Gold</x:v>
      </x:c>
      <x:c r="E327" s="14" t="n">
        <x:v>42</x:v>
      </x:c>
      <x:c r="F327" s="14" t="str">
        <x:v>The Gold</x:v>
      </x:c>
      <x:c r="G327" s="14" t="str">
        <x:v>tt14063678</x:v>
      </x:c>
      <x:c r="H327" s="14" t="n">
        <x:v>2023</x:v>
      </x:c>
      <x:c r="I327" s="14" t="n">
        <x:v>2025</x:v>
      </x:c>
      <x:c r="J327" s="14" t="str">
        <x:v>Earlier-Production Carry-In Cohort</x:v>
      </x:c>
      <x:c r="K327" s="14" t="n">
        <x:v>2023</x:v>
      </x:c>
      <x:c r="L327" s="14" t="str">
        <x:v>Not inherited</x:v>
      </x:c>
      <x:c r="M327" s="15" t="n">
        <x:v>35</x:v>
      </x:c>
      <x:c r="N327" s="14" t="str">
        <x:v>Joshua Samuels</x:v>
      </x:c>
      <x:c r="O327" s="14" t="str">
        <x:v>nm9870367</x:v>
      </x:c>
      <x:c r="P327" s="14" t="str">
        <x:v>Jerren</x:v>
      </x:c>
      <x:c r="Q327" s="15" t="n">
        <x:v>4</x:v>
      </x:c>
      <x:c r="R327" s="14" t="str">
        <x:v>2025</x:v>
      </x:c>
      <x:c r="S327" s="14" t="n">
        <x:v>2025</x:v>
      </x:c>
      <x:c r="T327" s="14" t="n">
        <x:v>2025</x:v>
      </x:c>
      <x:c r="U327" s="14" t="str">
        <x:v>Explicit source first year retained</x:v>
      </x:c>
      <x:c r="V327" s="14" t="str">
        <x:v>Earliest supplied year is 2025.</x:v>
      </x:c>
      <x:c r="W327" s="14"/>
      <x:c r="X327" s="14" t="str">
        <x:v>Included</x:v>
      </x:c>
      <x:c r="Y327" s="14"/>
      <x:c r="Z327" s="14" t="str">
        <x:v>The Gold.docx</x:v>
      </x:c>
      <x:c r="AA327" s="14" t="str">
        <x:v>HYPERLINK is not implemented. linkLocation=https://www.imdb.com/title/tt14063678/fullcredits/,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BBC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7" s="14" t="str">
        <x:v>BBC public-service commission</x:v>
      </x:c>
      <x:c r="AO327" s="14" t="str">
        <x:v>Yes</x:v>
      </x:c>
      <x:c r="AP327" s="14" t="str">
        <x:v>Direct BBC public-service scope</x:v>
      </x:c>
      <x:c r="AQ327" s="14" t="str">
        <x:v>Yes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4</x:v>
      </x:c>
      <x:c r="BS327" s="16" t="n">
        <x:v>0.3333333333333333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4" t="str">
        <x:v>HYPERLINK is not implemented. linkLocation=https://www.imdb.com/title/tt14063678/fullcredits/,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tt14063678|nm0114132|lauretta</x:v>
      </x:c>
      <x:c r="B328" s="14" t="str">
        <x:v>04</x:v>
      </x:c>
      <x:c r="C328" s="14" t="str">
        <x:v>2023_IMDb_Cast_Lists_Batch_04(2).xlsx</x:v>
      </x:c>
      <x:c r="D328" s="14" t="str">
        <x:v>The Gold</x:v>
      </x:c>
      <x:c r="E328" s="14" t="n">
        <x:v>43</x:v>
      </x:c>
      <x:c r="F328" s="14" t="str">
        <x:v>The Gold</x:v>
      </x:c>
      <x:c r="G328" s="14" t="str">
        <x:v>tt14063678</x:v>
      </x:c>
      <x:c r="H328" s="14" t="n">
        <x:v>2023</x:v>
      </x:c>
      <x:c r="I328" s="14" t="n">
        <x:v>2025</x:v>
      </x:c>
      <x:c r="J328" s="14" t="str">
        <x:v>Earlier-Production Carry-In Cohort</x:v>
      </x:c>
      <x:c r="K328" s="14" t="n">
        <x:v>2023</x:v>
      </x:c>
      <x:c r="L328" s="14" t="str">
        <x:v>Not inherited</x:v>
      </x:c>
      <x:c r="M328" s="15" t="n">
        <x:v>36</x:v>
      </x:c>
      <x:c r="N328" s="14" t="str">
        <x:v>Lorna Brown</x:v>
      </x:c>
      <x:c r="O328" s="14" t="str">
        <x:v>nm0114132</x:v>
      </x:c>
      <x:c r="P328" s="14" t="str">
        <x:v>Lauretta</x:v>
      </x:c>
      <x:c r="Q328" s="15" t="n">
        <x:v>3</x:v>
      </x:c>
      <x:c r="R328" s="14" t="str">
        <x:v>2025</x:v>
      </x:c>
      <x:c r="S328" s="14" t="n">
        <x:v>2025</x:v>
      </x:c>
      <x:c r="T328" s="14" t="n">
        <x:v>2025</x:v>
      </x:c>
      <x:c r="U328" s="14" t="str">
        <x:v>Explicit source first year retained</x:v>
      </x:c>
      <x:c r="V328" s="14" t="str">
        <x:v>Earliest supplied year is 2025.</x:v>
      </x:c>
      <x:c r="W328" s="14"/>
      <x:c r="X328" s="14" t="str">
        <x:v>Included</x:v>
      </x:c>
      <x:c r="Y328" s="14"/>
      <x:c r="Z328" s="14" t="str">
        <x:v>The Gold.docx</x:v>
      </x:c>
      <x:c r="AA328" s="14" t="str">
        <x:v>HYPERLINK is not implemented. linkLocation=https://www.imdb.com/title/tt14063678/fullcredits/,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BBC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8" s="14" t="str">
        <x:v>BBC public-service commission</x:v>
      </x:c>
      <x:c r="AO328" s="14" t="str">
        <x:v>Yes</x:v>
      </x:c>
      <x:c r="AP328" s="14" t="str">
        <x:v>Direct BBC public-service scope</x:v>
      </x:c>
      <x:c r="AQ328" s="14" t="str">
        <x:v>Yes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3</x:v>
      </x:c>
      <x:c r="BS328" s="16" t="n">
        <x:v>0.25</x:v>
      </x:c>
      <x:c r="BT328" s="14" t="str">
        <x:v>Minority of episodes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4" t="str">
        <x:v>HYPERLINK is not implemented. linkLocation=https://www.imdb.com/title/tt14063678/fullcredits/,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tt14063678|nm0323764|shirley</x:v>
      </x:c>
      <x:c r="B329" s="14" t="str">
        <x:v>04</x:v>
      </x:c>
      <x:c r="C329" s="14" t="str">
        <x:v>2023_IMDb_Cast_Lists_Batch_04(2).xlsx</x:v>
      </x:c>
      <x:c r="D329" s="14" t="str">
        <x:v>The Gold</x:v>
      </x:c>
      <x:c r="E329" s="14" t="n">
        <x:v>44</x:v>
      </x:c>
      <x:c r="F329" s="14" t="str">
        <x:v>The Gold</x:v>
      </x:c>
      <x:c r="G329" s="14" t="str">
        <x:v>tt14063678</x:v>
      </x:c>
      <x:c r="H329" s="14" t="n">
        <x:v>2023</x:v>
      </x:c>
      <x:c r="I329" s="14" t="n">
        <x:v>2025</x:v>
      </x:c>
      <x:c r="J329" s="14" t="str">
        <x:v>Earlier-Production Carry-In Cohort</x:v>
      </x:c>
      <x:c r="K329" s="14" t="n">
        <x:v>2023</x:v>
      </x:c>
      <x:c r="L329" s="14" t="str">
        <x:v>Not inherited</x:v>
      </x:c>
      <x:c r="M329" s="15" t="n">
        <x:v>37</x:v>
      </x:c>
      <x:c r="N329" s="14" t="str">
        <x:v>Beth Goddard</x:v>
      </x:c>
      <x:c r="O329" s="14" t="str">
        <x:v>nm0323764</x:v>
      </x:c>
      <x:c r="P329" s="14" t="str">
        <x:v>Shirley</x:v>
      </x:c>
      <x:c r="Q329" s="15" t="n">
        <x:v>3</x:v>
      </x:c>
      <x:c r="R329" s="14" t="str">
        <x:v>2025</x:v>
      </x:c>
      <x:c r="S329" s="14" t="n">
        <x:v>2025</x:v>
      </x:c>
      <x:c r="T329" s="14" t="n">
        <x:v>2025</x:v>
      </x:c>
      <x:c r="U329" s="14" t="str">
        <x:v>Explicit source first year retained</x:v>
      </x:c>
      <x:c r="V329" s="14" t="str">
        <x:v>Earliest supplied year is 2025.</x:v>
      </x:c>
      <x:c r="W329" s="14"/>
      <x:c r="X329" s="14" t="str">
        <x:v>Included</x:v>
      </x:c>
      <x:c r="Y329" s="14"/>
      <x:c r="Z329" s="14" t="str">
        <x:v>The Gold.docx</x:v>
      </x:c>
      <x:c r="AA329" s="14" t="str">
        <x:v>HYPERLINK is not implemented. linkLocation=https://www.imdb.com/title/tt14063678/fullcredits/,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BBC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29" s="14" t="str">
        <x:v>BBC public-service commission</x:v>
      </x:c>
      <x:c r="AO329" s="14" t="str">
        <x:v>Yes</x:v>
      </x:c>
      <x:c r="AP329" s="14" t="str">
        <x:v>Direct BBC public-service scope</x:v>
      </x:c>
      <x:c r="AQ329" s="14" t="str">
        <x:v>Yes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3</x:v>
      </x:c>
      <x:c r="BS329" s="16" t="n">
        <x:v>0.25</x:v>
      </x:c>
      <x:c r="BT329" s="14" t="str">
        <x:v>Minority of episodes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4" t="str">
        <x:v>HYPERLINK is not implemented. linkLocation=https://www.imdb.com/title/tt14063678/fullcredits/,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tt14063678|nm12549107|linda</x:v>
      </x:c>
      <x:c r="B330" s="14" t="str">
        <x:v>04</x:v>
      </x:c>
      <x:c r="C330" s="14" t="str">
        <x:v>2023_IMDb_Cast_Lists_Batch_04(2).xlsx</x:v>
      </x:c>
      <x:c r="D330" s="14" t="str">
        <x:v>The Gold</x:v>
      </x:c>
      <x:c r="E330" s="14" t="n">
        <x:v>47</x:v>
      </x:c>
      <x:c r="F330" s="14" t="str">
        <x:v>The Gold</x:v>
      </x:c>
      <x:c r="G330" s="14" t="str">
        <x:v>tt14063678</x:v>
      </x:c>
      <x:c r="H330" s="14" t="n">
        <x:v>2023</x:v>
      </x:c>
      <x:c r="I330" s="14" t="n">
        <x:v>2025</x:v>
      </x:c>
      <x:c r="J330" s="14" t="str">
        <x:v>Earlier-Production Carry-In Cohort</x:v>
      </x:c>
      <x:c r="K330" s="14" t="n">
        <x:v>2023</x:v>
      </x:c>
      <x:c r="L330" s="14" t="str">
        <x:v>Not inherited</x:v>
      </x:c>
      <x:c r="M330" s="15" t="n">
        <x:v>40</x:v>
      </x:c>
      <x:c r="N330" s="14" t="str">
        <x:v>Amelia Isaac Jones</x:v>
      </x:c>
      <x:c r="O330" s="14" t="str">
        <x:v>nm12549107</x:v>
      </x:c>
      <x:c r="P330" s="14" t="str">
        <x:v>Linda</x:v>
      </x:c>
      <x:c r="Q330" s="15" t="n">
        <x:v>3</x:v>
      </x:c>
      <x:c r="R330" s="14" t="str">
        <x:v>2025</x:v>
      </x:c>
      <x:c r="S330" s="14" t="n">
        <x:v>2025</x:v>
      </x:c>
      <x:c r="T330" s="14" t="n">
        <x:v>2025</x:v>
      </x:c>
      <x:c r="U330" s="14" t="str">
        <x:v>Explicit source first year retained</x:v>
      </x:c>
      <x:c r="V330" s="14" t="str">
        <x:v>Earliest supplied year is 2025.</x:v>
      </x:c>
      <x:c r="W330" s="14"/>
      <x:c r="X330" s="14" t="str">
        <x:v>Included</x:v>
      </x:c>
      <x:c r="Y330" s="14"/>
      <x:c r="Z330" s="14" t="str">
        <x:v>The Gold.docx</x:v>
      </x:c>
      <x:c r="AA330" s="14" t="str">
        <x:v>HYPERLINK is not implemented. linkLocation=https://www.imdb.com/title/tt14063678/fullcredits/,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BBC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0" s="14" t="str">
        <x:v>BBC public-service commission</x:v>
      </x:c>
      <x:c r="AO330" s="14" t="str">
        <x:v>Yes</x:v>
      </x:c>
      <x:c r="AP330" s="14" t="str">
        <x:v>Direct BBC public-service scope</x:v>
      </x:c>
      <x:c r="AQ330" s="14" t="str">
        <x:v>Yes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3</x:v>
      </x:c>
      <x:c r="BS330" s="16" t="n">
        <x:v>0.25</x:v>
      </x:c>
      <x:c r="BT330" s="14" t="str">
        <x:v>Minority of episodes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4" t="str">
        <x:v>HYPERLINK is not implemented. linkLocation=https://www.imdb.com/title/tt14063678/fullcredits/,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tt14063678|nm3948996|sergio / postman</x:v>
      </x:c>
      <x:c r="B331" s="14" t="str">
        <x:v>04</x:v>
      </x:c>
      <x:c r="C331" s="14" t="str">
        <x:v>2023_IMDb_Cast_Lists_Batch_04(2).xlsx</x:v>
      </x:c>
      <x:c r="D331" s="14" t="str">
        <x:v>The Gold</x:v>
      </x:c>
      <x:c r="E331" s="14" t="n">
        <x:v>50</x:v>
      </x:c>
      <x:c r="F331" s="14" t="str">
        <x:v>The Gold</x:v>
      </x:c>
      <x:c r="G331" s="14" t="str">
        <x:v>tt14063678</x:v>
      </x:c>
      <x:c r="H331" s="14" t="n">
        <x:v>2023</x:v>
      </x:c>
      <x:c r="I331" s="14" t="n">
        <x:v>2025</x:v>
      </x:c>
      <x:c r="J331" s="14" t="str">
        <x:v>Earlier-Production Carry-In Cohort</x:v>
      </x:c>
      <x:c r="K331" s="14" t="n">
        <x:v>2023</x:v>
      </x:c>
      <x:c r="L331" s="14" t="str">
        <x:v>Not inherited</x:v>
      </x:c>
      <x:c r="M331" s="15" t="n">
        <x:v>43</x:v>
      </x:c>
      <x:c r="N331" s="14" t="str">
        <x:v>Eduardo Ferrés</x:v>
      </x:c>
      <x:c r="O331" s="14" t="str">
        <x:v>nm3948996</x:v>
      </x:c>
      <x:c r="P331" s="14" t="str">
        <x:v>Sergio / Postman</x:v>
      </x:c>
      <x:c r="Q331" s="15" t="n">
        <x:v>3</x:v>
      </x:c>
      <x:c r="R331" s="14" t="str">
        <x:v>2025</x:v>
      </x:c>
      <x:c r="S331" s="14" t="n">
        <x:v>2025</x:v>
      </x:c>
      <x:c r="T331" s="14" t="n">
        <x:v>2025</x:v>
      </x:c>
      <x:c r="U331" s="14" t="str">
        <x:v>Explicit source first year retained</x:v>
      </x:c>
      <x:c r="V331" s="14" t="str">
        <x:v>Earliest supplied year is 2025.</x:v>
      </x:c>
      <x:c r="W331" s="14"/>
      <x:c r="X331" s="14" t="str">
        <x:v>Included</x:v>
      </x:c>
      <x:c r="Y331" s="14"/>
      <x:c r="Z331" s="14" t="str">
        <x:v>The Gold.docx</x:v>
      </x:c>
      <x:c r="AA331" s="14" t="str">
        <x:v>HYPERLINK is not implemented. linkLocation=https://www.imdb.com/title/tt14063678/fullcredits/,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BBC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1" s="14" t="str">
        <x:v>BBC public-service commission</x:v>
      </x:c>
      <x:c r="AO331" s="14" t="str">
        <x:v>Yes</x:v>
      </x:c>
      <x:c r="AP331" s="14" t="str">
        <x:v>Direct BBC public-service scope</x:v>
      </x:c>
      <x:c r="AQ331" s="14" t="str">
        <x:v>Yes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3</x:v>
      </x:c>
      <x:c r="BS331" s="16" t="n">
        <x:v>0.25</x:v>
      </x:c>
      <x:c r="BT331" s="14" t="str">
        <x:v>Minority of episodes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4" t="str">
        <x:v>HYPERLINK is not implemented. linkLocation=https://www.imdb.com/title/tt14063678/fullcredits/,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tt14063678|nm6466535|alice harper</x:v>
      </x:c>
      <x:c r="B332" s="14" t="str">
        <x:v>04</x:v>
      </x:c>
      <x:c r="C332" s="14" t="str">
        <x:v>2023_IMDb_Cast_Lists_Batch_04(2).xlsx</x:v>
      </x:c>
      <x:c r="D332" s="14" t="str">
        <x:v>The Gold</x:v>
      </x:c>
      <x:c r="E332" s="14" t="n">
        <x:v>52</x:v>
      </x:c>
      <x:c r="F332" s="14" t="str">
        <x:v>The Gold</x:v>
      </x:c>
      <x:c r="G332" s="14" t="str">
        <x:v>tt14063678</x:v>
      </x:c>
      <x:c r="H332" s="14" t="n">
        <x:v>2023</x:v>
      </x:c>
      <x:c r="I332" s="14" t="n">
        <x:v>2025</x:v>
      </x:c>
      <x:c r="J332" s="14" t="str">
        <x:v>Earlier-Production Carry-In Cohort</x:v>
      </x:c>
      <x:c r="K332" s="14" t="n">
        <x:v>2023</x:v>
      </x:c>
      <x:c r="L332" s="14" t="str">
        <x:v>Not inherited</x:v>
      </x:c>
      <x:c r="M332" s="15" t="n">
        <x:v>45</x:v>
      </x:c>
      <x:c r="N332" s="14" t="str">
        <x:v>Tamsin Topolski</x:v>
      </x:c>
      <x:c r="O332" s="14" t="str">
        <x:v>nm6466535</x:v>
      </x:c>
      <x:c r="P332" s="14" t="str">
        <x:v>Alice Harper</x:v>
      </x:c>
      <x:c r="Q332" s="15" t="n">
        <x:v>3</x:v>
      </x:c>
      <x:c r="R332" s="14" t="str">
        <x:v>2025</x:v>
      </x:c>
      <x:c r="S332" s="14" t="n">
        <x:v>2025</x:v>
      </x:c>
      <x:c r="T332" s="14" t="n">
        <x:v>2025</x:v>
      </x:c>
      <x:c r="U332" s="14" t="str">
        <x:v>Explicit source first year retained</x:v>
      </x:c>
      <x:c r="V332" s="14" t="str">
        <x:v>Earliest supplied year is 2025.</x:v>
      </x:c>
      <x:c r="W332" s="14"/>
      <x:c r="X332" s="14" t="str">
        <x:v>Included</x:v>
      </x:c>
      <x:c r="Y332" s="14"/>
      <x:c r="Z332" s="14" t="str">
        <x:v>The Gold.docx</x:v>
      </x:c>
      <x:c r="AA332" s="14" t="str">
        <x:v>HYPERLINK is not implemented. linkLocation=https://www.imdb.com/title/tt14063678/fullcredits/,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BBC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2" s="14" t="str">
        <x:v>BBC public-service commission</x:v>
      </x:c>
      <x:c r="AO332" s="14" t="str">
        <x:v>Yes</x:v>
      </x:c>
      <x:c r="AP332" s="14" t="str">
        <x:v>Direct BBC public-service scope</x:v>
      </x:c>
      <x:c r="AQ332" s="14" t="str">
        <x:v>Yes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3</x:v>
      </x:c>
      <x:c r="BS332" s="16" t="n">
        <x:v>0.25</x:v>
      </x:c>
      <x:c r="BT332" s="14" t="str">
        <x:v>Minority of episodes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4" t="str">
        <x:v>HYPERLINK is not implemented. linkLocation=https://www.imdb.com/title/tt14063678/fullcredits/,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tt14063678|nm5640405|sarah</x:v>
      </x:c>
      <x:c r="B333" s="14" t="str">
        <x:v>04</x:v>
      </x:c>
      <x:c r="C333" s="14" t="str">
        <x:v>2023_IMDb_Cast_Lists_Batch_04(2).xlsx</x:v>
      </x:c>
      <x:c r="D333" s="14" t="str">
        <x:v>The Gold</x:v>
      </x:c>
      <x:c r="E333" s="14" t="n">
        <x:v>54</x:v>
      </x:c>
      <x:c r="F333" s="14" t="str">
        <x:v>The Gold</x:v>
      </x:c>
      <x:c r="G333" s="14" t="str">
        <x:v>tt14063678</x:v>
      </x:c>
      <x:c r="H333" s="14" t="n">
        <x:v>2023</x:v>
      </x:c>
      <x:c r="I333" s="14" t="n">
        <x:v>2025</x:v>
      </x:c>
      <x:c r="J333" s="14" t="str">
        <x:v>Earlier-Production Carry-In Cohort</x:v>
      </x:c>
      <x:c r="K333" s="14" t="n">
        <x:v>2023</x:v>
      </x:c>
      <x:c r="L333" s="14" t="str">
        <x:v>Not inherited</x:v>
      </x:c>
      <x:c r="M333" s="15" t="n">
        <x:v>47</x:v>
      </x:c>
      <x:c r="N333" s="14" t="str">
        <x:v>Jennifer Kirby</x:v>
      </x:c>
      <x:c r="O333" s="14" t="str">
        <x:v>nm5640405</x:v>
      </x:c>
      <x:c r="P333" s="14" t="str">
        <x:v>Sarah</x:v>
      </x:c>
      <x:c r="Q333" s="15" t="n">
        <x:v>3</x:v>
      </x:c>
      <x:c r="R333" s="14" t="str">
        <x:v>2025</x:v>
      </x:c>
      <x:c r="S333" s="14" t="n">
        <x:v>2025</x:v>
      </x:c>
      <x:c r="T333" s="14" t="n">
        <x:v>2025</x:v>
      </x:c>
      <x:c r="U333" s="14" t="str">
        <x:v>Explicit source first year retained</x:v>
      </x:c>
      <x:c r="V333" s="14" t="str">
        <x:v>Earliest supplied year is 2025.</x:v>
      </x:c>
      <x:c r="W333" s="14"/>
      <x:c r="X333" s="14" t="str">
        <x:v>Included</x:v>
      </x:c>
      <x:c r="Y333" s="14"/>
      <x:c r="Z333" s="14" t="str">
        <x:v>The Gold.docx</x:v>
      </x:c>
      <x:c r="AA333" s="14" t="str">
        <x:v>HYPERLINK is not implemented. linkLocation=https://www.imdb.com/title/tt14063678/fullcredits/,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BBC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3" s="14" t="str">
        <x:v>BBC public-service commission</x:v>
      </x:c>
      <x:c r="AO333" s="14" t="str">
        <x:v>Yes</x:v>
      </x:c>
      <x:c r="AP333" s="14" t="str">
        <x:v>Direct BBC public-service scope</x:v>
      </x:c>
      <x:c r="AQ333" s="14" t="str">
        <x:v>Yes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3</x:v>
      </x:c>
      <x:c r="BS333" s="16" t="n">
        <x:v>0.25</x:v>
      </x:c>
      <x:c r="BT333" s="14" t="str">
        <x:v>Minority of episodes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4" t="str">
        <x:v>HYPERLINK is not implemented. linkLocation=https://www.imdb.com/title/tt14063678/fullcredits/,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tt14063678|nm7858011|scott errico</x:v>
      </x:c>
      <x:c r="B334" s="14" t="str">
        <x:v>04</x:v>
      </x:c>
      <x:c r="C334" s="14" t="str">
        <x:v>2023_IMDb_Cast_Lists_Batch_04(2).xlsx</x:v>
      </x:c>
      <x:c r="D334" s="14" t="str">
        <x:v>The Gold</x:v>
      </x:c>
      <x:c r="E334" s="14" t="n">
        <x:v>56</x:v>
      </x:c>
      <x:c r="F334" s="14" t="str">
        <x:v>The Gold</x:v>
      </x:c>
      <x:c r="G334" s="14" t="str">
        <x:v>tt14063678</x:v>
      </x:c>
      <x:c r="H334" s="14" t="n">
        <x:v>2023</x:v>
      </x:c>
      <x:c r="I334" s="14" t="n">
        <x:v>2025</x:v>
      </x:c>
      <x:c r="J334" s="14" t="str">
        <x:v>Earlier-Production Carry-In Cohort</x:v>
      </x:c>
      <x:c r="K334" s="14" t="n">
        <x:v>2023</x:v>
      </x:c>
      <x:c r="L334" s="14" t="str">
        <x:v>Not inherited</x:v>
      </x:c>
      <x:c r="M334" s="15" t="n">
        <x:v>49</x:v>
      </x:c>
      <x:c r="N334" s="14" t="str">
        <x:v>Jack Bandeira</x:v>
      </x:c>
      <x:c r="O334" s="14" t="str">
        <x:v>nm7858011</x:v>
      </x:c>
      <x:c r="P334" s="14" t="str">
        <x:v>Scott Errico</x:v>
      </x:c>
      <x:c r="Q334" s="15" t="n">
        <x:v>2</x:v>
      </x:c>
      <x:c r="R334" s="14" t="str">
        <x:v>2025</x:v>
      </x:c>
      <x:c r="S334" s="14" t="n">
        <x:v>2025</x:v>
      </x:c>
      <x:c r="T334" s="14" t="n">
        <x:v>2025</x:v>
      </x:c>
      <x:c r="U334" s="14" t="str">
        <x:v>Explicit source first year retained</x:v>
      </x:c>
      <x:c r="V334" s="14" t="str">
        <x:v>Earliest supplied year is 2025.</x:v>
      </x:c>
      <x:c r="W334" s="14"/>
      <x:c r="X334" s="14" t="str">
        <x:v>Included</x:v>
      </x:c>
      <x:c r="Y334" s="14"/>
      <x:c r="Z334" s="14" t="str">
        <x:v>The Gold.docx</x:v>
      </x:c>
      <x:c r="AA334" s="14" t="str">
        <x:v>HYPERLINK is not implemented. linkLocation=https://www.imdb.com/title/tt14063678/fullcredits/,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BBC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4" s="14" t="str">
        <x:v>BBC public-service commission</x:v>
      </x:c>
      <x:c r="AO334" s="14" t="str">
        <x:v>Yes</x:v>
      </x:c>
      <x:c r="AP334" s="14" t="str">
        <x:v>Direct BBC public-service scope</x:v>
      </x:c>
      <x:c r="AQ334" s="14" t="str">
        <x:v>Yes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2</x:v>
      </x:c>
      <x:c r="BS334" s="16" t="n">
        <x:v>0.16666666666666666</x:v>
      </x:c>
      <x:c r="BT334" s="14" t="str">
        <x:v>Minority of episodes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4" t="str">
        <x:v>HYPERLINK is not implemented. linkLocation=https://www.imdb.com/title/tt14063678/fullcredits/,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tt14063678|nm2466976|palmer's secretary</x:v>
      </x:c>
      <x:c r="B335" s="14" t="str">
        <x:v>04</x:v>
      </x:c>
      <x:c r="C335" s="14" t="str">
        <x:v>2023_IMDb_Cast_Lists_Batch_04(2).xlsx</x:v>
      </x:c>
      <x:c r="D335" s="14" t="str">
        <x:v>The Gold</x:v>
      </x:c>
      <x:c r="E335" s="14" t="n">
        <x:v>58</x:v>
      </x:c>
      <x:c r="F335" s="14" t="str">
        <x:v>The Gold</x:v>
      </x:c>
      <x:c r="G335" s="14" t="str">
        <x:v>tt14063678</x:v>
      </x:c>
      <x:c r="H335" s="14" t="n">
        <x:v>2023</x:v>
      </x:c>
      <x:c r="I335" s="14" t="n">
        <x:v>2025</x:v>
      </x:c>
      <x:c r="J335" s="14" t="str">
        <x:v>Earlier-Production Carry-In Cohort</x:v>
      </x:c>
      <x:c r="K335" s="14" t="n">
        <x:v>2023</x:v>
      </x:c>
      <x:c r="L335" s="14" t="str">
        <x:v>Not inherited</x:v>
      </x:c>
      <x:c r="M335" s="15" t="n">
        <x:v>51</x:v>
      </x:c>
      <x:c r="N335" s="14" t="str">
        <x:v>Anna Coll Miller</x:v>
      </x:c>
      <x:c r="O335" s="14" t="str">
        <x:v>nm2466976</x:v>
      </x:c>
      <x:c r="P335" s="14" t="str">
        <x:v>Palmer's Secretary</x:v>
      </x:c>
      <x:c r="Q335" s="15" t="n">
        <x:v>2</x:v>
      </x:c>
      <x:c r="R335" s="14" t="str">
        <x:v>2025</x:v>
      </x:c>
      <x:c r="S335" s="14" t="n">
        <x:v>2025</x:v>
      </x:c>
      <x:c r="T335" s="14" t="n">
        <x:v>2025</x:v>
      </x:c>
      <x:c r="U335" s="14" t="str">
        <x:v>Explicit source first year retained</x:v>
      </x:c>
      <x:c r="V335" s="14" t="str">
        <x:v>Earliest supplied year is 2025.</x:v>
      </x:c>
      <x:c r="W335" s="14"/>
      <x:c r="X335" s="14" t="str">
        <x:v>Included</x:v>
      </x:c>
      <x:c r="Y335" s="14" t="str">
        <x:v>(as Anna Coll)</x:v>
      </x:c>
      <x:c r="Z335" s="14" t="str">
        <x:v>The Gold.docx</x:v>
      </x:c>
      <x:c r="AA335" s="14" t="str">
        <x:v>HYPERLINK is not implemented. linkLocation=https://www.imdb.com/title/tt14063678/fullcredits/,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BBC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5" s="14" t="str">
        <x:v>BBC public-service commission</x:v>
      </x:c>
      <x:c r="AO335" s="14" t="str">
        <x:v>Yes</x:v>
      </x:c>
      <x:c r="AP335" s="14" t="str">
        <x:v>Direct BBC public-service scope</x:v>
      </x:c>
      <x:c r="AQ335" s="14" t="str">
        <x:v>Yes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2</x:v>
      </x:c>
      <x:c r="BS335" s="16" t="n">
        <x:v>0.16666666666666666</x:v>
      </x:c>
      <x:c r="BT335" s="14" t="str">
        <x:v>Minority of episodes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4" t="str">
        <x:v>HYPERLINK is not implemented. linkLocation=https://www.imdb.com/title/tt14063678/fullcredits/,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tt14063678|nm0230577|nick biddiss</x:v>
      </x:c>
      <x:c r="B336" s="14" t="str">
        <x:v>04</x:v>
      </x:c>
      <x:c r="C336" s="14" t="str">
        <x:v>2023_IMDb_Cast_Lists_Batch_04(2).xlsx</x:v>
      </x:c>
      <x:c r="D336" s="14" t="str">
        <x:v>The Gold</x:v>
      </x:c>
      <x:c r="E336" s="14" t="n">
        <x:v>60</x:v>
      </x:c>
      <x:c r="F336" s="14" t="str">
        <x:v>The Gold</x:v>
      </x:c>
      <x:c r="G336" s="14" t="str">
        <x:v>tt14063678</x:v>
      </x:c>
      <x:c r="H336" s="14" t="n">
        <x:v>2023</x:v>
      </x:c>
      <x:c r="I336" s="14" t="n">
        <x:v>2025</x:v>
      </x:c>
      <x:c r="J336" s="14" t="str">
        <x:v>Earlier-Production Carry-In Cohort</x:v>
      </x:c>
      <x:c r="K336" s="14" t="n">
        <x:v>2023</x:v>
      </x:c>
      <x:c r="L336" s="14" t="str">
        <x:v>Not inherited</x:v>
      </x:c>
      <x:c r="M336" s="15" t="n">
        <x:v>53</x:v>
      </x:c>
      <x:c r="N336" s="14" t="str">
        <x:v>James Doherty</x:v>
      </x:c>
      <x:c r="O336" s="14" t="str">
        <x:v>nm0230577</x:v>
      </x:c>
      <x:c r="P336" s="14" t="str">
        <x:v>Nick Biddiss</x:v>
      </x:c>
      <x:c r="Q336" s="15" t="n">
        <x:v>2</x:v>
      </x:c>
      <x:c r="R336" s="14" t="str">
        <x:v>2025</x:v>
      </x:c>
      <x:c r="S336" s="14" t="n">
        <x:v>2025</x:v>
      </x:c>
      <x:c r="T336" s="14" t="n">
        <x:v>2025</x:v>
      </x:c>
      <x:c r="U336" s="14" t="str">
        <x:v>Explicit source first year retained</x:v>
      </x:c>
      <x:c r="V336" s="14" t="str">
        <x:v>Earliest supplied year is 2025.</x:v>
      </x:c>
      <x:c r="W336" s="14"/>
      <x:c r="X336" s="14" t="str">
        <x:v>Included</x:v>
      </x:c>
      <x:c r="Y336" s="14"/>
      <x:c r="Z336" s="14" t="str">
        <x:v>The Gold.docx</x:v>
      </x:c>
      <x:c r="AA336" s="14" t="str">
        <x:v>HYPERLINK is not implemented. linkLocation=https://www.imdb.com/title/tt14063678/fullcredits/,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BBC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6" s="14" t="str">
        <x:v>BBC public-service commission</x:v>
      </x:c>
      <x:c r="AO336" s="14" t="str">
        <x:v>Yes</x:v>
      </x:c>
      <x:c r="AP336" s="14" t="str">
        <x:v>Direct BBC public-service scope</x:v>
      </x:c>
      <x:c r="AQ336" s="14" t="str">
        <x:v>Yes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2</x:v>
      </x:c>
      <x:c r="BS336" s="16" t="n">
        <x:v>0.16666666666666666</x:v>
      </x:c>
      <x:c r="BT336" s="14" t="str">
        <x:v>Minority of episodes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4" t="str">
        <x:v>HYPERLINK is not implemented. linkLocation=https://www.imdb.com/title/tt14063678/fullcredits/,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tt14063678|nm0885847|gloria dominguez</x:v>
      </x:c>
      <x:c r="B337" s="14" t="str">
        <x:v>04</x:v>
      </x:c>
      <x:c r="C337" s="14" t="str">
        <x:v>2023_IMDb_Cast_Lists_Batch_04(2).xlsx</x:v>
      </x:c>
      <x:c r="D337" s="14" t="str">
        <x:v>The Gold</x:v>
      </x:c>
      <x:c r="E337" s="14" t="n">
        <x:v>64</x:v>
      </x:c>
      <x:c r="F337" s="14" t="str">
        <x:v>The Gold</x:v>
      </x:c>
      <x:c r="G337" s="14" t="str">
        <x:v>tt14063678</x:v>
      </x:c>
      <x:c r="H337" s="14" t="n">
        <x:v>2023</x:v>
      </x:c>
      <x:c r="I337" s="14" t="n">
        <x:v>2025</x:v>
      </x:c>
      <x:c r="J337" s="14" t="str">
        <x:v>Earlier-Production Carry-In Cohort</x:v>
      </x:c>
      <x:c r="K337" s="14" t="n">
        <x:v>2023</x:v>
      </x:c>
      <x:c r="L337" s="14" t="str">
        <x:v>Not inherited</x:v>
      </x:c>
      <x:c r="M337" s="15" t="n">
        <x:v>57</x:v>
      </x:c>
      <x:c r="N337" s="14" t="str">
        <x:v>Mònica Van Campen</x:v>
      </x:c>
      <x:c r="O337" s="14" t="str">
        <x:v>nm0885847</x:v>
      </x:c>
      <x:c r="P337" s="14" t="str">
        <x:v>Gloria Dominguez</x:v>
      </x:c>
      <x:c r="Q337" s="15" t="n">
        <x:v>2</x:v>
      </x:c>
      <x:c r="R337" s="14" t="str">
        <x:v>2025</x:v>
      </x:c>
      <x:c r="S337" s="14" t="n">
        <x:v>2025</x:v>
      </x:c>
      <x:c r="T337" s="14" t="n">
        <x:v>2025</x:v>
      </x:c>
      <x:c r="U337" s="14" t="str">
        <x:v>Explicit source first year retained</x:v>
      </x:c>
      <x:c r="V337" s="14" t="str">
        <x:v>Earliest supplied year is 2025.</x:v>
      </x:c>
      <x:c r="W337" s="14"/>
      <x:c r="X337" s="14" t="str">
        <x:v>Included</x:v>
      </x:c>
      <x:c r="Y337" s="14"/>
      <x:c r="Z337" s="14" t="str">
        <x:v>The Gold.docx</x:v>
      </x:c>
      <x:c r="AA337" s="14" t="str">
        <x:v>HYPERLINK is not implemented. linkLocation=https://www.imdb.com/title/tt14063678/fullcredits/,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BBC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7" s="14" t="str">
        <x:v>BBC public-service commission</x:v>
      </x:c>
      <x:c r="AO337" s="14" t="str">
        <x:v>Yes</x:v>
      </x:c>
      <x:c r="AP337" s="14" t="str">
        <x:v>Direct BBC public-service scope</x:v>
      </x:c>
      <x:c r="AQ337" s="14" t="str">
        <x:v>Yes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2</x:v>
      </x:c>
      <x:c r="BS337" s="16" t="n">
        <x:v>0.16666666666666666</x:v>
      </x:c>
      <x:c r="BT337" s="14" t="str">
        <x:v>Minority of episodes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4" t="str">
        <x:v>HYPERLINK is not implemented. linkLocation=https://www.imdb.com/title/tt14063678/fullcredits/,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tt14063678|nm0917347|tina keyes</x:v>
      </x:c>
      <x:c r="B338" s="14" t="str">
        <x:v>04</x:v>
      </x:c>
      <x:c r="C338" s="14" t="str">
        <x:v>2023_IMDb_Cast_Lists_Batch_04(2).xlsx</x:v>
      </x:c>
      <x:c r="D338" s="14" t="str">
        <x:v>The Gold</x:v>
      </x:c>
      <x:c r="E338" s="14" t="n">
        <x:v>67</x:v>
      </x:c>
      <x:c r="F338" s="14" t="str">
        <x:v>The Gold</x:v>
      </x:c>
      <x:c r="G338" s="14" t="str">
        <x:v>tt14063678</x:v>
      </x:c>
      <x:c r="H338" s="14" t="n">
        <x:v>2023</x:v>
      </x:c>
      <x:c r="I338" s="14" t="n">
        <x:v>2025</x:v>
      </x:c>
      <x:c r="J338" s="14" t="str">
        <x:v>Earlier-Production Carry-In Cohort</x:v>
      </x:c>
      <x:c r="K338" s="14" t="n">
        <x:v>2023</x:v>
      </x:c>
      <x:c r="L338" s="14" t="str">
        <x:v>Not inherited</x:v>
      </x:c>
      <x:c r="M338" s="15" t="n">
        <x:v>60</x:v>
      </x:c>
      <x:c r="N338" s="14" t="str">
        <x:v>Perdita Weeks</x:v>
      </x:c>
      <x:c r="O338" s="14" t="str">
        <x:v>nm0917347</x:v>
      </x:c>
      <x:c r="P338" s="14" t="str">
        <x:v>Tina Keyes</x:v>
      </x:c>
      <x:c r="Q338" s="15" t="n">
        <x:v>2</x:v>
      </x:c>
      <x:c r="R338" s="14" t="str">
        <x:v>2025</x:v>
      </x:c>
      <x:c r="S338" s="14" t="n">
        <x:v>2025</x:v>
      </x:c>
      <x:c r="T338" s="14" t="n">
        <x:v>2025</x:v>
      </x:c>
      <x:c r="U338" s="14" t="str">
        <x:v>Explicit source first year retained</x:v>
      </x:c>
      <x:c r="V338" s="14" t="str">
        <x:v>Earliest supplied year is 2025.</x:v>
      </x:c>
      <x:c r="W338" s="14"/>
      <x:c r="X338" s="14" t="str">
        <x:v>Included</x:v>
      </x:c>
      <x:c r="Y338" s="14"/>
      <x:c r="Z338" s="14" t="str">
        <x:v>The Gold.docx</x:v>
      </x:c>
      <x:c r="AA338" s="14" t="str">
        <x:v>HYPERLINK is not implemented. linkLocation=https://www.imdb.com/title/tt14063678/fullcredits/,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BBC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8" s="14" t="str">
        <x:v>BBC public-service commission</x:v>
      </x:c>
      <x:c r="AO338" s="14" t="str">
        <x:v>Yes</x:v>
      </x:c>
      <x:c r="AP338" s="14" t="str">
        <x:v>Direct BBC public-service scope</x:v>
      </x:c>
      <x:c r="AQ338" s="14" t="str">
        <x:v>Yes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2</x:v>
      </x:c>
      <x:c r="BS338" s="16" t="n">
        <x:v>0.16666666666666666</x:v>
      </x:c>
      <x:c r="BT338" s="14" t="str">
        <x:v>Minority of episodes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4" t="str">
        <x:v>HYPERLINK is not implemented. linkLocation=https://www.imdb.com/title/tt14063678/fullcredits/,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tt14063678|nm2372275|alyssa / alyssa banks</x:v>
      </x:c>
      <x:c r="B339" s="14" t="str">
        <x:v>04</x:v>
      </x:c>
      <x:c r="C339" s="14" t="str">
        <x:v>2023_IMDb_Cast_Lists_Batch_04(2).xlsx</x:v>
      </x:c>
      <x:c r="D339" s="14" t="str">
        <x:v>The Gold</x:v>
      </x:c>
      <x:c r="E339" s="14" t="n">
        <x:v>70</x:v>
      </x:c>
      <x:c r="F339" s="14" t="str">
        <x:v>The Gold</x:v>
      </x:c>
      <x:c r="G339" s="14" t="str">
        <x:v>tt14063678</x:v>
      </x:c>
      <x:c r="H339" s="14" t="n">
        <x:v>2023</x:v>
      </x:c>
      <x:c r="I339" s="14" t="n">
        <x:v>2025</x:v>
      </x:c>
      <x:c r="J339" s="14" t="str">
        <x:v>Earlier-Production Carry-In Cohort</x:v>
      </x:c>
      <x:c r="K339" s="14" t="n">
        <x:v>2023</x:v>
      </x:c>
      <x:c r="L339" s="14" t="str">
        <x:v>Not inherited</x:v>
      </x:c>
      <x:c r="M339" s="15" t="n">
        <x:v>63</x:v>
      </x:c>
      <x:c r="N339" s="14" t="str">
        <x:v>Olivia Grant</x:v>
      </x:c>
      <x:c r="O339" s="14" t="str">
        <x:v>nm2372275</x:v>
      </x:c>
      <x:c r="P339" s="14" t="str">
        <x:v>Alyssa / Alyssa Banks</x:v>
      </x:c>
      <x:c r="Q339" s="15" t="n">
        <x:v>2</x:v>
      </x:c>
      <x:c r="R339" s="14" t="str">
        <x:v>2025</x:v>
      </x:c>
      <x:c r="S339" s="14" t="n">
        <x:v>2025</x:v>
      </x:c>
      <x:c r="T339" s="14" t="n">
        <x:v>2025</x:v>
      </x:c>
      <x:c r="U339" s="14" t="str">
        <x:v>Explicit source first year retained</x:v>
      </x:c>
      <x:c r="V339" s="14" t="str">
        <x:v>Earliest supplied year is 2025.</x:v>
      </x:c>
      <x:c r="W339" s="14"/>
      <x:c r="X339" s="14" t="str">
        <x:v>Included</x:v>
      </x:c>
      <x:c r="Y339" s="14"/>
      <x:c r="Z339" s="14" t="str">
        <x:v>The Gold.docx</x:v>
      </x:c>
      <x:c r="AA339" s="14" t="str">
        <x:v>HYPERLINK is not implemented. linkLocation=https://www.imdb.com/title/tt14063678/fullcredits/,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BBC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39" s="14" t="str">
        <x:v>BBC public-service commission</x:v>
      </x:c>
      <x:c r="AO339" s="14" t="str">
        <x:v>Yes</x:v>
      </x:c>
      <x:c r="AP339" s="14" t="str">
        <x:v>Direct BBC public-service scope</x:v>
      </x:c>
      <x:c r="AQ339" s="14" t="str">
        <x:v>Yes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12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2</x:v>
      </x:c>
      <x:c r="BS339" s="16" t="n">
        <x:v>0.16666666666666666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4" t="str">
        <x:v>HYPERLINK is not implemented. linkLocation=https://www.imdb.com/title/tt14063678/fullcredits/,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tt14063678|nm6343650|pam</x:v>
      </x:c>
      <x:c r="B340" s="14" t="str">
        <x:v>04</x:v>
      </x:c>
      <x:c r="C340" s="14" t="str">
        <x:v>2023_IMDb_Cast_Lists_Batch_04(2).xlsx</x:v>
      </x:c>
      <x:c r="D340" s="14" t="str">
        <x:v>The Gold</x:v>
      </x:c>
      <x:c r="E340" s="14" t="n">
        <x:v>71</x:v>
      </x:c>
      <x:c r="F340" s="14" t="str">
        <x:v>The Gold</x:v>
      </x:c>
      <x:c r="G340" s="14" t="str">
        <x:v>tt14063678</x:v>
      </x:c>
      <x:c r="H340" s="14" t="n">
        <x:v>2023</x:v>
      </x:c>
      <x:c r="I340" s="14" t="n">
        <x:v>2025</x:v>
      </x:c>
      <x:c r="J340" s="14" t="str">
        <x:v>Earlier-Production Carry-In Cohort</x:v>
      </x:c>
      <x:c r="K340" s="14" t="n">
        <x:v>2023</x:v>
      </x:c>
      <x:c r="L340" s="14" t="str">
        <x:v>Not inherited</x:v>
      </x:c>
      <x:c r="M340" s="15" t="n">
        <x:v>64</x:v>
      </x:c>
      <x:c r="N340" s="14" t="str">
        <x:v>Julie Nash</x:v>
      </x:c>
      <x:c r="O340" s="14" t="str">
        <x:v>nm6343650</x:v>
      </x:c>
      <x:c r="P340" s="14" t="str">
        <x:v>Pam</x:v>
      </x:c>
      <x:c r="Q340" s="15" t="n">
        <x:v>2</x:v>
      </x:c>
      <x:c r="R340" s="14" t="str">
        <x:v>2025</x:v>
      </x:c>
      <x:c r="S340" s="14" t="n">
        <x:v>2025</x:v>
      </x:c>
      <x:c r="T340" s="14" t="n">
        <x:v>2025</x:v>
      </x:c>
      <x:c r="U340" s="14" t="str">
        <x:v>Explicit source first year retained</x:v>
      </x:c>
      <x:c r="V340" s="14" t="str">
        <x:v>Earliest supplied year is 2025.</x:v>
      </x:c>
      <x:c r="W340" s="14"/>
      <x:c r="X340" s="14" t="str">
        <x:v>Included</x:v>
      </x:c>
      <x:c r="Y340" s="14"/>
      <x:c r="Z340" s="14" t="str">
        <x:v>The Gold.docx</x:v>
      </x:c>
      <x:c r="AA340" s="14" t="str">
        <x:v>HYPERLINK is not implemented. linkLocation=https://www.imdb.com/title/tt14063678/fullcredits/,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BBC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0" s="14" t="str">
        <x:v>BBC public-service commission</x:v>
      </x:c>
      <x:c r="AO340" s="14" t="str">
        <x:v>Yes</x:v>
      </x:c>
      <x:c r="AP340" s="14" t="str">
        <x:v>Direct BBC public-service scope</x:v>
      </x:c>
      <x:c r="AQ340" s="14" t="str">
        <x:v>Yes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12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2</x:v>
      </x:c>
      <x:c r="BS340" s="16" t="n">
        <x:v>0.16666666666666666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4" t="str">
        <x:v>HYPERLINK is not implemented. linkLocation=https://www.imdb.com/title/tt14063678/fullcredits/,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tt14063678|nm0205289|joey wilkins</x:v>
      </x:c>
      <x:c r="B341" s="14" t="str">
        <x:v>04</x:v>
      </x:c>
      <x:c r="C341" s="14" t="str">
        <x:v>2023_IMDb_Cast_Lists_Batch_04(2).xlsx</x:v>
      </x:c>
      <x:c r="D341" s="14" t="str">
        <x:v>The Gold</x:v>
      </x:c>
      <x:c r="E341" s="14" t="n">
        <x:v>72</x:v>
      </x:c>
      <x:c r="F341" s="14" t="str">
        <x:v>The Gold</x:v>
      </x:c>
      <x:c r="G341" s="14" t="str">
        <x:v>tt14063678</x:v>
      </x:c>
      <x:c r="H341" s="14" t="n">
        <x:v>2023</x:v>
      </x:c>
      <x:c r="I341" s="14" t="n">
        <x:v>2025</x:v>
      </x:c>
      <x:c r="J341" s="14" t="str">
        <x:v>Earlier-Production Carry-In Cohort</x:v>
      </x:c>
      <x:c r="K341" s="14" t="n">
        <x:v>2023</x:v>
      </x:c>
      <x:c r="L341" s="14" t="str">
        <x:v>Not inherited</x:v>
      </x:c>
      <x:c r="M341" s="15" t="n">
        <x:v>65</x:v>
      </x:c>
      <x:c r="N341" s="14" t="str">
        <x:v>Phil Davis</x:v>
      </x:c>
      <x:c r="O341" s="14" t="str">
        <x:v>nm0205289</x:v>
      </x:c>
      <x:c r="P341" s="14" t="str">
        <x:v>Joey Wilkins</x:v>
      </x:c>
      <x:c r="Q341" s="15" t="n">
        <x:v>1</x:v>
      </x:c>
      <x:c r="R341" s="14" t="str">
        <x:v>2025</x:v>
      </x:c>
      <x:c r="S341" s="14" t="n">
        <x:v>2025</x:v>
      </x:c>
      <x:c r="T341" s="14" t="n">
        <x:v>2025</x:v>
      </x:c>
      <x:c r="U341" s="14" t="str">
        <x:v>Explicit source first year retained</x:v>
      </x:c>
      <x:c r="V341" s="14" t="str">
        <x:v>Earliest supplied year is 2025.</x:v>
      </x:c>
      <x:c r="W341" s="14"/>
      <x:c r="X341" s="14" t="str">
        <x:v>Included</x:v>
      </x:c>
      <x:c r="Y341" s="14"/>
      <x:c r="Z341" s="14" t="str">
        <x:v>The Gold.docx</x:v>
      </x:c>
      <x:c r="AA341" s="14" t="str">
        <x:v>HYPERLINK is not implemented. linkLocation=https://www.imdb.com/title/tt14063678/fullcredits/,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BBC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1" s="14" t="str">
        <x:v>BBC public-service commission</x:v>
      </x:c>
      <x:c r="AO341" s="14" t="str">
        <x:v>Yes</x:v>
      </x:c>
      <x:c r="AP341" s="14" t="str">
        <x:v>Direct BBC public-service scope</x:v>
      </x:c>
      <x:c r="AQ341" s="14" t="str">
        <x:v>Yes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1</x:v>
      </x:c>
      <x:c r="BS341" s="16" t="n">
        <x:v>0.08333333333333333</x:v>
      </x:c>
      <x:c r="BT341" s="14" t="str">
        <x:v>One episode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4" t="str">
        <x:v>HYPERLINK is not implemented. linkLocation=https://www.imdb.com/title/tt14063678/fullcredits/,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tt14063678|nm2668439|ethel</x:v>
      </x:c>
      <x:c r="B342" s="14" t="str">
        <x:v>04</x:v>
      </x:c>
      <x:c r="C342" s="14" t="str">
        <x:v>2023_IMDb_Cast_Lists_Batch_04(2).xlsx</x:v>
      </x:c>
      <x:c r="D342" s="14" t="str">
        <x:v>The Gold</x:v>
      </x:c>
      <x:c r="E342" s="14" t="n">
        <x:v>76</x:v>
      </x:c>
      <x:c r="F342" s="14" t="str">
        <x:v>The Gold</x:v>
      </x:c>
      <x:c r="G342" s="14" t="str">
        <x:v>tt14063678</x:v>
      </x:c>
      <x:c r="H342" s="14" t="n">
        <x:v>2023</x:v>
      </x:c>
      <x:c r="I342" s="14" t="n">
        <x:v>2025</x:v>
      </x:c>
      <x:c r="J342" s="14" t="str">
        <x:v>Earlier-Production Carry-In Cohort</x:v>
      </x:c>
      <x:c r="K342" s="14" t="n">
        <x:v>2023</x:v>
      </x:c>
      <x:c r="L342" s="14" t="str">
        <x:v>Not inherited</x:v>
      </x:c>
      <x:c r="M342" s="15" t="n">
        <x:v>69</x:v>
      </x:c>
      <x:c r="N342" s="14" t="str">
        <x:v>Annie Aldington</x:v>
      </x:c>
      <x:c r="O342" s="14" t="str">
        <x:v>nm2668439</x:v>
      </x:c>
      <x:c r="P342" s="14" t="str">
        <x:v>Ethel</x:v>
      </x:c>
      <x:c r="Q342" s="15" t="n">
        <x:v>1</x:v>
      </x:c>
      <x:c r="R342" s="14" t="str">
        <x:v>2025</x:v>
      </x:c>
      <x:c r="S342" s="14" t="n">
        <x:v>2025</x:v>
      </x:c>
      <x:c r="T342" s="14" t="n">
        <x:v>2025</x:v>
      </x:c>
      <x:c r="U342" s="14" t="str">
        <x:v>Explicit source first year retained</x:v>
      </x:c>
      <x:c r="V342" s="14" t="str">
        <x:v>Earliest supplied year is 2025.</x:v>
      </x:c>
      <x:c r="W342" s="14"/>
      <x:c r="X342" s="14" t="str">
        <x:v>Included</x:v>
      </x:c>
      <x:c r="Y342" s="14"/>
      <x:c r="Z342" s="14" t="str">
        <x:v>The Gold.docx</x:v>
      </x:c>
      <x:c r="AA342" s="14" t="str">
        <x:v>HYPERLINK is not implemented. linkLocation=https://www.imdb.com/title/tt14063678/fullcredits/,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BBC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2" s="14" t="str">
        <x:v>BBC public-service commission</x:v>
      </x:c>
      <x:c r="AO342" s="14" t="str">
        <x:v>Yes</x:v>
      </x:c>
      <x:c r="AP342" s="14" t="str">
        <x:v>Direct BBC public-service scope</x:v>
      </x:c>
      <x:c r="AQ342" s="14" t="str">
        <x:v>Yes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1</x:v>
      </x:c>
      <x:c r="BS342" s="16" t="n">
        <x:v>0.08333333333333333</x:v>
      </x:c>
      <x:c r="BT342" s="14" t="str">
        <x:v>One episode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4" t="str">
        <x:v>HYPERLINK is not implemented. linkLocation=https://www.imdb.com/title/tt14063678/fullcredits/,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tt14063678|nm5004033|danny</x:v>
      </x:c>
      <x:c r="B343" s="14" t="str">
        <x:v>04</x:v>
      </x:c>
      <x:c r="C343" s="14" t="str">
        <x:v>2023_IMDb_Cast_Lists_Batch_04(2).xlsx</x:v>
      </x:c>
      <x:c r="D343" s="14" t="str">
        <x:v>The Gold</x:v>
      </x:c>
      <x:c r="E343" s="14" t="n">
        <x:v>79</x:v>
      </x:c>
      <x:c r="F343" s="14" t="str">
        <x:v>The Gold</x:v>
      </x:c>
      <x:c r="G343" s="14" t="str">
        <x:v>tt14063678</x:v>
      </x:c>
      <x:c r="H343" s="14" t="n">
        <x:v>2023</x:v>
      </x:c>
      <x:c r="I343" s="14" t="n">
        <x:v>2025</x:v>
      </x:c>
      <x:c r="J343" s="14" t="str">
        <x:v>Earlier-Production Carry-In Cohort</x:v>
      </x:c>
      <x:c r="K343" s="14" t="n">
        <x:v>2023</x:v>
      </x:c>
      <x:c r="L343" s="14" t="str">
        <x:v>Not inherited</x:v>
      </x:c>
      <x:c r="M343" s="15" t="n">
        <x:v>72</x:v>
      </x:c>
      <x:c r="N343" s="14" t="str">
        <x:v>Dickie Beau</x:v>
      </x:c>
      <x:c r="O343" s="14" t="str">
        <x:v>nm5004033</x:v>
      </x:c>
      <x:c r="P343" s="14" t="str">
        <x:v>Danny</x:v>
      </x:c>
      <x:c r="Q343" s="15" t="n">
        <x:v>1</x:v>
      </x:c>
      <x:c r="R343" s="14" t="str">
        <x:v>2025</x:v>
      </x:c>
      <x:c r="S343" s="14" t="n">
        <x:v>2025</x:v>
      </x:c>
      <x:c r="T343" s="14" t="n">
        <x:v>2025</x:v>
      </x:c>
      <x:c r="U343" s="14" t="str">
        <x:v>Explicit source first year retained</x:v>
      </x:c>
      <x:c r="V343" s="14" t="str">
        <x:v>Earliest supplied year is 2025.</x:v>
      </x:c>
      <x:c r="W343" s="14"/>
      <x:c r="X343" s="14" t="str">
        <x:v>Included</x:v>
      </x:c>
      <x:c r="Y343" s="14"/>
      <x:c r="Z343" s="14" t="str">
        <x:v>The Gold.docx</x:v>
      </x:c>
      <x:c r="AA343" s="14" t="str">
        <x:v>HYPERLINK is not implemented. linkLocation=https://www.imdb.com/title/tt14063678/fullcredits/,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BBC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3" s="14" t="str">
        <x:v>BBC public-service commission</x:v>
      </x:c>
      <x:c r="AO343" s="14" t="str">
        <x:v>Yes</x:v>
      </x:c>
      <x:c r="AP343" s="14" t="str">
        <x:v>Direct BBC public-service scope</x:v>
      </x:c>
      <x:c r="AQ343" s="14" t="str">
        <x:v>Yes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1</x:v>
      </x:c>
      <x:c r="BS343" s="16" t="n">
        <x:v>0.08333333333333333</x:v>
      </x:c>
      <x:c r="BT343" s="14" t="str">
        <x:v>One episode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4" t="str">
        <x:v>HYPERLINK is not implemented. linkLocation=https://www.imdb.com/title/tt14063678/fullcredits/,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tt14063678|nm1510027|dave</x:v>
      </x:c>
      <x:c r="B344" s="14" t="str">
        <x:v>04</x:v>
      </x:c>
      <x:c r="C344" s="14" t="str">
        <x:v>2023_IMDb_Cast_Lists_Batch_04(2).xlsx</x:v>
      </x:c>
      <x:c r="D344" s="14" t="str">
        <x:v>The Gold</x:v>
      </x:c>
      <x:c r="E344" s="14" t="n">
        <x:v>82</x:v>
      </x:c>
      <x:c r="F344" s="14" t="str">
        <x:v>The Gold</x:v>
      </x:c>
      <x:c r="G344" s="14" t="str">
        <x:v>tt14063678</x:v>
      </x:c>
      <x:c r="H344" s="14" t="n">
        <x:v>2023</x:v>
      </x:c>
      <x:c r="I344" s="14" t="n">
        <x:v>2025</x:v>
      </x:c>
      <x:c r="J344" s="14" t="str">
        <x:v>Earlier-Production Carry-In Cohort</x:v>
      </x:c>
      <x:c r="K344" s="14" t="n">
        <x:v>2023</x:v>
      </x:c>
      <x:c r="L344" s="14" t="str">
        <x:v>Not inherited</x:v>
      </x:c>
      <x:c r="M344" s="15" t="n">
        <x:v>75</x:v>
      </x:c>
      <x:c r="N344" s="14" t="str">
        <x:v>Paul Albertson</x:v>
      </x:c>
      <x:c r="O344" s="14" t="str">
        <x:v>nm1510027</x:v>
      </x:c>
      <x:c r="P344" s="14" t="str">
        <x:v>Dave</x:v>
      </x:c>
      <x:c r="Q344" s="15" t="n">
        <x:v>1</x:v>
      </x:c>
      <x:c r="R344" s="14" t="str">
        <x:v>2025</x:v>
      </x:c>
      <x:c r="S344" s="14" t="n">
        <x:v>2025</x:v>
      </x:c>
      <x:c r="T344" s="14" t="n">
        <x:v>2025</x:v>
      </x:c>
      <x:c r="U344" s="14" t="str">
        <x:v>Explicit source first year retained</x:v>
      </x:c>
      <x:c r="V344" s="14" t="str">
        <x:v>Earliest supplied year is 2025.</x:v>
      </x:c>
      <x:c r="W344" s="14"/>
      <x:c r="X344" s="14" t="str">
        <x:v>Included</x:v>
      </x:c>
      <x:c r="Y344" s="14"/>
      <x:c r="Z344" s="14" t="str">
        <x:v>The Gold.docx</x:v>
      </x:c>
      <x:c r="AA344" s="14" t="str">
        <x:v>HYPERLINK is not implemented. linkLocation=https://www.imdb.com/title/tt14063678/fullcredits/,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BBC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4" s="14" t="str">
        <x:v>BBC public-service commission</x:v>
      </x:c>
      <x:c r="AO344" s="14" t="str">
        <x:v>Yes</x:v>
      </x:c>
      <x:c r="AP344" s="14" t="str">
        <x:v>Direct BBC public-service scope</x:v>
      </x:c>
      <x:c r="AQ344" s="14" t="str">
        <x:v>Yes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1</x:v>
      </x:c>
      <x:c r="BS344" s="16" t="n">
        <x:v>0.08333333333333333</x:v>
      </x:c>
      <x:c r="BT344" s="14" t="str">
        <x:v>One episode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4" t="str">
        <x:v>HYPERLINK is not implemented. linkLocation=https://www.imdb.com/title/tt14063678/fullcredits/,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tt14063678|nm7933276|francisca</x:v>
      </x:c>
      <x:c r="B345" s="14" t="str">
        <x:v>04</x:v>
      </x:c>
      <x:c r="C345" s="14" t="str">
        <x:v>2023_IMDb_Cast_Lists_Batch_04(2).xlsx</x:v>
      </x:c>
      <x:c r="D345" s="14" t="str">
        <x:v>The Gold</x:v>
      </x:c>
      <x:c r="E345" s="14" t="n">
        <x:v>83</x:v>
      </x:c>
      <x:c r="F345" s="14" t="str">
        <x:v>The Gold</x:v>
      </x:c>
      <x:c r="G345" s="14" t="str">
        <x:v>tt14063678</x:v>
      </x:c>
      <x:c r="H345" s="14" t="n">
        <x:v>2023</x:v>
      </x:c>
      <x:c r="I345" s="14" t="n">
        <x:v>2025</x:v>
      </x:c>
      <x:c r="J345" s="14" t="str">
        <x:v>Earlier-Production Carry-In Cohort</x:v>
      </x:c>
      <x:c r="K345" s="14" t="n">
        <x:v>2023</x:v>
      </x:c>
      <x:c r="L345" s="14" t="str">
        <x:v>Not inherited</x:v>
      </x:c>
      <x:c r="M345" s="15" t="n">
        <x:v>76</x:v>
      </x:c>
      <x:c r="N345" s="14" t="str">
        <x:v>Adriana Segurado</x:v>
      </x:c>
      <x:c r="O345" s="14" t="str">
        <x:v>nm7933276</x:v>
      </x:c>
      <x:c r="P345" s="14" t="str">
        <x:v>Francisca</x:v>
      </x:c>
      <x:c r="Q345" s="15" t="n">
        <x:v>1</x:v>
      </x:c>
      <x:c r="R345" s="14" t="str">
        <x:v>2025</x:v>
      </x:c>
      <x:c r="S345" s="14" t="n">
        <x:v>2025</x:v>
      </x:c>
      <x:c r="T345" s="14" t="n">
        <x:v>2025</x:v>
      </x:c>
      <x:c r="U345" s="14" t="str">
        <x:v>Explicit source first year retained</x:v>
      </x:c>
      <x:c r="V345" s="14" t="str">
        <x:v>Earliest supplied year is 2025.</x:v>
      </x:c>
      <x:c r="W345" s="14"/>
      <x:c r="X345" s="14" t="str">
        <x:v>Included</x:v>
      </x:c>
      <x:c r="Y345" s="14"/>
      <x:c r="Z345" s="14" t="str">
        <x:v>The Gold.docx</x:v>
      </x:c>
      <x:c r="AA345" s="14" t="str">
        <x:v>HYPERLINK is not implemented. linkLocation=https://www.imdb.com/title/tt14063678/fullcredits/,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BBC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5" s="14" t="str">
        <x:v>BBC public-service commission</x:v>
      </x:c>
      <x:c r="AO345" s="14" t="str">
        <x:v>Yes</x:v>
      </x:c>
      <x:c r="AP345" s="14" t="str">
        <x:v>Direct BBC public-service scope</x:v>
      </x:c>
      <x:c r="AQ345" s="14" t="str">
        <x:v>Yes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1</x:v>
      </x:c>
      <x:c r="BS345" s="16" t="n">
        <x:v>0.08333333333333333</x:v>
      </x:c>
      <x:c r="BT345" s="14" t="str">
        <x:v>One episode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4" t="str">
        <x:v>HYPERLINK is not implemented. linkLocation=https://www.imdb.com/title/tt14063678/fullcredits/,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tt14063678|nm4662005|angie</x:v>
      </x:c>
      <x:c r="B346" s="14" t="str">
        <x:v>04</x:v>
      </x:c>
      <x:c r="C346" s="14" t="str">
        <x:v>2023_IMDb_Cast_Lists_Batch_04(2).xlsx</x:v>
      </x:c>
      <x:c r="D346" s="14" t="str">
        <x:v>The Gold</x:v>
      </x:c>
      <x:c r="E346" s="14" t="n">
        <x:v>84</x:v>
      </x:c>
      <x:c r="F346" s="14" t="str">
        <x:v>The Gold</x:v>
      </x:c>
      <x:c r="G346" s="14" t="str">
        <x:v>tt14063678</x:v>
      </x:c>
      <x:c r="H346" s="14" t="n">
        <x:v>2023</x:v>
      </x:c>
      <x:c r="I346" s="14" t="n">
        <x:v>2025</x:v>
      </x:c>
      <x:c r="J346" s="14" t="str">
        <x:v>Earlier-Production Carry-In Cohort</x:v>
      </x:c>
      <x:c r="K346" s="14" t="n">
        <x:v>2023</x:v>
      </x:c>
      <x:c r="L346" s="14" t="str">
        <x:v>Not inherited</x:v>
      </x:c>
      <x:c r="M346" s="15" t="n">
        <x:v>77</x:v>
      </x:c>
      <x:c r="N346" s="14" t="str">
        <x:v>Gennifer Becouarn</x:v>
      </x:c>
      <x:c r="O346" s="14" t="str">
        <x:v>nm4662005</x:v>
      </x:c>
      <x:c r="P346" s="14" t="str">
        <x:v>Angie</x:v>
      </x:c>
      <x:c r="Q346" s="15" t="n">
        <x:v>1</x:v>
      </x:c>
      <x:c r="R346" s="14" t="str">
        <x:v>2025</x:v>
      </x:c>
      <x:c r="S346" s="14" t="n">
        <x:v>2025</x:v>
      </x:c>
      <x:c r="T346" s="14" t="n">
        <x:v>2025</x:v>
      </x:c>
      <x:c r="U346" s="14" t="str">
        <x:v>Explicit source first year retained</x:v>
      </x:c>
      <x:c r="V346" s="14" t="str">
        <x:v>Earliest supplied year is 2025.</x:v>
      </x:c>
      <x:c r="W346" s="14"/>
      <x:c r="X346" s="14" t="str">
        <x:v>Included</x:v>
      </x:c>
      <x:c r="Y346" s="14"/>
      <x:c r="Z346" s="14" t="str">
        <x:v>The Gold.docx</x:v>
      </x:c>
      <x:c r="AA346" s="14" t="str">
        <x:v>HYPERLINK is not implemented. linkLocation=https://www.imdb.com/title/tt14063678/fullcredits/,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BBC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6" s="14" t="str">
        <x:v>BBC public-service commission</x:v>
      </x:c>
      <x:c r="AO346" s="14" t="str">
        <x:v>Yes</x:v>
      </x:c>
      <x:c r="AP346" s="14" t="str">
        <x:v>Direct BBC public-service scope</x:v>
      </x:c>
      <x:c r="AQ346" s="14" t="str">
        <x:v>Yes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1</x:v>
      </x:c>
      <x:c r="BS346" s="16" t="n">
        <x:v>0.08333333333333333</x:v>
      </x:c>
      <x:c r="BT346" s="14" t="str">
        <x:v>One episode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4" t="str">
        <x:v>HYPERLINK is not implemented. linkLocation=https://www.imdb.com/title/tt14063678/fullcredits/,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tt14063678|nm0033691|judge goodwin</x:v>
      </x:c>
      <x:c r="B347" s="14" t="str">
        <x:v>04</x:v>
      </x:c>
      <x:c r="C347" s="14" t="str">
        <x:v>2023_IMDb_Cast_Lists_Batch_04(2).xlsx</x:v>
      </x:c>
      <x:c r="D347" s="14" t="str">
        <x:v>The Gold</x:v>
      </x:c>
      <x:c r="E347" s="14" t="n">
        <x:v>87</x:v>
      </x:c>
      <x:c r="F347" s="14" t="str">
        <x:v>The Gold</x:v>
      </x:c>
      <x:c r="G347" s="14" t="str">
        <x:v>tt14063678</x:v>
      </x:c>
      <x:c r="H347" s="14" t="n">
        <x:v>2023</x:v>
      </x:c>
      <x:c r="I347" s="14" t="n">
        <x:v>2025</x:v>
      </x:c>
      <x:c r="J347" s="14" t="str">
        <x:v>Earlier-Production Carry-In Cohort</x:v>
      </x:c>
      <x:c r="K347" s="14" t="n">
        <x:v>2023</x:v>
      </x:c>
      <x:c r="L347" s="14" t="str">
        <x:v>Not inherited</x:v>
      </x:c>
      <x:c r="M347" s="15" t="n">
        <x:v>80</x:v>
      </x:c>
      <x:c r="N347" s="14" t="str">
        <x:v>Karen Archer</x:v>
      </x:c>
      <x:c r="O347" s="14" t="str">
        <x:v>nm0033691</x:v>
      </x:c>
      <x:c r="P347" s="14" t="str">
        <x:v>Judge Goodwin</x:v>
      </x:c>
      <x:c r="Q347" s="15" t="n">
        <x:v>1</x:v>
      </x:c>
      <x:c r="R347" s="14" t="str">
        <x:v>2025</x:v>
      </x:c>
      <x:c r="S347" s="14" t="n">
        <x:v>2025</x:v>
      </x:c>
      <x:c r="T347" s="14" t="n">
        <x:v>2025</x:v>
      </x:c>
      <x:c r="U347" s="14" t="str">
        <x:v>Explicit source first year retained</x:v>
      </x:c>
      <x:c r="V347" s="14" t="str">
        <x:v>Earliest supplied year is 2025.</x:v>
      </x:c>
      <x:c r="W347" s="14"/>
      <x:c r="X347" s="14" t="str">
        <x:v>Included</x:v>
      </x:c>
      <x:c r="Y347" s="14"/>
      <x:c r="Z347" s="14" t="str">
        <x:v>The Gold.docx</x:v>
      </x:c>
      <x:c r="AA347" s="14" t="str">
        <x:v>HYPERLINK is not implemented. linkLocation=https://www.imdb.com/title/tt14063678/fullcredits/,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BBC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7" s="14" t="str">
        <x:v>BBC public-service commission</x:v>
      </x:c>
      <x:c r="AO347" s="14" t="str">
        <x:v>Yes</x:v>
      </x:c>
      <x:c r="AP347" s="14" t="str">
        <x:v>Direct BBC public-service scope</x:v>
      </x:c>
      <x:c r="AQ347" s="14" t="str">
        <x:v>Yes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1</x:v>
      </x:c>
      <x:c r="BS347" s="16" t="n">
        <x:v>0.08333333333333333</x:v>
      </x:c>
      <x:c r="BT347" s="14" t="str">
        <x:v>One episode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4" t="str">
        <x:v>HYPERLINK is not implemented. linkLocation=https://www.imdb.com/title/tt14063678/fullcredits/,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tt14063678|nm8395657|spanish policeman</x:v>
      </x:c>
      <x:c r="B348" s="14" t="str">
        <x:v>04</x:v>
      </x:c>
      <x:c r="C348" s="14" t="str">
        <x:v>2023_IMDb_Cast_Lists_Batch_04(2).xlsx</x:v>
      </x:c>
      <x:c r="D348" s="14" t="str">
        <x:v>The Gold</x:v>
      </x:c>
      <x:c r="E348" s="14" t="n">
        <x:v>88</x:v>
      </x:c>
      <x:c r="F348" s="14" t="str">
        <x:v>The Gold</x:v>
      </x:c>
      <x:c r="G348" s="14" t="str">
        <x:v>tt14063678</x:v>
      </x:c>
      <x:c r="H348" s="14" t="n">
        <x:v>2023</x:v>
      </x:c>
      <x:c r="I348" s="14" t="n">
        <x:v>2025</x:v>
      </x:c>
      <x:c r="J348" s="14" t="str">
        <x:v>Earlier-Production Carry-In Cohort</x:v>
      </x:c>
      <x:c r="K348" s="14" t="n">
        <x:v>2023</x:v>
      </x:c>
      <x:c r="L348" s="14" t="str">
        <x:v>Not inherited</x:v>
      </x:c>
      <x:c r="M348" s="15" t="n">
        <x:v>81</x:v>
      </x:c>
      <x:c r="N348" s="14" t="str">
        <x:v>Nestor Barreto</x:v>
      </x:c>
      <x:c r="O348" s="14" t="str">
        <x:v>nm8395657</x:v>
      </x:c>
      <x:c r="P348" s="14" t="str">
        <x:v>Spanish Policeman</x:v>
      </x:c>
      <x:c r="Q348" s="15" t="n">
        <x:v>1</x:v>
      </x:c>
      <x:c r="R348" s="14" t="str">
        <x:v>2025</x:v>
      </x:c>
      <x:c r="S348" s="14" t="n">
        <x:v>2025</x:v>
      </x:c>
      <x:c r="T348" s="14" t="n">
        <x:v>2025</x:v>
      </x:c>
      <x:c r="U348" s="14" t="str">
        <x:v>Explicit source first year retained</x:v>
      </x:c>
      <x:c r="V348" s="14" t="str">
        <x:v>Earliest supplied year is 2025.</x:v>
      </x:c>
      <x:c r="W348" s="14"/>
      <x:c r="X348" s="14" t="str">
        <x:v>Included</x:v>
      </x:c>
      <x:c r="Y348" s="14"/>
      <x:c r="Z348" s="14" t="str">
        <x:v>The Gold.docx</x:v>
      </x:c>
      <x:c r="AA348" s="14" t="str">
        <x:v>HYPERLINK is not implemented. linkLocation=https://www.imdb.com/title/tt14063678/fullcredits/,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BBC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8" s="14" t="str">
        <x:v>BBC public-service commission</x:v>
      </x:c>
      <x:c r="AO348" s="14" t="str">
        <x:v>Yes</x:v>
      </x:c>
      <x:c r="AP348" s="14" t="str">
        <x:v>Direct BBC public-service scope</x:v>
      </x:c>
      <x:c r="AQ348" s="14" t="str">
        <x:v>Yes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1</x:v>
      </x:c>
      <x:c r="BS348" s="16" t="n">
        <x:v>0.08333333333333333</x:v>
      </x:c>
      <x:c r="BT348" s="14" t="str">
        <x:v>One episode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4" t="str">
        <x:v>HYPERLINK is not implemented. linkLocation=https://www.imdb.com/title/tt14063678/fullcredits/,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tt14063678|nm1565422|walter</x:v>
      </x:c>
      <x:c r="B349" s="14" t="str">
        <x:v>04</x:v>
      </x:c>
      <x:c r="C349" s="14" t="str">
        <x:v>2023_IMDb_Cast_Lists_Batch_04(2).xlsx</x:v>
      </x:c>
      <x:c r="D349" s="14" t="str">
        <x:v>The Gold</x:v>
      </x:c>
      <x:c r="E349" s="14" t="n">
        <x:v>90</x:v>
      </x:c>
      <x:c r="F349" s="14" t="str">
        <x:v>The Gold</x:v>
      </x:c>
      <x:c r="G349" s="14" t="str">
        <x:v>tt14063678</x:v>
      </x:c>
      <x:c r="H349" s="14" t="n">
        <x:v>2023</x:v>
      </x:c>
      <x:c r="I349" s="14" t="n">
        <x:v>2025</x:v>
      </x:c>
      <x:c r="J349" s="14" t="str">
        <x:v>Earlier-Production Carry-In Cohort</x:v>
      </x:c>
      <x:c r="K349" s="14" t="n">
        <x:v>2023</x:v>
      </x:c>
      <x:c r="L349" s="14" t="str">
        <x:v>Not inherited</x:v>
      </x:c>
      <x:c r="M349" s="15" t="n">
        <x:v>83</x:v>
      </x:c>
      <x:c r="N349" s="14" t="str">
        <x:v>Phillip Browne</x:v>
      </x:c>
      <x:c r="O349" s="14" t="str">
        <x:v>nm1565422</x:v>
      </x:c>
      <x:c r="P349" s="14" t="str">
        <x:v>Walter</x:v>
      </x:c>
      <x:c r="Q349" s="15" t="n">
        <x:v>1</x:v>
      </x:c>
      <x:c r="R349" s="14" t="str">
        <x:v>2025</x:v>
      </x:c>
      <x:c r="S349" s="14" t="n">
        <x:v>2025</x:v>
      </x:c>
      <x:c r="T349" s="14" t="n">
        <x:v>2025</x:v>
      </x:c>
      <x:c r="U349" s="14" t="str">
        <x:v>Explicit source first year retained</x:v>
      </x:c>
      <x:c r="V349" s="14" t="str">
        <x:v>Earliest supplied year is 2025.</x:v>
      </x:c>
      <x:c r="W349" s="14"/>
      <x:c r="X349" s="14" t="str">
        <x:v>Included</x:v>
      </x:c>
      <x:c r="Y349" s="14"/>
      <x:c r="Z349" s="14" t="str">
        <x:v>The Gold.docx</x:v>
      </x:c>
      <x:c r="AA349" s="14" t="str">
        <x:v>HYPERLINK is not implemented. linkLocation=https://www.imdb.com/title/tt14063678/fullcredits/,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BBC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49" s="14" t="str">
        <x:v>BBC public-service commission</x:v>
      </x:c>
      <x:c r="AO349" s="14" t="str">
        <x:v>Yes</x:v>
      </x:c>
      <x:c r="AP349" s="14" t="str">
        <x:v>Direct BBC public-service scope</x:v>
      </x:c>
      <x:c r="AQ349" s="14" t="str">
        <x:v>Yes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1</x:v>
      </x:c>
      <x:c r="BS349" s="16" t="n">
        <x:v>0.08333333333333333</x:v>
      </x:c>
      <x:c r="BT349" s="14" t="str">
        <x:v>One episode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4" t="str">
        <x:v>HYPERLINK is not implemented. linkLocation=https://www.imdb.com/title/tt14063678/fullcredits/,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tt14063678|nm10195260|waiter</x:v>
      </x:c>
      <x:c r="B350" s="14" t="str">
        <x:v>04</x:v>
      </x:c>
      <x:c r="C350" s="14" t="str">
        <x:v>2023_IMDb_Cast_Lists_Batch_04(2).xlsx</x:v>
      </x:c>
      <x:c r="D350" s="14" t="str">
        <x:v>The Gold</x:v>
      </x:c>
      <x:c r="E350" s="14" t="n">
        <x:v>91</x:v>
      </x:c>
      <x:c r="F350" s="14" t="str">
        <x:v>The Gold</x:v>
      </x:c>
      <x:c r="G350" s="14" t="str">
        <x:v>tt14063678</x:v>
      </x:c>
      <x:c r="H350" s="14" t="n">
        <x:v>2023</x:v>
      </x:c>
      <x:c r="I350" s="14" t="n">
        <x:v>2025</x:v>
      </x:c>
      <x:c r="J350" s="14" t="str">
        <x:v>Earlier-Production Carry-In Cohort</x:v>
      </x:c>
      <x:c r="K350" s="14" t="n">
        <x:v>2023</x:v>
      </x:c>
      <x:c r="L350" s="14" t="str">
        <x:v>Not inherited</x:v>
      </x:c>
      <x:c r="M350" s="15" t="n">
        <x:v>84</x:v>
      </x:c>
      <x:c r="N350" s="14" t="str">
        <x:v>Toni Báez</x:v>
      </x:c>
      <x:c r="O350" s="14" t="str">
        <x:v>nm10195260</x:v>
      </x:c>
      <x:c r="P350" s="14" t="str">
        <x:v>Waiter</x:v>
      </x:c>
      <x:c r="Q350" s="15" t="n">
        <x:v>1</x:v>
      </x:c>
      <x:c r="R350" s="14" t="str">
        <x:v>2025</x:v>
      </x:c>
      <x:c r="S350" s="14" t="n">
        <x:v>2025</x:v>
      </x:c>
      <x:c r="T350" s="14" t="n">
        <x:v>2025</x:v>
      </x:c>
      <x:c r="U350" s="14" t="str">
        <x:v>Explicit source first year retained</x:v>
      </x:c>
      <x:c r="V350" s="14" t="str">
        <x:v>Earliest supplied year is 2025.</x:v>
      </x:c>
      <x:c r="W350" s="14"/>
      <x:c r="X350" s="14" t="str">
        <x:v>Included</x:v>
      </x:c>
      <x:c r="Y350" s="14"/>
      <x:c r="Z350" s="14" t="str">
        <x:v>The Gold.docx</x:v>
      </x:c>
      <x:c r="AA350" s="14" t="str">
        <x:v>HYPERLINK is not implemented. linkLocation=https://www.imdb.com/title/tt14063678/fullcredits/,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BBC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0" s="14" t="str">
        <x:v>BBC public-service commission</x:v>
      </x:c>
      <x:c r="AO350" s="14" t="str">
        <x:v>Yes</x:v>
      </x:c>
      <x:c r="AP350" s="14" t="str">
        <x:v>Direct BBC public-service scope</x:v>
      </x:c>
      <x:c r="AQ350" s="14" t="str">
        <x:v>Yes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1</x:v>
      </x:c>
      <x:c r="BS350" s="16" t="n">
        <x:v>0.08333333333333333</x:v>
      </x:c>
      <x:c r="BT350" s="14" t="str">
        <x:v>One episode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4" t="str">
        <x:v>HYPERLINK is not implemented. linkLocation=https://www.imdb.com/title/tt14063678/fullcredits/,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tt14063678|nm9567905|woman in spain</x:v>
      </x:c>
      <x:c r="B351" s="14" t="str">
        <x:v>04</x:v>
      </x:c>
      <x:c r="C351" s="14" t="str">
        <x:v>2023_IMDb_Cast_Lists_Batch_04(2).xlsx</x:v>
      </x:c>
      <x:c r="D351" s="14" t="str">
        <x:v>The Gold</x:v>
      </x:c>
      <x:c r="E351" s="14" t="n">
        <x:v>94</x:v>
      </x:c>
      <x:c r="F351" s="14" t="str">
        <x:v>The Gold</x:v>
      </x:c>
      <x:c r="G351" s="14" t="str">
        <x:v>tt14063678</x:v>
      </x:c>
      <x:c r="H351" s="14" t="n">
        <x:v>2023</x:v>
      </x:c>
      <x:c r="I351" s="14" t="n">
        <x:v>2025</x:v>
      </x:c>
      <x:c r="J351" s="14" t="str">
        <x:v>Earlier-Production Carry-In Cohort</x:v>
      </x:c>
      <x:c r="K351" s="14" t="n">
        <x:v>2023</x:v>
      </x:c>
      <x:c r="L351" s="14" t="str">
        <x:v>Not inherited</x:v>
      </x:c>
      <x:c r="M351" s="15" t="n">
        <x:v>87</x:v>
      </x:c>
      <x:c r="N351" s="14" t="str">
        <x:v>Federica Basile</x:v>
      </x:c>
      <x:c r="O351" s="14" t="str">
        <x:v>nm9567905</x:v>
      </x:c>
      <x:c r="P351" s="14" t="str">
        <x:v>Woman in Spain</x:v>
      </x:c>
      <x:c r="Q351" s="15" t="n">
        <x:v>1</x:v>
      </x:c>
      <x:c r="R351" s="14" t="str">
        <x:v>2025</x:v>
      </x:c>
      <x:c r="S351" s="14" t="n">
        <x:v>2025</x:v>
      </x:c>
      <x:c r="T351" s="14" t="n">
        <x:v>2025</x:v>
      </x:c>
      <x:c r="U351" s="14" t="str">
        <x:v>Explicit source first year retained</x:v>
      </x:c>
      <x:c r="V351" s="14" t="str">
        <x:v>Earliest supplied year is 2025.</x:v>
      </x:c>
      <x:c r="W351" s="14"/>
      <x:c r="X351" s="14" t="str">
        <x:v>Included</x:v>
      </x:c>
      <x:c r="Y351" s="14"/>
      <x:c r="Z351" s="14" t="str">
        <x:v>The Gold.docx</x:v>
      </x:c>
      <x:c r="AA351" s="14" t="str">
        <x:v>HYPERLINK is not implemented. linkLocation=https://www.imdb.com/title/tt14063678/fullcredits/,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BBC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1" s="14" t="str">
        <x:v>BBC public-service commission</x:v>
      </x:c>
      <x:c r="AO351" s="14" t="str">
        <x:v>Yes</x:v>
      </x:c>
      <x:c r="AP351" s="14" t="str">
        <x:v>Direct BBC public-service scope</x:v>
      </x:c>
      <x:c r="AQ351" s="14" t="str">
        <x:v>Yes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1</x:v>
      </x:c>
      <x:c r="BS351" s="16" t="n">
        <x:v>0.08333333333333333</x:v>
      </x:c>
      <x:c r="BT351" s="14" t="str">
        <x:v>One episode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4" t="str">
        <x:v>HYPERLINK is not implemented. linkLocation=https://www.imdb.com/title/tt14063678/fullcredits/,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tt14063678|nm6398011|jay</x:v>
      </x:c>
      <x:c r="B352" s="14" t="str">
        <x:v>04</x:v>
      </x:c>
      <x:c r="C352" s="14" t="str">
        <x:v>2023_IMDb_Cast_Lists_Batch_04(2).xlsx</x:v>
      </x:c>
      <x:c r="D352" s="14" t="str">
        <x:v>The Gold</x:v>
      </x:c>
      <x:c r="E352" s="14" t="n">
        <x:v>95</x:v>
      </x:c>
      <x:c r="F352" s="14" t="str">
        <x:v>The Gold</x:v>
      </x:c>
      <x:c r="G352" s="14" t="str">
        <x:v>tt14063678</x:v>
      </x:c>
      <x:c r="H352" s="14" t="n">
        <x:v>2023</x:v>
      </x:c>
      <x:c r="I352" s="14" t="n">
        <x:v>2025</x:v>
      </x:c>
      <x:c r="J352" s="14" t="str">
        <x:v>Earlier-Production Carry-In Cohort</x:v>
      </x:c>
      <x:c r="K352" s="14" t="n">
        <x:v>2023</x:v>
      </x:c>
      <x:c r="L352" s="14" t="str">
        <x:v>Not inherited</x:v>
      </x:c>
      <x:c r="M352" s="15" t="n">
        <x:v>88</x:v>
      </x:c>
      <x:c r="N352" s="14" t="str">
        <x:v>Niall Bishop</x:v>
      </x:c>
      <x:c r="O352" s="14" t="str">
        <x:v>nm6398011</x:v>
      </x:c>
      <x:c r="P352" s="14" t="str">
        <x:v>Jay</x:v>
      </x:c>
      <x:c r="Q352" s="15" t="n">
        <x:v>1</x:v>
      </x:c>
      <x:c r="R352" s="14" t="str">
        <x:v>2025</x:v>
      </x:c>
      <x:c r="S352" s="14" t="n">
        <x:v>2025</x:v>
      </x:c>
      <x:c r="T352" s="14" t="n">
        <x:v>2025</x:v>
      </x:c>
      <x:c r="U352" s="14" t="str">
        <x:v>Explicit source first year retained</x:v>
      </x:c>
      <x:c r="V352" s="14" t="str">
        <x:v>Earliest supplied year is 2025.</x:v>
      </x:c>
      <x:c r="W352" s="14"/>
      <x:c r="X352" s="14" t="str">
        <x:v>Included</x:v>
      </x:c>
      <x:c r="Y352" s="14"/>
      <x:c r="Z352" s="14" t="str">
        <x:v>The Gold.docx</x:v>
      </x:c>
      <x:c r="AA352" s="14" t="str">
        <x:v>HYPERLINK is not implemented. linkLocation=https://www.imdb.com/title/tt14063678/fullcredits/,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BBC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2" s="14" t="str">
        <x:v>BBC public-service commission</x:v>
      </x:c>
      <x:c r="AO352" s="14" t="str">
        <x:v>Yes</x:v>
      </x:c>
      <x:c r="AP352" s="14" t="str">
        <x:v>Direct BBC public-service scope</x:v>
      </x:c>
      <x:c r="AQ352" s="14" t="str">
        <x:v>Yes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1</x:v>
      </x:c>
      <x:c r="BS352" s="16" t="n">
        <x:v>0.08333333333333333</x:v>
      </x:c>
      <x:c r="BT352" s="14" t="str">
        <x:v>One episode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4" t="str">
        <x:v>HYPERLINK is not implemented. linkLocation=https://www.imdb.com/title/tt14063678/fullcredits/,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tt14063678|nm1467587|toby williams</x:v>
      </x:c>
      <x:c r="B353" s="14" t="str">
        <x:v>04</x:v>
      </x:c>
      <x:c r="C353" s="14" t="str">
        <x:v>2023_IMDb_Cast_Lists_Batch_04(2).xlsx</x:v>
      </x:c>
      <x:c r="D353" s="14" t="str">
        <x:v>The Gold</x:v>
      </x:c>
      <x:c r="E353" s="14" t="n">
        <x:v>96</x:v>
      </x:c>
      <x:c r="F353" s="14" t="str">
        <x:v>The Gold</x:v>
      </x:c>
      <x:c r="G353" s="14" t="str">
        <x:v>tt14063678</x:v>
      </x:c>
      <x:c r="H353" s="14" t="n">
        <x:v>2023</x:v>
      </x:c>
      <x:c r="I353" s="14" t="n">
        <x:v>2025</x:v>
      </x:c>
      <x:c r="J353" s="14" t="str">
        <x:v>Earlier-Production Carry-In Cohort</x:v>
      </x:c>
      <x:c r="K353" s="14" t="n">
        <x:v>2023</x:v>
      </x:c>
      <x:c r="L353" s="14" t="str">
        <x:v>Not inherited</x:v>
      </x:c>
      <x:c r="M353" s="15" t="n">
        <x:v>89</x:v>
      </x:c>
      <x:c r="N353" s="14" t="str">
        <x:v>Martin Bell</x:v>
      </x:c>
      <x:c r="O353" s="14" t="str">
        <x:v>nm1467587</x:v>
      </x:c>
      <x:c r="P353" s="14" t="str">
        <x:v>Toby Williams</x:v>
      </x:c>
      <x:c r="Q353" s="15" t="n">
        <x:v>1</x:v>
      </x:c>
      <x:c r="R353" s="14" t="str">
        <x:v>2025</x:v>
      </x:c>
      <x:c r="S353" s="14" t="n">
        <x:v>2025</x:v>
      </x:c>
      <x:c r="T353" s="14" t="n">
        <x:v>2025</x:v>
      </x:c>
      <x:c r="U353" s="14" t="str">
        <x:v>Explicit source first year retained</x:v>
      </x:c>
      <x:c r="V353" s="14" t="str">
        <x:v>Earliest supplied year is 2025.</x:v>
      </x:c>
      <x:c r="W353" s="14"/>
      <x:c r="X353" s="14" t="str">
        <x:v>Included</x:v>
      </x:c>
      <x:c r="Y353" s="14"/>
      <x:c r="Z353" s="14" t="str">
        <x:v>The Gold.docx</x:v>
      </x:c>
      <x:c r="AA353" s="14" t="str">
        <x:v>HYPERLINK is not implemented. linkLocation=https://www.imdb.com/title/tt14063678/fullcredits/,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BBC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3" s="14" t="str">
        <x:v>BBC public-service commission</x:v>
      </x:c>
      <x:c r="AO353" s="14" t="str">
        <x:v>Yes</x:v>
      </x:c>
      <x:c r="AP353" s="14" t="str">
        <x:v>Direct BBC public-service scope</x:v>
      </x:c>
      <x:c r="AQ353" s="14" t="str">
        <x:v>Yes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1</x:v>
      </x:c>
      <x:c r="BS353" s="16" t="n">
        <x:v>0.08333333333333333</x:v>
      </x:c>
      <x:c r="BT353" s="14" t="str">
        <x:v>One episode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4" t="str">
        <x:v>HYPERLINK is not implemented. linkLocation=https://www.imdb.com/title/tt14063678/fullcredits/,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tt14063678|nm0184893|henry</x:v>
      </x:c>
      <x:c r="B354" s="14" t="str">
        <x:v>04</x:v>
      </x:c>
      <x:c r="C354" s="14" t="str">
        <x:v>2023_IMDb_Cast_Lists_Batch_04(2).xlsx</x:v>
      </x:c>
      <x:c r="D354" s="14" t="str">
        <x:v>The Gold</x:v>
      </x:c>
      <x:c r="E354" s="14" t="n">
        <x:v>100</x:v>
      </x:c>
      <x:c r="F354" s="14" t="str">
        <x:v>The Gold</x:v>
      </x:c>
      <x:c r="G354" s="14" t="str">
        <x:v>tt14063678</x:v>
      </x:c>
      <x:c r="H354" s="14" t="n">
        <x:v>2023</x:v>
      </x:c>
      <x:c r="I354" s="14" t="n">
        <x:v>2025</x:v>
      </x:c>
      <x:c r="J354" s="14" t="str">
        <x:v>Earlier-Production Carry-In Cohort</x:v>
      </x:c>
      <x:c r="K354" s="14" t="n">
        <x:v>2023</x:v>
      </x:c>
      <x:c r="L354" s="14" t="str">
        <x:v>Not inherited</x:v>
      </x:c>
      <x:c r="M354" s="15" t="n">
        <x:v>93</x:v>
      </x:c>
      <x:c r="N354" s="14" t="str">
        <x:v>Alan Cox</x:v>
      </x:c>
      <x:c r="O354" s="14" t="str">
        <x:v>nm0184893</x:v>
      </x:c>
      <x:c r="P354" s="14" t="str">
        <x:v>Henry</x:v>
      </x:c>
      <x:c r="Q354" s="15" t="n">
        <x:v>1</x:v>
      </x:c>
      <x:c r="R354" s="14" t="str">
        <x:v>2025</x:v>
      </x:c>
      <x:c r="S354" s="14" t="n">
        <x:v>2025</x:v>
      </x:c>
      <x:c r="T354" s="14" t="n">
        <x:v>2025</x:v>
      </x:c>
      <x:c r="U354" s="14" t="str">
        <x:v>Explicit source first year retained</x:v>
      </x:c>
      <x:c r="V354" s="14" t="str">
        <x:v>Earliest supplied year is 2025.</x:v>
      </x:c>
      <x:c r="W354" s="14"/>
      <x:c r="X354" s="14" t="str">
        <x:v>Included</x:v>
      </x:c>
      <x:c r="Y354" s="14"/>
      <x:c r="Z354" s="14" t="str">
        <x:v>The Gold.docx</x:v>
      </x:c>
      <x:c r="AA354" s="14" t="str">
        <x:v>HYPERLINK is not implemented. linkLocation=https://www.imdb.com/title/tt14063678/fullcredits/,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BBC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4" s="14" t="str">
        <x:v>BBC public-service commission</x:v>
      </x:c>
      <x:c r="AO354" s="14" t="str">
        <x:v>Yes</x:v>
      </x:c>
      <x:c r="AP354" s="14" t="str">
        <x:v>Direct BBC public-service scope</x:v>
      </x:c>
      <x:c r="AQ354" s="14" t="str">
        <x:v>Yes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1</x:v>
      </x:c>
      <x:c r="BS354" s="16" t="n">
        <x:v>0.08333333333333333</x:v>
      </x:c>
      <x:c r="BT354" s="14" t="str">
        <x:v>One episode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4" t="str">
        <x:v>HYPERLINK is not implemented. linkLocation=https://www.imdb.com/title/tt14063678/fullcredits/,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tt14063678|nm0077401|judge instrell</x:v>
      </x:c>
      <x:c r="B355" s="14" t="str">
        <x:v>04</x:v>
      </x:c>
      <x:c r="C355" s="14" t="str">
        <x:v>2023_IMDb_Cast_Lists_Batch_04(2).xlsx</x:v>
      </x:c>
      <x:c r="D355" s="14" t="str">
        <x:v>The Gold</x:v>
      </x:c>
      <x:c r="E355" s="14" t="n">
        <x:v>101</x:v>
      </x:c>
      <x:c r="F355" s="14" t="str">
        <x:v>The Gold</x:v>
      </x:c>
      <x:c r="G355" s="14" t="str">
        <x:v>tt14063678</x:v>
      </x:c>
      <x:c r="H355" s="14" t="n">
        <x:v>2023</x:v>
      </x:c>
      <x:c r="I355" s="14" t="n">
        <x:v>2025</x:v>
      </x:c>
      <x:c r="J355" s="14" t="str">
        <x:v>Earlier-Production Carry-In Cohort</x:v>
      </x:c>
      <x:c r="K355" s="14" t="n">
        <x:v>2023</x:v>
      </x:c>
      <x:c r="L355" s="14" t="str">
        <x:v>Not inherited</x:v>
      </x:c>
      <x:c r="M355" s="15" t="n">
        <x:v>94</x:v>
      </x:c>
      <x:c r="N355" s="14" t="str">
        <x:v>Tim Berrington</x:v>
      </x:c>
      <x:c r="O355" s="14" t="str">
        <x:v>nm0077401</x:v>
      </x:c>
      <x:c r="P355" s="14" t="str">
        <x:v>Judge Instrell</x:v>
      </x:c>
      <x:c r="Q355" s="15" t="n">
        <x:v>1</x:v>
      </x:c>
      <x:c r="R355" s="14" t="str">
        <x:v>2025</x:v>
      </x:c>
      <x:c r="S355" s="14" t="n">
        <x:v>2025</x:v>
      </x:c>
      <x:c r="T355" s="14" t="n">
        <x:v>2025</x:v>
      </x:c>
      <x:c r="U355" s="14" t="str">
        <x:v>Explicit source first year retained</x:v>
      </x:c>
      <x:c r="V355" s="14" t="str">
        <x:v>Earliest supplied year is 2025.</x:v>
      </x:c>
      <x:c r="W355" s="14"/>
      <x:c r="X355" s="14" t="str">
        <x:v>Included</x:v>
      </x:c>
      <x:c r="Y355" s="14"/>
      <x:c r="Z355" s="14" t="str">
        <x:v>The Gold.docx</x:v>
      </x:c>
      <x:c r="AA355" s="14" t="str">
        <x:v>HYPERLINK is not implemented. linkLocation=https://www.imdb.com/title/tt14063678/fullcredits/,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BBC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5" s="14" t="str">
        <x:v>BBC public-service commission</x:v>
      </x:c>
      <x:c r="AO355" s="14" t="str">
        <x:v>Yes</x:v>
      </x:c>
      <x:c r="AP355" s="14" t="str">
        <x:v>Direct BBC public-service scope</x:v>
      </x:c>
      <x:c r="AQ355" s="14" t="str">
        <x:v>Yes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1</x:v>
      </x:c>
      <x:c r="BS355" s="16" t="n">
        <x:v>0.08333333333333333</x:v>
      </x:c>
      <x:c r="BT355" s="14" t="str">
        <x:v>One episode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4" t="str">
        <x:v>HYPERLINK is not implemented. linkLocation=https://www.imdb.com/title/tt14063678/fullcredits/,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tt14063678|nm3912429|sunday times journalist</x:v>
      </x:c>
      <x:c r="B356" s="14" t="str">
        <x:v>04</x:v>
      </x:c>
      <x:c r="C356" s="14" t="str">
        <x:v>2023_IMDb_Cast_Lists_Batch_04(2).xlsx</x:v>
      </x:c>
      <x:c r="D356" s="14" t="str">
        <x:v>The Gold</x:v>
      </x:c>
      <x:c r="E356" s="14" t="n">
        <x:v>102</x:v>
      </x:c>
      <x:c r="F356" s="14" t="str">
        <x:v>The Gold</x:v>
      </x:c>
      <x:c r="G356" s="14" t="str">
        <x:v>tt14063678</x:v>
      </x:c>
      <x:c r="H356" s="14" t="n">
        <x:v>2023</x:v>
      </x:c>
      <x:c r="I356" s="14" t="n">
        <x:v>2025</x:v>
      </x:c>
      <x:c r="J356" s="14" t="str">
        <x:v>Earlier-Production Carry-In Cohort</x:v>
      </x:c>
      <x:c r="K356" s="14" t="n">
        <x:v>2023</x:v>
      </x:c>
      <x:c r="L356" s="14" t="str">
        <x:v>Not inherited</x:v>
      </x:c>
      <x:c r="M356" s="15" t="n">
        <x:v>95</x:v>
      </x:c>
      <x:c r="N356" s="14" t="str">
        <x:v>Simon Brading</x:v>
      </x:c>
      <x:c r="O356" s="14" t="str">
        <x:v>nm3912429</x:v>
      </x:c>
      <x:c r="P356" s="14" t="str">
        <x:v>Sunday Times Journalist</x:v>
      </x:c>
      <x:c r="Q356" s="15" t="n">
        <x:v>1</x:v>
      </x:c>
      <x:c r="R356" s="14" t="str">
        <x:v>2025</x:v>
      </x:c>
      <x:c r="S356" s="14" t="n">
        <x:v>2025</x:v>
      </x:c>
      <x:c r="T356" s="14" t="n">
        <x:v>2025</x:v>
      </x:c>
      <x:c r="U356" s="14" t="str">
        <x:v>Explicit source first year retained</x:v>
      </x:c>
      <x:c r="V356" s="14" t="str">
        <x:v>Earliest supplied year is 2025.</x:v>
      </x:c>
      <x:c r="W356" s="14"/>
      <x:c r="X356" s="14" t="str">
        <x:v>Included</x:v>
      </x:c>
      <x:c r="Y356" s="14"/>
      <x:c r="Z356" s="14" t="str">
        <x:v>The Gold.docx</x:v>
      </x:c>
      <x:c r="AA356" s="14" t="str">
        <x:v>HYPERLINK is not implemented. linkLocation=https://www.imdb.com/title/tt14063678/fullcredits/,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BBC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6" s="14" t="str">
        <x:v>BBC public-service commission</x:v>
      </x:c>
      <x:c r="AO356" s="14" t="str">
        <x:v>Yes</x:v>
      </x:c>
      <x:c r="AP356" s="14" t="str">
        <x:v>Direct BBC public-service scope</x:v>
      </x:c>
      <x:c r="AQ356" s="14" t="str">
        <x:v>Yes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0.08333333333333333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4" t="str">
        <x:v>HYPERLINK is not implemented. linkLocation=https://www.imdb.com/title/tt14063678/fullcredits/,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tt14063678|nm0137278|judge cook</x:v>
      </x:c>
      <x:c r="B357" s="14" t="str">
        <x:v>04</x:v>
      </x:c>
      <x:c r="C357" s="14" t="str">
        <x:v>2023_IMDb_Cast_Lists_Batch_04(2).xlsx</x:v>
      </x:c>
      <x:c r="D357" s="14" t="str">
        <x:v>The Gold</x:v>
      </x:c>
      <x:c r="E357" s="14" t="n">
        <x:v>106</x:v>
      </x:c>
      <x:c r="F357" s="14" t="str">
        <x:v>The Gold</x:v>
      </x:c>
      <x:c r="G357" s="14" t="str">
        <x:v>tt14063678</x:v>
      </x:c>
      <x:c r="H357" s="14" t="n">
        <x:v>2023</x:v>
      </x:c>
      <x:c r="I357" s="14" t="n">
        <x:v>2025</x:v>
      </x:c>
      <x:c r="J357" s="14" t="str">
        <x:v>Earlier-Production Carry-In Cohort</x:v>
      </x:c>
      <x:c r="K357" s="14" t="n">
        <x:v>2023</x:v>
      </x:c>
      <x:c r="L357" s="14" t="str">
        <x:v>Not inherited</x:v>
      </x:c>
      <x:c r="M357" s="15" t="n">
        <x:v>99</x:v>
      </x:c>
      <x:c r="N357" s="14" t="str">
        <x:v>Lachele Carl</x:v>
      </x:c>
      <x:c r="O357" s="14" t="str">
        <x:v>nm0137278</x:v>
      </x:c>
      <x:c r="P357" s="14" t="str">
        <x:v>Judge Cook</x:v>
      </x:c>
      <x:c r="Q357" s="15" t="n">
        <x:v>1</x:v>
      </x:c>
      <x:c r="R357" s="14" t="str">
        <x:v>2025</x:v>
      </x:c>
      <x:c r="S357" s="14" t="n">
        <x:v>2025</x:v>
      </x:c>
      <x:c r="T357" s="14" t="n">
        <x:v>2025</x:v>
      </x:c>
      <x:c r="U357" s="14" t="str">
        <x:v>Explicit source first year retained</x:v>
      </x:c>
      <x:c r="V357" s="14" t="str">
        <x:v>Earliest supplied year is 2025.</x:v>
      </x:c>
      <x:c r="W357" s="14"/>
      <x:c r="X357" s="14" t="str">
        <x:v>Included</x:v>
      </x:c>
      <x:c r="Y357" s="14"/>
      <x:c r="Z357" s="14" t="str">
        <x:v>The Gold.docx</x:v>
      </x:c>
      <x:c r="AA357" s="14" t="str">
        <x:v>HYPERLINK is not implemented. linkLocation=https://www.imdb.com/title/tt14063678/fullcredits/,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BBC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7" s="14" t="str">
        <x:v>BBC public-service commission</x:v>
      </x:c>
      <x:c r="AO357" s="14" t="str">
        <x:v>Yes</x:v>
      </x:c>
      <x:c r="AP357" s="14" t="str">
        <x:v>Direct BBC public-service scope</x:v>
      </x:c>
      <x:c r="AQ357" s="14" t="str">
        <x:v>Yes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0.08333333333333333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4" t="str">
        <x:v>HYPERLINK is not implemented. linkLocation=https://www.imdb.com/title/tt14063678/fullcredits/,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tt14063678|nm0274574|javier</x:v>
      </x:c>
      <x:c r="B358" s="14" t="str">
        <x:v>04</x:v>
      </x:c>
      <x:c r="C358" s="14" t="str">
        <x:v>2023_IMDb_Cast_Lists_Batch_04(2).xlsx</x:v>
      </x:c>
      <x:c r="D358" s="14" t="str">
        <x:v>The Gold</x:v>
      </x:c>
      <x:c r="E358" s="14" t="n">
        <x:v>107</x:v>
      </x:c>
      <x:c r="F358" s="14" t="str">
        <x:v>The Gold</x:v>
      </x:c>
      <x:c r="G358" s="14" t="str">
        <x:v>tt14063678</x:v>
      </x:c>
      <x:c r="H358" s="14" t="n">
        <x:v>2023</x:v>
      </x:c>
      <x:c r="I358" s="14" t="n">
        <x:v>2025</x:v>
      </x:c>
      <x:c r="J358" s="14" t="str">
        <x:v>Earlier-Production Carry-In Cohort</x:v>
      </x:c>
      <x:c r="K358" s="14" t="n">
        <x:v>2023</x:v>
      </x:c>
      <x:c r="L358" s="14" t="str">
        <x:v>Not inherited</x:v>
      </x:c>
      <x:c r="M358" s="15" t="n">
        <x:v>100</x:v>
      </x:c>
      <x:c r="N358" s="14" t="str">
        <x:v>José Luis Ferrer</x:v>
      </x:c>
      <x:c r="O358" s="14" t="str">
        <x:v>nm0274574</x:v>
      </x:c>
      <x:c r="P358" s="14" t="str">
        <x:v>Javier</x:v>
      </x:c>
      <x:c r="Q358" s="15" t="n">
        <x:v>1</x:v>
      </x:c>
      <x:c r="R358" s="14" t="str">
        <x:v>2025</x:v>
      </x:c>
      <x:c r="S358" s="14" t="n">
        <x:v>2025</x:v>
      </x:c>
      <x:c r="T358" s="14" t="n">
        <x:v>2025</x:v>
      </x:c>
      <x:c r="U358" s="14" t="str">
        <x:v>Explicit source first year retained</x:v>
      </x:c>
      <x:c r="V358" s="14" t="str">
        <x:v>Earliest supplied year is 2025.</x:v>
      </x:c>
      <x:c r="W358" s="14"/>
      <x:c r="X358" s="14" t="str">
        <x:v>Included</x:v>
      </x:c>
      <x:c r="Y358" s="14"/>
      <x:c r="Z358" s="14" t="str">
        <x:v>The Gold.docx</x:v>
      </x:c>
      <x:c r="AA358" s="14" t="str">
        <x:v>HYPERLINK is not implemented. linkLocation=https://www.imdb.com/title/tt14063678/fullcredits/,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BBC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8" s="14" t="str">
        <x:v>BBC public-service commission</x:v>
      </x:c>
      <x:c r="AO358" s="14" t="str">
        <x:v>Yes</x:v>
      </x:c>
      <x:c r="AP358" s="14" t="str">
        <x:v>Direct BBC public-service scope</x:v>
      </x:c>
      <x:c r="AQ358" s="14" t="str">
        <x:v>Yes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0.08333333333333333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4" t="str">
        <x:v>HYPERLINK is not implemented. linkLocation=https://www.imdb.com/title/tt14063678/fullcredits/,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tt14063678|nm3238734|jed nixon</x:v>
      </x:c>
      <x:c r="B359" s="14" t="str">
        <x:v>04</x:v>
      </x:c>
      <x:c r="C359" s="14" t="str">
        <x:v>2023_IMDb_Cast_Lists_Batch_04(2).xlsx</x:v>
      </x:c>
      <x:c r="D359" s="14" t="str">
        <x:v>The Gold</x:v>
      </x:c>
      <x:c r="E359" s="14" t="n">
        <x:v>109</x:v>
      </x:c>
      <x:c r="F359" s="14" t="str">
        <x:v>The Gold</x:v>
      </x:c>
      <x:c r="G359" s="14" t="str">
        <x:v>tt14063678</x:v>
      </x:c>
      <x:c r="H359" s="14" t="n">
        <x:v>2023</x:v>
      </x:c>
      <x:c r="I359" s="14" t="n">
        <x:v>2025</x:v>
      </x:c>
      <x:c r="J359" s="14" t="str">
        <x:v>Earlier-Production Carry-In Cohort</x:v>
      </x:c>
      <x:c r="K359" s="14" t="n">
        <x:v>2023</x:v>
      </x:c>
      <x:c r="L359" s="14" t="str">
        <x:v>Not inherited</x:v>
      </x:c>
      <x:c r="M359" s="15" t="n">
        <x:v>102</x:v>
      </x:c>
      <x:c r="N359" s="14" t="str">
        <x:v>Thomas Coombes</x:v>
      </x:c>
      <x:c r="O359" s="14" t="str">
        <x:v>nm3238734</x:v>
      </x:c>
      <x:c r="P359" s="14" t="str">
        <x:v>Jed Nixon</x:v>
      </x:c>
      <x:c r="Q359" s="15" t="n">
        <x:v>1</x:v>
      </x:c>
      <x:c r="R359" s="14" t="str">
        <x:v>2025</x:v>
      </x:c>
      <x:c r="S359" s="14" t="n">
        <x:v>2025</x:v>
      </x:c>
      <x:c r="T359" s="14" t="n">
        <x:v>2025</x:v>
      </x:c>
      <x:c r="U359" s="14" t="str">
        <x:v>Explicit source first year retained</x:v>
      </x:c>
      <x:c r="V359" s="14" t="str">
        <x:v>Earliest supplied year is 2025.</x:v>
      </x:c>
      <x:c r="W359" s="14"/>
      <x:c r="X359" s="14" t="str">
        <x:v>Included</x:v>
      </x:c>
      <x:c r="Y359" s="14"/>
      <x:c r="Z359" s="14" t="str">
        <x:v>The Gold.docx</x:v>
      </x:c>
      <x:c r="AA359" s="14" t="str">
        <x:v>HYPERLINK is not implemented. linkLocation=https://www.imdb.com/title/tt14063678/fullcredits/,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BBC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59" s="14" t="str">
        <x:v>BBC public-service commission</x:v>
      </x:c>
      <x:c r="AO359" s="14" t="str">
        <x:v>Yes</x:v>
      </x:c>
      <x:c r="AP359" s="14" t="str">
        <x:v>Direct BBC public-service scope</x:v>
      </x:c>
      <x:c r="AQ359" s="14" t="str">
        <x:v>Yes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0.08333333333333333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4" t="str">
        <x:v>HYPERLINK is not implemented. linkLocation=https://www.imdb.com/title/tt14063678/fullcredits/,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tt14063678|nm10523429|tortola policeman</x:v>
      </x:c>
      <x:c r="B360" s="14" t="str">
        <x:v>04</x:v>
      </x:c>
      <x:c r="C360" s="14" t="str">
        <x:v>2023_IMDb_Cast_Lists_Batch_04(2).xlsx</x:v>
      </x:c>
      <x:c r="D360" s="14" t="str">
        <x:v>The Gold</x:v>
      </x:c>
      <x:c r="E360" s="14" t="n">
        <x:v>113</x:v>
      </x:c>
      <x:c r="F360" s="14" t="str">
        <x:v>The Gold</x:v>
      </x:c>
      <x:c r="G360" s="14" t="str">
        <x:v>tt14063678</x:v>
      </x:c>
      <x:c r="H360" s="14" t="n">
        <x:v>2023</x:v>
      </x:c>
      <x:c r="I360" s="14" t="n">
        <x:v>2025</x:v>
      </x:c>
      <x:c r="J360" s="14" t="str">
        <x:v>Earlier-Production Carry-In Cohort</x:v>
      </x:c>
      <x:c r="K360" s="14" t="n">
        <x:v>2023</x:v>
      </x:c>
      <x:c r="L360" s="14" t="str">
        <x:v>Not inherited</x:v>
      </x:c>
      <x:c r="M360" s="15" t="n">
        <x:v>106</x:v>
      </x:c>
      <x:c r="N360" s="14" t="str">
        <x:v>Toni Engonga</x:v>
      </x:c>
      <x:c r="O360" s="14" t="str">
        <x:v>nm10523429</x:v>
      </x:c>
      <x:c r="P360" s="14" t="str">
        <x:v>Tortola Policeman</x:v>
      </x:c>
      <x:c r="Q360" s="15" t="n">
        <x:v>1</x:v>
      </x:c>
      <x:c r="R360" s="14" t="str">
        <x:v>2025</x:v>
      </x:c>
      <x:c r="S360" s="14" t="n">
        <x:v>2025</x:v>
      </x:c>
      <x:c r="T360" s="14" t="n">
        <x:v>2025</x:v>
      </x:c>
      <x:c r="U360" s="14" t="str">
        <x:v>Explicit source first year retained</x:v>
      </x:c>
      <x:c r="V360" s="14" t="str">
        <x:v>Earliest supplied year is 2025.</x:v>
      </x:c>
      <x:c r="W360" s="14"/>
      <x:c r="X360" s="14" t="str">
        <x:v>Included</x:v>
      </x:c>
      <x:c r="Y360" s="14"/>
      <x:c r="Z360" s="14" t="str">
        <x:v>The Gold.docx</x:v>
      </x:c>
      <x:c r="AA360" s="14" t="str">
        <x:v>HYPERLINK is not implemented. linkLocation=https://www.imdb.com/title/tt14063678/fullcredits/,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BBC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0" s="14" t="str">
        <x:v>BBC public-service commission</x:v>
      </x:c>
      <x:c r="AO360" s="14" t="str">
        <x:v>Yes</x:v>
      </x:c>
      <x:c r="AP360" s="14" t="str">
        <x:v>Direct BBC public-service scope</x:v>
      </x:c>
      <x:c r="AQ360" s="14" t="str">
        <x:v>Yes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0.08333333333333333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4" t="str">
        <x:v>HYPERLINK is not implemented. linkLocation=https://www.imdb.com/title/tt14063678/fullcredits/,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tt14063678|nm1257280|owen dailly</x:v>
      </x:c>
      <x:c r="B361" s="14" t="str">
        <x:v>04</x:v>
      </x:c>
      <x:c r="C361" s="14" t="str">
        <x:v>2023_IMDb_Cast_Lists_Batch_04(2).xlsx</x:v>
      </x:c>
      <x:c r="D361" s="14" t="str">
        <x:v>The Gold</x:v>
      </x:c>
      <x:c r="E361" s="14" t="n">
        <x:v>116</x:v>
      </x:c>
      <x:c r="F361" s="14" t="str">
        <x:v>The Gold</x:v>
      </x:c>
      <x:c r="G361" s="14" t="str">
        <x:v>tt14063678</x:v>
      </x:c>
      <x:c r="H361" s="14" t="n">
        <x:v>2023</x:v>
      </x:c>
      <x:c r="I361" s="14" t="n">
        <x:v>2025</x:v>
      </x:c>
      <x:c r="J361" s="14" t="str">
        <x:v>Earlier-Production Carry-In Cohort</x:v>
      </x:c>
      <x:c r="K361" s="14" t="n">
        <x:v>2023</x:v>
      </x:c>
      <x:c r="L361" s="14" t="str">
        <x:v>Not inherited</x:v>
      </x:c>
      <x:c r="M361" s="15" t="n">
        <x:v>109</x:v>
      </x:c>
      <x:c r="N361" s="14" t="str">
        <x:v>Matthew Gravelle</x:v>
      </x:c>
      <x:c r="O361" s="14" t="str">
        <x:v>nm1257280</x:v>
      </x:c>
      <x:c r="P361" s="14" t="str">
        <x:v>Owen Dailly</x:v>
      </x:c>
      <x:c r="Q361" s="15" t="n">
        <x:v>1</x:v>
      </x:c>
      <x:c r="R361" s="14" t="str">
        <x:v>2025</x:v>
      </x:c>
      <x:c r="S361" s="14" t="n">
        <x:v>2025</x:v>
      </x:c>
      <x:c r="T361" s="14" t="n">
        <x:v>2025</x:v>
      </x:c>
      <x:c r="U361" s="14" t="str">
        <x:v>Explicit source first year retained</x:v>
      </x:c>
      <x:c r="V361" s="14" t="str">
        <x:v>Earliest supplied year is 2025.</x:v>
      </x:c>
      <x:c r="W361" s="14"/>
      <x:c r="X361" s="14" t="str">
        <x:v>Included</x:v>
      </x:c>
      <x:c r="Y361" s="14"/>
      <x:c r="Z361" s="14" t="str">
        <x:v>The Gold.docx</x:v>
      </x:c>
      <x:c r="AA361" s="14" t="str">
        <x:v>HYPERLINK is not implemented. linkLocation=https://www.imdb.com/title/tt14063678/fullcredits/,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BBC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1" s="14" t="str">
        <x:v>BBC public-service commission</x:v>
      </x:c>
      <x:c r="AO361" s="14" t="str">
        <x:v>Yes</x:v>
      </x:c>
      <x:c r="AP361" s="14" t="str">
        <x:v>Direct BBC public-service scope</x:v>
      </x:c>
      <x:c r="AQ361" s="14" t="str">
        <x:v>Yes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0.08333333333333333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4" t="str">
        <x:v>HYPERLINK is not implemented. linkLocation=https://www.imdb.com/title/tt14063678/fullcredits/,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tt14063678|nm0445787|sid</x:v>
      </x:c>
      <x:c r="B362" s="14" t="str">
        <x:v>04</x:v>
      </x:c>
      <x:c r="C362" s="14" t="str">
        <x:v>2023_IMDb_Cast_Lists_Batch_04(2).xlsx</x:v>
      </x:c>
      <x:c r="D362" s="14" t="str">
        <x:v>The Gold</x:v>
      </x:c>
      <x:c r="E362" s="14" t="n">
        <x:v>117</x:v>
      </x:c>
      <x:c r="F362" s="14" t="str">
        <x:v>The Gold</x:v>
      </x:c>
      <x:c r="G362" s="14" t="str">
        <x:v>tt14063678</x:v>
      </x:c>
      <x:c r="H362" s="14" t="n">
        <x:v>2023</x:v>
      </x:c>
      <x:c r="I362" s="14" t="n">
        <x:v>2025</x:v>
      </x:c>
      <x:c r="J362" s="14" t="str">
        <x:v>Earlier-Production Carry-In Cohort</x:v>
      </x:c>
      <x:c r="K362" s="14" t="n">
        <x:v>2023</x:v>
      </x:c>
      <x:c r="L362" s="14" t="str">
        <x:v>Not inherited</x:v>
      </x:c>
      <x:c r="M362" s="15" t="n">
        <x:v>110</x:v>
      </x:c>
      <x:c r="N362" s="14" t="str">
        <x:v>Tom Keller</x:v>
      </x:c>
      <x:c r="O362" s="14" t="str">
        <x:v>nm0445787</x:v>
      </x:c>
      <x:c r="P362" s="14" t="str">
        <x:v>Sid</x:v>
      </x:c>
      <x:c r="Q362" s="15" t="n">
        <x:v>1</x:v>
      </x:c>
      <x:c r="R362" s="14" t="str">
        <x:v>2025</x:v>
      </x:c>
      <x:c r="S362" s="14" t="n">
        <x:v>2025</x:v>
      </x:c>
      <x:c r="T362" s="14" t="n">
        <x:v>2025</x:v>
      </x:c>
      <x:c r="U362" s="14" t="str">
        <x:v>Explicit source first year retained</x:v>
      </x:c>
      <x:c r="V362" s="14" t="str">
        <x:v>Earliest supplied year is 2025.</x:v>
      </x:c>
      <x:c r="W362" s="14"/>
      <x:c r="X362" s="14" t="str">
        <x:v>Included</x:v>
      </x:c>
      <x:c r="Y362" s="14"/>
      <x:c r="Z362" s="14" t="str">
        <x:v>The Gold.docx</x:v>
      </x:c>
      <x:c r="AA362" s="14" t="str">
        <x:v>HYPERLINK is not implemented. linkLocation=https://www.imdb.com/title/tt14063678/fullcredits/,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BBC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2" s="14" t="str">
        <x:v>BBC public-service commission</x:v>
      </x:c>
      <x:c r="AO362" s="14" t="str">
        <x:v>Yes</x:v>
      </x:c>
      <x:c r="AP362" s="14" t="str">
        <x:v>Direct BBC public-service scope</x:v>
      </x:c>
      <x:c r="AQ362" s="14" t="str">
        <x:v>Yes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0.08333333333333333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4" t="str">
        <x:v>HYPERLINK is not implemented. linkLocation=https://www.imdb.com/title/tt14063678/fullcredits/,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tt14063678|nm1535207|magistrate</x:v>
      </x:c>
      <x:c r="B363" s="14" t="str">
        <x:v>04</x:v>
      </x:c>
      <x:c r="C363" s="14" t="str">
        <x:v>2023_IMDb_Cast_Lists_Batch_04(2).xlsx</x:v>
      </x:c>
      <x:c r="D363" s="14" t="str">
        <x:v>The Gold</x:v>
      </x:c>
      <x:c r="E363" s="14" t="n">
        <x:v>118</x:v>
      </x:c>
      <x:c r="F363" s="14" t="str">
        <x:v>The Gold</x:v>
      </x:c>
      <x:c r="G363" s="14" t="str">
        <x:v>tt14063678</x:v>
      </x:c>
      <x:c r="H363" s="14" t="n">
        <x:v>2023</x:v>
      </x:c>
      <x:c r="I363" s="14" t="n">
        <x:v>2025</x:v>
      </x:c>
      <x:c r="J363" s="14" t="str">
        <x:v>Earlier-Production Carry-In Cohort</x:v>
      </x:c>
      <x:c r="K363" s="14" t="n">
        <x:v>2023</x:v>
      </x:c>
      <x:c r="L363" s="14" t="str">
        <x:v>Not inherited</x:v>
      </x:c>
      <x:c r="M363" s="15" t="n">
        <x:v>111</x:v>
      </x:c>
      <x:c r="N363" s="14" t="str">
        <x:v>Russell Layton</x:v>
      </x:c>
      <x:c r="O363" s="14" t="str">
        <x:v>nm1535207</x:v>
      </x:c>
      <x:c r="P363" s="14" t="str">
        <x:v>Magistrate</x:v>
      </x:c>
      <x:c r="Q363" s="15" t="n">
        <x:v>1</x:v>
      </x:c>
      <x:c r="R363" s="14" t="str">
        <x:v>2025</x:v>
      </x:c>
      <x:c r="S363" s="14" t="n">
        <x:v>2025</x:v>
      </x:c>
      <x:c r="T363" s="14" t="n">
        <x:v>2025</x:v>
      </x:c>
      <x:c r="U363" s="14" t="str">
        <x:v>Explicit source first year retained</x:v>
      </x:c>
      <x:c r="V363" s="14" t="str">
        <x:v>Earliest supplied year is 2025.</x:v>
      </x:c>
      <x:c r="W363" s="14"/>
      <x:c r="X363" s="14" t="str">
        <x:v>Included</x:v>
      </x:c>
      <x:c r="Y363" s="14"/>
      <x:c r="Z363" s="14" t="str">
        <x:v>The Gold.docx</x:v>
      </x:c>
      <x:c r="AA363" s="14" t="str">
        <x:v>HYPERLINK is not implemented. linkLocation=https://www.imdb.com/title/tt14063678/fullcredits/,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BBC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3" s="14" t="str">
        <x:v>BBC public-service commission</x:v>
      </x:c>
      <x:c r="AO363" s="14" t="str">
        <x:v>Yes</x:v>
      </x:c>
      <x:c r="AP363" s="14" t="str">
        <x:v>Direct BBC public-service scope</x:v>
      </x:c>
      <x:c r="AQ363" s="14" t="str">
        <x:v>Yes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0.08333333333333333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4" t="str">
        <x:v>HYPERLINK is not implemented. linkLocation=https://www.imdb.com/title/tt14063678/fullcredits/,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tt14063678|nm12353903|elaine hunter</x:v>
      </x:c>
      <x:c r="B364" s="14" t="str">
        <x:v>04</x:v>
      </x:c>
      <x:c r="C364" s="14" t="str">
        <x:v>2023_IMDb_Cast_Lists_Batch_04(2).xlsx</x:v>
      </x:c>
      <x:c r="D364" s="14" t="str">
        <x:v>The Gold</x:v>
      </x:c>
      <x:c r="E364" s="14" t="n">
        <x:v>123</x:v>
      </x:c>
      <x:c r="F364" s="14" t="str">
        <x:v>The Gold</x:v>
      </x:c>
      <x:c r="G364" s="14" t="str">
        <x:v>tt14063678</x:v>
      </x:c>
      <x:c r="H364" s="14" t="n">
        <x:v>2023</x:v>
      </x:c>
      <x:c r="I364" s="14" t="n">
        <x:v>2025</x:v>
      </x:c>
      <x:c r="J364" s="14" t="str">
        <x:v>Earlier-Production Carry-In Cohort</x:v>
      </x:c>
      <x:c r="K364" s="14" t="n">
        <x:v>2023</x:v>
      </x:c>
      <x:c r="L364" s="14" t="str">
        <x:v>Not inherited</x:v>
      </x:c>
      <x:c r="M364" s="15" t="n">
        <x:v>116</x:v>
      </x:c>
      <x:c r="N364" s="14" t="str">
        <x:v>Fiona Marr</x:v>
      </x:c>
      <x:c r="O364" s="14" t="str">
        <x:v>nm12353903</x:v>
      </x:c>
      <x:c r="P364" s="14" t="str">
        <x:v>Elaine Hunter</x:v>
      </x:c>
      <x:c r="Q364" s="15" t="n">
        <x:v>1</x:v>
      </x:c>
      <x:c r="R364" s="14" t="str">
        <x:v>2025</x:v>
      </x:c>
      <x:c r="S364" s="14" t="n">
        <x:v>2025</x:v>
      </x:c>
      <x:c r="T364" s="14" t="n">
        <x:v>2025</x:v>
      </x:c>
      <x:c r="U364" s="14" t="str">
        <x:v>Explicit source first year retained</x:v>
      </x:c>
      <x:c r="V364" s="14" t="str">
        <x:v>Earliest supplied year is 2025.</x:v>
      </x:c>
      <x:c r="W364" s="14"/>
      <x:c r="X364" s="14" t="str">
        <x:v>Included</x:v>
      </x:c>
      <x:c r="Y364" s="14"/>
      <x:c r="Z364" s="14" t="str">
        <x:v>The Gold.docx</x:v>
      </x:c>
      <x:c r="AA364" s="14" t="str">
        <x:v>HYPERLINK is not implemented. linkLocation=https://www.imdb.com/title/tt14063678/fullcredits/,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BBC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4" s="14" t="str">
        <x:v>BBC public-service commission</x:v>
      </x:c>
      <x:c r="AO364" s="14" t="str">
        <x:v>Yes</x:v>
      </x:c>
      <x:c r="AP364" s="14" t="str">
        <x:v>Direct BBC public-service scope</x:v>
      </x:c>
      <x:c r="AQ364" s="14" t="str">
        <x:v>Yes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0.08333333333333333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4" t="str">
        <x:v>HYPERLINK is not implemented. linkLocation=https://www.imdb.com/title/tt14063678/fullcredits/,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tt14063678|nm16949557|ted</x:v>
      </x:c>
      <x:c r="B365" s="14" t="str">
        <x:v>04</x:v>
      </x:c>
      <x:c r="C365" s="14" t="str">
        <x:v>2023_IMDb_Cast_Lists_Batch_04(2).xlsx</x:v>
      </x:c>
      <x:c r="D365" s="14" t="str">
        <x:v>The Gold</x:v>
      </x:c>
      <x:c r="E365" s="14" t="n">
        <x:v>124</x:v>
      </x:c>
      <x:c r="F365" s="14" t="str">
        <x:v>The Gold</x:v>
      </x:c>
      <x:c r="G365" s="14" t="str">
        <x:v>tt14063678</x:v>
      </x:c>
      <x:c r="H365" s="14" t="n">
        <x:v>2023</x:v>
      </x:c>
      <x:c r="I365" s="14" t="n">
        <x:v>2025</x:v>
      </x:c>
      <x:c r="J365" s="14" t="str">
        <x:v>Earlier-Production Carry-In Cohort</x:v>
      </x:c>
      <x:c r="K365" s="14" t="n">
        <x:v>2023</x:v>
      </x:c>
      <x:c r="L365" s="14" t="str">
        <x:v>Not inherited</x:v>
      </x:c>
      <x:c r="M365" s="15" t="n">
        <x:v>117</x:v>
      </x:c>
      <x:c r="N365" s="14" t="str">
        <x:v>Caspar Jones</x:v>
      </x:c>
      <x:c r="O365" s="14" t="str">
        <x:v>nm16949557</x:v>
      </x:c>
      <x:c r="P365" s="14" t="str">
        <x:v>Ted</x:v>
      </x:c>
      <x:c r="Q365" s="15" t="n">
        <x:v>1</x:v>
      </x:c>
      <x:c r="R365" s="14" t="str">
        <x:v>2025</x:v>
      </x:c>
      <x:c r="S365" s="14" t="n">
        <x:v>2025</x:v>
      </x:c>
      <x:c r="T365" s="14" t="n">
        <x:v>2025</x:v>
      </x:c>
      <x:c r="U365" s="14" t="str">
        <x:v>Explicit source first year retained</x:v>
      </x:c>
      <x:c r="V365" s="14" t="str">
        <x:v>Earliest supplied year is 2025.</x:v>
      </x:c>
      <x:c r="W365" s="14"/>
      <x:c r="X365" s="14" t="str">
        <x:v>Included</x:v>
      </x:c>
      <x:c r="Y365" s="14"/>
      <x:c r="Z365" s="14" t="str">
        <x:v>The Gold.docx</x:v>
      </x:c>
      <x:c r="AA365" s="14" t="str">
        <x:v>HYPERLINK is not implemented. linkLocation=https://www.imdb.com/title/tt14063678/fullcredits/,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BBC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5" s="14" t="str">
        <x:v>BBC public-service commission</x:v>
      </x:c>
      <x:c r="AO365" s="14" t="str">
        <x:v>Yes</x:v>
      </x:c>
      <x:c r="AP365" s="14" t="str">
        <x:v>Direct BBC public-service scope</x:v>
      </x:c>
      <x:c r="AQ365" s="14" t="str">
        <x:v>Yes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0.08333333333333333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4" t="str">
        <x:v>HYPERLINK is not implemented. linkLocation=https://www.imdb.com/title/tt14063678/fullcredits/,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tt14063678|nm2171908|véronique</x:v>
      </x:c>
      <x:c r="B366" s="14" t="str">
        <x:v>04</x:v>
      </x:c>
      <x:c r="C366" s="14" t="str">
        <x:v>2023_IMDb_Cast_Lists_Batch_04(2).xlsx</x:v>
      </x:c>
      <x:c r="D366" s="14" t="str">
        <x:v>The Gold</x:v>
      </x:c>
      <x:c r="E366" s="14" t="n">
        <x:v>126</x:v>
      </x:c>
      <x:c r="F366" s="14" t="str">
        <x:v>The Gold</x:v>
      </x:c>
      <x:c r="G366" s="14" t="str">
        <x:v>tt14063678</x:v>
      </x:c>
      <x:c r="H366" s="14" t="n">
        <x:v>2023</x:v>
      </x:c>
      <x:c r="I366" s="14" t="n">
        <x:v>2025</x:v>
      </x:c>
      <x:c r="J366" s="14" t="str">
        <x:v>Earlier-Production Carry-In Cohort</x:v>
      </x:c>
      <x:c r="K366" s="14" t="n">
        <x:v>2023</x:v>
      </x:c>
      <x:c r="L366" s="14" t="str">
        <x:v>Not inherited</x:v>
      </x:c>
      <x:c r="M366" s="15" t="n">
        <x:v>119</x:v>
      </x:c>
      <x:c r="N366" s="14" t="str">
        <x:v>Ramona Von Pusch</x:v>
      </x:c>
      <x:c r="O366" s="14" t="str">
        <x:v>nm2171908</x:v>
      </x:c>
      <x:c r="P366" s="14" t="str">
        <x:v>Véronique</x:v>
      </x:c>
      <x:c r="Q366" s="15" t="n">
        <x:v>1</x:v>
      </x:c>
      <x:c r="R366" s="14" t="str">
        <x:v>2025</x:v>
      </x:c>
      <x:c r="S366" s="14" t="n">
        <x:v>2025</x:v>
      </x:c>
      <x:c r="T366" s="14" t="n">
        <x:v>2025</x:v>
      </x:c>
      <x:c r="U366" s="14" t="str">
        <x:v>Explicit source first year retained</x:v>
      </x:c>
      <x:c r="V366" s="14" t="str">
        <x:v>Earliest supplied year is 2025.</x:v>
      </x:c>
      <x:c r="W366" s="14"/>
      <x:c r="X366" s="14" t="str">
        <x:v>Included</x:v>
      </x:c>
      <x:c r="Y366" s="14"/>
      <x:c r="Z366" s="14" t="str">
        <x:v>The Gold.docx</x:v>
      </x:c>
      <x:c r="AA366" s="14" t="str">
        <x:v>HYPERLINK is not implemented. linkLocation=https://www.imdb.com/title/tt14063678/fullcredits/,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BBC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6" s="14" t="str">
        <x:v>BBC public-service commission</x:v>
      </x:c>
      <x:c r="AO366" s="14" t="str">
        <x:v>Yes</x:v>
      </x:c>
      <x:c r="AP366" s="14" t="str">
        <x:v>Direct BBC public-service scope</x:v>
      </x:c>
      <x:c r="AQ366" s="14" t="str">
        <x:v>Yes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0.08333333333333333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4" t="str">
        <x:v>HYPERLINK is not implemented. linkLocation=https://www.imdb.com/title/tt14063678/fullcredits/,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tt14063678|nm3474917|forewoman isla</x:v>
      </x:c>
      <x:c r="B367" s="14" t="str">
        <x:v>04</x:v>
      </x:c>
      <x:c r="C367" s="14" t="str">
        <x:v>2023_IMDb_Cast_Lists_Batch_04(2).xlsx</x:v>
      </x:c>
      <x:c r="D367" s="14" t="str">
        <x:v>The Gold</x:v>
      </x:c>
      <x:c r="E367" s="14" t="n">
        <x:v>127</x:v>
      </x:c>
      <x:c r="F367" s="14" t="str">
        <x:v>The Gold</x:v>
      </x:c>
      <x:c r="G367" s="14" t="str">
        <x:v>tt14063678</x:v>
      </x:c>
      <x:c r="H367" s="14" t="n">
        <x:v>2023</x:v>
      </x:c>
      <x:c r="I367" s="14" t="n">
        <x:v>2025</x:v>
      </x:c>
      <x:c r="J367" s="14" t="str">
        <x:v>Earlier-Production Carry-In Cohort</x:v>
      </x:c>
      <x:c r="K367" s="14" t="n">
        <x:v>2023</x:v>
      </x:c>
      <x:c r="L367" s="14" t="str">
        <x:v>Not inherited</x:v>
      </x:c>
      <x:c r="M367" s="15" t="n">
        <x:v>120</x:v>
      </x:c>
      <x:c r="N367" s="14" t="str">
        <x:v>Soraya Radford</x:v>
      </x:c>
      <x:c r="O367" s="14" t="str">
        <x:v>nm3474917</x:v>
      </x:c>
      <x:c r="P367" s="14" t="str">
        <x:v>Forewoman Isla</x:v>
      </x:c>
      <x:c r="Q367" s="15" t="n">
        <x:v>1</x:v>
      </x:c>
      <x:c r="R367" s="14" t="str">
        <x:v>2025</x:v>
      </x:c>
      <x:c r="S367" s="14" t="n">
        <x:v>2025</x:v>
      </x:c>
      <x:c r="T367" s="14" t="n">
        <x:v>2025</x:v>
      </x:c>
      <x:c r="U367" s="14" t="str">
        <x:v>Explicit source first year retained</x:v>
      </x:c>
      <x:c r="V367" s="14" t="str">
        <x:v>Earliest supplied year is 2025.</x:v>
      </x:c>
      <x:c r="W367" s="14"/>
      <x:c r="X367" s="14" t="str">
        <x:v>Included</x:v>
      </x:c>
      <x:c r="Y367" s="14"/>
      <x:c r="Z367" s="14" t="str">
        <x:v>The Gold.docx</x:v>
      </x:c>
      <x:c r="AA367" s="14" t="str">
        <x:v>HYPERLINK is not implemented. linkLocation=https://www.imdb.com/title/tt14063678/fullcredits/,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BBC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7" s="14" t="str">
        <x:v>BBC public-service commission</x:v>
      </x:c>
      <x:c r="AO367" s="14" t="str">
        <x:v>Yes</x:v>
      </x:c>
      <x:c r="AP367" s="14" t="str">
        <x:v>Direct BBC public-service scope</x:v>
      </x:c>
      <x:c r="AQ367" s="14" t="str">
        <x:v>Yes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0.08333333333333333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4" t="str">
        <x:v>HYPERLINK is not implemented. linkLocation=https://www.imdb.com/title/tt14063678/fullcredits/,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tt14063678|nm0659373|han-so</x:v>
      </x:c>
      <x:c r="B368" s="14" t="str">
        <x:v>04</x:v>
      </x:c>
      <x:c r="C368" s="14" t="str">
        <x:v>2023_IMDb_Cast_Lists_Batch_04(2).xlsx</x:v>
      </x:c>
      <x:c r="D368" s="14" t="str">
        <x:v>The Gold</x:v>
      </x:c>
      <x:c r="E368" s="14" t="n">
        <x:v>128</x:v>
      </x:c>
      <x:c r="F368" s="14" t="str">
        <x:v>The Gold</x:v>
      </x:c>
      <x:c r="G368" s="14" t="str">
        <x:v>tt14063678</x:v>
      </x:c>
      <x:c r="H368" s="14" t="n">
        <x:v>2023</x:v>
      </x:c>
      <x:c r="I368" s="14" t="n">
        <x:v>2025</x:v>
      </x:c>
      <x:c r="J368" s="14" t="str">
        <x:v>Earlier-Production Carry-In Cohort</x:v>
      </x:c>
      <x:c r="K368" s="14" t="n">
        <x:v>2023</x:v>
      </x:c>
      <x:c r="L368" s="14" t="str">
        <x:v>Not inherited</x:v>
      </x:c>
      <x:c r="M368" s="15" t="n">
        <x:v>121</x:v>
      </x:c>
      <x:c r="N368" s="14" t="str">
        <x:v>Adrian Pang</x:v>
      </x:c>
      <x:c r="O368" s="14" t="str">
        <x:v>nm0659373</x:v>
      </x:c>
      <x:c r="P368" s="14" t="str">
        <x:v>Han-So</x:v>
      </x:c>
      <x:c r="Q368" s="15" t="n">
        <x:v>1</x:v>
      </x:c>
      <x:c r="R368" s="14" t="str">
        <x:v>2025</x:v>
      </x:c>
      <x:c r="S368" s="14" t="n">
        <x:v>2025</x:v>
      </x:c>
      <x:c r="T368" s="14" t="n">
        <x:v>2025</x:v>
      </x:c>
      <x:c r="U368" s="14" t="str">
        <x:v>Explicit source first year retained</x:v>
      </x:c>
      <x:c r="V368" s="14" t="str">
        <x:v>Earliest supplied year is 2025.</x:v>
      </x:c>
      <x:c r="W368" s="14"/>
      <x:c r="X368" s="14" t="str">
        <x:v>Included</x:v>
      </x:c>
      <x:c r="Y368" s="14"/>
      <x:c r="Z368" s="14" t="str">
        <x:v>The Gold.docx</x:v>
      </x:c>
      <x:c r="AA368" s="14" t="str">
        <x:v>HYPERLINK is not implemented. linkLocation=https://www.imdb.com/title/tt14063678/fullcredits/,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BBC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8" s="14" t="str">
        <x:v>BBC public-service commission</x:v>
      </x:c>
      <x:c r="AO368" s="14" t="str">
        <x:v>Yes</x:v>
      </x:c>
      <x:c r="AP368" s="14" t="str">
        <x:v>Direct BBC public-service scope</x:v>
      </x:c>
      <x:c r="AQ368" s="14" t="str">
        <x:v>Yes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12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1</x:v>
      </x:c>
      <x:c r="BS368" s="16" t="n">
        <x:v>0.08333333333333333</x:v>
      </x:c>
      <x:c r="BT368" s="14" t="str">
        <x:v>One episode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4" t="str">
        <x:v>HYPERLINK is not implemented. linkLocation=https://www.imdb.com/title/tt14063678/fullcredits/,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tt14063678|nm8449814|rosa</x:v>
      </x:c>
      <x:c r="B369" s="14" t="str">
        <x:v>04</x:v>
      </x:c>
      <x:c r="C369" s="14" t="str">
        <x:v>2023_IMDb_Cast_Lists_Batch_04(2).xlsx</x:v>
      </x:c>
      <x:c r="D369" s="14" t="str">
        <x:v>The Gold</x:v>
      </x:c>
      <x:c r="E369" s="14" t="n">
        <x:v>130</x:v>
      </x:c>
      <x:c r="F369" s="14" t="str">
        <x:v>The Gold</x:v>
      </x:c>
      <x:c r="G369" s="14" t="str">
        <x:v>tt14063678</x:v>
      </x:c>
      <x:c r="H369" s="14" t="n">
        <x:v>2023</x:v>
      </x:c>
      <x:c r="I369" s="14" t="n">
        <x:v>2025</x:v>
      </x:c>
      <x:c r="J369" s="14" t="str">
        <x:v>Earlier-Production Carry-In Cohort</x:v>
      </x:c>
      <x:c r="K369" s="14" t="n">
        <x:v>2023</x:v>
      </x:c>
      <x:c r="L369" s="14" t="str">
        <x:v>Not inherited</x:v>
      </x:c>
      <x:c r="M369" s="15" t="n">
        <x:v>123</x:v>
      </x:c>
      <x:c r="N369" s="14" t="str">
        <x:v>Savannah Steyn</x:v>
      </x:c>
      <x:c r="O369" s="14" t="str">
        <x:v>nm8449814</x:v>
      </x:c>
      <x:c r="P369" s="14" t="str">
        <x:v>Rosa</x:v>
      </x:c>
      <x:c r="Q369" s="15" t="n">
        <x:v>1</x:v>
      </x:c>
      <x:c r="R369" s="14" t="str">
        <x:v>2025</x:v>
      </x:c>
      <x:c r="S369" s="14" t="n">
        <x:v>2025</x:v>
      </x:c>
      <x:c r="T369" s="14" t="n">
        <x:v>2025</x:v>
      </x:c>
      <x:c r="U369" s="14" t="str">
        <x:v>Explicit source first year retained</x:v>
      </x:c>
      <x:c r="V369" s="14" t="str">
        <x:v>Earliest supplied year is 2025.</x:v>
      </x:c>
      <x:c r="W369" s="14"/>
      <x:c r="X369" s="14" t="str">
        <x:v>Included</x:v>
      </x:c>
      <x:c r="Y369" s="14"/>
      <x:c r="Z369" s="14" t="str">
        <x:v>The Gold.docx</x:v>
      </x:c>
      <x:c r="AA369" s="14" t="str">
        <x:v>HYPERLINK is not implemented. linkLocation=https://www.imdb.com/title/tt14063678/fullcredits/,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BBC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69" s="14" t="str">
        <x:v>BBC public-service commission</x:v>
      </x:c>
      <x:c r="AO369" s="14" t="str">
        <x:v>Yes</x:v>
      </x:c>
      <x:c r="AP369" s="14" t="str">
        <x:v>Direct BBC public-service scope</x:v>
      </x:c>
      <x:c r="AQ369" s="14" t="str">
        <x:v>Yes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12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0.08333333333333333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4" t="str">
        <x:v>HYPERLINK is not implemented. linkLocation=https://www.imdb.com/title/tt14063678/fullcredits/,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tt14063678|nm1518695|superintendent johnston</x:v>
      </x:c>
      <x:c r="B370" s="14" t="str">
        <x:v>04</x:v>
      </x:c>
      <x:c r="C370" s="14" t="str">
        <x:v>2023_IMDb_Cast_Lists_Batch_04(2).xlsx</x:v>
      </x:c>
      <x:c r="D370" s="14" t="str">
        <x:v>The Gold</x:v>
      </x:c>
      <x:c r="E370" s="14" t="n">
        <x:v>131</x:v>
      </x:c>
      <x:c r="F370" s="14" t="str">
        <x:v>The Gold</x:v>
      </x:c>
      <x:c r="G370" s="14" t="str">
        <x:v>tt14063678</x:v>
      </x:c>
      <x:c r="H370" s="14" t="n">
        <x:v>2023</x:v>
      </x:c>
      <x:c r="I370" s="14" t="n">
        <x:v>2025</x:v>
      </x:c>
      <x:c r="J370" s="14" t="str">
        <x:v>Earlier-Production Carry-In Cohort</x:v>
      </x:c>
      <x:c r="K370" s="14" t="n">
        <x:v>2023</x:v>
      </x:c>
      <x:c r="L370" s="14" t="str">
        <x:v>Not inherited</x:v>
      </x:c>
      <x:c r="M370" s="15" t="n">
        <x:v>124</x:v>
      </x:c>
      <x:c r="N370" s="14" t="str">
        <x:v>Tracy Wiles</x:v>
      </x:c>
      <x:c r="O370" s="14" t="str">
        <x:v>nm1518695</x:v>
      </x:c>
      <x:c r="P370" s="14" t="str">
        <x:v>Superintendent Johnston</x:v>
      </x:c>
      <x:c r="Q370" s="15" t="n">
        <x:v>1</x:v>
      </x:c>
      <x:c r="R370" s="14" t="str">
        <x:v>2025</x:v>
      </x:c>
      <x:c r="S370" s="14" t="n">
        <x:v>2025</x:v>
      </x:c>
      <x:c r="T370" s="14" t="n">
        <x:v>2025</x:v>
      </x:c>
      <x:c r="U370" s="14" t="str">
        <x:v>Explicit source first year retained</x:v>
      </x:c>
      <x:c r="V370" s="14" t="str">
        <x:v>Earliest supplied year is 2025.</x:v>
      </x:c>
      <x:c r="W370" s="14"/>
      <x:c r="X370" s="14" t="str">
        <x:v>Included</x:v>
      </x:c>
      <x:c r="Y370" s="14"/>
      <x:c r="Z370" s="14" t="str">
        <x:v>The Gold.docx</x:v>
      </x:c>
      <x:c r="AA370" s="14" t="str">
        <x:v>HYPERLINK is not implemented. linkLocation=https://www.imdb.com/title/tt14063678/fullcredits/,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BBC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0" s="14" t="str">
        <x:v>BBC public-service commission</x:v>
      </x:c>
      <x:c r="AO370" s="14" t="str">
        <x:v>Yes</x:v>
      </x:c>
      <x:c r="AP370" s="14" t="str">
        <x:v>Direct BBC public-service scope</x:v>
      </x:c>
      <x:c r="AQ370" s="14" t="str">
        <x:v>Yes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12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0.08333333333333333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4" t="str">
        <x:v>HYPERLINK is not implemented. linkLocation=https://www.imdb.com/title/tt14063678/fullcredits/,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tt14063678|nm0532067|tel</x:v>
      </x:c>
      <x:c r="B371" s="14" t="str">
        <x:v>04</x:v>
      </x:c>
      <x:c r="C371" s="14" t="str">
        <x:v>2023_IMDb_Cast_Lists_Batch_04(2).xlsx</x:v>
      </x:c>
      <x:c r="D371" s="14" t="str">
        <x:v>The Gold</x:v>
      </x:c>
      <x:c r="E371" s="14" t="n">
        <x:v>132</x:v>
      </x:c>
      <x:c r="F371" s="14" t="str">
        <x:v>The Gold</x:v>
      </x:c>
      <x:c r="G371" s="14" t="str">
        <x:v>tt14063678</x:v>
      </x:c>
      <x:c r="H371" s="14" t="n">
        <x:v>2023</x:v>
      </x:c>
      <x:c r="I371" s="14" t="n">
        <x:v>2025</x:v>
      </x:c>
      <x:c r="J371" s="14" t="str">
        <x:v>Earlier-Production Carry-In Cohort</x:v>
      </x:c>
      <x:c r="K371" s="14" t="n">
        <x:v>2023</x:v>
      </x:c>
      <x:c r="L371" s="14" t="str">
        <x:v>Not inherited</x:v>
      </x:c>
      <x:c r="M371" s="15" t="n">
        <x:v>125</x:v>
      </x:c>
      <x:c r="N371" s="14" t="str">
        <x:v>Colin Mace</x:v>
      </x:c>
      <x:c r="O371" s="14" t="str">
        <x:v>nm0532067</x:v>
      </x:c>
      <x:c r="P371" s="14" t="str">
        <x:v>Tel</x:v>
      </x:c>
      <x:c r="Q371" s="15" t="n">
        <x:v>1</x:v>
      </x:c>
      <x:c r="R371" s="14" t="str">
        <x:v>2025</x:v>
      </x:c>
      <x:c r="S371" s="14" t="n">
        <x:v>2025</x:v>
      </x:c>
      <x:c r="T371" s="14" t="n">
        <x:v>2025</x:v>
      </x:c>
      <x:c r="U371" s="14" t="str">
        <x:v>Explicit source first year retained</x:v>
      </x:c>
      <x:c r="V371" s="14" t="str">
        <x:v>Earliest supplied year is 2025.</x:v>
      </x:c>
      <x:c r="W371" s="14"/>
      <x:c r="X371" s="14" t="str">
        <x:v>Included</x:v>
      </x:c>
      <x:c r="Y371" s="14"/>
      <x:c r="Z371" s="14" t="str">
        <x:v>The Gold.docx</x:v>
      </x:c>
      <x:c r="AA371" s="14" t="str">
        <x:v>HYPERLINK is not implemented. linkLocation=https://www.imdb.com/title/tt14063678/fullcredits/,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BBC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1" s="14" t="str">
        <x:v>BBC public-service commission</x:v>
      </x:c>
      <x:c r="AO371" s="14" t="str">
        <x:v>Yes</x:v>
      </x:c>
      <x:c r="AP371" s="14" t="str">
        <x:v>Direct BBC public-service scope</x:v>
      </x:c>
      <x:c r="AQ371" s="14" t="str">
        <x:v>Yes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12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0.08333333333333333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4" t="str">
        <x:v>HYPERLINK is not implemented. linkLocation=https://www.imdb.com/title/tt14063678/fullcredits/,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tt14063678|nm4506767|wendy</x:v>
      </x:c>
      <x:c r="B372" s="14" t="str">
        <x:v>04</x:v>
      </x:c>
      <x:c r="C372" s="14" t="str">
        <x:v>2023_IMDb_Cast_Lists_Batch_04(2).xlsx</x:v>
      </x:c>
      <x:c r="D372" s="14" t="str">
        <x:v>The Gold</x:v>
      </x:c>
      <x:c r="E372" s="14" t="n">
        <x:v>137</x:v>
      </x:c>
      <x:c r="F372" s="14" t="str">
        <x:v>The Gold</x:v>
      </x:c>
      <x:c r="G372" s="14" t="str">
        <x:v>tt14063678</x:v>
      </x:c>
      <x:c r="H372" s="14" t="n">
        <x:v>2023</x:v>
      </x:c>
      <x:c r="I372" s="14" t="n">
        <x:v>2025</x:v>
      </x:c>
      <x:c r="J372" s="14" t="str">
        <x:v>Earlier-Production Carry-In Cohort</x:v>
      </x:c>
      <x:c r="K372" s="14" t="n">
        <x:v>2023</x:v>
      </x:c>
      <x:c r="L372" s="14" t="str">
        <x:v>Not inherited</x:v>
      </x:c>
      <x:c r="M372" s="15" t="n">
        <x:v>130</x:v>
      </x:c>
      <x:c r="N372" s="14" t="str">
        <x:v>Phoebe Pryce</x:v>
      </x:c>
      <x:c r="O372" s="14" t="str">
        <x:v>nm4506767</x:v>
      </x:c>
      <x:c r="P372" s="14" t="str">
        <x:v>Wendy</x:v>
      </x:c>
      <x:c r="Q372" s="15" t="n">
        <x:v>1</x:v>
      </x:c>
      <x:c r="R372" s="14" t="str">
        <x:v>2025</x:v>
      </x:c>
      <x:c r="S372" s="14" t="n">
        <x:v>2025</x:v>
      </x:c>
      <x:c r="T372" s="14" t="n">
        <x:v>2025</x:v>
      </x:c>
      <x:c r="U372" s="14" t="str">
        <x:v>Explicit source first year retained</x:v>
      </x:c>
      <x:c r="V372" s="14" t="str">
        <x:v>Earliest supplied year is 2025.</x:v>
      </x:c>
      <x:c r="W372" s="14"/>
      <x:c r="X372" s="14" t="str">
        <x:v>Included</x:v>
      </x:c>
      <x:c r="Y372" s="14"/>
      <x:c r="Z372" s="14" t="str">
        <x:v>The Gold.docx</x:v>
      </x:c>
      <x:c r="AA372" s="14" t="str">
        <x:v>HYPERLINK is not implemented. linkLocation=https://www.imdb.com/title/tt14063678/fullcredits/,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BBC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2" s="14" t="str">
        <x:v>BBC public-service commission</x:v>
      </x:c>
      <x:c r="AO372" s="14" t="str">
        <x:v>Yes</x:v>
      </x:c>
      <x:c r="AP372" s="14" t="str">
        <x:v>Direct BBC public-service scope</x:v>
      </x:c>
      <x:c r="AQ372" s="14" t="str">
        <x:v>Yes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12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0.08333333333333333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4" t="str">
        <x:v>HYPERLINK is not implemented. linkLocation=https://www.imdb.com/title/tt14063678/fullcredits/,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tt14063678|nm2715484|bank manager</x:v>
      </x:c>
      <x:c r="B373" s="14" t="str">
        <x:v>04</x:v>
      </x:c>
      <x:c r="C373" s="14" t="str">
        <x:v>2023_IMDb_Cast_Lists_Batch_04(2).xlsx</x:v>
      </x:c>
      <x:c r="D373" s="14" t="str">
        <x:v>The Gold</x:v>
      </x:c>
      <x:c r="E373" s="14" t="n">
        <x:v>147</x:v>
      </x:c>
      <x:c r="F373" s="14" t="str">
        <x:v>The Gold</x:v>
      </x:c>
      <x:c r="G373" s="14" t="str">
        <x:v>tt14063678</x:v>
      </x:c>
      <x:c r="H373" s="14" t="n">
        <x:v>2023</x:v>
      </x:c>
      <x:c r="I373" s="14" t="n">
        <x:v>2025</x:v>
      </x:c>
      <x:c r="J373" s="14" t="str">
        <x:v>Earlier-Production Carry-In Cohort</x:v>
      </x:c>
      <x:c r="K373" s="14" t="n">
        <x:v>2023</x:v>
      </x:c>
      <x:c r="L373" s="14" t="str">
        <x:v>Not inherited</x:v>
      </x:c>
      <x:c r="M373" s="15" t="n">
        <x:v>140</x:v>
      </x:c>
      <x:c r="N373" s="14" t="str">
        <x:v>Diego Santos</x:v>
      </x:c>
      <x:c r="O373" s="14" t="str">
        <x:v>nm2715484</x:v>
      </x:c>
      <x:c r="P373" s="14" t="str">
        <x:v>Bank Manager</x:v>
      </x:c>
      <x:c r="Q373" s="15" t="n">
        <x:v>1</x:v>
      </x:c>
      <x:c r="R373" s="14" t="str">
        <x:v>2025</x:v>
      </x:c>
      <x:c r="S373" s="14" t="n">
        <x:v>2025</x:v>
      </x:c>
      <x:c r="T373" s="14" t="n">
        <x:v>2025</x:v>
      </x:c>
      <x:c r="U373" s="14" t="str">
        <x:v>Explicit source first year retained</x:v>
      </x:c>
      <x:c r="V373" s="14" t="str">
        <x:v>Earliest supplied year is 2025.</x:v>
      </x:c>
      <x:c r="W373" s="14"/>
      <x:c r="X373" s="14" t="str">
        <x:v>Included</x:v>
      </x:c>
      <x:c r="Y373" s="14"/>
      <x:c r="Z373" s="14" t="str">
        <x:v>The Gold.docx</x:v>
      </x:c>
      <x:c r="AA373" s="14" t="str">
        <x:v>HYPERLINK is not implemented. linkLocation=https://www.imdb.com/title/tt14063678/fullcredits/,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BBC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3" s="14" t="str">
        <x:v>BBC public-service commission</x:v>
      </x:c>
      <x:c r="AO373" s="14" t="str">
        <x:v>Yes</x:v>
      </x:c>
      <x:c r="AP373" s="14" t="str">
        <x:v>Direct BBC public-service scope</x:v>
      </x:c>
      <x:c r="AQ373" s="14" t="str">
        <x:v>Yes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12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0.08333333333333333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4" t="str">
        <x:v>HYPERLINK is not implemented. linkLocation=https://www.imdb.com/title/tt14063678/fullcredits/,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tt14063678|nm1186094|clive</x:v>
      </x:c>
      <x:c r="B374" s="14" t="str">
        <x:v>04</x:v>
      </x:c>
      <x:c r="C374" s="14" t="str">
        <x:v>2023_IMDb_Cast_Lists_Batch_04(2).xlsx</x:v>
      </x:c>
      <x:c r="D374" s="14" t="str">
        <x:v>The Gold</x:v>
      </x:c>
      <x:c r="E374" s="14" t="n">
        <x:v>157</x:v>
      </x:c>
      <x:c r="F374" s="14" t="str">
        <x:v>The Gold</x:v>
      </x:c>
      <x:c r="G374" s="14" t="str">
        <x:v>tt14063678</x:v>
      </x:c>
      <x:c r="H374" s="14" t="n">
        <x:v>2023</x:v>
      </x:c>
      <x:c r="I374" s="14" t="n">
        <x:v>2025</x:v>
      </x:c>
      <x:c r="J374" s="14" t="str">
        <x:v>Earlier-Production Carry-In Cohort</x:v>
      </x:c>
      <x:c r="K374" s="14" t="n">
        <x:v>2023</x:v>
      </x:c>
      <x:c r="L374" s="14" t="str">
        <x:v>Not inherited</x:v>
      </x:c>
      <x:c r="M374" s="15" t="n">
        <x:v>150</x:v>
      </x:c>
      <x:c r="N374" s="14" t="str">
        <x:v>Jonathan Rhodes</x:v>
      </x:c>
      <x:c r="O374" s="14" t="str">
        <x:v>nm1186094</x:v>
      </x:c>
      <x:c r="P374" s="14" t="str">
        <x:v>Clive</x:v>
      </x:c>
      <x:c r="Q374" s="15" t="n">
        <x:v>1</x:v>
      </x:c>
      <x:c r="R374" s="14" t="str">
        <x:v>2025</x:v>
      </x:c>
      <x:c r="S374" s="14" t="n">
        <x:v>2025</x:v>
      </x:c>
      <x:c r="T374" s="14" t="n">
        <x:v>2025</x:v>
      </x:c>
      <x:c r="U374" s="14" t="str">
        <x:v>Explicit source first year retained</x:v>
      </x:c>
      <x:c r="V374" s="14" t="str">
        <x:v>Earliest supplied year is 2025.</x:v>
      </x:c>
      <x:c r="W374" s="14"/>
      <x:c r="X374" s="14" t="str">
        <x:v>Included</x:v>
      </x:c>
      <x:c r="Y374" s="14"/>
      <x:c r="Z374" s="14" t="str">
        <x:v>The Gold.docx</x:v>
      </x:c>
      <x:c r="AA374" s="14" t="str">
        <x:v>HYPERLINK is not implemented. linkLocation=https://www.imdb.com/title/tt14063678/fullcredits/,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BBC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4" s="14" t="str">
        <x:v>BBC public-service commission</x:v>
      </x:c>
      <x:c r="AO374" s="14" t="str">
        <x:v>Yes</x:v>
      </x:c>
      <x:c r="AP374" s="14" t="str">
        <x:v>Direct BBC public-service scope</x:v>
      </x:c>
      <x:c r="AQ374" s="14" t="str">
        <x:v>Yes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12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0.08333333333333333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4" t="str">
        <x:v>HYPERLINK is not implemented. linkLocation=https://www.imdb.com/title/tt14063678/fullcredits/,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tt14063678|nm9794343|armed police officer #1</x:v>
      </x:c>
      <x:c r="B375" s="14" t="str">
        <x:v>04</x:v>
      </x:c>
      <x:c r="C375" s="14" t="str">
        <x:v>2023_IMDb_Cast_Lists_Batch_04(2).xlsx</x:v>
      </x:c>
      <x:c r="D375" s="14" t="str">
        <x:v>The Gold</x:v>
      </x:c>
      <x:c r="E375" s="14" t="n">
        <x:v>158</x:v>
      </x:c>
      <x:c r="F375" s="14" t="str">
        <x:v>The Gold</x:v>
      </x:c>
      <x:c r="G375" s="14" t="str">
        <x:v>tt14063678</x:v>
      </x:c>
      <x:c r="H375" s="14" t="n">
        <x:v>2023</x:v>
      </x:c>
      <x:c r="I375" s="14" t="n">
        <x:v>2025</x:v>
      </x:c>
      <x:c r="J375" s="14" t="str">
        <x:v>Earlier-Production Carry-In Cohort</x:v>
      </x:c>
      <x:c r="K375" s="14" t="n">
        <x:v>2023</x:v>
      </x:c>
      <x:c r="L375" s="14" t="str">
        <x:v>Not inherited</x:v>
      </x:c>
      <x:c r="M375" s="15" t="n">
        <x:v>151</x:v>
      </x:c>
      <x:c r="N375" s="14" t="str">
        <x:v>Alex Mason</x:v>
      </x:c>
      <x:c r="O375" s="14" t="str">
        <x:v>nm9794343</x:v>
      </x:c>
      <x:c r="P375" s="14" t="str">
        <x:v>Armed Police Officer #1</x:v>
      </x:c>
      <x:c r="Q375" s="15" t="n">
        <x:v>1</x:v>
      </x:c>
      <x:c r="R375" s="14" t="str">
        <x:v>2025</x:v>
      </x:c>
      <x:c r="S375" s="14" t="n">
        <x:v>2025</x:v>
      </x:c>
      <x:c r="T375" s="14" t="n">
        <x:v>2025</x:v>
      </x:c>
      <x:c r="U375" s="14" t="str">
        <x:v>Explicit source first year retained</x:v>
      </x:c>
      <x:c r="V375" s="14" t="str">
        <x:v>Earliest supplied year is 2025.</x:v>
      </x:c>
      <x:c r="W375" s="14"/>
      <x:c r="X375" s="14" t="str">
        <x:v>Included</x:v>
      </x:c>
      <x:c r="Y375" s="14"/>
      <x:c r="Z375" s="14" t="str">
        <x:v>The Gold.docx</x:v>
      </x:c>
      <x:c r="AA375" s="14" t="str">
        <x:v>HYPERLINK is not implemented. linkLocation=https://www.imdb.com/title/tt14063678/fullcredits/,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BBC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5" s="14" t="str">
        <x:v>BBC public-service commission</x:v>
      </x:c>
      <x:c r="AO375" s="14" t="str">
        <x:v>Yes</x:v>
      </x:c>
      <x:c r="AP375" s="14" t="str">
        <x:v>Direct BBC public-service scope</x:v>
      </x:c>
      <x:c r="AQ375" s="14" t="str">
        <x:v>Yes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12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0.08333333333333333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4" t="str">
        <x:v>HYPERLINK is not implemented. linkLocation=https://www.imdb.com/title/tt14063678/fullcredits/,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tt14063678|nm7659324|ritz customer</x:v>
      </x:c>
      <x:c r="B376" s="14" t="str">
        <x:v>04</x:v>
      </x:c>
      <x:c r="C376" s="14" t="str">
        <x:v>2023_IMDb_Cast_Lists_Batch_04(2).xlsx</x:v>
      </x:c>
      <x:c r="D376" s="14" t="str">
        <x:v>The Gold</x:v>
      </x:c>
      <x:c r="E376" s="14" t="n">
        <x:v>159</x:v>
      </x:c>
      <x:c r="F376" s="14" t="str">
        <x:v>The Gold</x:v>
      </x:c>
      <x:c r="G376" s="14" t="str">
        <x:v>tt14063678</x:v>
      </x:c>
      <x:c r="H376" s="14" t="n">
        <x:v>2023</x:v>
      </x:c>
      <x:c r="I376" s="14" t="n">
        <x:v>2025</x:v>
      </x:c>
      <x:c r="J376" s="14" t="str">
        <x:v>Earlier-Production Carry-In Cohort</x:v>
      </x:c>
      <x:c r="K376" s="14" t="n">
        <x:v>2023</x:v>
      </x:c>
      <x:c r="L376" s="14" t="str">
        <x:v>Not inherited</x:v>
      </x:c>
      <x:c r="M376" s="15" t="n">
        <x:v>152</x:v>
      </x:c>
      <x:c r="N376" s="14" t="str">
        <x:v>Matt Beauman-Jones</x:v>
      </x:c>
      <x:c r="O376" s="14" t="str">
        <x:v>nm7659324</x:v>
      </x:c>
      <x:c r="P376" s="14" t="str">
        <x:v>Ritz Customer</x:v>
      </x:c>
      <x:c r="Q376" s="15" t="n">
        <x:v>1</x:v>
      </x:c>
      <x:c r="R376" s="14" t="str">
        <x:v>2025</x:v>
      </x:c>
      <x:c r="S376" s="14" t="n">
        <x:v>2025</x:v>
      </x:c>
      <x:c r="T376" s="14" t="n">
        <x:v>2025</x:v>
      </x:c>
      <x:c r="U376" s="14" t="str">
        <x:v>Explicit source first year retained</x:v>
      </x:c>
      <x:c r="V376" s="14" t="str">
        <x:v>Earliest supplied year is 2025.</x:v>
      </x:c>
      <x:c r="W376" s="14"/>
      <x:c r="X376" s="14" t="str">
        <x:v>Included</x:v>
      </x:c>
      <x:c r="Y376" s="14"/>
      <x:c r="Z376" s="14" t="str">
        <x:v>The Gold.docx</x:v>
      </x:c>
      <x:c r="AA376" s="14" t="str">
        <x:v>HYPERLINK is not implemented. linkLocation=https://www.imdb.com/title/tt14063678/fullcredits/,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BBC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6" s="14" t="str">
        <x:v>BBC public-service commission</x:v>
      </x:c>
      <x:c r="AO376" s="14" t="str">
        <x:v>Yes</x:v>
      </x:c>
      <x:c r="AP376" s="14" t="str">
        <x:v>Direct BBC public-service scope</x:v>
      </x:c>
      <x:c r="AQ376" s="14" t="str">
        <x:v>Yes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12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1</x:v>
      </x:c>
      <x:c r="BS376" s="16" t="n">
        <x:v>0.08333333333333333</x:v>
      </x:c>
      <x:c r="BT376" s="14" t="str">
        <x:v>One episode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4" t="str">
        <x:v>HYPERLINK is not implemented. linkLocation=https://www.imdb.com/title/tt14063678/fullcredits/,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tt14063678|nm0578485|tourist</x:v>
      </x:c>
      <x:c r="B377" s="14" t="str">
        <x:v>04</x:v>
      </x:c>
      <x:c r="C377" s="14" t="str">
        <x:v>2023_IMDb_Cast_Lists_Batch_04(2).xlsx</x:v>
      </x:c>
      <x:c r="D377" s="14" t="str">
        <x:v>The Gold</x:v>
      </x:c>
      <x:c r="E377" s="14" t="n">
        <x:v>160</x:v>
      </x:c>
      <x:c r="F377" s="14" t="str">
        <x:v>The Gold</x:v>
      </x:c>
      <x:c r="G377" s="14" t="str">
        <x:v>tt14063678</x:v>
      </x:c>
      <x:c r="H377" s="14" t="n">
        <x:v>2023</x:v>
      </x:c>
      <x:c r="I377" s="14" t="n">
        <x:v>2025</x:v>
      </x:c>
      <x:c r="J377" s="14" t="str">
        <x:v>Earlier-Production Carry-In Cohort</x:v>
      </x:c>
      <x:c r="K377" s="14" t="n">
        <x:v>2023</x:v>
      </x:c>
      <x:c r="L377" s="14" t="str">
        <x:v>Not inherited</x:v>
      </x:c>
      <x:c r="M377" s="15" t="n">
        <x:v>153</x:v>
      </x:c>
      <x:c r="N377" s="14" t="str">
        <x:v>Johnny Melville</x:v>
      </x:c>
      <x:c r="O377" s="14" t="str">
        <x:v>nm0578485</x:v>
      </x:c>
      <x:c r="P377" s="14" t="str">
        <x:v>Tourist</x:v>
      </x:c>
      <x:c r="Q377" s="15" t="n">
        <x:v>1</x:v>
      </x:c>
      <x:c r="R377" s="14" t="str">
        <x:v>2025</x:v>
      </x:c>
      <x:c r="S377" s="14" t="n">
        <x:v>2025</x:v>
      </x:c>
      <x:c r="T377" s="14" t="n">
        <x:v>2025</x:v>
      </x:c>
      <x:c r="U377" s="14" t="str">
        <x:v>Explicit source first year retained</x:v>
      </x:c>
      <x:c r="V377" s="14" t="str">
        <x:v>Earliest supplied year is 2025.</x:v>
      </x:c>
      <x:c r="W377" s="14"/>
      <x:c r="X377" s="14" t="str">
        <x:v>Included</x:v>
      </x:c>
      <x:c r="Y377" s="14"/>
      <x:c r="Z377" s="14" t="str">
        <x:v>The Gold.docx</x:v>
      </x:c>
      <x:c r="AA377" s="14" t="str">
        <x:v>HYPERLINK is not implemented. linkLocation=https://www.imdb.com/title/tt14063678/fullcredits/,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BBC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HYPERLINK("https://en.wikipedia.org/wiki/Gold_(disambiguation)","Open source")</x:f>
        <x:v>HYPERLINK is not implemented. linkLocation=https://en.wikipedia.org/wiki/Gold_(disambiguation), friendlyName=Open source</x:v>
      </x:c>
      <x:c r="AN377" s="14" t="str">
        <x:v>BBC public-service commission</x:v>
      </x:c>
      <x:c r="AO377" s="14" t="str">
        <x:v>Yes</x:v>
      </x:c>
      <x:c r="AP377" s="14" t="str">
        <x:v>Direct BBC public-service scope</x:v>
      </x:c>
      <x:c r="AQ377" s="14" t="str">
        <x:v>Yes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12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0.08333333333333333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4" t="str">
        <x:v>HYPERLINK is not implemented. linkLocation=https://www.imdb.com/title/tt14063678/fullcredits/,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tt26346233|nm2656091|colin smallwood</x:v>
      </x:c>
      <x:c r="B378" s="14" t="str">
        <x:v>04</x:v>
      </x:c>
      <x:c r="C378" s="14" t="str">
        <x:v>2023_IMDb_Cast_Lists_Batch_04(2).xlsx</x:v>
      </x:c>
      <x:c r="D378" s="14" t="str">
        <x:v>The Good Ship Murder</x:v>
      </x:c>
      <x:c r="E378" s="14" t="n">
        <x:v>13</x:v>
      </x:c>
      <x:c r="F378" s="14" t="str">
        <x:v>The Good Ship Murder</x:v>
      </x:c>
      <x:c r="G378" s="14" t="str">
        <x:v>tt26346233</x:v>
      </x:c>
      <x:c r="H378" s="14" t="n">
        <x:v>2023</x:v>
      </x:c>
      <x:c r="I378" s="14" t="n">
        <x:v>2025</x:v>
      </x:c>
      <x:c r="J378" s="14" t="str">
        <x:v>Earlier-Production Carry-In Cohort</x:v>
      </x:c>
      <x:c r="K378" s="14" t="n">
        <x:v>2023</x:v>
      </x:c>
      <x:c r="L378" s="14" t="str">
        <x:v>Not inherited</x:v>
      </x:c>
      <x:c r="M378" s="15" t="n">
        <x:v>6</x:v>
      </x:c>
      <x:c r="N378" s="14" t="str">
        <x:v>Ross Adams</x:v>
      </x:c>
      <x:c r="O378" s="14" t="str">
        <x:v>nm2656091</x:v>
      </x:c>
      <x:c r="P378" s="14" t="str">
        <x:v>Colin Smallwood</x:v>
      </x:c>
      <x:c r="Q378" s="15" t="n">
        <x:v>15</x:v>
      </x:c>
      <x:c r="R378" s="14" t="str">
        <x:v>2025–2026</x:v>
      </x:c>
      <x:c r="S378" s="14" t="n">
        <x:v>2025</x:v>
      </x:c>
      <x:c r="T378" s="14" t="n">
        <x:v>2025</x:v>
      </x:c>
      <x:c r="U378" s="14" t="str">
        <x:v>Explicit source first year retained</x:v>
      </x:c>
      <x:c r="V378" s="14" t="str">
        <x:v>Earliest supplied year is 2025.</x:v>
      </x:c>
      <x:c r="W378" s="14"/>
      <x:c r="X378" s="14" t="str">
        <x:v>Included</x:v>
      </x:c>
      <x:c r="Y378" s="14"/>
      <x:c r="Z378" s="14" t="str">
        <x:v>The Good Ship Murder.docx</x:v>
      </x:c>
      <x:c r="AA378" s="14" t="str">
        <x:v>HYPERLINK is not implemented. linkLocation=https://www.imdb.com/title/tt26346233/fullcredits/,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Channel 5 / 5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24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15</x:v>
      </x:c>
      <x:c r="BS378" s="16" t="n">
        <x:v>0.625</x:v>
      </x:c>
      <x:c r="BT378" s="14" t="str">
        <x:v>Majority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4" t="str">
        <x:v>HYPERLINK is not implemented. linkLocation=https://www.imdb.com/title/tt26346233/fullcredits/,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tt26346233|nm10090359|cassie grainger</x:v>
      </x:c>
      <x:c r="B379" s="14" t="str">
        <x:v>04</x:v>
      </x:c>
      <x:c r="C379" s="14" t="str">
        <x:v>2023_IMDb_Cast_Lists_Batch_04(2).xlsx</x:v>
      </x:c>
      <x:c r="D379" s="14" t="str">
        <x:v>The Good Ship Murder</x:v>
      </x:c>
      <x:c r="E379" s="14" t="n">
        <x:v>18</x:v>
      </x:c>
      <x:c r="F379" s="14" t="str">
        <x:v>The Good Ship Murder</x:v>
      </x:c>
      <x:c r="G379" s="14" t="str">
        <x:v>tt26346233</x:v>
      </x:c>
      <x:c r="H379" s="14" t="n">
        <x:v>2023</x:v>
      </x:c>
      <x:c r="I379" s="14" t="n">
        <x:v>2025</x:v>
      </x:c>
      <x:c r="J379" s="14" t="str">
        <x:v>Earlier-Production Carry-In Cohort</x:v>
      </x:c>
      <x:c r="K379" s="14" t="n">
        <x:v>2023</x:v>
      </x:c>
      <x:c r="L379" s="14" t="str">
        <x:v>Not inherited</x:v>
      </x:c>
      <x:c r="M379" s="15" t="n">
        <x:v>11</x:v>
      </x:c>
      <x:c r="N379" s="14" t="str">
        <x:v>Bex Smith</x:v>
      </x:c>
      <x:c r="O379" s="14" t="str">
        <x:v>nm10090359</x:v>
      </x:c>
      <x:c r="P379" s="14" t="str">
        <x:v>Cassie Grainger</x:v>
      </x:c>
      <x:c r="Q379" s="15" t="n">
        <x:v>7</x:v>
      </x:c>
      <x:c r="R379" s="14" t="str">
        <x:v>2025</x:v>
      </x:c>
      <x:c r="S379" s="14" t="n">
        <x:v>2025</x:v>
      </x:c>
      <x:c r="T379" s="14" t="n">
        <x:v>2025</x:v>
      </x:c>
      <x:c r="U379" s="14" t="str">
        <x:v>Explicit source first year retained</x:v>
      </x:c>
      <x:c r="V379" s="14" t="str">
        <x:v>Earliest supplied year is 2025.</x:v>
      </x:c>
      <x:c r="W379" s="14"/>
      <x:c r="X379" s="14" t="str">
        <x:v>Included</x:v>
      </x:c>
      <x:c r="Y379" s="14"/>
      <x:c r="Z379" s="14" t="str">
        <x:v>The Good Ship Murder.docx</x:v>
      </x:c>
      <x:c r="AA379" s="14" t="str">
        <x:v>HYPERLINK is not implemented. linkLocation=https://www.imdb.com/title/tt26346233/fullcredits/,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Channel 5 / 5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24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7</x:v>
      </x:c>
      <x:c r="BS379" s="16" t="n">
        <x:v>0.2916666666666667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4" t="str">
        <x:v>HYPERLINK is not implemented. linkLocation=https://www.imdb.com/title/tt26346233/fullcredits/,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tt26346233|nm17369856|extra</x:v>
      </x:c>
      <x:c r="B380" s="14" t="str">
        <x:v>04</x:v>
      </x:c>
      <x:c r="C380" s="14" t="str">
        <x:v>2023_IMDb_Cast_Lists_Batch_04(2).xlsx</x:v>
      </x:c>
      <x:c r="D380" s="14" t="str">
        <x:v>The Good Ship Murder</x:v>
      </x:c>
      <x:c r="E380" s="14" t="n">
        <x:v>24</x:v>
      </x:c>
      <x:c r="F380" s="14" t="str">
        <x:v>The Good Ship Murder</x:v>
      </x:c>
      <x:c r="G380" s="14" t="str">
        <x:v>tt26346233</x:v>
      </x:c>
      <x:c r="H380" s="14" t="n">
        <x:v>2023</x:v>
      </x:c>
      <x:c r="I380" s="14" t="n">
        <x:v>2025</x:v>
      </x:c>
      <x:c r="J380" s="14" t="str">
        <x:v>Earlier-Production Carry-In Cohort</x:v>
      </x:c>
      <x:c r="K380" s="14" t="n">
        <x:v>2023</x:v>
      </x:c>
      <x:c r="L380" s="14" t="str">
        <x:v>Not inherited</x:v>
      </x:c>
      <x:c r="M380" s="15" t="n">
        <x:v>17</x:v>
      </x:c>
      <x:c r="N380" s="14" t="str">
        <x:v>Suga Abbey</x:v>
      </x:c>
      <x:c r="O380" s="14" t="str">
        <x:v>nm17369856</x:v>
      </x:c>
      <x:c r="P380" s="14" t="str">
        <x:v>Extra</x:v>
      </x:c>
      <x:c r="Q380" s="15" t="n">
        <x:v>2</x:v>
      </x:c>
      <x:c r="R380" s="14" t="str">
        <x:v>2025</x:v>
      </x:c>
      <x:c r="S380" s="14" t="n">
        <x:v>2025</x:v>
      </x:c>
      <x:c r="T380" s="14" t="n">
        <x:v>2025</x:v>
      </x:c>
      <x:c r="U380" s="14" t="str">
        <x:v>Explicit source first year retained</x:v>
      </x:c>
      <x:c r="V380" s="14" t="str">
        <x:v>Earliest supplied year is 2025.</x:v>
      </x:c>
      <x:c r="W380" s="14"/>
      <x:c r="X380" s="14" t="str">
        <x:v>Included</x:v>
      </x:c>
      <x:c r="Y380" s="14"/>
      <x:c r="Z380" s="14" t="str">
        <x:v>The Good Ship Murder.docx</x:v>
      </x:c>
      <x:c r="AA380" s="14" t="str">
        <x:v>HYPERLINK is not implemented. linkLocation=https://www.imdb.com/title/tt26346233/fullcredits/,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Channel 5 / 5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24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2</x:v>
      </x:c>
      <x:c r="BS380" s="16" t="n">
        <x:v>0.08333333333333333</x:v>
      </x:c>
      <x:c r="BT380" s="14" t="str">
        <x:v>Minority of episodes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4" t="str">
        <x:v>HYPERLINK is not implemented. linkLocation=https://www.imdb.com/title/tt26346233/fullcredits/,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tt26346233|nm2657033|alessandro bartoli</x:v>
      </x:c>
      <x:c r="B381" s="14" t="str">
        <x:v>04</x:v>
      </x:c>
      <x:c r="C381" s="14" t="str">
        <x:v>2023_IMDb_Cast_Lists_Batch_04(2).xlsx</x:v>
      </x:c>
      <x:c r="D381" s="14" t="str">
        <x:v>The Good Ship Murder</x:v>
      </x:c>
      <x:c r="E381" s="14" t="n">
        <x:v>41</x:v>
      </x:c>
      <x:c r="F381" s="14" t="str">
        <x:v>The Good Ship Murder</x:v>
      </x:c>
      <x:c r="G381" s="14" t="str">
        <x:v>tt26346233</x:v>
      </x:c>
      <x:c r="H381" s="14" t="n">
        <x:v>2023</x:v>
      </x:c>
      <x:c r="I381" s="14" t="n">
        <x:v>2025</x:v>
      </x:c>
      <x:c r="J381" s="14" t="str">
        <x:v>Earlier-Production Carry-In Cohort</x:v>
      </x:c>
      <x:c r="K381" s="14" t="n">
        <x:v>2023</x:v>
      </x:c>
      <x:c r="L381" s="14" t="str">
        <x:v>Not inherited</x:v>
      </x:c>
      <x:c r="M381" s="15" t="n">
        <x:v>34</x:v>
      </x:c>
      <x:c r="N381" s="14" t="str">
        <x:v>Greg Canestrari</x:v>
      </x:c>
      <x:c r="O381" s="14" t="str">
        <x:v>nm2657033</x:v>
      </x:c>
      <x:c r="P381" s="14" t="str">
        <x:v>Alessandro Bartoli</x:v>
      </x:c>
      <x:c r="Q381" s="15" t="n">
        <x:v>1</x:v>
      </x:c>
      <x:c r="R381" s="14" t="str">
        <x:v>2025</x:v>
      </x:c>
      <x:c r="S381" s="14" t="n">
        <x:v>2025</x:v>
      </x:c>
      <x:c r="T381" s="14" t="n">
        <x:v>2025</x:v>
      </x:c>
      <x:c r="U381" s="14" t="str">
        <x:v>Explicit source first year retained</x:v>
      </x:c>
      <x:c r="V381" s="14" t="str">
        <x:v>Earliest supplied year is 2025.</x:v>
      </x:c>
      <x:c r="W381" s="14"/>
      <x:c r="X381" s="14" t="str">
        <x:v>Included</x:v>
      </x:c>
      <x:c r="Y381" s="14" t="str">
        <x:v>(as a different name)</x:v>
      </x:c>
      <x:c r="Z381" s="14" t="str">
        <x:v>The Good Ship Murder.docx</x:v>
      </x:c>
      <x:c r="AA381" s="14" t="str">
        <x:v>HYPERLINK is not implemented. linkLocation=https://www.imdb.com/title/tt26346233/fullcredits/,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Channel 5 / 5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24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0.041666666666666664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4" t="str">
        <x:v>HYPERLINK is not implemented. linkLocation=https://www.imdb.com/title/tt26346233/fullcredits/,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tt26346233|nm4505609|maria southall</x:v>
      </x:c>
      <x:c r="B382" s="14" t="str">
        <x:v>04</x:v>
      </x:c>
      <x:c r="C382" s="14" t="str">
        <x:v>2023_IMDb_Cast_Lists_Batch_04(2).xlsx</x:v>
      </x:c>
      <x:c r="D382" s="14" t="str">
        <x:v>The Good Ship Murder</x:v>
      </x:c>
      <x:c r="E382" s="14" t="n">
        <x:v>42</x:v>
      </x:c>
      <x:c r="F382" s="14" t="str">
        <x:v>The Good Ship Murder</x:v>
      </x:c>
      <x:c r="G382" s="14" t="str">
        <x:v>tt26346233</x:v>
      </x:c>
      <x:c r="H382" s="14" t="n">
        <x:v>2023</x:v>
      </x:c>
      <x:c r="I382" s="14" t="n">
        <x:v>2025</x:v>
      </x:c>
      <x:c r="J382" s="14" t="str">
        <x:v>Earlier-Production Carry-In Cohort</x:v>
      </x:c>
      <x:c r="K382" s="14" t="n">
        <x:v>2023</x:v>
      </x:c>
      <x:c r="L382" s="14" t="str">
        <x:v>Not inherited</x:v>
      </x:c>
      <x:c r="M382" s="15" t="n">
        <x:v>35</x:v>
      </x:c>
      <x:c r="N382" s="14" t="str">
        <x:v>Lainy Boyle</x:v>
      </x:c>
      <x:c r="O382" s="14" t="str">
        <x:v>nm4505609</x:v>
      </x:c>
      <x:c r="P382" s="14" t="str">
        <x:v>Maria Southall</x:v>
      </x:c>
      <x:c r="Q382" s="15" t="n">
        <x:v>1</x:v>
      </x:c>
      <x:c r="R382" s="14" t="str">
        <x:v>2025</x:v>
      </x:c>
      <x:c r="S382" s="14" t="n">
        <x:v>2025</x:v>
      </x:c>
      <x:c r="T382" s="14" t="n">
        <x:v>2025</x:v>
      </x:c>
      <x:c r="U382" s="14" t="str">
        <x:v>Explicit source first year retained</x:v>
      </x:c>
      <x:c r="V382" s="14" t="str">
        <x:v>Earliest supplied year is 2025.</x:v>
      </x:c>
      <x:c r="W382" s="14"/>
      <x:c r="X382" s="14" t="str">
        <x:v>Included</x:v>
      </x:c>
      <x:c r="Y382" s="14"/>
      <x:c r="Z382" s="14" t="str">
        <x:v>The Good Ship Murder.docx</x:v>
      </x:c>
      <x:c r="AA382" s="14" t="str">
        <x:v>HYPERLINK is not implemented. linkLocation=https://www.imdb.com/title/tt26346233/fullcredits/,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Channel 5 / 5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24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0.041666666666666664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4" t="str">
        <x:v>HYPERLINK is not implemented. linkLocation=https://www.imdb.com/title/tt26346233/fullcredits/,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tt26346233|nm7651674|peaches</x:v>
      </x:c>
      <x:c r="B383" s="14" t="str">
        <x:v>04</x:v>
      </x:c>
      <x:c r="C383" s="14" t="str">
        <x:v>2023_IMDb_Cast_Lists_Batch_04(2).xlsx</x:v>
      </x:c>
      <x:c r="D383" s="14" t="str">
        <x:v>The Good Ship Murder</x:v>
      </x:c>
      <x:c r="E383" s="14" t="n">
        <x:v>43</x:v>
      </x:c>
      <x:c r="F383" s="14" t="str">
        <x:v>The Good Ship Murder</x:v>
      </x:c>
      <x:c r="G383" s="14" t="str">
        <x:v>tt26346233</x:v>
      </x:c>
      <x:c r="H383" s="14" t="n">
        <x:v>2023</x:v>
      </x:c>
      <x:c r="I383" s="14" t="n">
        <x:v>2025</x:v>
      </x:c>
      <x:c r="J383" s="14" t="str">
        <x:v>Earlier-Production Carry-In Cohort</x:v>
      </x:c>
      <x:c r="K383" s="14" t="n">
        <x:v>2023</x:v>
      </x:c>
      <x:c r="L383" s="14" t="str">
        <x:v>Not inherited</x:v>
      </x:c>
      <x:c r="M383" s="15" t="n">
        <x:v>36</x:v>
      </x:c>
      <x:c r="N383" s="14" t="str">
        <x:v>Maisey Bawden</x:v>
      </x:c>
      <x:c r="O383" s="14" t="str">
        <x:v>nm7651674</x:v>
      </x:c>
      <x:c r="P383" s="14" t="str">
        <x:v>Peaches</x:v>
      </x:c>
      <x:c r="Q383" s="15" t="n">
        <x:v>1</x:v>
      </x:c>
      <x:c r="R383" s="14" t="str">
        <x:v>2025</x:v>
      </x:c>
      <x:c r="S383" s="14" t="n">
        <x:v>2025</x:v>
      </x:c>
      <x:c r="T383" s="14" t="n">
        <x:v>2025</x:v>
      </x:c>
      <x:c r="U383" s="14" t="str">
        <x:v>Explicit source first year retained</x:v>
      </x:c>
      <x:c r="V383" s="14" t="str">
        <x:v>Earliest supplied year is 2025.</x:v>
      </x:c>
      <x:c r="W383" s="14"/>
      <x:c r="X383" s="14" t="str">
        <x:v>Included</x:v>
      </x:c>
      <x:c r="Y383" s="14"/>
      <x:c r="Z383" s="14" t="str">
        <x:v>The Good Ship Murder.docx</x:v>
      </x:c>
      <x:c r="AA383" s="14" t="str">
        <x:v>HYPERLINK is not implemented. linkLocation=https://www.imdb.com/title/tt26346233/fullcredits/,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Channel 5 / 5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24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0.041666666666666664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4" t="str">
        <x:v>HYPERLINK is not implemented. linkLocation=https://www.imdb.com/title/tt26346233/fullcredits/,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tt26346233|nm4140694|luke stone</x:v>
      </x:c>
      <x:c r="B384" s="14" t="str">
        <x:v>04</x:v>
      </x:c>
      <x:c r="C384" s="14" t="str">
        <x:v>2023_IMDb_Cast_Lists_Batch_04(2).xlsx</x:v>
      </x:c>
      <x:c r="D384" s="14" t="str">
        <x:v>The Good Ship Murder</x:v>
      </x:c>
      <x:c r="E384" s="14" t="n">
        <x:v>44</x:v>
      </x:c>
      <x:c r="F384" s="14" t="str">
        <x:v>The Good Ship Murder</x:v>
      </x:c>
      <x:c r="G384" s="14" t="str">
        <x:v>tt26346233</x:v>
      </x:c>
      <x:c r="H384" s="14" t="n">
        <x:v>2023</x:v>
      </x:c>
      <x:c r="I384" s="14" t="n">
        <x:v>2025</x:v>
      </x:c>
      <x:c r="J384" s="14" t="str">
        <x:v>Earlier-Production Carry-In Cohort</x:v>
      </x:c>
      <x:c r="K384" s="14" t="n">
        <x:v>2023</x:v>
      </x:c>
      <x:c r="L384" s="14" t="str">
        <x:v>Not inherited</x:v>
      </x:c>
      <x:c r="M384" s="15" t="n">
        <x:v>37</x:v>
      </x:c>
      <x:c r="N384" s="14" t="str">
        <x:v>Eddy Brimson</x:v>
      </x:c>
      <x:c r="O384" s="14" t="str">
        <x:v>nm4140694</x:v>
      </x:c>
      <x:c r="P384" s="14" t="str">
        <x:v>Luke Stone</x:v>
      </x:c>
      <x:c r="Q384" s="15" t="n">
        <x:v>1</x:v>
      </x:c>
      <x:c r="R384" s="14" t="str">
        <x:v>2025</x:v>
      </x:c>
      <x:c r="S384" s="14" t="n">
        <x:v>2025</x:v>
      </x:c>
      <x:c r="T384" s="14" t="n">
        <x:v>2025</x:v>
      </x:c>
      <x:c r="U384" s="14" t="str">
        <x:v>Explicit source first year retained</x:v>
      </x:c>
      <x:c r="V384" s="14" t="str">
        <x:v>Earliest supplied year is 2025.</x:v>
      </x:c>
      <x:c r="W384" s="14"/>
      <x:c r="X384" s="14" t="str">
        <x:v>Included</x:v>
      </x:c>
      <x:c r="Y384" s="14"/>
      <x:c r="Z384" s="14" t="str">
        <x:v>The Good Ship Murder.docx</x:v>
      </x:c>
      <x:c r="AA384" s="14" t="str">
        <x:v>HYPERLINK is not implemented. linkLocation=https://www.imdb.com/title/tt26346233/fullcredits/,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Channel 5 / 5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24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1</x:v>
      </x:c>
      <x:c r="BS384" s="16" t="n">
        <x:v>0.041666666666666664</x:v>
      </x:c>
      <x:c r="BT384" s="14" t="str">
        <x:v>One episode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4" t="str">
        <x:v>HYPERLINK is not implemented. linkLocation=https://www.imdb.com/title/tt26346233/fullcredits/,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tt26346233|nm10005463|lateef</x:v>
      </x:c>
      <x:c r="B385" s="14" t="str">
        <x:v>04</x:v>
      </x:c>
      <x:c r="C385" s="14" t="str">
        <x:v>2023_IMDb_Cast_Lists_Batch_04(2).xlsx</x:v>
      </x:c>
      <x:c r="D385" s="14" t="str">
        <x:v>The Good Ship Murder</x:v>
      </x:c>
      <x:c r="E385" s="14" t="n">
        <x:v>57</x:v>
      </x:c>
      <x:c r="F385" s="14" t="str">
        <x:v>The Good Ship Murder</x:v>
      </x:c>
      <x:c r="G385" s="14" t="str">
        <x:v>tt26346233</x:v>
      </x:c>
      <x:c r="H385" s="14" t="n">
        <x:v>2023</x:v>
      </x:c>
      <x:c r="I385" s="14" t="n">
        <x:v>2025</x:v>
      </x:c>
      <x:c r="J385" s="14" t="str">
        <x:v>Earlier-Production Carry-In Cohort</x:v>
      </x:c>
      <x:c r="K385" s="14" t="n">
        <x:v>2023</x:v>
      </x:c>
      <x:c r="L385" s="14" t="str">
        <x:v>Not inherited</x:v>
      </x:c>
      <x:c r="M385" s="15" t="n">
        <x:v>50</x:v>
      </x:c>
      <x:c r="N385" s="14" t="str">
        <x:v>Sharif Afifi</x:v>
      </x:c>
      <x:c r="O385" s="14" t="str">
        <x:v>nm10005463</x:v>
      </x:c>
      <x:c r="P385" s="14" t="str">
        <x:v>Lateef</x:v>
      </x:c>
      <x:c r="Q385" s="15" t="n">
        <x:v>1</x:v>
      </x:c>
      <x:c r="R385" s="14" t="str">
        <x:v>2025</x:v>
      </x:c>
      <x:c r="S385" s="14" t="n">
        <x:v>2025</x:v>
      </x:c>
      <x:c r="T385" s="14" t="n">
        <x:v>2025</x:v>
      </x:c>
      <x:c r="U385" s="14" t="str">
        <x:v>Explicit source first year retained</x:v>
      </x:c>
      <x:c r="V385" s="14" t="str">
        <x:v>Earliest supplied year is 2025.</x:v>
      </x:c>
      <x:c r="W385" s="14"/>
      <x:c r="X385" s="14" t="str">
        <x:v>Included</x:v>
      </x:c>
      <x:c r="Y385" s="14"/>
      <x:c r="Z385" s="14" t="str">
        <x:v>The Good Ship Murder.docx</x:v>
      </x:c>
      <x:c r="AA385" s="14" t="str">
        <x:v>HYPERLINK is not implemented. linkLocation=https://www.imdb.com/title/tt26346233/fullcredits/,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Channel 5 / 5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24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1</x:v>
      </x:c>
      <x:c r="BS385" s="16" t="n">
        <x:v>0.041666666666666664</x:v>
      </x:c>
      <x:c r="BT385" s="14" t="str">
        <x:v>One episode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4" t="str">
        <x:v>HYPERLINK is not implemented. linkLocation=https://www.imdb.com/title/tt26346233/fullcredits/,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tt26346233|nm1513235|captain miguel sanchez</x:v>
      </x:c>
      <x:c r="B386" s="14" t="str">
        <x:v>04</x:v>
      </x:c>
      <x:c r="C386" s="14" t="str">
        <x:v>2023_IMDb_Cast_Lists_Batch_04(2).xlsx</x:v>
      </x:c>
      <x:c r="D386" s="14" t="str">
        <x:v>The Good Ship Murder</x:v>
      </x:c>
      <x:c r="E386" s="14" t="n">
        <x:v>58</x:v>
      </x:c>
      <x:c r="F386" s="14" t="str">
        <x:v>The Good Ship Murder</x:v>
      </x:c>
      <x:c r="G386" s="14" t="str">
        <x:v>tt26346233</x:v>
      </x:c>
      <x:c r="H386" s="14" t="n">
        <x:v>2023</x:v>
      </x:c>
      <x:c r="I386" s="14" t="n">
        <x:v>2025</x:v>
      </x:c>
      <x:c r="J386" s="14" t="str">
        <x:v>Earlier-Production Carry-In Cohort</x:v>
      </x:c>
      <x:c r="K386" s="14" t="n">
        <x:v>2023</x:v>
      </x:c>
      <x:c r="L386" s="14" t="str">
        <x:v>Not inherited</x:v>
      </x:c>
      <x:c r="M386" s="15" t="n">
        <x:v>51</x:v>
      </x:c>
      <x:c r="N386" s="14" t="str">
        <x:v>Mikhail Basmadjian</x:v>
      </x:c>
      <x:c r="O386" s="14" t="str">
        <x:v>nm1513235</x:v>
      </x:c>
      <x:c r="P386" s="14" t="str">
        <x:v>Captain Miguel Sanchez</x:v>
      </x:c>
      <x:c r="Q386" s="15" t="n">
        <x:v>1</x:v>
      </x:c>
      <x:c r="R386" s="14" t="str">
        <x:v>2025</x:v>
      </x:c>
      <x:c r="S386" s="14" t="n">
        <x:v>2025</x:v>
      </x:c>
      <x:c r="T386" s="14" t="n">
        <x:v>2025</x:v>
      </x:c>
      <x:c r="U386" s="14" t="str">
        <x:v>Explicit source first year retained</x:v>
      </x:c>
      <x:c r="V386" s="14" t="str">
        <x:v>Earliest supplied year is 2025.</x:v>
      </x:c>
      <x:c r="W386" s="14"/>
      <x:c r="X386" s="14" t="str">
        <x:v>Included</x:v>
      </x:c>
      <x:c r="Y386" s="14"/>
      <x:c r="Z386" s="14" t="str">
        <x:v>The Good Ship Murder.docx</x:v>
      </x:c>
      <x:c r="AA386" s="14" t="str">
        <x:v>HYPERLINK is not implemented. linkLocation=https://www.imdb.com/title/tt26346233/fullcredits/,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Channel 5 / 5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24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0.041666666666666664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4" t="str">
        <x:v>HYPERLINK is not implemented. linkLocation=https://www.imdb.com/title/tt26346233/fullcredits/,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tt26346233|nm9612466|donna branning</x:v>
      </x:c>
      <x:c r="B387" s="14" t="str">
        <x:v>04</x:v>
      </x:c>
      <x:c r="C387" s="14" t="str">
        <x:v>2023_IMDb_Cast_Lists_Batch_04(2).xlsx</x:v>
      </x:c>
      <x:c r="D387" s="14" t="str">
        <x:v>The Good Ship Murder</x:v>
      </x:c>
      <x:c r="E387" s="14" t="n">
        <x:v>59</x:v>
      </x:c>
      <x:c r="F387" s="14" t="str">
        <x:v>The Good Ship Murder</x:v>
      </x:c>
      <x:c r="G387" s="14" t="str">
        <x:v>tt26346233</x:v>
      </x:c>
      <x:c r="H387" s="14" t="n">
        <x:v>2023</x:v>
      </x:c>
      <x:c r="I387" s="14" t="n">
        <x:v>2025</x:v>
      </x:c>
      <x:c r="J387" s="14" t="str">
        <x:v>Earlier-Production Carry-In Cohort</x:v>
      </x:c>
      <x:c r="K387" s="14" t="n">
        <x:v>2023</x:v>
      </x:c>
      <x:c r="L387" s="14" t="str">
        <x:v>Not inherited</x:v>
      </x:c>
      <x:c r="M387" s="15" t="n">
        <x:v>52</x:v>
      </x:c>
      <x:c r="N387" s="14" t="str">
        <x:v>Joelle Dyson</x:v>
      </x:c>
      <x:c r="O387" s="14" t="str">
        <x:v>nm9612466</x:v>
      </x:c>
      <x:c r="P387" s="14" t="str">
        <x:v>Donna Branning</x:v>
      </x:c>
      <x:c r="Q387" s="15" t="n">
        <x:v>1</x:v>
      </x:c>
      <x:c r="R387" s="14" t="str">
        <x:v>2025</x:v>
      </x:c>
      <x:c r="S387" s="14" t="n">
        <x:v>2025</x:v>
      </x:c>
      <x:c r="T387" s="14" t="n">
        <x:v>2025</x:v>
      </x:c>
      <x:c r="U387" s="14" t="str">
        <x:v>Explicit source first year retained</x:v>
      </x:c>
      <x:c r="V387" s="14" t="str">
        <x:v>Earliest supplied year is 2025.</x:v>
      </x:c>
      <x:c r="W387" s="14"/>
      <x:c r="X387" s="14" t="str">
        <x:v>Included</x:v>
      </x:c>
      <x:c r="Y387" s="14"/>
      <x:c r="Z387" s="14" t="str">
        <x:v>The Good Ship Murder.docx</x:v>
      </x:c>
      <x:c r="AA387" s="14" t="str">
        <x:v>HYPERLINK is not implemented. linkLocation=https://www.imdb.com/title/tt26346233/fullcredits/,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Channel 5 / 5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24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0.041666666666666664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4" t="str">
        <x:v>HYPERLINK is not implemented. linkLocation=https://www.imdb.com/title/tt26346233/fullcredits/,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tt26346233|nm0140996|bella bertoli</x:v>
      </x:c>
      <x:c r="B388" s="14" t="str">
        <x:v>04</x:v>
      </x:c>
      <x:c r="C388" s="14" t="str">
        <x:v>2023_IMDb_Cast_Lists_Batch_04(2).xlsx</x:v>
      </x:c>
      <x:c r="D388" s="14" t="str">
        <x:v>The Good Ship Murder</x:v>
      </x:c>
      <x:c r="E388" s="14" t="n">
        <x:v>60</x:v>
      </x:c>
      <x:c r="F388" s="14" t="str">
        <x:v>The Good Ship Murder</x:v>
      </x:c>
      <x:c r="G388" s="14" t="str">
        <x:v>tt26346233</x:v>
      </x:c>
      <x:c r="H388" s="14" t="n">
        <x:v>2023</x:v>
      </x:c>
      <x:c r="I388" s="14" t="n">
        <x:v>2025</x:v>
      </x:c>
      <x:c r="J388" s="14" t="str">
        <x:v>Earlier-Production Carry-In Cohort</x:v>
      </x:c>
      <x:c r="K388" s="14" t="n">
        <x:v>2023</x:v>
      </x:c>
      <x:c r="L388" s="14" t="str">
        <x:v>Not inherited</x:v>
      </x:c>
      <x:c r="M388" s="15" t="n">
        <x:v>53</x:v>
      </x:c>
      <x:c r="N388" s="14" t="str">
        <x:v>Tamsin Carroll</x:v>
      </x:c>
      <x:c r="O388" s="14" t="str">
        <x:v>nm0140996</x:v>
      </x:c>
      <x:c r="P388" s="14" t="str">
        <x:v>Bella Bertoli</x:v>
      </x:c>
      <x:c r="Q388" s="15" t="n">
        <x:v>1</x:v>
      </x:c>
      <x:c r="R388" s="14" t="str">
        <x:v>2025</x:v>
      </x:c>
      <x:c r="S388" s="14" t="n">
        <x:v>2025</x:v>
      </x:c>
      <x:c r="T388" s="14" t="n">
        <x:v>2025</x:v>
      </x:c>
      <x:c r="U388" s="14" t="str">
        <x:v>Explicit source first year retained</x:v>
      </x:c>
      <x:c r="V388" s="14" t="str">
        <x:v>Earliest supplied year is 2025.</x:v>
      </x:c>
      <x:c r="W388" s="14"/>
      <x:c r="X388" s="14" t="str">
        <x:v>Included</x:v>
      </x:c>
      <x:c r="Y388" s="14"/>
      <x:c r="Z388" s="14" t="str">
        <x:v>The Good Ship Murder.docx</x:v>
      </x:c>
      <x:c r="AA388" s="14" t="str">
        <x:v>HYPERLINK is not implemented. linkLocation=https://www.imdb.com/title/tt26346233/fullcredits/,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Channel 5 / 5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24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0.041666666666666664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4" t="str">
        <x:v>HYPERLINK is not implemented. linkLocation=https://www.imdb.com/title/tt26346233/fullcredits/,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tt26346233|nm11431097|gina valente</x:v>
      </x:c>
      <x:c r="B389" s="14" t="str">
        <x:v>04</x:v>
      </x:c>
      <x:c r="C389" s="14" t="str">
        <x:v>2023_IMDb_Cast_Lists_Batch_04(2).xlsx</x:v>
      </x:c>
      <x:c r="D389" s="14" t="str">
        <x:v>The Good Ship Murder</x:v>
      </x:c>
      <x:c r="E389" s="14" t="n">
        <x:v>61</x:v>
      </x:c>
      <x:c r="F389" s="14" t="str">
        <x:v>The Good Ship Murder</x:v>
      </x:c>
      <x:c r="G389" s="14" t="str">
        <x:v>tt26346233</x:v>
      </x:c>
      <x:c r="H389" s="14" t="n">
        <x:v>2023</x:v>
      </x:c>
      <x:c r="I389" s="14" t="n">
        <x:v>2025</x:v>
      </x:c>
      <x:c r="J389" s="14" t="str">
        <x:v>Earlier-Production Carry-In Cohort</x:v>
      </x:c>
      <x:c r="K389" s="14" t="n">
        <x:v>2023</x:v>
      </x:c>
      <x:c r="L389" s="14" t="str">
        <x:v>Not inherited</x:v>
      </x:c>
      <x:c r="M389" s="15" t="n">
        <x:v>54</x:v>
      </x:c>
      <x:c r="N389" s="14" t="str">
        <x:v>Carlota Crespo</x:v>
      </x:c>
      <x:c r="O389" s="14" t="str">
        <x:v>nm11431097</x:v>
      </x:c>
      <x:c r="P389" s="14" t="str">
        <x:v>Gina Valente</x:v>
      </x:c>
      <x:c r="Q389" s="15" t="n">
        <x:v>1</x:v>
      </x:c>
      <x:c r="R389" s="14" t="str">
        <x:v>2025</x:v>
      </x:c>
      <x:c r="S389" s="14" t="n">
        <x:v>2025</x:v>
      </x:c>
      <x:c r="T389" s="14" t="n">
        <x:v>2025</x:v>
      </x:c>
      <x:c r="U389" s="14" t="str">
        <x:v>Explicit source first year retained</x:v>
      </x:c>
      <x:c r="V389" s="14" t="str">
        <x:v>Earliest supplied year is 2025.</x:v>
      </x:c>
      <x:c r="W389" s="14"/>
      <x:c r="X389" s="14" t="str">
        <x:v>Included</x:v>
      </x:c>
      <x:c r="Y389" s="14"/>
      <x:c r="Z389" s="14" t="str">
        <x:v>The Good Ship Murder.docx</x:v>
      </x:c>
      <x:c r="AA389" s="14" t="str">
        <x:v>HYPERLINK is not implemented. linkLocation=https://www.imdb.com/title/tt26346233/fullcredits/,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Channel 5 / 5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24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0.041666666666666664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4" t="str">
        <x:v>HYPERLINK is not implemented. linkLocation=https://www.imdb.com/title/tt26346233/fullcredits/,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tt26346233|nm17073005|barry lawson</x:v>
      </x:c>
      <x:c r="B390" s="14" t="str">
        <x:v>04</x:v>
      </x:c>
      <x:c r="C390" s="14" t="str">
        <x:v>2023_IMDb_Cast_Lists_Batch_04(2).xlsx</x:v>
      </x:c>
      <x:c r="D390" s="14" t="str">
        <x:v>The Good Ship Murder</x:v>
      </x:c>
      <x:c r="E390" s="14" t="n">
        <x:v>62</x:v>
      </x:c>
      <x:c r="F390" s="14" t="str">
        <x:v>The Good Ship Murder</x:v>
      </x:c>
      <x:c r="G390" s="14" t="str">
        <x:v>tt26346233</x:v>
      </x:c>
      <x:c r="H390" s="14" t="n">
        <x:v>2023</x:v>
      </x:c>
      <x:c r="I390" s="14" t="n">
        <x:v>2025</x:v>
      </x:c>
      <x:c r="J390" s="14" t="str">
        <x:v>Earlier-Production Carry-In Cohort</x:v>
      </x:c>
      <x:c r="K390" s="14" t="n">
        <x:v>2023</x:v>
      </x:c>
      <x:c r="L390" s="14" t="str">
        <x:v>Not inherited</x:v>
      </x:c>
      <x:c r="M390" s="15" t="n">
        <x:v>55</x:v>
      </x:c>
      <x:c r="N390" s="14" t="str">
        <x:v>Ross Grey</x:v>
      </x:c>
      <x:c r="O390" s="14" t="str">
        <x:v>nm17073005</x:v>
      </x:c>
      <x:c r="P390" s="14" t="str">
        <x:v>Barry Lawson</x:v>
      </x:c>
      <x:c r="Q390" s="15" t="n">
        <x:v>1</x:v>
      </x:c>
      <x:c r="R390" s="14" t="str">
        <x:v>2025</x:v>
      </x:c>
      <x:c r="S390" s="14" t="n">
        <x:v>2025</x:v>
      </x:c>
      <x:c r="T390" s="14" t="n">
        <x:v>2025</x:v>
      </x:c>
      <x:c r="U390" s="14" t="str">
        <x:v>Explicit source first year retained</x:v>
      </x:c>
      <x:c r="V390" s="14" t="str">
        <x:v>Earliest supplied year is 2025.</x:v>
      </x:c>
      <x:c r="W390" s="14"/>
      <x:c r="X390" s="14" t="str">
        <x:v>Included</x:v>
      </x:c>
      <x:c r="Y390" s="14"/>
      <x:c r="Z390" s="14" t="str">
        <x:v>The Good Ship Murder.docx</x:v>
      </x:c>
      <x:c r="AA390" s="14" t="str">
        <x:v>HYPERLINK is not implemented. linkLocation=https://www.imdb.com/title/tt26346233/fullcredits/,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Channel 5 / 5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24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0.041666666666666664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4" t="str">
        <x:v>HYPERLINK is not implemented. linkLocation=https://www.imdb.com/title/tt26346233/fullcredits/,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tt26346233|nm9200092|melissa makris</x:v>
      </x:c>
      <x:c r="B391" s="14" t="str">
        <x:v>04</x:v>
      </x:c>
      <x:c r="C391" s="14" t="str">
        <x:v>2023_IMDb_Cast_Lists_Batch_04(2).xlsx</x:v>
      </x:c>
      <x:c r="D391" s="14" t="str">
        <x:v>The Good Ship Murder</x:v>
      </x:c>
      <x:c r="E391" s="14" t="n">
        <x:v>63</x:v>
      </x:c>
      <x:c r="F391" s="14" t="str">
        <x:v>The Good Ship Murder</x:v>
      </x:c>
      <x:c r="G391" s="14" t="str">
        <x:v>tt26346233</x:v>
      </x:c>
      <x:c r="H391" s="14" t="n">
        <x:v>2023</x:v>
      </x:c>
      <x:c r="I391" s="14" t="n">
        <x:v>2025</x:v>
      </x:c>
      <x:c r="J391" s="14" t="str">
        <x:v>Earlier-Production Carry-In Cohort</x:v>
      </x:c>
      <x:c r="K391" s="14" t="n">
        <x:v>2023</x:v>
      </x:c>
      <x:c r="L391" s="14" t="str">
        <x:v>Not inherited</x:v>
      </x:c>
      <x:c r="M391" s="15" t="n">
        <x:v>56</x:v>
      </x:c>
      <x:c r="N391" s="14" t="str">
        <x:v>Yulie Archontaki</x:v>
      </x:c>
      <x:c r="O391" s="14" t="str">
        <x:v>nm9200092</x:v>
      </x:c>
      <x:c r="P391" s="14" t="str">
        <x:v>Melissa Makris</x:v>
      </x:c>
      <x:c r="Q391" s="15" t="n">
        <x:v>1</x:v>
      </x:c>
      <x:c r="R391" s="14" t="str">
        <x:v>2025</x:v>
      </x:c>
      <x:c r="S391" s="14" t="n">
        <x:v>2025</x:v>
      </x:c>
      <x:c r="T391" s="14" t="n">
        <x:v>2025</x:v>
      </x:c>
      <x:c r="U391" s="14" t="str">
        <x:v>Explicit source first year retained</x:v>
      </x:c>
      <x:c r="V391" s="14" t="str">
        <x:v>Earliest supplied year is 2025.</x:v>
      </x:c>
      <x:c r="W391" s="14"/>
      <x:c r="X391" s="14" t="str">
        <x:v>Included</x:v>
      </x:c>
      <x:c r="Y391" s="14"/>
      <x:c r="Z391" s="14" t="str">
        <x:v>The Good Ship Murder.docx</x:v>
      </x:c>
      <x:c r="AA391" s="14" t="str">
        <x:v>HYPERLINK is not implemented. linkLocation=https://www.imdb.com/title/tt26346233/fullcredits/,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Channel 5 / 5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24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0.041666666666666664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4" t="str">
        <x:v>HYPERLINK is not implemented. linkLocation=https://www.imdb.com/title/tt26346233/fullcredits/,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tt26346233|nm4041866|lorenzo bonucci</x:v>
      </x:c>
      <x:c r="B392" s="14" t="str">
        <x:v>04</x:v>
      </x:c>
      <x:c r="C392" s="14" t="str">
        <x:v>2023_IMDb_Cast_Lists_Batch_04(2).xlsx</x:v>
      </x:c>
      <x:c r="D392" s="14" t="str">
        <x:v>The Good Ship Murder</x:v>
      </x:c>
      <x:c r="E392" s="14" t="n">
        <x:v>64</x:v>
      </x:c>
      <x:c r="F392" s="14" t="str">
        <x:v>The Good Ship Murder</x:v>
      </x:c>
      <x:c r="G392" s="14" t="str">
        <x:v>tt26346233</x:v>
      </x:c>
      <x:c r="H392" s="14" t="n">
        <x:v>2023</x:v>
      </x:c>
      <x:c r="I392" s="14" t="n">
        <x:v>2025</x:v>
      </x:c>
      <x:c r="J392" s="14" t="str">
        <x:v>Earlier-Production Carry-In Cohort</x:v>
      </x:c>
      <x:c r="K392" s="14" t="n">
        <x:v>2023</x:v>
      </x:c>
      <x:c r="L392" s="14" t="str">
        <x:v>Not inherited</x:v>
      </x:c>
      <x:c r="M392" s="15" t="n">
        <x:v>57</x:v>
      </x:c>
      <x:c r="N392" s="14" t="str">
        <x:v>Stephen Buhagiar</x:v>
      </x:c>
      <x:c r="O392" s="14" t="str">
        <x:v>nm4041866</x:v>
      </x:c>
      <x:c r="P392" s="14" t="str">
        <x:v>Lorenzo Bonucci</x:v>
      </x:c>
      <x:c r="Q392" s="15" t="n">
        <x:v>1</x:v>
      </x:c>
      <x:c r="R392" s="14" t="str">
        <x:v>2025</x:v>
      </x:c>
      <x:c r="S392" s="14" t="n">
        <x:v>2025</x:v>
      </x:c>
      <x:c r="T392" s="14" t="n">
        <x:v>2025</x:v>
      </x:c>
      <x:c r="U392" s="14" t="str">
        <x:v>Explicit source first year retained</x:v>
      </x:c>
      <x:c r="V392" s="14" t="str">
        <x:v>Earliest supplied year is 2025.</x:v>
      </x:c>
      <x:c r="W392" s="14"/>
      <x:c r="X392" s="14" t="str">
        <x:v>Included</x:v>
      </x:c>
      <x:c r="Y392" s="14"/>
      <x:c r="Z392" s="14" t="str">
        <x:v>The Good Ship Murder.docx</x:v>
      </x:c>
      <x:c r="AA392" s="14" t="str">
        <x:v>HYPERLINK is not implemented. linkLocation=https://www.imdb.com/title/tt26346233/fullcredits/,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Channel 5 / 5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24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0.041666666666666664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4" t="str">
        <x:v>HYPERLINK is not implemented. linkLocation=https://www.imdb.com/title/tt26346233/fullcredits/,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tt26346233|nm0420979|bree albright</x:v>
      </x:c>
      <x:c r="B393" s="14" t="str">
        <x:v>04</x:v>
      </x:c>
      <x:c r="C393" s="14" t="str">
        <x:v>2023_IMDb_Cast_Lists_Batch_04(2).xlsx</x:v>
      </x:c>
      <x:c r="D393" s="14" t="str">
        <x:v>The Good Ship Murder</x:v>
      </x:c>
      <x:c r="E393" s="14" t="n">
        <x:v>76</x:v>
      </x:c>
      <x:c r="F393" s="14" t="str">
        <x:v>The Good Ship Murder</x:v>
      </x:c>
      <x:c r="G393" s="14" t="str">
        <x:v>tt26346233</x:v>
      </x:c>
      <x:c r="H393" s="14" t="n">
        <x:v>2023</x:v>
      </x:c>
      <x:c r="I393" s="14" t="n">
        <x:v>2025</x:v>
      </x:c>
      <x:c r="J393" s="14" t="str">
        <x:v>Earlier-Production Carry-In Cohort</x:v>
      </x:c>
      <x:c r="K393" s="14" t="n">
        <x:v>2023</x:v>
      </x:c>
      <x:c r="L393" s="14" t="str">
        <x:v>Not inherited</x:v>
      </x:c>
      <x:c r="M393" s="15" t="n">
        <x:v>69</x:v>
      </x:c>
      <x:c r="N393" s="14" t="str">
        <x:v>Sue Jenkins</x:v>
      </x:c>
      <x:c r="O393" s="14" t="str">
        <x:v>nm0420979</x:v>
      </x:c>
      <x:c r="P393" s="14" t="str">
        <x:v>Bree Albright</x:v>
      </x:c>
      <x:c r="Q393" s="15" t="n">
        <x:v>1</x:v>
      </x:c>
      <x:c r="R393" s="14" t="str">
        <x:v>2025</x:v>
      </x:c>
      <x:c r="S393" s="14" t="n">
        <x:v>2025</x:v>
      </x:c>
      <x:c r="T393" s="14" t="n">
        <x:v>2025</x:v>
      </x:c>
      <x:c r="U393" s="14" t="str">
        <x:v>Explicit source first year retained</x:v>
      </x:c>
      <x:c r="V393" s="14" t="str">
        <x:v>Earliest supplied year is 2025.</x:v>
      </x:c>
      <x:c r="W393" s="14"/>
      <x:c r="X393" s="14" t="str">
        <x:v>Included</x:v>
      </x:c>
      <x:c r="Y393" s="14"/>
      <x:c r="Z393" s="14" t="str">
        <x:v>The Good Ship Murder.docx</x:v>
      </x:c>
      <x:c r="AA393" s="14" t="str">
        <x:v>HYPERLINK is not implemented. linkLocation=https://www.imdb.com/title/tt26346233/fullcredits/,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Channel 5 / 5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24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0.041666666666666664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4" t="str">
        <x:v>HYPERLINK is not implemented. linkLocation=https://www.imdb.com/title/tt26346233/fullcredits/,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tt26346233|nm0292744|max king</x:v>
      </x:c>
      <x:c r="B394" s="14" t="str">
        <x:v>04</x:v>
      </x:c>
      <x:c r="C394" s="14" t="str">
        <x:v>2023_IMDb_Cast_Lists_Batch_04(2).xlsx</x:v>
      </x:c>
      <x:c r="D394" s="14" t="str">
        <x:v>The Good Ship Murder</x:v>
      </x:c>
      <x:c r="E394" s="14" t="n">
        <x:v>77</x:v>
      </x:c>
      <x:c r="F394" s="14" t="str">
        <x:v>The Good Ship Murder</x:v>
      </x:c>
      <x:c r="G394" s="14" t="str">
        <x:v>tt26346233</x:v>
      </x:c>
      <x:c r="H394" s="14" t="n">
        <x:v>2023</x:v>
      </x:c>
      <x:c r="I394" s="14" t="n">
        <x:v>2025</x:v>
      </x:c>
      <x:c r="J394" s="14" t="str">
        <x:v>Earlier-Production Carry-In Cohort</x:v>
      </x:c>
      <x:c r="K394" s="14" t="n">
        <x:v>2023</x:v>
      </x:c>
      <x:c r="L394" s="14" t="str">
        <x:v>Not inherited</x:v>
      </x:c>
      <x:c r="M394" s="15" t="n">
        <x:v>70</x:v>
      </x:c>
      <x:c r="N394" s="14" t="str">
        <x:v>Dan Fredenburgh</x:v>
      </x:c>
      <x:c r="O394" s="14" t="str">
        <x:v>nm0292744</x:v>
      </x:c>
      <x:c r="P394" s="14" t="str">
        <x:v>Max King</x:v>
      </x:c>
      <x:c r="Q394" s="15" t="n">
        <x:v>1</x:v>
      </x:c>
      <x:c r="R394" s="14" t="str">
        <x:v>2025</x:v>
      </x:c>
      <x:c r="S394" s="14" t="n">
        <x:v>2025</x:v>
      </x:c>
      <x:c r="T394" s="14" t="n">
        <x:v>2025</x:v>
      </x:c>
      <x:c r="U394" s="14" t="str">
        <x:v>Explicit source first year retained</x:v>
      </x:c>
      <x:c r="V394" s="14" t="str">
        <x:v>Earliest supplied year is 2025.</x:v>
      </x:c>
      <x:c r="W394" s="14"/>
      <x:c r="X394" s="14" t="str">
        <x:v>Included</x:v>
      </x:c>
      <x:c r="Y394" s="14"/>
      <x:c r="Z394" s="14" t="str">
        <x:v>The Good Ship Murder.docx</x:v>
      </x:c>
      <x:c r="AA394" s="14" t="str">
        <x:v>HYPERLINK is not implemented. linkLocation=https://www.imdb.com/title/tt26346233/fullcredits/,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Channel 5 / 5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24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0.041666666666666664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4" t="str">
        <x:v>HYPERLINK is not implemented. linkLocation=https://www.imdb.com/title/tt26346233/fullcredits/,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tt26346233|nm1567174|melanie metcalfe</x:v>
      </x:c>
      <x:c r="B395" s="14" t="str">
        <x:v>04</x:v>
      </x:c>
      <x:c r="C395" s="14" t="str">
        <x:v>2023_IMDb_Cast_Lists_Batch_04(2).xlsx</x:v>
      </x:c>
      <x:c r="D395" s="14" t="str">
        <x:v>The Good Ship Murder</x:v>
      </x:c>
      <x:c r="E395" s="14" t="n">
        <x:v>78</x:v>
      </x:c>
      <x:c r="F395" s="14" t="str">
        <x:v>The Good Ship Murder</x:v>
      </x:c>
      <x:c r="G395" s="14" t="str">
        <x:v>tt26346233</x:v>
      </x:c>
      <x:c r="H395" s="14" t="n">
        <x:v>2023</x:v>
      </x:c>
      <x:c r="I395" s="14" t="n">
        <x:v>2025</x:v>
      </x:c>
      <x:c r="J395" s="14" t="str">
        <x:v>Earlier-Production Carry-In Cohort</x:v>
      </x:c>
      <x:c r="K395" s="14" t="n">
        <x:v>2023</x:v>
      </x:c>
      <x:c r="L395" s="14" t="str">
        <x:v>Not inherited</x:v>
      </x:c>
      <x:c r="M395" s="15" t="n">
        <x:v>71</x:v>
      </x:c>
      <x:c r="N395" s="14" t="str">
        <x:v>Chelsea Halfpenny</x:v>
      </x:c>
      <x:c r="O395" s="14" t="str">
        <x:v>nm1567174</x:v>
      </x:c>
      <x:c r="P395" s="14" t="str">
        <x:v>Melanie Metcalfe</x:v>
      </x:c>
      <x:c r="Q395" s="15" t="n">
        <x:v>1</x:v>
      </x:c>
      <x:c r="R395" s="14" t="str">
        <x:v>2025</x:v>
      </x:c>
      <x:c r="S395" s="14" t="n">
        <x:v>2025</x:v>
      </x:c>
      <x:c r="T395" s="14" t="n">
        <x:v>2025</x:v>
      </x:c>
      <x:c r="U395" s="14" t="str">
        <x:v>Explicit source first year retained</x:v>
      </x:c>
      <x:c r="V395" s="14" t="str">
        <x:v>Earliest supplied year is 2025.</x:v>
      </x:c>
      <x:c r="W395" s="14"/>
      <x:c r="X395" s="14" t="str">
        <x:v>Included</x:v>
      </x:c>
      <x:c r="Y395" s="14"/>
      <x:c r="Z395" s="14" t="str">
        <x:v>The Good Ship Murder.docx</x:v>
      </x:c>
      <x:c r="AA395" s="14" t="str">
        <x:v>HYPERLINK is not implemented. linkLocation=https://www.imdb.com/title/tt26346233/fullcredits/,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Channel 5 / 5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24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0.041666666666666664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4" t="str">
        <x:v>HYPERLINK is not implemented. linkLocation=https://www.imdb.com/title/tt26346233/fullcredits/,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tt26346233|nm7023332|sofia romano</x:v>
      </x:c>
      <x:c r="B396" s="14" t="str">
        <x:v>04</x:v>
      </x:c>
      <x:c r="C396" s="14" t="str">
        <x:v>2023_IMDb_Cast_Lists_Batch_04(2).xlsx</x:v>
      </x:c>
      <x:c r="D396" s="14" t="str">
        <x:v>The Good Ship Murder</x:v>
      </x:c>
      <x:c r="E396" s="14" t="n">
        <x:v>79</x:v>
      </x:c>
      <x:c r="F396" s="14" t="str">
        <x:v>The Good Ship Murder</x:v>
      </x:c>
      <x:c r="G396" s="14" t="str">
        <x:v>tt26346233</x:v>
      </x:c>
      <x:c r="H396" s="14" t="n">
        <x:v>2023</x:v>
      </x:c>
      <x:c r="I396" s="14" t="n">
        <x:v>2025</x:v>
      </x:c>
      <x:c r="J396" s="14" t="str">
        <x:v>Earlier-Production Carry-In Cohort</x:v>
      </x:c>
      <x:c r="K396" s="14" t="n">
        <x:v>2023</x:v>
      </x:c>
      <x:c r="L396" s="14" t="str">
        <x:v>Not inherited</x:v>
      </x:c>
      <x:c r="M396" s="15" t="n">
        <x:v>72</x:v>
      </x:c>
      <x:c r="N396" s="14" t="str">
        <x:v>Elena Delia</x:v>
      </x:c>
      <x:c r="O396" s="14" t="str">
        <x:v>nm7023332</x:v>
      </x:c>
      <x:c r="P396" s="14" t="str">
        <x:v>Sofia Romano</x:v>
      </x:c>
      <x:c r="Q396" s="15" t="n">
        <x:v>1</x:v>
      </x:c>
      <x:c r="R396" s="14" t="str">
        <x:v>2025</x:v>
      </x:c>
      <x:c r="S396" s="14" t="n">
        <x:v>2025</x:v>
      </x:c>
      <x:c r="T396" s="14" t="n">
        <x:v>2025</x:v>
      </x:c>
      <x:c r="U396" s="14" t="str">
        <x:v>Explicit source first year retained</x:v>
      </x:c>
      <x:c r="V396" s="14" t="str">
        <x:v>Earliest supplied year is 2025.</x:v>
      </x:c>
      <x:c r="W396" s="14"/>
      <x:c r="X396" s="14" t="str">
        <x:v>Included</x:v>
      </x:c>
      <x:c r="Y396" s="14"/>
      <x:c r="Z396" s="14" t="str">
        <x:v>The Good Ship Murder.docx</x:v>
      </x:c>
      <x:c r="AA396" s="14" t="str">
        <x:v>HYPERLINK is not implemented. linkLocation=https://www.imdb.com/title/tt26346233/fullcredits/,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Channel 5 / 5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24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0.041666666666666664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4" t="str">
        <x:v>HYPERLINK is not implemented. linkLocation=https://www.imdb.com/title/tt26346233/fullcredits/,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tt26346233|nm1225633|janice evans</x:v>
      </x:c>
      <x:c r="B397" s="14" t="str">
        <x:v>04</x:v>
      </x:c>
      <x:c r="C397" s="14" t="str">
        <x:v>2023_IMDb_Cast_Lists_Batch_04(2).xlsx</x:v>
      </x:c>
      <x:c r="D397" s="14" t="str">
        <x:v>The Good Ship Murder</x:v>
      </x:c>
      <x:c r="E397" s="14" t="n">
        <x:v>80</x:v>
      </x:c>
      <x:c r="F397" s="14" t="str">
        <x:v>The Good Ship Murder</x:v>
      </x:c>
      <x:c r="G397" s="14" t="str">
        <x:v>tt26346233</x:v>
      </x:c>
      <x:c r="H397" s="14" t="n">
        <x:v>2023</x:v>
      </x:c>
      <x:c r="I397" s="14" t="n">
        <x:v>2025</x:v>
      </x:c>
      <x:c r="J397" s="14" t="str">
        <x:v>Earlier-Production Carry-In Cohort</x:v>
      </x:c>
      <x:c r="K397" s="14" t="n">
        <x:v>2023</x:v>
      </x:c>
      <x:c r="L397" s="14" t="str">
        <x:v>Not inherited</x:v>
      </x:c>
      <x:c r="M397" s="15" t="n">
        <x:v>73</x:v>
      </x:c>
      <x:c r="N397" s="14" t="str">
        <x:v>Janice Connolly</x:v>
      </x:c>
      <x:c r="O397" s="14" t="str">
        <x:v>nm1225633</x:v>
      </x:c>
      <x:c r="P397" s="14" t="str">
        <x:v>Janice Evans</x:v>
      </x:c>
      <x:c r="Q397" s="15" t="n">
        <x:v>1</x:v>
      </x:c>
      <x:c r="R397" s="14" t="str">
        <x:v>2025</x:v>
      </x:c>
      <x:c r="S397" s="14" t="n">
        <x:v>2025</x:v>
      </x:c>
      <x:c r="T397" s="14" t="n">
        <x:v>2025</x:v>
      </x:c>
      <x:c r="U397" s="14" t="str">
        <x:v>Explicit source first year retained</x:v>
      </x:c>
      <x:c r="V397" s="14" t="str">
        <x:v>Earliest supplied year is 2025.</x:v>
      </x:c>
      <x:c r="W397" s="14"/>
      <x:c r="X397" s="14" t="str">
        <x:v>Included</x:v>
      </x:c>
      <x:c r="Y397" s="14"/>
      <x:c r="Z397" s="14" t="str">
        <x:v>The Good Ship Murder.docx</x:v>
      </x:c>
      <x:c r="AA397" s="14" t="str">
        <x:v>HYPERLINK is not implemented. linkLocation=https://www.imdb.com/title/tt26346233/fullcredits/,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Channel 5 / 5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24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0.041666666666666664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4" t="str">
        <x:v>HYPERLINK is not implemented. linkLocation=https://www.imdb.com/title/tt26346233/fullcredits/,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tt26346233|nm1356129|luna bonucci</x:v>
      </x:c>
      <x:c r="B398" s="14" t="str">
        <x:v>04</x:v>
      </x:c>
      <x:c r="C398" s="14" t="str">
        <x:v>2023_IMDb_Cast_Lists_Batch_04(2).xlsx</x:v>
      </x:c>
      <x:c r="D398" s="14" t="str">
        <x:v>The Good Ship Murder</x:v>
      </x:c>
      <x:c r="E398" s="14" t="n">
        <x:v>81</x:v>
      </x:c>
      <x:c r="F398" s="14" t="str">
        <x:v>The Good Ship Murder</x:v>
      </x:c>
      <x:c r="G398" s="14" t="str">
        <x:v>tt26346233</x:v>
      </x:c>
      <x:c r="H398" s="14" t="n">
        <x:v>2023</x:v>
      </x:c>
      <x:c r="I398" s="14" t="n">
        <x:v>2025</x:v>
      </x:c>
      <x:c r="J398" s="14" t="str">
        <x:v>Earlier-Production Carry-In Cohort</x:v>
      </x:c>
      <x:c r="K398" s="14" t="n">
        <x:v>2023</x:v>
      </x:c>
      <x:c r="L398" s="14" t="str">
        <x:v>Not inherited</x:v>
      </x:c>
      <x:c r="M398" s="15" t="n">
        <x:v>74</x:v>
      </x:c>
      <x:c r="N398" s="14" t="str">
        <x:v>Bettina Paris</x:v>
      </x:c>
      <x:c r="O398" s="14" t="str">
        <x:v>nm1356129</x:v>
      </x:c>
      <x:c r="P398" s="14" t="str">
        <x:v>Luna Bonucci</x:v>
      </x:c>
      <x:c r="Q398" s="15" t="n">
        <x:v>1</x:v>
      </x:c>
      <x:c r="R398" s="14" t="str">
        <x:v>2025</x:v>
      </x:c>
      <x:c r="S398" s="14" t="n">
        <x:v>2025</x:v>
      </x:c>
      <x:c r="T398" s="14" t="n">
        <x:v>2025</x:v>
      </x:c>
      <x:c r="U398" s="14" t="str">
        <x:v>Explicit source first year retained</x:v>
      </x:c>
      <x:c r="V398" s="14" t="str">
        <x:v>Earliest supplied year is 2025.</x:v>
      </x:c>
      <x:c r="W398" s="14"/>
      <x:c r="X398" s="14" t="str">
        <x:v>Included</x:v>
      </x:c>
      <x:c r="Y398" s="14"/>
      <x:c r="Z398" s="14" t="str">
        <x:v>The Good Ship Murder.docx</x:v>
      </x:c>
      <x:c r="AA398" s="14" t="str">
        <x:v>HYPERLINK is not implemented. linkLocation=https://www.imdb.com/title/tt26346233/fullcredits/,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Channel 5 / 5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24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0.041666666666666664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4" t="str">
        <x:v>HYPERLINK is not implemented. linkLocation=https://www.imdb.com/title/tt26346233/fullcredits/,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tt26346233|nm14316388|bernie campbell</x:v>
      </x:c>
      <x:c r="B399" s="14" t="str">
        <x:v>04</x:v>
      </x:c>
      <x:c r="C399" s="14" t="str">
        <x:v>2023_IMDb_Cast_Lists_Batch_04(2).xlsx</x:v>
      </x:c>
      <x:c r="D399" s="14" t="str">
        <x:v>The Good Ship Murder</x:v>
      </x:c>
      <x:c r="E399" s="14" t="n">
        <x:v>82</x:v>
      </x:c>
      <x:c r="F399" s="14" t="str">
        <x:v>The Good Ship Murder</x:v>
      </x:c>
      <x:c r="G399" s="14" t="str">
        <x:v>tt26346233</x:v>
      </x:c>
      <x:c r="H399" s="14" t="n">
        <x:v>2023</x:v>
      </x:c>
      <x:c r="I399" s="14" t="n">
        <x:v>2025</x:v>
      </x:c>
      <x:c r="J399" s="14" t="str">
        <x:v>Earlier-Production Carry-In Cohort</x:v>
      </x:c>
      <x:c r="K399" s="14" t="n">
        <x:v>2023</x:v>
      </x:c>
      <x:c r="L399" s="14" t="str">
        <x:v>Not inherited</x:v>
      </x:c>
      <x:c r="M399" s="15" t="n">
        <x:v>75</x:v>
      </x:c>
      <x:c r="N399" s="14" t="str">
        <x:v>Rebecca Harland</x:v>
      </x:c>
      <x:c r="O399" s="14" t="str">
        <x:v>nm14316388</x:v>
      </x:c>
      <x:c r="P399" s="14" t="str">
        <x:v>Bernie Campbell</x:v>
      </x:c>
      <x:c r="Q399" s="15" t="n">
        <x:v>1</x:v>
      </x:c>
      <x:c r="R399" s="14" t="str">
        <x:v>2025</x:v>
      </x:c>
      <x:c r="S399" s="14" t="n">
        <x:v>2025</x:v>
      </x:c>
      <x:c r="T399" s="14" t="n">
        <x:v>2025</x:v>
      </x:c>
      <x:c r="U399" s="14" t="str">
        <x:v>Explicit source first year retained</x:v>
      </x:c>
      <x:c r="V399" s="14" t="str">
        <x:v>Earliest supplied year is 2025.</x:v>
      </x:c>
      <x:c r="W399" s="14"/>
      <x:c r="X399" s="14" t="str">
        <x:v>Included</x:v>
      </x:c>
      <x:c r="Y399" s="14"/>
      <x:c r="Z399" s="14" t="str">
        <x:v>The Good Ship Murder.docx</x:v>
      </x:c>
      <x:c r="AA399" s="14" t="str">
        <x:v>HYPERLINK is not implemented. linkLocation=https://www.imdb.com/title/tt26346233/fullcredits/,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Channel 5 / 5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24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0.041666666666666664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4" t="str">
        <x:v>HYPERLINK is not implemented. linkLocation=https://www.imdb.com/title/tt26346233/fullcredits/,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tt26346233|nm5873574|lisa charnock</x:v>
      </x:c>
      <x:c r="B400" s="14" t="str">
        <x:v>04</x:v>
      </x:c>
      <x:c r="C400" s="14" t="str">
        <x:v>2023_IMDb_Cast_Lists_Batch_04(2).xlsx</x:v>
      </x:c>
      <x:c r="D400" s="14" t="str">
        <x:v>The Good Ship Murder</x:v>
      </x:c>
      <x:c r="E400" s="14" t="n">
        <x:v>83</x:v>
      </x:c>
      <x:c r="F400" s="14" t="str">
        <x:v>The Good Ship Murder</x:v>
      </x:c>
      <x:c r="G400" s="14" t="str">
        <x:v>tt26346233</x:v>
      </x:c>
      <x:c r="H400" s="14" t="n">
        <x:v>2023</x:v>
      </x:c>
      <x:c r="I400" s="14" t="n">
        <x:v>2025</x:v>
      </x:c>
      <x:c r="J400" s="14" t="str">
        <x:v>Earlier-Production Carry-In Cohort</x:v>
      </x:c>
      <x:c r="K400" s="14" t="n">
        <x:v>2023</x:v>
      </x:c>
      <x:c r="L400" s="14" t="str">
        <x:v>Not inherited</x:v>
      </x:c>
      <x:c r="M400" s="15" t="n">
        <x:v>76</x:v>
      </x:c>
      <x:c r="N400" s="14" t="str">
        <x:v>Siobhan Athwal</x:v>
      </x:c>
      <x:c r="O400" s="14" t="str">
        <x:v>nm5873574</x:v>
      </x:c>
      <x:c r="P400" s="14" t="str">
        <x:v>Lisa Charnock</x:v>
      </x:c>
      <x:c r="Q400" s="15" t="n">
        <x:v>1</x:v>
      </x:c>
      <x:c r="R400" s="14" t="str">
        <x:v>2025</x:v>
      </x:c>
      <x:c r="S400" s="14" t="n">
        <x:v>2025</x:v>
      </x:c>
      <x:c r="T400" s="14" t="n">
        <x:v>2025</x:v>
      </x:c>
      <x:c r="U400" s="14" t="str">
        <x:v>Explicit source first year retained</x:v>
      </x:c>
      <x:c r="V400" s="14" t="str">
        <x:v>Earliest supplied year is 2025.</x:v>
      </x:c>
      <x:c r="W400" s="14"/>
      <x:c r="X400" s="14" t="str">
        <x:v>Included</x:v>
      </x:c>
      <x:c r="Y400" s="14"/>
      <x:c r="Z400" s="14" t="str">
        <x:v>The Good Ship Murder.docx</x:v>
      </x:c>
      <x:c r="AA400" s="14" t="str">
        <x:v>HYPERLINK is not implemented. linkLocation=https://www.imdb.com/title/tt26346233/fullcredits/,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Channel 5 / 5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24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0.041666666666666664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4" t="str">
        <x:v>HYPERLINK is not implemented. linkLocation=https://www.imdb.com/title/tt26346233/fullcredits/,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tt26346233|nm6360097|layla mahmood</x:v>
      </x:c>
      <x:c r="B401" s="14" t="str">
        <x:v>04</x:v>
      </x:c>
      <x:c r="C401" s="14" t="str">
        <x:v>2023_IMDb_Cast_Lists_Batch_04(2).xlsx</x:v>
      </x:c>
      <x:c r="D401" s="14" t="str">
        <x:v>The Good Ship Murder</x:v>
      </x:c>
      <x:c r="E401" s="14" t="n">
        <x:v>99</x:v>
      </x:c>
      <x:c r="F401" s="14" t="str">
        <x:v>The Good Ship Murder</x:v>
      </x:c>
      <x:c r="G401" s="14" t="str">
        <x:v>tt26346233</x:v>
      </x:c>
      <x:c r="H401" s="14" t="n">
        <x:v>2023</x:v>
      </x:c>
      <x:c r="I401" s="14" t="n">
        <x:v>2025</x:v>
      </x:c>
      <x:c r="J401" s="14" t="str">
        <x:v>Earlier-Production Carry-In Cohort</x:v>
      </x:c>
      <x:c r="K401" s="14" t="n">
        <x:v>2023</x:v>
      </x:c>
      <x:c r="L401" s="14" t="str">
        <x:v>Not inherited</x:v>
      </x:c>
      <x:c r="M401" s="15" t="n">
        <x:v>92</x:v>
      </x:c>
      <x:c r="N401" s="14" t="str">
        <x:v>Hayat Kamille</x:v>
      </x:c>
      <x:c r="O401" s="14" t="str">
        <x:v>nm6360097</x:v>
      </x:c>
      <x:c r="P401" s="14" t="str">
        <x:v>Layla Mahmood</x:v>
      </x:c>
      <x:c r="Q401" s="15" t="n">
        <x:v>1</x:v>
      </x:c>
      <x:c r="R401" s="14" t="str">
        <x:v>2025</x:v>
      </x:c>
      <x:c r="S401" s="14" t="n">
        <x:v>2025</x:v>
      </x:c>
      <x:c r="T401" s="14" t="n">
        <x:v>2025</x:v>
      </x:c>
      <x:c r="U401" s="14" t="str">
        <x:v>Explicit source first year retained</x:v>
      </x:c>
      <x:c r="V401" s="14" t="str">
        <x:v>Earliest supplied year is 2025.</x:v>
      </x:c>
      <x:c r="W401" s="14"/>
      <x:c r="X401" s="14" t="str">
        <x:v>Included</x:v>
      </x:c>
      <x:c r="Y401" s="14"/>
      <x:c r="Z401" s="14" t="str">
        <x:v>The Good Ship Murder.docx</x:v>
      </x:c>
      <x:c r="AA401" s="14" t="str">
        <x:v>HYPERLINK is not implemented. linkLocation=https://www.imdb.com/title/tt26346233/fullcredits/,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Channel 5 / 5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24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0.041666666666666664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4" t="str">
        <x:v>HYPERLINK is not implemented. linkLocation=https://www.imdb.com/title/tt26346233/fullcredits/,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tt26346233|nm0519552|eva king</x:v>
      </x:c>
      <x:c r="B402" s="14" t="str">
        <x:v>04</x:v>
      </x:c>
      <x:c r="C402" s="14" t="str">
        <x:v>2023_IMDb_Cast_Lists_Batch_04(2).xlsx</x:v>
      </x:c>
      <x:c r="D402" s="14" t="str">
        <x:v>The Good Ship Murder</x:v>
      </x:c>
      <x:c r="E402" s="14" t="n">
        <x:v>100</x:v>
      </x:c>
      <x:c r="F402" s="14" t="str">
        <x:v>The Good Ship Murder</x:v>
      </x:c>
      <x:c r="G402" s="14" t="str">
        <x:v>tt26346233</x:v>
      </x:c>
      <x:c r="H402" s="14" t="n">
        <x:v>2023</x:v>
      </x:c>
      <x:c r="I402" s="14" t="n">
        <x:v>2025</x:v>
      </x:c>
      <x:c r="J402" s="14" t="str">
        <x:v>Earlier-Production Carry-In Cohort</x:v>
      </x:c>
      <x:c r="K402" s="14" t="n">
        <x:v>2023</x:v>
      </x:c>
      <x:c r="L402" s="14" t="str">
        <x:v>Not inherited</x:v>
      </x:c>
      <x:c r="M402" s="15" t="n">
        <x:v>93</x:v>
      </x:c>
      <x:c r="N402" s="14" t="str">
        <x:v>Angela Lonsdale</x:v>
      </x:c>
      <x:c r="O402" s="14" t="str">
        <x:v>nm0519552</x:v>
      </x:c>
      <x:c r="P402" s="14" t="str">
        <x:v>Eva King</x:v>
      </x:c>
      <x:c r="Q402" s="15" t="n">
        <x:v>1</x:v>
      </x:c>
      <x:c r="R402" s="14" t="str">
        <x:v>2025</x:v>
      </x:c>
      <x:c r="S402" s="14" t="n">
        <x:v>2025</x:v>
      </x:c>
      <x:c r="T402" s="14" t="n">
        <x:v>2025</x:v>
      </x:c>
      <x:c r="U402" s="14" t="str">
        <x:v>Explicit source first year retained</x:v>
      </x:c>
      <x:c r="V402" s="14" t="str">
        <x:v>Earliest supplied year is 2025.</x:v>
      </x:c>
      <x:c r="W402" s="14"/>
      <x:c r="X402" s="14" t="str">
        <x:v>Included</x:v>
      </x:c>
      <x:c r="Y402" s="14"/>
      <x:c r="Z402" s="14" t="str">
        <x:v>The Good Ship Murder.docx</x:v>
      </x:c>
      <x:c r="AA402" s="14" t="str">
        <x:v>HYPERLINK is not implemented. linkLocation=https://www.imdb.com/title/tt26346233/fullcredits/,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Channel 5 / 5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24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0.041666666666666664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4" t="str">
        <x:v>HYPERLINK is not implemented. linkLocation=https://www.imdb.com/title/tt26346233/fullcredits/,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tt26346233|nm0681146|nikos pepi</x:v>
      </x:c>
      <x:c r="B403" s="14" t="str">
        <x:v>04</x:v>
      </x:c>
      <x:c r="C403" s="14" t="str">
        <x:v>2023_IMDb_Cast_Lists_Batch_04(2).xlsx</x:v>
      </x:c>
      <x:c r="D403" s="14" t="str">
        <x:v>The Good Ship Murder</x:v>
      </x:c>
      <x:c r="E403" s="14" t="n">
        <x:v>101</x:v>
      </x:c>
      <x:c r="F403" s="14" t="str">
        <x:v>The Good Ship Murder</x:v>
      </x:c>
      <x:c r="G403" s="14" t="str">
        <x:v>tt26346233</x:v>
      </x:c>
      <x:c r="H403" s="14" t="n">
        <x:v>2023</x:v>
      </x:c>
      <x:c r="I403" s="14" t="n">
        <x:v>2025</x:v>
      </x:c>
      <x:c r="J403" s="14" t="str">
        <x:v>Earlier-Production Carry-In Cohort</x:v>
      </x:c>
      <x:c r="K403" s="14" t="n">
        <x:v>2023</x:v>
      </x:c>
      <x:c r="L403" s="14" t="str">
        <x:v>Not inherited</x:v>
      </x:c>
      <x:c r="M403" s="15" t="n">
        <x:v>94</x:v>
      </x:c>
      <x:c r="N403" s="14" t="str">
        <x:v>Andreas Karras</x:v>
      </x:c>
      <x:c r="O403" s="14" t="str">
        <x:v>nm0681146</x:v>
      </x:c>
      <x:c r="P403" s="14" t="str">
        <x:v>Nikos Pepi</x:v>
      </x:c>
      <x:c r="Q403" s="15" t="n">
        <x:v>1</x:v>
      </x:c>
      <x:c r="R403" s="14" t="str">
        <x:v>2025</x:v>
      </x:c>
      <x:c r="S403" s="14" t="n">
        <x:v>2025</x:v>
      </x:c>
      <x:c r="T403" s="14" t="n">
        <x:v>2025</x:v>
      </x:c>
      <x:c r="U403" s="14" t="str">
        <x:v>Explicit source first year retained</x:v>
      </x:c>
      <x:c r="V403" s="14" t="str">
        <x:v>Earliest supplied year is 2025.</x:v>
      </x:c>
      <x:c r="W403" s="14"/>
      <x:c r="X403" s="14" t="str">
        <x:v>Included</x:v>
      </x:c>
      <x:c r="Y403" s="14"/>
      <x:c r="Z403" s="14" t="str">
        <x:v>The Good Ship Murder.docx</x:v>
      </x:c>
      <x:c r="AA403" s="14" t="str">
        <x:v>HYPERLINK is not implemented. linkLocation=https://www.imdb.com/title/tt26346233/fullcredits/,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Channel 5 / 5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24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0.041666666666666664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4" t="str">
        <x:v>HYPERLINK is not implemented. linkLocation=https://www.imdb.com/title/tt26346233/fullcredits/,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tt26346233|nm1615970|suzie carter</x:v>
      </x:c>
      <x:c r="B404" s="14" t="str">
        <x:v>04</x:v>
      </x:c>
      <x:c r="C404" s="14" t="str">
        <x:v>2023_IMDb_Cast_Lists_Batch_04(2).xlsx</x:v>
      </x:c>
      <x:c r="D404" s="14" t="str">
        <x:v>The Good Ship Murder</x:v>
      </x:c>
      <x:c r="E404" s="14" t="n">
        <x:v>102</x:v>
      </x:c>
      <x:c r="F404" s="14" t="str">
        <x:v>The Good Ship Murder</x:v>
      </x:c>
      <x:c r="G404" s="14" t="str">
        <x:v>tt26346233</x:v>
      </x:c>
      <x:c r="H404" s="14" t="n">
        <x:v>2023</x:v>
      </x:c>
      <x:c r="I404" s="14" t="n">
        <x:v>2025</x:v>
      </x:c>
      <x:c r="J404" s="14" t="str">
        <x:v>Earlier-Production Carry-In Cohort</x:v>
      </x:c>
      <x:c r="K404" s="14" t="n">
        <x:v>2023</x:v>
      </x:c>
      <x:c r="L404" s="14" t="str">
        <x:v>Not inherited</x:v>
      </x:c>
      <x:c r="M404" s="15" t="n">
        <x:v>95</x:v>
      </x:c>
      <x:c r="N404" s="14" t="str">
        <x:v>Lorna Laidlaw</x:v>
      </x:c>
      <x:c r="O404" s="14" t="str">
        <x:v>nm1615970</x:v>
      </x:c>
      <x:c r="P404" s="14" t="str">
        <x:v>Suzie Carter</x:v>
      </x:c>
      <x:c r="Q404" s="15" t="n">
        <x:v>1</x:v>
      </x:c>
      <x:c r="R404" s="14" t="str">
        <x:v>2025</x:v>
      </x:c>
      <x:c r="S404" s="14" t="n">
        <x:v>2025</x:v>
      </x:c>
      <x:c r="T404" s="14" t="n">
        <x:v>2025</x:v>
      </x:c>
      <x:c r="U404" s="14" t="str">
        <x:v>Explicit source first year retained</x:v>
      </x:c>
      <x:c r="V404" s="14" t="str">
        <x:v>Earliest supplied year is 2025.</x:v>
      </x:c>
      <x:c r="W404" s="14"/>
      <x:c r="X404" s="14" t="str">
        <x:v>Included</x:v>
      </x:c>
      <x:c r="Y404" s="14"/>
      <x:c r="Z404" s="14" t="str">
        <x:v>The Good Ship Murder.docx</x:v>
      </x:c>
      <x:c r="AA404" s="14" t="str">
        <x:v>HYPERLINK is not implemented. linkLocation=https://www.imdb.com/title/tt26346233/fullcredits/,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Channel 5 / 5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24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0.041666666666666664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4" t="str">
        <x:v>HYPERLINK is not implemented. linkLocation=https://www.imdb.com/title/tt26346233/fullcredits/,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tt26346233|nm1735111|lindsay eldergill</x:v>
      </x:c>
      <x:c r="B405" s="14" t="str">
        <x:v>04</x:v>
      </x:c>
      <x:c r="C405" s="14" t="str">
        <x:v>2023_IMDb_Cast_Lists_Batch_04(2).xlsx</x:v>
      </x:c>
      <x:c r="D405" s="14" t="str">
        <x:v>The Good Ship Murder</x:v>
      </x:c>
      <x:c r="E405" s="14" t="n">
        <x:v>103</x:v>
      </x:c>
      <x:c r="F405" s="14" t="str">
        <x:v>The Good Ship Murder</x:v>
      </x:c>
      <x:c r="G405" s="14" t="str">
        <x:v>tt26346233</x:v>
      </x:c>
      <x:c r="H405" s="14" t="n">
        <x:v>2023</x:v>
      </x:c>
      <x:c r="I405" s="14" t="n">
        <x:v>2025</x:v>
      </x:c>
      <x:c r="J405" s="14" t="str">
        <x:v>Earlier-Production Carry-In Cohort</x:v>
      </x:c>
      <x:c r="K405" s="14" t="n">
        <x:v>2023</x:v>
      </x:c>
      <x:c r="L405" s="14" t="str">
        <x:v>Not inherited</x:v>
      </x:c>
      <x:c r="M405" s="15" t="n">
        <x:v>96</x:v>
      </x:c>
      <x:c r="N405" s="14" t="str">
        <x:v>Danielle Henry</x:v>
      </x:c>
      <x:c r="O405" s="14" t="str">
        <x:v>nm1735111</x:v>
      </x:c>
      <x:c r="P405" s="14" t="str">
        <x:v>Lindsay Eldergill</x:v>
      </x:c>
      <x:c r="Q405" s="15" t="n">
        <x:v>1</x:v>
      </x:c>
      <x:c r="R405" s="14" t="str">
        <x:v>2025</x:v>
      </x:c>
      <x:c r="S405" s="14" t="n">
        <x:v>2025</x:v>
      </x:c>
      <x:c r="T405" s="14" t="n">
        <x:v>2025</x:v>
      </x:c>
      <x:c r="U405" s="14" t="str">
        <x:v>Explicit source first year retained</x:v>
      </x:c>
      <x:c r="V405" s="14" t="str">
        <x:v>Earliest supplied year is 2025.</x:v>
      </x:c>
      <x:c r="W405" s="14"/>
      <x:c r="X405" s="14" t="str">
        <x:v>Included</x:v>
      </x:c>
      <x:c r="Y405" s="14"/>
      <x:c r="Z405" s="14" t="str">
        <x:v>The Good Ship Murder.docx</x:v>
      </x:c>
      <x:c r="AA405" s="14" t="str">
        <x:v>HYPERLINK is not implemented. linkLocation=https://www.imdb.com/title/tt26346233/fullcredits/,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Channel 5 / 5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24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0.041666666666666664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4" t="str">
        <x:v>HYPERLINK is not implemented. linkLocation=https://www.imdb.com/title/tt26346233/fullcredits/,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tt26346233|nm12235519|sister thomasina</x:v>
      </x:c>
      <x:c r="B406" s="14" t="str">
        <x:v>04</x:v>
      </x:c>
      <x:c r="C406" s="14" t="str">
        <x:v>2023_IMDb_Cast_Lists_Batch_04(2).xlsx</x:v>
      </x:c>
      <x:c r="D406" s="14" t="str">
        <x:v>The Good Ship Murder</x:v>
      </x:c>
      <x:c r="E406" s="14" t="n">
        <x:v>104</x:v>
      </x:c>
      <x:c r="F406" s="14" t="str">
        <x:v>The Good Ship Murder</x:v>
      </x:c>
      <x:c r="G406" s="14" t="str">
        <x:v>tt26346233</x:v>
      </x:c>
      <x:c r="H406" s="14" t="n">
        <x:v>2023</x:v>
      </x:c>
      <x:c r="I406" s="14" t="n">
        <x:v>2025</x:v>
      </x:c>
      <x:c r="J406" s="14" t="str">
        <x:v>Earlier-Production Carry-In Cohort</x:v>
      </x:c>
      <x:c r="K406" s="14" t="n">
        <x:v>2023</x:v>
      </x:c>
      <x:c r="L406" s="14" t="str">
        <x:v>Not inherited</x:v>
      </x:c>
      <x:c r="M406" s="15" t="n">
        <x:v>97</x:v>
      </x:c>
      <x:c r="N406" s="14" t="str">
        <x:v>Greta Holland</x:v>
      </x:c>
      <x:c r="O406" s="14" t="str">
        <x:v>nm12235519</x:v>
      </x:c>
      <x:c r="P406" s="14" t="str">
        <x:v>Sister Thomasina</x:v>
      </x:c>
      <x:c r="Q406" s="15" t="n">
        <x:v>1</x:v>
      </x:c>
      <x:c r="R406" s="14" t="str">
        <x:v>2025</x:v>
      </x:c>
      <x:c r="S406" s="14" t="n">
        <x:v>2025</x:v>
      </x:c>
      <x:c r="T406" s="14" t="n">
        <x:v>2025</x:v>
      </x:c>
      <x:c r="U406" s="14" t="str">
        <x:v>Explicit source first year retained</x:v>
      </x:c>
      <x:c r="V406" s="14" t="str">
        <x:v>Earliest supplied year is 2025.</x:v>
      </x:c>
      <x:c r="W406" s="14"/>
      <x:c r="X406" s="14" t="str">
        <x:v>Included</x:v>
      </x:c>
      <x:c r="Y406" s="14"/>
      <x:c r="Z406" s="14" t="str">
        <x:v>The Good Ship Murder.docx</x:v>
      </x:c>
      <x:c r="AA406" s="14" t="str">
        <x:v>HYPERLINK is not implemented. linkLocation=https://www.imdb.com/title/tt26346233/fullcredits/,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Channel 5 / 5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24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0.041666666666666664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4" t="str">
        <x:v>HYPERLINK is not implemented. linkLocation=https://www.imdb.com/title/tt26346233/fullcredits/,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tt26346233|nm12651445|nick greenleigh</x:v>
      </x:c>
      <x:c r="B407" s="14" t="str">
        <x:v>04</x:v>
      </x:c>
      <x:c r="C407" s="14" t="str">
        <x:v>2023_IMDb_Cast_Lists_Batch_04(2).xlsx</x:v>
      </x:c>
      <x:c r="D407" s="14" t="str">
        <x:v>The Good Ship Murder</x:v>
      </x:c>
      <x:c r="E407" s="14" t="n">
        <x:v>105</x:v>
      </x:c>
      <x:c r="F407" s="14" t="str">
        <x:v>The Good Ship Murder</x:v>
      </x:c>
      <x:c r="G407" s="14" t="str">
        <x:v>tt26346233</x:v>
      </x:c>
      <x:c r="H407" s="14" t="n">
        <x:v>2023</x:v>
      </x:c>
      <x:c r="I407" s="14" t="n">
        <x:v>2025</x:v>
      </x:c>
      <x:c r="J407" s="14" t="str">
        <x:v>Earlier-Production Carry-In Cohort</x:v>
      </x:c>
      <x:c r="K407" s="14" t="n">
        <x:v>2023</x:v>
      </x:c>
      <x:c r="L407" s="14" t="str">
        <x:v>Not inherited</x:v>
      </x:c>
      <x:c r="M407" s="15" t="n">
        <x:v>98</x:v>
      </x:c>
      <x:c r="N407" s="14" t="str">
        <x:v>Harry Giubileo</x:v>
      </x:c>
      <x:c r="O407" s="14" t="str">
        <x:v>nm12651445</x:v>
      </x:c>
      <x:c r="P407" s="14" t="str">
        <x:v>Nick Greenleigh</x:v>
      </x:c>
      <x:c r="Q407" s="15" t="n">
        <x:v>1</x:v>
      </x:c>
      <x:c r="R407" s="14" t="str">
        <x:v>2025</x:v>
      </x:c>
      <x:c r="S407" s="14" t="n">
        <x:v>2025</x:v>
      </x:c>
      <x:c r="T407" s="14" t="n">
        <x:v>2025</x:v>
      </x:c>
      <x:c r="U407" s="14" t="str">
        <x:v>Explicit source first year retained</x:v>
      </x:c>
      <x:c r="V407" s="14" t="str">
        <x:v>Earliest supplied year is 2025.</x:v>
      </x:c>
      <x:c r="W407" s="14"/>
      <x:c r="X407" s="14" t="str">
        <x:v>Included</x:v>
      </x:c>
      <x:c r="Y407" s="14"/>
      <x:c r="Z407" s="14" t="str">
        <x:v>The Good Ship Murder.docx</x:v>
      </x:c>
      <x:c r="AA407" s="14" t="str">
        <x:v>HYPERLINK is not implemented. linkLocation=https://www.imdb.com/title/tt26346233/fullcredits/,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Channel 5 / 5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24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0.041666666666666664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4" t="str">
        <x:v>HYPERLINK is not implemented. linkLocation=https://www.imdb.com/title/tt26346233/fullcredits/,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tt26346233|nm4561518|falzon</x:v>
      </x:c>
      <x:c r="B408" s="14" t="str">
        <x:v>04</x:v>
      </x:c>
      <x:c r="C408" s="14" t="str">
        <x:v>2023_IMDb_Cast_Lists_Batch_04(2).xlsx</x:v>
      </x:c>
      <x:c r="D408" s="14" t="str">
        <x:v>The Good Ship Murder</x:v>
      </x:c>
      <x:c r="E408" s="14" t="n">
        <x:v>106</x:v>
      </x:c>
      <x:c r="F408" s="14" t="str">
        <x:v>The Good Ship Murder</x:v>
      </x:c>
      <x:c r="G408" s="14" t="str">
        <x:v>tt26346233</x:v>
      </x:c>
      <x:c r="H408" s="14" t="n">
        <x:v>2023</x:v>
      </x:c>
      <x:c r="I408" s="14" t="n">
        <x:v>2025</x:v>
      </x:c>
      <x:c r="J408" s="14" t="str">
        <x:v>Earlier-Production Carry-In Cohort</x:v>
      </x:c>
      <x:c r="K408" s="14" t="n">
        <x:v>2023</x:v>
      </x:c>
      <x:c r="L408" s="14" t="str">
        <x:v>Not inherited</x:v>
      </x:c>
      <x:c r="M408" s="15" t="n">
        <x:v>99</x:v>
      </x:c>
      <x:c r="N408" s="14" t="str">
        <x:v>Marcelle Theuma</x:v>
      </x:c>
      <x:c r="O408" s="14" t="str">
        <x:v>nm4561518</x:v>
      </x:c>
      <x:c r="P408" s="14" t="str">
        <x:v>Falzon</x:v>
      </x:c>
      <x:c r="Q408" s="15" t="n">
        <x:v>1</x:v>
      </x:c>
      <x:c r="R408" s="14" t="str">
        <x:v>2025</x:v>
      </x:c>
      <x:c r="S408" s="14" t="n">
        <x:v>2025</x:v>
      </x:c>
      <x:c r="T408" s="14" t="n">
        <x:v>2025</x:v>
      </x:c>
      <x:c r="U408" s="14" t="str">
        <x:v>Explicit source first year retained</x:v>
      </x:c>
      <x:c r="V408" s="14" t="str">
        <x:v>Earliest supplied year is 2025.</x:v>
      </x:c>
      <x:c r="W408" s="14"/>
      <x:c r="X408" s="14" t="str">
        <x:v>Included</x:v>
      </x:c>
      <x:c r="Y408" s="14" t="str">
        <x:v>(as Marcelle Teuma)</x:v>
      </x:c>
      <x:c r="Z408" s="14" t="str">
        <x:v>The Good Ship Murder.docx</x:v>
      </x:c>
      <x:c r="AA408" s="14" t="str">
        <x:v>HYPERLINK is not implemented. linkLocation=https://www.imdb.com/title/tt26346233/fullcredits/,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Channel 5 / 5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24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0.041666666666666664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4" t="str">
        <x:v>HYPERLINK is not implemented. linkLocation=https://www.imdb.com/title/tt26346233/fullcredits/,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tt26346233|nm0391969|eve fontaine</x:v>
      </x:c>
      <x:c r="B409" s="14" t="str">
        <x:v>04</x:v>
      </x:c>
      <x:c r="C409" s="14" t="str">
        <x:v>2023_IMDb_Cast_Lists_Batch_04(2).xlsx</x:v>
      </x:c>
      <x:c r="D409" s="14" t="str">
        <x:v>The Good Ship Murder</x:v>
      </x:c>
      <x:c r="E409" s="14" t="n">
        <x:v>120</x:v>
      </x:c>
      <x:c r="F409" s="14" t="str">
        <x:v>The Good Ship Murder</x:v>
      </x:c>
      <x:c r="G409" s="14" t="str">
        <x:v>tt26346233</x:v>
      </x:c>
      <x:c r="H409" s="14" t="n">
        <x:v>2023</x:v>
      </x:c>
      <x:c r="I409" s="14" t="n">
        <x:v>2025</x:v>
      </x:c>
      <x:c r="J409" s="14" t="str">
        <x:v>Earlier-Production Carry-In Cohort</x:v>
      </x:c>
      <x:c r="K409" s="14" t="n">
        <x:v>2023</x:v>
      </x:c>
      <x:c r="L409" s="14" t="str">
        <x:v>Not inherited</x:v>
      </x:c>
      <x:c r="M409" s="15" t="n">
        <x:v>113</x:v>
      </x:c>
      <x:c r="N409" s="14" t="str">
        <x:v>Michelle Holmes</x:v>
      </x:c>
      <x:c r="O409" s="14" t="str">
        <x:v>nm0391969</x:v>
      </x:c>
      <x:c r="P409" s="14" t="str">
        <x:v>Eve Fontaine</x:v>
      </x:c>
      <x:c r="Q409" s="15" t="n">
        <x:v>1</x:v>
      </x:c>
      <x:c r="R409" s="14" t="str">
        <x:v>2025</x:v>
      </x:c>
      <x:c r="S409" s="14" t="n">
        <x:v>2025</x:v>
      </x:c>
      <x:c r="T409" s="14" t="n">
        <x:v>2025</x:v>
      </x:c>
      <x:c r="U409" s="14" t="str">
        <x:v>Explicit source first year retained</x:v>
      </x:c>
      <x:c r="V409" s="14" t="str">
        <x:v>Earliest supplied year is 2025.</x:v>
      </x:c>
      <x:c r="W409" s="14"/>
      <x:c r="X409" s="14" t="str">
        <x:v>Included</x:v>
      </x:c>
      <x:c r="Y409" s="14"/>
      <x:c r="Z409" s="14" t="str">
        <x:v>The Good Ship Murder.docx</x:v>
      </x:c>
      <x:c r="AA409" s="14" t="str">
        <x:v>HYPERLINK is not implemented. linkLocation=https://www.imdb.com/title/tt26346233/fullcredits/,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Channel 5 / 5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24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0.041666666666666664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4" t="str">
        <x:v>HYPERLINK is not implemented. linkLocation=https://www.imdb.com/title/tt26346233/fullcredits/,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tt26346233|nm0568907|derek dawes</x:v>
      </x:c>
      <x:c r="B410" s="14" t="str">
        <x:v>04</x:v>
      </x:c>
      <x:c r="C410" s="14" t="str">
        <x:v>2023_IMDb_Cast_Lists_Batch_04(2).xlsx</x:v>
      </x:c>
      <x:c r="D410" s="14" t="str">
        <x:v>The Good Ship Murder</x:v>
      </x:c>
      <x:c r="E410" s="14" t="n">
        <x:v>121</x:v>
      </x:c>
      <x:c r="F410" s="14" t="str">
        <x:v>The Good Ship Murder</x:v>
      </x:c>
      <x:c r="G410" s="14" t="str">
        <x:v>tt26346233</x:v>
      </x:c>
      <x:c r="H410" s="14" t="n">
        <x:v>2023</x:v>
      </x:c>
      <x:c r="I410" s="14" t="n">
        <x:v>2025</x:v>
      </x:c>
      <x:c r="J410" s="14" t="str">
        <x:v>Earlier-Production Carry-In Cohort</x:v>
      </x:c>
      <x:c r="K410" s="14" t="n">
        <x:v>2023</x:v>
      </x:c>
      <x:c r="L410" s="14" t="str">
        <x:v>Not inherited</x:v>
      </x:c>
      <x:c r="M410" s="15" t="n">
        <x:v>114</x:v>
      </x:c>
      <x:c r="N410" s="14" t="str">
        <x:v>Mark McGann</x:v>
      </x:c>
      <x:c r="O410" s="14" t="str">
        <x:v>nm0568907</x:v>
      </x:c>
      <x:c r="P410" s="14" t="str">
        <x:v>Derek Dawes</x:v>
      </x:c>
      <x:c r="Q410" s="15" t="n">
        <x:v>1</x:v>
      </x:c>
      <x:c r="R410" s="14" t="str">
        <x:v>2025</x:v>
      </x:c>
      <x:c r="S410" s="14" t="n">
        <x:v>2025</x:v>
      </x:c>
      <x:c r="T410" s="14" t="n">
        <x:v>2025</x:v>
      </x:c>
      <x:c r="U410" s="14" t="str">
        <x:v>Explicit source first year retained</x:v>
      </x:c>
      <x:c r="V410" s="14" t="str">
        <x:v>Earliest supplied year is 2025.</x:v>
      </x:c>
      <x:c r="W410" s="14"/>
      <x:c r="X410" s="14" t="str">
        <x:v>Included</x:v>
      </x:c>
      <x:c r="Y410" s="14"/>
      <x:c r="Z410" s="14" t="str">
        <x:v>The Good Ship Murder.docx</x:v>
      </x:c>
      <x:c r="AA410" s="14" t="str">
        <x:v>HYPERLINK is not implemented. linkLocation=https://www.imdb.com/title/tt26346233/fullcredits/,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Channel 5 / 5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24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0.041666666666666664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4" t="str">
        <x:v>HYPERLINK is not implemented. linkLocation=https://www.imdb.com/title/tt26346233/fullcredits/,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tt26346233|nm10862578|mia grayling</x:v>
      </x:c>
      <x:c r="B411" s="14" t="str">
        <x:v>04</x:v>
      </x:c>
      <x:c r="C411" s="14" t="str">
        <x:v>2023_IMDb_Cast_Lists_Batch_04(2).xlsx</x:v>
      </x:c>
      <x:c r="D411" s="14" t="str">
        <x:v>The Good Ship Murder</x:v>
      </x:c>
      <x:c r="E411" s="14" t="n">
        <x:v>122</x:v>
      </x:c>
      <x:c r="F411" s="14" t="str">
        <x:v>The Good Ship Murder</x:v>
      </x:c>
      <x:c r="G411" s="14" t="str">
        <x:v>tt26346233</x:v>
      </x:c>
      <x:c r="H411" s="14" t="n">
        <x:v>2023</x:v>
      </x:c>
      <x:c r="I411" s="14" t="n">
        <x:v>2025</x:v>
      </x:c>
      <x:c r="J411" s="14" t="str">
        <x:v>Earlier-Production Carry-In Cohort</x:v>
      </x:c>
      <x:c r="K411" s="14" t="n">
        <x:v>2023</x:v>
      </x:c>
      <x:c r="L411" s="14" t="str">
        <x:v>Not inherited</x:v>
      </x:c>
      <x:c r="M411" s="15" t="n">
        <x:v>115</x:v>
      </x:c>
      <x:c r="N411" s="14" t="str">
        <x:v>Millie Kent</x:v>
      </x:c>
      <x:c r="O411" s="14" t="str">
        <x:v>nm10862578</x:v>
      </x:c>
      <x:c r="P411" s="14" t="str">
        <x:v>Mia Grayling</x:v>
      </x:c>
      <x:c r="Q411" s="15" t="n">
        <x:v>1</x:v>
      </x:c>
      <x:c r="R411" s="14" t="str">
        <x:v>2025</x:v>
      </x:c>
      <x:c r="S411" s="14" t="n">
        <x:v>2025</x:v>
      </x:c>
      <x:c r="T411" s="14" t="n">
        <x:v>2025</x:v>
      </x:c>
      <x:c r="U411" s="14" t="str">
        <x:v>Explicit source first year retained</x:v>
      </x:c>
      <x:c r="V411" s="14" t="str">
        <x:v>Earliest supplied year is 2025.</x:v>
      </x:c>
      <x:c r="W411" s="14"/>
      <x:c r="X411" s="14" t="str">
        <x:v>Included</x:v>
      </x:c>
      <x:c r="Y411" s="14"/>
      <x:c r="Z411" s="14" t="str">
        <x:v>The Good Ship Murder.docx</x:v>
      </x:c>
      <x:c r="AA411" s="14" t="str">
        <x:v>HYPERLINK is not implemented. linkLocation=https://www.imdb.com/title/tt26346233/fullcredits/,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Channel 5 / 5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24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0.041666666666666664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4" t="str">
        <x:v>HYPERLINK is not implemented. linkLocation=https://www.imdb.com/title/tt26346233/fullcredits/,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tt26346233|nm2198515|dev metcalfe</x:v>
      </x:c>
      <x:c r="B412" s="14" t="str">
        <x:v>04</x:v>
      </x:c>
      <x:c r="C412" s="14" t="str">
        <x:v>2023_IMDb_Cast_Lists_Batch_04(2).xlsx</x:v>
      </x:c>
      <x:c r="D412" s="14" t="str">
        <x:v>The Good Ship Murder</x:v>
      </x:c>
      <x:c r="E412" s="14" t="n">
        <x:v>123</x:v>
      </x:c>
      <x:c r="F412" s="14" t="str">
        <x:v>The Good Ship Murder</x:v>
      </x:c>
      <x:c r="G412" s="14" t="str">
        <x:v>tt26346233</x:v>
      </x:c>
      <x:c r="H412" s="14" t="n">
        <x:v>2023</x:v>
      </x:c>
      <x:c r="I412" s="14" t="n">
        <x:v>2025</x:v>
      </x:c>
      <x:c r="J412" s="14" t="str">
        <x:v>Earlier-Production Carry-In Cohort</x:v>
      </x:c>
      <x:c r="K412" s="14" t="n">
        <x:v>2023</x:v>
      </x:c>
      <x:c r="L412" s="14" t="str">
        <x:v>Not inherited</x:v>
      </x:c>
      <x:c r="M412" s="15" t="n">
        <x:v>116</x:v>
      </x:c>
      <x:c r="N412" s="14" t="str">
        <x:v>Muzz Khan</x:v>
      </x:c>
      <x:c r="O412" s="14" t="str">
        <x:v>nm2198515</x:v>
      </x:c>
      <x:c r="P412" s="14" t="str">
        <x:v>Dev Metcalfe</x:v>
      </x:c>
      <x:c r="Q412" s="15" t="n">
        <x:v>1</x:v>
      </x:c>
      <x:c r="R412" s="14" t="str">
        <x:v>2025</x:v>
      </x:c>
      <x:c r="S412" s="14" t="n">
        <x:v>2025</x:v>
      </x:c>
      <x:c r="T412" s="14" t="n">
        <x:v>2025</x:v>
      </x:c>
      <x:c r="U412" s="14" t="str">
        <x:v>Explicit source first year retained</x:v>
      </x:c>
      <x:c r="V412" s="14" t="str">
        <x:v>Earliest supplied year is 2025.</x:v>
      </x:c>
      <x:c r="W412" s="14"/>
      <x:c r="X412" s="14" t="str">
        <x:v>Included</x:v>
      </x:c>
      <x:c r="Y412" s="14"/>
      <x:c r="Z412" s="14" t="str">
        <x:v>The Good Ship Murder.docx</x:v>
      </x:c>
      <x:c r="AA412" s="14" t="str">
        <x:v>HYPERLINK is not implemented. linkLocation=https://www.imdb.com/title/tt26346233/fullcredits/,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Channel 5 / 5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24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0.041666666666666664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4" t="str">
        <x:v>HYPERLINK is not implemented. linkLocation=https://www.imdb.com/title/tt26346233/fullcredits/,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tt26346233|nm10421059|tony tong</x:v>
      </x:c>
      <x:c r="B413" s="14" t="str">
        <x:v>04</x:v>
      </x:c>
      <x:c r="C413" s="14" t="str">
        <x:v>2023_IMDb_Cast_Lists_Batch_04(2).xlsx</x:v>
      </x:c>
      <x:c r="D413" s="14" t="str">
        <x:v>The Good Ship Murder</x:v>
      </x:c>
      <x:c r="E413" s="14" t="n">
        <x:v>124</x:v>
      </x:c>
      <x:c r="F413" s="14" t="str">
        <x:v>The Good Ship Murder</x:v>
      </x:c>
      <x:c r="G413" s="14" t="str">
        <x:v>tt26346233</x:v>
      </x:c>
      <x:c r="H413" s="14" t="n">
        <x:v>2023</x:v>
      </x:c>
      <x:c r="I413" s="14" t="n">
        <x:v>2025</x:v>
      </x:c>
      <x:c r="J413" s="14" t="str">
        <x:v>Earlier-Production Carry-In Cohort</x:v>
      </x:c>
      <x:c r="K413" s="14" t="n">
        <x:v>2023</x:v>
      </x:c>
      <x:c r="L413" s="14" t="str">
        <x:v>Not inherited</x:v>
      </x:c>
      <x:c r="M413" s="15" t="n">
        <x:v>117</x:v>
      </x:c>
      <x:c r="N413" s="14" t="str">
        <x:v>Yin Wang</x:v>
      </x:c>
      <x:c r="O413" s="14" t="str">
        <x:v>nm10421059</x:v>
      </x:c>
      <x:c r="P413" s="14" t="str">
        <x:v>Tony Tong</x:v>
      </x:c>
      <x:c r="Q413" s="15" t="n">
        <x:v>1</x:v>
      </x:c>
      <x:c r="R413" s="14" t="str">
        <x:v>2025</x:v>
      </x:c>
      <x:c r="S413" s="14" t="n">
        <x:v>2025</x:v>
      </x:c>
      <x:c r="T413" s="14" t="n">
        <x:v>2025</x:v>
      </x:c>
      <x:c r="U413" s="14" t="str">
        <x:v>Explicit source first year retained</x:v>
      </x:c>
      <x:c r="V413" s="14" t="str">
        <x:v>Earliest supplied year is 2025.</x:v>
      </x:c>
      <x:c r="W413" s="14"/>
      <x:c r="X413" s="14" t="str">
        <x:v>Included</x:v>
      </x:c>
      <x:c r="Y413" s="14"/>
      <x:c r="Z413" s="14" t="str">
        <x:v>The Good Ship Murder.docx</x:v>
      </x:c>
      <x:c r="AA413" s="14" t="str">
        <x:v>HYPERLINK is not implemented. linkLocation=https://www.imdb.com/title/tt26346233/fullcredits/,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Channel 5 / 5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24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0.041666666666666664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4" t="str">
        <x:v>HYPERLINK is not implemented. linkLocation=https://www.imdb.com/title/tt26346233/fullcredits/,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tt26346233|nm14088072|josh king</x:v>
      </x:c>
      <x:c r="B414" s="14" t="str">
        <x:v>04</x:v>
      </x:c>
      <x:c r="C414" s="14" t="str">
        <x:v>2023_IMDb_Cast_Lists_Batch_04(2).xlsx</x:v>
      </x:c>
      <x:c r="D414" s="14" t="str">
        <x:v>The Good Ship Murder</x:v>
      </x:c>
      <x:c r="E414" s="14" t="n">
        <x:v>125</x:v>
      </x:c>
      <x:c r="F414" s="14" t="str">
        <x:v>The Good Ship Murder</x:v>
      </x:c>
      <x:c r="G414" s="14" t="str">
        <x:v>tt26346233</x:v>
      </x:c>
      <x:c r="H414" s="14" t="n">
        <x:v>2023</x:v>
      </x:c>
      <x:c r="I414" s="14" t="n">
        <x:v>2025</x:v>
      </x:c>
      <x:c r="J414" s="14" t="str">
        <x:v>Earlier-Production Carry-In Cohort</x:v>
      </x:c>
      <x:c r="K414" s="14" t="n">
        <x:v>2023</x:v>
      </x:c>
      <x:c r="L414" s="14" t="str">
        <x:v>Not inherited</x:v>
      </x:c>
      <x:c r="M414" s="15" t="n">
        <x:v>118</x:v>
      </x:c>
      <x:c r="N414" s="14" t="str">
        <x:v>Jamie Myers</x:v>
      </x:c>
      <x:c r="O414" s="14" t="str">
        <x:v>nm14088072</x:v>
      </x:c>
      <x:c r="P414" s="14" t="str">
        <x:v>Josh King</x:v>
      </x:c>
      <x:c r="Q414" s="15" t="n">
        <x:v>1</x:v>
      </x:c>
      <x:c r="R414" s="14" t="str">
        <x:v>2025</x:v>
      </x:c>
      <x:c r="S414" s="14" t="n">
        <x:v>2025</x:v>
      </x:c>
      <x:c r="T414" s="14" t="n">
        <x:v>2025</x:v>
      </x:c>
      <x:c r="U414" s="14" t="str">
        <x:v>Explicit source first year retained</x:v>
      </x:c>
      <x:c r="V414" s="14" t="str">
        <x:v>Earliest supplied year is 2025.</x:v>
      </x:c>
      <x:c r="W414" s="14"/>
      <x:c r="X414" s="14" t="str">
        <x:v>Included</x:v>
      </x:c>
      <x:c r="Y414" s="14"/>
      <x:c r="Z414" s="14" t="str">
        <x:v>The Good Ship Murder.docx</x:v>
      </x:c>
      <x:c r="AA414" s="14" t="str">
        <x:v>HYPERLINK is not implemented. linkLocation=https://www.imdb.com/title/tt26346233/fullcredits/,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Channel 5 / 5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24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0.041666666666666664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4" t="str">
        <x:v>HYPERLINK is not implemented. linkLocation=https://www.imdb.com/title/tt26346233/fullcredits/,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tt26346233|nm11344873|eddie bridges</x:v>
      </x:c>
      <x:c r="B415" s="14" t="str">
        <x:v>04</x:v>
      </x:c>
      <x:c r="C415" s="14" t="str">
        <x:v>2023_IMDb_Cast_Lists_Batch_04(2).xlsx</x:v>
      </x:c>
      <x:c r="D415" s="14" t="str">
        <x:v>The Good Ship Murder</x:v>
      </x:c>
      <x:c r="E415" s="14" t="n">
        <x:v>126</x:v>
      </x:c>
      <x:c r="F415" s="14" t="str">
        <x:v>The Good Ship Murder</x:v>
      </x:c>
      <x:c r="G415" s="14" t="str">
        <x:v>tt26346233</x:v>
      </x:c>
      <x:c r="H415" s="14" t="n">
        <x:v>2023</x:v>
      </x:c>
      <x:c r="I415" s="14" t="n">
        <x:v>2025</x:v>
      </x:c>
      <x:c r="J415" s="14" t="str">
        <x:v>Earlier-Production Carry-In Cohort</x:v>
      </x:c>
      <x:c r="K415" s="14" t="n">
        <x:v>2023</x:v>
      </x:c>
      <x:c r="L415" s="14" t="str">
        <x:v>Not inherited</x:v>
      </x:c>
      <x:c r="M415" s="15" t="n">
        <x:v>119</x:v>
      </x:c>
      <x:c r="N415" s="14" t="str">
        <x:v>Sam Newton</x:v>
      </x:c>
      <x:c r="O415" s="14" t="str">
        <x:v>nm11344873</x:v>
      </x:c>
      <x:c r="P415" s="14" t="str">
        <x:v>Eddie Bridges</x:v>
      </x:c>
      <x:c r="Q415" s="15" t="n">
        <x:v>1</x:v>
      </x:c>
      <x:c r="R415" s="14" t="str">
        <x:v>2025</x:v>
      </x:c>
      <x:c r="S415" s="14" t="n">
        <x:v>2025</x:v>
      </x:c>
      <x:c r="T415" s="14" t="n">
        <x:v>2025</x:v>
      </x:c>
      <x:c r="U415" s="14" t="str">
        <x:v>Explicit source first year retained</x:v>
      </x:c>
      <x:c r="V415" s="14" t="str">
        <x:v>Earliest supplied year is 2025.</x:v>
      </x:c>
      <x:c r="W415" s="14"/>
      <x:c r="X415" s="14" t="str">
        <x:v>Included</x:v>
      </x:c>
      <x:c r="Y415" s="14"/>
      <x:c r="Z415" s="14" t="str">
        <x:v>The Good Ship Murder.docx</x:v>
      </x:c>
      <x:c r="AA415" s="14" t="str">
        <x:v>HYPERLINK is not implemented. linkLocation=https://www.imdb.com/title/tt26346233/fullcredits/,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Channel 5 / 5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24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0.041666666666666664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4" t="str">
        <x:v>HYPERLINK is not implemented. linkLocation=https://www.imdb.com/title/tt26346233/fullcredits/,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tt26346233|nm17231939|christos biros</x:v>
      </x:c>
      <x:c r="B416" s="14" t="str">
        <x:v>04</x:v>
      </x:c>
      <x:c r="C416" s="14" t="str">
        <x:v>2023_IMDb_Cast_Lists_Batch_04(2).xlsx</x:v>
      </x:c>
      <x:c r="D416" s="14" t="str">
        <x:v>The Good Ship Murder</x:v>
      </x:c>
      <x:c r="E416" s="14" t="n">
        <x:v>127</x:v>
      </x:c>
      <x:c r="F416" s="14" t="str">
        <x:v>The Good Ship Murder</x:v>
      </x:c>
      <x:c r="G416" s="14" t="str">
        <x:v>tt26346233</x:v>
      </x:c>
      <x:c r="H416" s="14" t="n">
        <x:v>2023</x:v>
      </x:c>
      <x:c r="I416" s="14" t="n">
        <x:v>2025</x:v>
      </x:c>
      <x:c r="J416" s="14" t="str">
        <x:v>Earlier-Production Carry-In Cohort</x:v>
      </x:c>
      <x:c r="K416" s="14" t="n">
        <x:v>2023</x:v>
      </x:c>
      <x:c r="L416" s="14" t="str">
        <x:v>Not inherited</x:v>
      </x:c>
      <x:c r="M416" s="15" t="n">
        <x:v>120</x:v>
      </x:c>
      <x:c r="N416" s="14" t="str">
        <x:v>Constantinos Pastronidis</x:v>
      </x:c>
      <x:c r="O416" s="14" t="str">
        <x:v>nm17231939</x:v>
      </x:c>
      <x:c r="P416" s="14" t="str">
        <x:v>Christos Biros</x:v>
      </x:c>
      <x:c r="Q416" s="15" t="n">
        <x:v>1</x:v>
      </x:c>
      <x:c r="R416" s="14" t="str">
        <x:v>2025</x:v>
      </x:c>
      <x:c r="S416" s="14" t="n">
        <x:v>2025</x:v>
      </x:c>
      <x:c r="T416" s="14" t="n">
        <x:v>2025</x:v>
      </x:c>
      <x:c r="U416" s="14" t="str">
        <x:v>Explicit source first year retained</x:v>
      </x:c>
      <x:c r="V416" s="14" t="str">
        <x:v>Earliest supplied year is 2025.</x:v>
      </x:c>
      <x:c r="W416" s="14"/>
      <x:c r="X416" s="14" t="str">
        <x:v>Included</x:v>
      </x:c>
      <x:c r="Y416" s="14"/>
      <x:c r="Z416" s="14" t="str">
        <x:v>The Good Ship Murder.docx</x:v>
      </x:c>
      <x:c r="AA416" s="14" t="str">
        <x:v>HYPERLINK is not implemented. linkLocation=https://www.imdb.com/title/tt26346233/fullcredits/,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Channel 5 / 5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24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0.041666666666666664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4" t="str">
        <x:v>HYPERLINK is not implemented. linkLocation=https://www.imdb.com/title/tt26346233/fullcredits/,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tt26346233|nm0696410|hugo lawrence-batley</x:v>
      </x:c>
      <x:c r="B417" s="14" t="str">
        <x:v>04</x:v>
      </x:c>
      <x:c r="C417" s="14" t="str">
        <x:v>2023_IMDb_Cast_Lists_Batch_04(2).xlsx</x:v>
      </x:c>
      <x:c r="D417" s="14" t="str">
        <x:v>The Good Ship Murder</x:v>
      </x:c>
      <x:c r="E417" s="14" t="n">
        <x:v>136</x:v>
      </x:c>
      <x:c r="F417" s="14" t="str">
        <x:v>The Good Ship Murder</x:v>
      </x:c>
      <x:c r="G417" s="14" t="str">
        <x:v>tt26346233</x:v>
      </x:c>
      <x:c r="H417" s="14" t="n">
        <x:v>2023</x:v>
      </x:c>
      <x:c r="I417" s="14" t="n">
        <x:v>2025</x:v>
      </x:c>
      <x:c r="J417" s="14" t="str">
        <x:v>Earlier-Production Carry-In Cohort</x:v>
      </x:c>
      <x:c r="K417" s="14" t="n">
        <x:v>2023</x:v>
      </x:c>
      <x:c r="L417" s="14" t="str">
        <x:v>Not inherited</x:v>
      </x:c>
      <x:c r="M417" s="15" t="n">
        <x:v>129</x:v>
      </x:c>
      <x:c r="N417" s="14" t="str">
        <x:v>Duncan Preston</x:v>
      </x:c>
      <x:c r="O417" s="14" t="str">
        <x:v>nm0696410</x:v>
      </x:c>
      <x:c r="P417" s="14" t="str">
        <x:v>Hugo Lawrence-Batley</x:v>
      </x:c>
      <x:c r="Q417" s="15" t="n">
        <x:v>1</x:v>
      </x:c>
      <x:c r="R417" s="14" t="str">
        <x:v>2025</x:v>
      </x:c>
      <x:c r="S417" s="14" t="n">
        <x:v>2025</x:v>
      </x:c>
      <x:c r="T417" s="14" t="n">
        <x:v>2025</x:v>
      </x:c>
      <x:c r="U417" s="14" t="str">
        <x:v>Explicit source first year retained</x:v>
      </x:c>
      <x:c r="V417" s="14" t="str">
        <x:v>Earliest supplied year is 2025.</x:v>
      </x:c>
      <x:c r="W417" s="14"/>
      <x:c r="X417" s="14" t="str">
        <x:v>Included</x:v>
      </x:c>
      <x:c r="Y417" s="14"/>
      <x:c r="Z417" s="14" t="str">
        <x:v>The Good Ship Murder.docx</x:v>
      </x:c>
      <x:c r="AA417" s="14" t="str">
        <x:v>HYPERLINK is not implemented. linkLocation=https://www.imdb.com/title/tt26346233/fullcredits/,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Channel 5 / 5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24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1</x:v>
      </x:c>
      <x:c r="BS417" s="16" t="n">
        <x:v>0.041666666666666664</x:v>
      </x:c>
      <x:c r="BT417" s="14" t="str">
        <x:v>One episode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4" t="str">
        <x:v>HYPERLINK is not implemented. linkLocation=https://www.imdb.com/title/tt26346233/fullcredits/,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tt26346233|nm0524804|jason agnew</x:v>
      </x:c>
      <x:c r="B418" s="14" t="str">
        <x:v>04</x:v>
      </x:c>
      <x:c r="C418" s="14" t="str">
        <x:v>2023_IMDb_Cast_Lists_Batch_04(2).xlsx</x:v>
      </x:c>
      <x:c r="D418" s="14" t="str">
        <x:v>The Good Ship Murder</x:v>
      </x:c>
      <x:c r="E418" s="14" t="n">
        <x:v>137</x:v>
      </x:c>
      <x:c r="F418" s="14" t="str">
        <x:v>The Good Ship Murder</x:v>
      </x:c>
      <x:c r="G418" s="14" t="str">
        <x:v>tt26346233</x:v>
      </x:c>
      <x:c r="H418" s="14" t="n">
        <x:v>2023</x:v>
      </x:c>
      <x:c r="I418" s="14" t="n">
        <x:v>2025</x:v>
      </x:c>
      <x:c r="J418" s="14" t="str">
        <x:v>Earlier-Production Carry-In Cohort</x:v>
      </x:c>
      <x:c r="K418" s="14" t="n">
        <x:v>2023</x:v>
      </x:c>
      <x:c r="L418" s="14" t="str">
        <x:v>Not inherited</x:v>
      </x:c>
      <x:c r="M418" s="15" t="n">
        <x:v>130</x:v>
      </x:c>
      <x:c r="N418" s="14" t="str">
        <x:v>Gary Lucy</x:v>
      </x:c>
      <x:c r="O418" s="14" t="str">
        <x:v>nm0524804</x:v>
      </x:c>
      <x:c r="P418" s="14" t="str">
        <x:v>Jason Agnew</x:v>
      </x:c>
      <x:c r="Q418" s="15" t="n">
        <x:v>1</x:v>
      </x:c>
      <x:c r="R418" s="14" t="str">
        <x:v>2025</x:v>
      </x:c>
      <x:c r="S418" s="14" t="n">
        <x:v>2025</x:v>
      </x:c>
      <x:c r="T418" s="14" t="n">
        <x:v>2025</x:v>
      </x:c>
      <x:c r="U418" s="14" t="str">
        <x:v>Explicit source first year retained</x:v>
      </x:c>
      <x:c r="V418" s="14" t="str">
        <x:v>Earliest supplied year is 2025.</x:v>
      </x:c>
      <x:c r="W418" s="14"/>
      <x:c r="X418" s="14" t="str">
        <x:v>Included</x:v>
      </x:c>
      <x:c r="Y418" s="14"/>
      <x:c r="Z418" s="14" t="str">
        <x:v>The Good Ship Murder.docx</x:v>
      </x:c>
      <x:c r="AA418" s="14" t="str">
        <x:v>HYPERLINK is not implemented. linkLocation=https://www.imdb.com/title/tt26346233/fullcredits/,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Channel 5 / 5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24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1</x:v>
      </x:c>
      <x:c r="BS418" s="16" t="n">
        <x:v>0.041666666666666664</x:v>
      </x:c>
      <x:c r="BT418" s="14" t="str">
        <x:v>One episode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4" t="str">
        <x:v>HYPERLINK is not implemented. linkLocation=https://www.imdb.com/title/tt26346233/fullcredits/,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tt26346233|nm1769857|nathan dymond</x:v>
      </x:c>
      <x:c r="B419" s="14" t="str">
        <x:v>04</x:v>
      </x:c>
      <x:c r="C419" s="14" t="str">
        <x:v>2023_IMDb_Cast_Lists_Batch_04(2).xlsx</x:v>
      </x:c>
      <x:c r="D419" s="14" t="str">
        <x:v>The Good Ship Murder</x:v>
      </x:c>
      <x:c r="E419" s="14" t="n">
        <x:v>138</x:v>
      </x:c>
      <x:c r="F419" s="14" t="str">
        <x:v>The Good Ship Murder</x:v>
      </x:c>
      <x:c r="G419" s="14" t="str">
        <x:v>tt26346233</x:v>
      </x:c>
      <x:c r="H419" s="14" t="n">
        <x:v>2023</x:v>
      </x:c>
      <x:c r="I419" s="14" t="n">
        <x:v>2025</x:v>
      </x:c>
      <x:c r="J419" s="14" t="str">
        <x:v>Earlier-Production Carry-In Cohort</x:v>
      </x:c>
      <x:c r="K419" s="14" t="n">
        <x:v>2023</x:v>
      </x:c>
      <x:c r="L419" s="14" t="str">
        <x:v>Not inherited</x:v>
      </x:c>
      <x:c r="M419" s="15" t="n">
        <x:v>131</x:v>
      </x:c>
      <x:c r="N419" s="14" t="str">
        <x:v>Matthew Wolfenden</x:v>
      </x:c>
      <x:c r="O419" s="14" t="str">
        <x:v>nm1769857</x:v>
      </x:c>
      <x:c r="P419" s="14" t="str">
        <x:v>Nathan Dymond</x:v>
      </x:c>
      <x:c r="Q419" s="15" t="n">
        <x:v>1</x:v>
      </x:c>
      <x:c r="R419" s="14" t="str">
        <x:v>2025</x:v>
      </x:c>
      <x:c r="S419" s="14" t="n">
        <x:v>2025</x:v>
      </x:c>
      <x:c r="T419" s="14" t="n">
        <x:v>2025</x:v>
      </x:c>
      <x:c r="U419" s="14" t="str">
        <x:v>Explicit source first year retained</x:v>
      </x:c>
      <x:c r="V419" s="14" t="str">
        <x:v>Earliest supplied year is 2025.</x:v>
      </x:c>
      <x:c r="W419" s="14"/>
      <x:c r="X419" s="14" t="str">
        <x:v>Included</x:v>
      </x:c>
      <x:c r="Y419" s="14"/>
      <x:c r="Z419" s="14" t="str">
        <x:v>The Good Ship Murder.docx</x:v>
      </x:c>
      <x:c r="AA419" s="14" t="str">
        <x:v>HYPERLINK is not implemented. linkLocation=https://www.imdb.com/title/tt26346233/fullcredits/,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Channel 5 / 5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24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0.041666666666666664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4" t="str">
        <x:v>HYPERLINK is not implemented. linkLocation=https://www.imdb.com/title/tt26346233/fullcredits/,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tt26346233|nm0695970|johnny taylor</x:v>
      </x:c>
      <x:c r="B420" s="14" t="str">
        <x:v>04</x:v>
      </x:c>
      <x:c r="C420" s="14" t="str">
        <x:v>2023_IMDb_Cast_Lists_Batch_04(2).xlsx</x:v>
      </x:c>
      <x:c r="D420" s="14" t="str">
        <x:v>The Good Ship Murder</x:v>
      </x:c>
      <x:c r="E420" s="14" t="n">
        <x:v>139</x:v>
      </x:c>
      <x:c r="F420" s="14" t="str">
        <x:v>The Good Ship Murder</x:v>
      </x:c>
      <x:c r="G420" s="14" t="str">
        <x:v>tt26346233</x:v>
      </x:c>
      <x:c r="H420" s="14" t="n">
        <x:v>2023</x:v>
      </x:c>
      <x:c r="I420" s="14" t="n">
        <x:v>2025</x:v>
      </x:c>
      <x:c r="J420" s="14" t="str">
        <x:v>Earlier-Production Carry-In Cohort</x:v>
      </x:c>
      <x:c r="K420" s="14" t="n">
        <x:v>2023</x:v>
      </x:c>
      <x:c r="L420" s="14" t="str">
        <x:v>Not inherited</x:v>
      </x:c>
      <x:c r="M420" s="15" t="n">
        <x:v>132</x:v>
      </x:c>
      <x:c r="N420" s="14" t="str">
        <x:v>Shaun Prendergast</x:v>
      </x:c>
      <x:c r="O420" s="14" t="str">
        <x:v>nm0695970</x:v>
      </x:c>
      <x:c r="P420" s="14" t="str">
        <x:v>Johnny Taylor</x:v>
      </x:c>
      <x:c r="Q420" s="15" t="n">
        <x:v>1</x:v>
      </x:c>
      <x:c r="R420" s="14" t="str">
        <x:v>2025</x:v>
      </x:c>
      <x:c r="S420" s="14" t="n">
        <x:v>2025</x:v>
      </x:c>
      <x:c r="T420" s="14" t="n">
        <x:v>2025</x:v>
      </x:c>
      <x:c r="U420" s="14" t="str">
        <x:v>Explicit source first year retained</x:v>
      </x:c>
      <x:c r="V420" s="14" t="str">
        <x:v>Earliest supplied year is 2025.</x:v>
      </x:c>
      <x:c r="W420" s="14"/>
      <x:c r="X420" s="14" t="str">
        <x:v>Included</x:v>
      </x:c>
      <x:c r="Y420" s="14"/>
      <x:c r="Z420" s="14" t="str">
        <x:v>The Good Ship Murder.docx</x:v>
      </x:c>
      <x:c r="AA420" s="14" t="str">
        <x:v>HYPERLINK is not implemented. linkLocation=https://www.imdb.com/title/tt26346233/fullcredits/,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Channel 5 / 5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24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0.041666666666666664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4" t="str">
        <x:v>HYPERLINK is not implemented. linkLocation=https://www.imdb.com/title/tt26346233/fullcredits/,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tt26346233|nm0649101|inspector moretti</x:v>
      </x:c>
      <x:c r="B421" s="14" t="str">
        <x:v>04</x:v>
      </x:c>
      <x:c r="C421" s="14" t="str">
        <x:v>2023_IMDb_Cast_Lists_Batch_04(2).xlsx</x:v>
      </x:c>
      <x:c r="D421" s="14" t="str">
        <x:v>The Good Ship Murder</x:v>
      </x:c>
      <x:c r="E421" s="14" t="n">
        <x:v>140</x:v>
      </x:c>
      <x:c r="F421" s="14" t="str">
        <x:v>The Good Ship Murder</x:v>
      </x:c>
      <x:c r="G421" s="14" t="str">
        <x:v>tt26346233</x:v>
      </x:c>
      <x:c r="H421" s="14" t="n">
        <x:v>2023</x:v>
      </x:c>
      <x:c r="I421" s="14" t="n">
        <x:v>2025</x:v>
      </x:c>
      <x:c r="J421" s="14" t="str">
        <x:v>Earlier-Production Carry-In Cohort</x:v>
      </x:c>
      <x:c r="K421" s="14" t="n">
        <x:v>2023</x:v>
      </x:c>
      <x:c r="L421" s="14" t="str">
        <x:v>Not inherited</x:v>
      </x:c>
      <x:c r="M421" s="15" t="n">
        <x:v>133</x:v>
      </x:c>
      <x:c r="N421" s="14" t="str">
        <x:v>Mario Opinato</x:v>
      </x:c>
      <x:c r="O421" s="14" t="str">
        <x:v>nm0649101</x:v>
      </x:c>
      <x:c r="P421" s="14" t="str">
        <x:v>Inspector Moretti</x:v>
      </x:c>
      <x:c r="Q421" s="15" t="n">
        <x:v>1</x:v>
      </x:c>
      <x:c r="R421" s="14" t="str">
        <x:v>2025</x:v>
      </x:c>
      <x:c r="S421" s="14" t="n">
        <x:v>2025</x:v>
      </x:c>
      <x:c r="T421" s="14" t="n">
        <x:v>2025</x:v>
      </x:c>
      <x:c r="U421" s="14" t="str">
        <x:v>Explicit source first year retained</x:v>
      </x:c>
      <x:c r="V421" s="14" t="str">
        <x:v>Earliest supplied year is 2025.</x:v>
      </x:c>
      <x:c r="W421" s="14"/>
      <x:c r="X421" s="14" t="str">
        <x:v>Included</x:v>
      </x:c>
      <x:c r="Y421" s="14"/>
      <x:c r="Z421" s="14" t="str">
        <x:v>The Good Ship Murder.docx</x:v>
      </x:c>
      <x:c r="AA421" s="14" t="str">
        <x:v>HYPERLINK is not implemented. linkLocation=https://www.imdb.com/title/tt26346233/fullcredits/,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Channel 5 / 5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24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0.041666666666666664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4" t="str">
        <x:v>HYPERLINK is not implemented. linkLocation=https://www.imdb.com/title/tt26346233/fullcredits/,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tt26346233|nm0778494|afonso valente</x:v>
      </x:c>
      <x:c r="B422" s="14" t="str">
        <x:v>04</x:v>
      </x:c>
      <x:c r="C422" s="14" t="str">
        <x:v>2023_IMDb_Cast_Lists_Batch_04(2).xlsx</x:v>
      </x:c>
      <x:c r="D422" s="14" t="str">
        <x:v>The Good Ship Murder</x:v>
      </x:c>
      <x:c r="E422" s="14" t="n">
        <x:v>141</x:v>
      </x:c>
      <x:c r="F422" s="14" t="str">
        <x:v>The Good Ship Murder</x:v>
      </x:c>
      <x:c r="G422" s="14" t="str">
        <x:v>tt26346233</x:v>
      </x:c>
      <x:c r="H422" s="14" t="n">
        <x:v>2023</x:v>
      </x:c>
      <x:c r="I422" s="14" t="n">
        <x:v>2025</x:v>
      </x:c>
      <x:c r="J422" s="14" t="str">
        <x:v>Earlier-Production Carry-In Cohort</x:v>
      </x:c>
      <x:c r="K422" s="14" t="n">
        <x:v>2023</x:v>
      </x:c>
      <x:c r="L422" s="14" t="str">
        <x:v>Not inherited</x:v>
      </x:c>
      <x:c r="M422" s="15" t="n">
        <x:v>134</x:v>
      </x:c>
      <x:c r="N422" s="14" t="str">
        <x:v>Michael Sciortino</x:v>
      </x:c>
      <x:c r="O422" s="14" t="str">
        <x:v>nm0778494</x:v>
      </x:c>
      <x:c r="P422" s="14" t="str">
        <x:v>Afonso Valente</x:v>
      </x:c>
      <x:c r="Q422" s="15" t="n">
        <x:v>1</x:v>
      </x:c>
      <x:c r="R422" s="14" t="str">
        <x:v>2025</x:v>
      </x:c>
      <x:c r="S422" s="14" t="n">
        <x:v>2025</x:v>
      </x:c>
      <x:c r="T422" s="14" t="n">
        <x:v>2025</x:v>
      </x:c>
      <x:c r="U422" s="14" t="str">
        <x:v>Explicit source first year retained</x:v>
      </x:c>
      <x:c r="V422" s="14" t="str">
        <x:v>Earliest supplied year is 2025.</x:v>
      </x:c>
      <x:c r="W422" s="14"/>
      <x:c r="X422" s="14" t="str">
        <x:v>Included</x:v>
      </x:c>
      <x:c r="Y422" s="14"/>
      <x:c r="Z422" s="14" t="str">
        <x:v>The Good Ship Murder.docx</x:v>
      </x:c>
      <x:c r="AA422" s="14" t="str">
        <x:v>HYPERLINK is not implemented. linkLocation=https://www.imdb.com/title/tt26346233/fullcredits/,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Channel 5 / 5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24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0.041666666666666664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4" t="str">
        <x:v>HYPERLINK is not implemented. linkLocation=https://www.imdb.com/title/tt26346233/fullcredits/,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tt26346233|nm1596630|liam barnes</x:v>
      </x:c>
      <x:c r="B423" s="14" t="str">
        <x:v>04</x:v>
      </x:c>
      <x:c r="C423" s="14" t="str">
        <x:v>2023_IMDb_Cast_Lists_Batch_04(2).xlsx</x:v>
      </x:c>
      <x:c r="D423" s="14" t="str">
        <x:v>The Good Ship Murder</x:v>
      </x:c>
      <x:c r="E423" s="14" t="n">
        <x:v>147</x:v>
      </x:c>
      <x:c r="F423" s="14" t="str">
        <x:v>The Good Ship Murder</x:v>
      </x:c>
      <x:c r="G423" s="14" t="str">
        <x:v>tt26346233</x:v>
      </x:c>
      <x:c r="H423" s="14" t="n">
        <x:v>2023</x:v>
      </x:c>
      <x:c r="I423" s="14" t="n">
        <x:v>2025</x:v>
      </x:c>
      <x:c r="J423" s="14" t="str">
        <x:v>Earlier-Production Carry-In Cohort</x:v>
      </x:c>
      <x:c r="K423" s="14" t="n">
        <x:v>2023</x:v>
      </x:c>
      <x:c r="L423" s="14" t="str">
        <x:v>Not inherited</x:v>
      </x:c>
      <x:c r="M423" s="15" t="n">
        <x:v>140</x:v>
      </x:c>
      <x:c r="N423" s="14" t="str">
        <x:v>Nathan Sussex</x:v>
      </x:c>
      <x:c r="O423" s="14" t="str">
        <x:v>nm1596630</x:v>
      </x:c>
      <x:c r="P423" s="14" t="str">
        <x:v>Liam Barnes</x:v>
      </x:c>
      <x:c r="Q423" s="15" t="n">
        <x:v>1</x:v>
      </x:c>
      <x:c r="R423" s="14" t="str">
        <x:v>2025</x:v>
      </x:c>
      <x:c r="S423" s="14" t="n">
        <x:v>2025</x:v>
      </x:c>
      <x:c r="T423" s="14" t="n">
        <x:v>2025</x:v>
      </x:c>
      <x:c r="U423" s="14" t="str">
        <x:v>Explicit source first year retained</x:v>
      </x:c>
      <x:c r="V423" s="14" t="str">
        <x:v>Earliest supplied year is 2025.</x:v>
      </x:c>
      <x:c r="W423" s="14"/>
      <x:c r="X423" s="14" t="str">
        <x:v>Included</x:v>
      </x:c>
      <x:c r="Y423" s="14"/>
      <x:c r="Z423" s="14" t="str">
        <x:v>The Good Ship Murder.docx</x:v>
      </x:c>
      <x:c r="AA423" s="14" t="str">
        <x:v>HYPERLINK is not implemented. linkLocation=https://www.imdb.com/title/tt26346233/fullcredits/,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Channel 5 / 5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24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0.041666666666666664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4" t="str">
        <x:v>HYPERLINK is not implemented. linkLocation=https://www.imdb.com/title/tt26346233/fullcredits/,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tt26346233|nm1259813|father rodriguez</x:v>
      </x:c>
      <x:c r="B424" s="14" t="str">
        <x:v>04</x:v>
      </x:c>
      <x:c r="C424" s="14" t="str">
        <x:v>2023_IMDb_Cast_Lists_Batch_04(2).xlsx</x:v>
      </x:c>
      <x:c r="D424" s="14" t="str">
        <x:v>The Good Ship Murder</x:v>
      </x:c>
      <x:c r="E424" s="14" t="n">
        <x:v>148</x:v>
      </x:c>
      <x:c r="F424" s="14" t="str">
        <x:v>The Good Ship Murder</x:v>
      </x:c>
      <x:c r="G424" s="14" t="str">
        <x:v>tt26346233</x:v>
      </x:c>
      <x:c r="H424" s="14" t="n">
        <x:v>2023</x:v>
      </x:c>
      <x:c r="I424" s="14" t="n">
        <x:v>2025</x:v>
      </x:c>
      <x:c r="J424" s="14" t="str">
        <x:v>Earlier-Production Carry-In Cohort</x:v>
      </x:c>
      <x:c r="K424" s="14" t="n">
        <x:v>2023</x:v>
      </x:c>
      <x:c r="L424" s="14" t="str">
        <x:v>Not inherited</x:v>
      </x:c>
      <x:c r="M424" s="15" t="n">
        <x:v>141</x:v>
      </x:c>
      <x:c r="N424" s="14" t="str">
        <x:v>Luis Soto</x:v>
      </x:c>
      <x:c r="O424" s="14" t="str">
        <x:v>nm1259813</x:v>
      </x:c>
      <x:c r="P424" s="14" t="str">
        <x:v>Father Rodriguez</x:v>
      </x:c>
      <x:c r="Q424" s="15" t="n">
        <x:v>1</x:v>
      </x:c>
      <x:c r="R424" s="14" t="str">
        <x:v>2025</x:v>
      </x:c>
      <x:c r="S424" s="14" t="n">
        <x:v>2025</x:v>
      </x:c>
      <x:c r="T424" s="14" t="n">
        <x:v>2025</x:v>
      </x:c>
      <x:c r="U424" s="14" t="str">
        <x:v>Explicit source first year retained</x:v>
      </x:c>
      <x:c r="V424" s="14" t="str">
        <x:v>Earliest supplied year is 2025.</x:v>
      </x:c>
      <x:c r="W424" s="14"/>
      <x:c r="X424" s="14" t="str">
        <x:v>Included</x:v>
      </x:c>
      <x:c r="Y424" s="14"/>
      <x:c r="Z424" s="14" t="str">
        <x:v>The Good Ship Murder.docx</x:v>
      </x:c>
      <x:c r="AA424" s="14" t="str">
        <x:v>HYPERLINK is not implemented. linkLocation=https://www.imdb.com/title/tt26346233/fullcredits/,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Channel 5 / 5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24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0.041666666666666664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4" t="str">
        <x:v>HYPERLINK is not implemented. linkLocation=https://www.imdb.com/title/tt26346233/fullcredits/,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tt26346233|nm1501319|mickey eldergill</x:v>
      </x:c>
      <x:c r="B425" s="14" t="str">
        <x:v>04</x:v>
      </x:c>
      <x:c r="C425" s="14" t="str">
        <x:v>2023_IMDb_Cast_Lists_Batch_04(2).xlsx</x:v>
      </x:c>
      <x:c r="D425" s="14" t="str">
        <x:v>The Good Ship Murder</x:v>
      </x:c>
      <x:c r="E425" s="14" t="n">
        <x:v>151</x:v>
      </x:c>
      <x:c r="F425" s="14" t="str">
        <x:v>The Good Ship Murder</x:v>
      </x:c>
      <x:c r="G425" s="14" t="str">
        <x:v>tt26346233</x:v>
      </x:c>
      <x:c r="H425" s="14" t="n">
        <x:v>2023</x:v>
      </x:c>
      <x:c r="I425" s="14" t="n">
        <x:v>2025</x:v>
      </x:c>
      <x:c r="J425" s="14" t="str">
        <x:v>Earlier-Production Carry-In Cohort</x:v>
      </x:c>
      <x:c r="K425" s="14" t="n">
        <x:v>2023</x:v>
      </x:c>
      <x:c r="L425" s="14" t="str">
        <x:v>Not inherited</x:v>
      </x:c>
      <x:c r="M425" s="15" t="n">
        <x:v>144</x:v>
      </x:c>
      <x:c r="N425" s="14" t="str">
        <x:v>Greg Wood</x:v>
      </x:c>
      <x:c r="O425" s="14" t="str">
        <x:v>nm1501319</x:v>
      </x:c>
      <x:c r="P425" s="14" t="str">
        <x:v>Mickey Eldergill</x:v>
      </x:c>
      <x:c r="Q425" s="15" t="n">
        <x:v>1</x:v>
      </x:c>
      <x:c r="R425" s="14" t="str">
        <x:v>2025</x:v>
      </x:c>
      <x:c r="S425" s="14" t="n">
        <x:v>2025</x:v>
      </x:c>
      <x:c r="T425" s="14" t="n">
        <x:v>2025</x:v>
      </x:c>
      <x:c r="U425" s="14" t="str">
        <x:v>Explicit source first year retained</x:v>
      </x:c>
      <x:c r="V425" s="14" t="str">
        <x:v>Earliest supplied year is 2025.</x:v>
      </x:c>
      <x:c r="W425" s="14"/>
      <x:c r="X425" s="14" t="str">
        <x:v>Included</x:v>
      </x:c>
      <x:c r="Y425" s="14"/>
      <x:c r="Z425" s="14" t="str">
        <x:v>The Good Ship Murder.docx</x:v>
      </x:c>
      <x:c r="AA425" s="14" t="str">
        <x:v>HYPERLINK is not implemented. linkLocation=https://www.imdb.com/title/tt26346233/fullcredits/,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Channel 5 / 5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24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0.041666666666666664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4" t="str">
        <x:v>HYPERLINK is not implemented. linkLocation=https://www.imdb.com/title/tt26346233/fullcredits/,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tt26346233|nm16905128|security guard pablo</x:v>
      </x:c>
      <x:c r="B426" s="14" t="str">
        <x:v>04</x:v>
      </x:c>
      <x:c r="C426" s="14" t="str">
        <x:v>2023_IMDb_Cast_Lists_Batch_04(2).xlsx</x:v>
      </x:c>
      <x:c r="D426" s="14" t="str">
        <x:v>The Good Ship Murder</x:v>
      </x:c>
      <x:c r="E426" s="14" t="n">
        <x:v>153</x:v>
      </x:c>
      <x:c r="F426" s="14" t="str">
        <x:v>The Good Ship Murder</x:v>
      </x:c>
      <x:c r="G426" s="14" t="str">
        <x:v>tt26346233</x:v>
      </x:c>
      <x:c r="H426" s="14" t="n">
        <x:v>2023</x:v>
      </x:c>
      <x:c r="I426" s="14" t="n">
        <x:v>2025</x:v>
      </x:c>
      <x:c r="J426" s="14" t="str">
        <x:v>Earlier-Production Carry-In Cohort</x:v>
      </x:c>
      <x:c r="K426" s="14" t="n">
        <x:v>2023</x:v>
      </x:c>
      <x:c r="L426" s="14" t="str">
        <x:v>Not inherited</x:v>
      </x:c>
      <x:c r="M426" s="15" t="n">
        <x:v>146</x:v>
      </x:c>
      <x:c r="N426" s="14" t="str">
        <x:v>Ryan Connell</x:v>
      </x:c>
      <x:c r="O426" s="14" t="str">
        <x:v>nm16905128</x:v>
      </x:c>
      <x:c r="P426" s="14" t="str">
        <x:v>Security Guard Pablo</x:v>
      </x:c>
      <x:c r="Q426" s="15" t="n">
        <x:v>1</x:v>
      </x:c>
      <x:c r="R426" s="14" t="str">
        <x:v>2025</x:v>
      </x:c>
      <x:c r="S426" s="14" t="n">
        <x:v>2025</x:v>
      </x:c>
      <x:c r="T426" s="14" t="n">
        <x:v>2025</x:v>
      </x:c>
      <x:c r="U426" s="14" t="str">
        <x:v>Explicit source first year retained</x:v>
      </x:c>
      <x:c r="V426" s="14" t="str">
        <x:v>Earliest supplied year is 2025.</x:v>
      </x:c>
      <x:c r="W426" s="14"/>
      <x:c r="X426" s="14" t="str">
        <x:v>Included</x:v>
      </x:c>
      <x:c r="Y426" s="14"/>
      <x:c r="Z426" s="14" t="str">
        <x:v>The Good Ship Murder.docx</x:v>
      </x:c>
      <x:c r="AA426" s="14" t="str">
        <x:v>HYPERLINK is not implemented. linkLocation=https://www.imdb.com/title/tt26346233/fullcredits/,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Channel 5 / 5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24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0.041666666666666664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4" t="str">
        <x:v>HYPERLINK is not implemented. linkLocation=https://www.imdb.com/title/tt26346233/fullcredits/,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tt26627660|nm1854269|mic</x:v>
      </x:c>
      <x:c r="B427" s="14" t="str">
        <x:v>05</x:v>
      </x:c>
      <x:c r="C427" s="14" t="str">
        <x:v>2023_IMDb_Cast_Lists_Batch_05(2).xlsx</x:v>
      </x:c>
      <x:c r="D427" s="14" t="str">
        <x:v>The Power of Parker</x:v>
      </x:c>
      <x:c r="E427" s="14" t="n">
        <x:v>24</x:v>
      </x:c>
      <x:c r="F427" s="14" t="str">
        <x:v>The Power of Parker</x:v>
      </x:c>
      <x:c r="G427" s="14" t="str">
        <x:v>tt26627660</x:v>
      </x:c>
      <x:c r="H427" s="14" t="n">
        <x:v>2023</x:v>
      </x:c>
      <x:c r="I427" s="14" t="n">
        <x:v>2025</x:v>
      </x:c>
      <x:c r="J427" s="14" t="str">
        <x:v>Earlier-Production Carry-In Cohort</x:v>
      </x:c>
      <x:c r="K427" s="14" t="n">
        <x:v>2023</x:v>
      </x:c>
      <x:c r="L427" s="14" t="str">
        <x:v>Not inherited</x:v>
      </x:c>
      <x:c r="M427" s="15" t="n">
        <x:v>17</x:v>
      </x:c>
      <x:c r="N427" s="14" t="str">
        <x:v>Diane Morgan</x:v>
      </x:c>
      <x:c r="O427" s="14" t="str">
        <x:v>nm1854269</x:v>
      </x:c>
      <x:c r="P427" s="14" t="str">
        <x:v>Mic</x:v>
      </x:c>
      <x:c r="Q427" s="15" t="n">
        <x:v>3</x:v>
      </x:c>
      <x:c r="R427" s="14" t="str">
        <x:v>2025</x:v>
      </x:c>
      <x:c r="S427" s="14" t="n">
        <x:v>2025</x:v>
      </x:c>
      <x:c r="T427" s="14" t="n">
        <x:v>2025</x:v>
      </x:c>
      <x:c r="U427" s="14" t="str">
        <x:v>Explicit source first year retained</x:v>
      </x:c>
      <x:c r="V427" s="14" t="str">
        <x:v>Earliest supplied year is 2025.</x:v>
      </x:c>
      <x:c r="W427" s="14"/>
      <x:c r="X427" s="14" t="str">
        <x:v>Included</x:v>
      </x:c>
      <x:c r="Y427" s="14"/>
      <x:c r="Z427" s="14" t="str">
        <x:v>The Power of Parker.docx</x:v>
      </x:c>
      <x:c r="AA427" s="14" t="str">
        <x:v>HYPERLINK is not implemented. linkLocation=https://www.imdb.com/title/tt26627660/fullcredits/,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12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3</x:v>
      </x:c>
      <x:c r="BS427" s="16" t="n">
        <x:v>0.25</x:v>
      </x:c>
      <x:c r="BT427" s="14" t="str">
        <x:v>Minority of episodes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4" t="str">
        <x:v>HYPERLINK is not implemented. linkLocation=https://www.imdb.com/title/tt26627660/fullcredits/,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tt26627660|nm0159527|ash</x:v>
      </x:c>
      <x:c r="B428" s="14" t="str">
        <x:v>05</x:v>
      </x:c>
      <x:c r="C428" s="14" t="str">
        <x:v>2023_IMDb_Cast_Lists_Batch_05(2).xlsx</x:v>
      </x:c>
      <x:c r="D428" s="14" t="str">
        <x:v>The Power of Parker</x:v>
      </x:c>
      <x:c r="E428" s="14" t="n">
        <x:v>25</x:v>
      </x:c>
      <x:c r="F428" s="14" t="str">
        <x:v>The Power of Parker</x:v>
      </x:c>
      <x:c r="G428" s="14" t="str">
        <x:v>tt26627660</x:v>
      </x:c>
      <x:c r="H428" s="14" t="n">
        <x:v>2023</x:v>
      </x:c>
      <x:c r="I428" s="14" t="n">
        <x:v>2025</x:v>
      </x:c>
      <x:c r="J428" s="14" t="str">
        <x:v>Earlier-Production Carry-In Cohort</x:v>
      </x:c>
      <x:c r="K428" s="14" t="n">
        <x:v>2023</x:v>
      </x:c>
      <x:c r="L428" s="14" t="str">
        <x:v>Not inherited</x:v>
      </x:c>
      <x:c r="M428" s="15" t="n">
        <x:v>18</x:v>
      </x:c>
      <x:c r="N428" s="14" t="str">
        <x:v>Navin Chowdhry</x:v>
      </x:c>
      <x:c r="O428" s="14" t="str">
        <x:v>nm0159527</x:v>
      </x:c>
      <x:c r="P428" s="14" t="str">
        <x:v>Ash</x:v>
      </x:c>
      <x:c r="Q428" s="15" t="n">
        <x:v>3</x:v>
      </x:c>
      <x:c r="R428" s="14" t="str">
        <x:v>2025</x:v>
      </x:c>
      <x:c r="S428" s="14" t="n">
        <x:v>2025</x:v>
      </x:c>
      <x:c r="T428" s="14" t="n">
        <x:v>2025</x:v>
      </x:c>
      <x:c r="U428" s="14" t="str">
        <x:v>Explicit source first year retained</x:v>
      </x:c>
      <x:c r="V428" s="14" t="str">
        <x:v>Earliest supplied year is 2025.</x:v>
      </x:c>
      <x:c r="W428" s="14"/>
      <x:c r="X428" s="14" t="str">
        <x:v>Included</x:v>
      </x:c>
      <x:c r="Y428" s="14"/>
      <x:c r="Z428" s="14" t="str">
        <x:v>The Power of Parker.docx</x:v>
      </x:c>
      <x:c r="AA428" s="14" t="str">
        <x:v>HYPERLINK is not implemented. linkLocation=https://www.imdb.com/title/tt26627660/fullcredits/,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12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3</x:v>
      </x:c>
      <x:c r="BS428" s="16" t="n">
        <x:v>0.25</x:v>
      </x:c>
      <x:c r="BT428" s="14" t="str">
        <x:v>Minority of episodes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4" t="str">
        <x:v>HYPERLINK is not implemented. linkLocation=https://www.imdb.com/title/tt26627660/fullcredits/,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tt26627660|nm8046695|kim</x:v>
      </x:c>
      <x:c r="B429" s="14" t="str">
        <x:v>05</x:v>
      </x:c>
      <x:c r="C429" s="14" t="str">
        <x:v>2023_IMDb_Cast_Lists_Batch_05(2).xlsx</x:v>
      </x:c>
      <x:c r="D429" s="14" t="str">
        <x:v>The Power of Parker</x:v>
      </x:c>
      <x:c r="E429" s="14" t="n">
        <x:v>29</x:v>
      </x:c>
      <x:c r="F429" s="14" t="str">
        <x:v>The Power of Parker</x:v>
      </x:c>
      <x:c r="G429" s="14" t="str">
        <x:v>tt26627660</x:v>
      </x:c>
      <x:c r="H429" s="14" t="n">
        <x:v>2023</x:v>
      </x:c>
      <x:c r="I429" s="14" t="n">
        <x:v>2025</x:v>
      </x:c>
      <x:c r="J429" s="14" t="str">
        <x:v>Earlier-Production Carry-In Cohort</x:v>
      </x:c>
      <x:c r="K429" s="14" t="n">
        <x:v>2023</x:v>
      </x:c>
      <x:c r="L429" s="14" t="str">
        <x:v>Not inherited</x:v>
      </x:c>
      <x:c r="M429" s="15" t="n">
        <x:v>22</x:v>
      </x:c>
      <x:c r="N429" s="14" t="str">
        <x:v>Mia Foo</x:v>
      </x:c>
      <x:c r="O429" s="14" t="str">
        <x:v>nm8046695</x:v>
      </x:c>
      <x:c r="P429" s="14" t="str">
        <x:v>Kim</x:v>
      </x:c>
      <x:c r="Q429" s="15" t="n">
        <x:v>2</x:v>
      </x:c>
      <x:c r="R429" s="14" t="str">
        <x:v>2025</x:v>
      </x:c>
      <x:c r="S429" s="14" t="n">
        <x:v>2025</x:v>
      </x:c>
      <x:c r="T429" s="14" t="n">
        <x:v>2025</x:v>
      </x:c>
      <x:c r="U429" s="14" t="str">
        <x:v>Explicit source first year retained</x:v>
      </x:c>
      <x:c r="V429" s="14" t="str">
        <x:v>Earliest supplied year is 2025.</x:v>
      </x:c>
      <x:c r="W429" s="14"/>
      <x:c r="X429" s="14" t="str">
        <x:v>Included</x:v>
      </x:c>
      <x:c r="Y429" s="14"/>
      <x:c r="Z429" s="14" t="str">
        <x:v>The Power of Parker.docx</x:v>
      </x:c>
      <x:c r="AA429" s="14" t="str">
        <x:v>HYPERLINK is not implemented. linkLocation=https://www.imdb.com/title/tt26627660/fullcredits/,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12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2</x:v>
      </x:c>
      <x:c r="BS429" s="16" t="n">
        <x:v>0.16666666666666666</x:v>
      </x:c>
      <x:c r="BT429" s="14" t="str">
        <x:v>Minority of episodes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4" t="str">
        <x:v>HYPERLINK is not implemented. linkLocation=https://www.imdb.com/title/tt26627660/fullcredits/,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tt26627660|nm15248429|matthew</x:v>
      </x:c>
      <x:c r="B430" s="14" t="str">
        <x:v>05</x:v>
      </x:c>
      <x:c r="C430" s="14" t="str">
        <x:v>2023_IMDb_Cast_Lists_Batch_05(2).xlsx</x:v>
      </x:c>
      <x:c r="D430" s="14" t="str">
        <x:v>The Power of Parker</x:v>
      </x:c>
      <x:c r="E430" s="14" t="n">
        <x:v>32</x:v>
      </x:c>
      <x:c r="F430" s="14" t="str">
        <x:v>The Power of Parker</x:v>
      </x:c>
      <x:c r="G430" s="14" t="str">
        <x:v>tt26627660</x:v>
      </x:c>
      <x:c r="H430" s="14" t="n">
        <x:v>2023</x:v>
      </x:c>
      <x:c r="I430" s="14" t="n">
        <x:v>2025</x:v>
      </x:c>
      <x:c r="J430" s="14" t="str">
        <x:v>Earlier-Production Carry-In Cohort</x:v>
      </x:c>
      <x:c r="K430" s="14" t="n">
        <x:v>2023</x:v>
      </x:c>
      <x:c r="L430" s="14" t="str">
        <x:v>Not inherited</x:v>
      </x:c>
      <x:c r="M430" s="15" t="n">
        <x:v>25</x:v>
      </x:c>
      <x:c r="N430" s="14" t="str">
        <x:v>Kate Butch</x:v>
      </x:c>
      <x:c r="O430" s="14" t="str">
        <x:v>nm15248429</x:v>
      </x:c>
      <x:c r="P430" s="14" t="str">
        <x:v>Matthew</x:v>
      </x:c>
      <x:c r="Q430" s="15" t="n">
        <x:v>2</x:v>
      </x:c>
      <x:c r="R430" s="14" t="str">
        <x:v>2025</x:v>
      </x:c>
      <x:c r="S430" s="14" t="n">
        <x:v>2025</x:v>
      </x:c>
      <x:c r="T430" s="14" t="n">
        <x:v>2025</x:v>
      </x:c>
      <x:c r="U430" s="14" t="str">
        <x:v>Explicit source first year retained</x:v>
      </x:c>
      <x:c r="V430" s="14" t="str">
        <x:v>Earliest supplied year is 2025.</x:v>
      </x:c>
      <x:c r="W430" s="14"/>
      <x:c r="X430" s="14" t="str">
        <x:v>Included</x:v>
      </x:c>
      <x:c r="Y430" s="14"/>
      <x:c r="Z430" s="14" t="str">
        <x:v>The Power of Parker.docx</x:v>
      </x:c>
      <x:c r="AA430" s="14" t="str">
        <x:v>HYPERLINK is not implemented. linkLocation=https://www.imdb.com/title/tt26627660/fullcredits/,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12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2</x:v>
      </x:c>
      <x:c r="BS430" s="16" t="n">
        <x:v>0.16666666666666666</x:v>
      </x:c>
      <x:c r="BT430" s="14" t="str">
        <x:v>Minority of episodes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4" t="str">
        <x:v>HYPERLINK is not implemented. linkLocation=https://www.imdb.com/title/tt26627660/fullcredits/,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tt26627660|nm2641014|alice</x:v>
      </x:c>
      <x:c r="B431" s="14" t="str">
        <x:v>05</x:v>
      </x:c>
      <x:c r="C431" s="14" t="str">
        <x:v>2023_IMDb_Cast_Lists_Batch_05(2).xlsx</x:v>
      </x:c>
      <x:c r="D431" s="14" t="str">
        <x:v>The Power of Parker</x:v>
      </x:c>
      <x:c r="E431" s="14" t="n">
        <x:v>33</x:v>
      </x:c>
      <x:c r="F431" s="14" t="str">
        <x:v>The Power of Parker</x:v>
      </x:c>
      <x:c r="G431" s="14" t="str">
        <x:v>tt26627660</x:v>
      </x:c>
      <x:c r="H431" s="14" t="n">
        <x:v>2023</x:v>
      </x:c>
      <x:c r="I431" s="14" t="n">
        <x:v>2025</x:v>
      </x:c>
      <x:c r="J431" s="14" t="str">
        <x:v>Earlier-Production Carry-In Cohort</x:v>
      </x:c>
      <x:c r="K431" s="14" t="n">
        <x:v>2023</x:v>
      </x:c>
      <x:c r="L431" s="14" t="str">
        <x:v>Not inherited</x:v>
      </x:c>
      <x:c r="M431" s="15" t="n">
        <x:v>26</x:v>
      </x:c>
      <x:c r="N431" s="14" t="str">
        <x:v>Ruth Evans</x:v>
      </x:c>
      <x:c r="O431" s="14" t="str">
        <x:v>nm2641014</x:v>
      </x:c>
      <x:c r="P431" s="14" t="str">
        <x:v>Alice</x:v>
      </x:c>
      <x:c r="Q431" s="15" t="n">
        <x:v>2</x:v>
      </x:c>
      <x:c r="R431" s="14" t="str">
        <x:v>2025</x:v>
      </x:c>
      <x:c r="S431" s="14" t="n">
        <x:v>2025</x:v>
      </x:c>
      <x:c r="T431" s="14" t="n">
        <x:v>2025</x:v>
      </x:c>
      <x:c r="U431" s="14" t="str">
        <x:v>Explicit source first year retained</x:v>
      </x:c>
      <x:c r="V431" s="14" t="str">
        <x:v>Earliest supplied year is 2025.</x:v>
      </x:c>
      <x:c r="W431" s="14"/>
      <x:c r="X431" s="14" t="str">
        <x:v>Included</x:v>
      </x:c>
      <x:c r="Y431" s="14"/>
      <x:c r="Z431" s="14" t="str">
        <x:v>The Power of Parker.docx</x:v>
      </x:c>
      <x:c r="AA431" s="14" t="str">
        <x:v>HYPERLINK is not implemented. linkLocation=https://www.imdb.com/title/tt26627660/fullcredits/,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12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2</x:v>
      </x:c>
      <x:c r="BS431" s="16" t="n">
        <x:v>0.16666666666666666</x:v>
      </x:c>
      <x:c r="BT431" s="14" t="str">
        <x:v>Minority of episodes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4" t="str">
        <x:v>HYPERLINK is not implemented. linkLocation=https://www.imdb.com/title/tt26627660/fullcredits/,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tt26627660|nm0077397|veronica</x:v>
      </x:c>
      <x:c r="B432" s="14" t="str">
        <x:v>05</x:v>
      </x:c>
      <x:c r="C432" s="14" t="str">
        <x:v>2023_IMDb_Cast_Lists_Batch_05(2).xlsx</x:v>
      </x:c>
      <x:c r="D432" s="14" t="str">
        <x:v>The Power of Parker</x:v>
      </x:c>
      <x:c r="E432" s="14" t="n">
        <x:v>35</x:v>
      </x:c>
      <x:c r="F432" s="14" t="str">
        <x:v>The Power of Parker</x:v>
      </x:c>
      <x:c r="G432" s="14" t="str">
        <x:v>tt26627660</x:v>
      </x:c>
      <x:c r="H432" s="14" t="n">
        <x:v>2023</x:v>
      </x:c>
      <x:c r="I432" s="14" t="n">
        <x:v>2025</x:v>
      </x:c>
      <x:c r="J432" s="14" t="str">
        <x:v>Earlier-Production Carry-In Cohort</x:v>
      </x:c>
      <x:c r="K432" s="14" t="n">
        <x:v>2023</x:v>
      </x:c>
      <x:c r="L432" s="14" t="str">
        <x:v>Not inherited</x:v>
      </x:c>
      <x:c r="M432" s="15" t="n">
        <x:v>28</x:v>
      </x:c>
      <x:c r="N432" s="14" t="str">
        <x:v>Elizabeth Berrington</x:v>
      </x:c>
      <x:c r="O432" s="14" t="str">
        <x:v>nm0077397</x:v>
      </x:c>
      <x:c r="P432" s="14" t="str">
        <x:v>Veronica</x:v>
      </x:c>
      <x:c r="Q432" s="15" t="n">
        <x:v>1</x:v>
      </x:c>
      <x:c r="R432" s="14" t="str">
        <x:v>2025</x:v>
      </x:c>
      <x:c r="S432" s="14" t="n">
        <x:v>2025</x:v>
      </x:c>
      <x:c r="T432" s="14" t="n">
        <x:v>2025</x:v>
      </x:c>
      <x:c r="U432" s="14" t="str">
        <x:v>Explicit source first year retained</x:v>
      </x:c>
      <x:c r="V432" s="14" t="str">
        <x:v>Earliest supplied year is 2025.</x:v>
      </x:c>
      <x:c r="W432" s="14"/>
      <x:c r="X432" s="14" t="str">
        <x:v>Included</x:v>
      </x:c>
      <x:c r="Y432" s="14"/>
      <x:c r="Z432" s="14" t="str">
        <x:v>The Power of Parker.docx</x:v>
      </x:c>
      <x:c r="AA432" s="14" t="str">
        <x:v>HYPERLINK is not implemented. linkLocation=https://www.imdb.com/title/tt26627660/fullcredits/,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12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0.08333333333333333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4" t="str">
        <x:v>HYPERLINK is not implemented. linkLocation=https://www.imdb.com/title/tt26627660/fullcredits/,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tt26627660|nm0203709|mystic mo</x:v>
      </x:c>
      <x:c r="B433" s="14" t="str">
        <x:v>05</x:v>
      </x:c>
      <x:c r="C433" s="14" t="str">
        <x:v>2023_IMDb_Cast_Lists_Batch_05(2).xlsx</x:v>
      </x:c>
      <x:c r="D433" s="14" t="str">
        <x:v>The Power of Parker</x:v>
      </x:c>
      <x:c r="E433" s="14" t="n">
        <x:v>36</x:v>
      </x:c>
      <x:c r="F433" s="14" t="str">
        <x:v>The Power of Parker</x:v>
      </x:c>
      <x:c r="G433" s="14" t="str">
        <x:v>tt26627660</x:v>
      </x:c>
      <x:c r="H433" s="14" t="n">
        <x:v>2023</x:v>
      </x:c>
      <x:c r="I433" s="14" t="n">
        <x:v>2025</x:v>
      </x:c>
      <x:c r="J433" s="14" t="str">
        <x:v>Earlier-Production Carry-In Cohort</x:v>
      </x:c>
      <x:c r="K433" s="14" t="n">
        <x:v>2023</x:v>
      </x:c>
      <x:c r="L433" s="14" t="str">
        <x:v>Not inherited</x:v>
      </x:c>
      <x:c r="M433" s="15" t="n">
        <x:v>29</x:v>
      </x:c>
      <x:c r="N433" s="14" t="str">
        <x:v>Freddie Davies</x:v>
      </x:c>
      <x:c r="O433" s="14" t="str">
        <x:v>nm0203709</x:v>
      </x:c>
      <x:c r="P433" s="14" t="str">
        <x:v>Mystic Mo</x:v>
      </x:c>
      <x:c r="Q433" s="15" t="n">
        <x:v>1</x:v>
      </x:c>
      <x:c r="R433" s="14" t="str">
        <x:v>2025</x:v>
      </x:c>
      <x:c r="S433" s="14" t="n">
        <x:v>2025</x:v>
      </x:c>
      <x:c r="T433" s="14" t="n">
        <x:v>2025</x:v>
      </x:c>
      <x:c r="U433" s="14" t="str">
        <x:v>Explicit source first year retained</x:v>
      </x:c>
      <x:c r="V433" s="14" t="str">
        <x:v>Earliest supplied year is 2025.</x:v>
      </x:c>
      <x:c r="W433" s="14"/>
      <x:c r="X433" s="14" t="str">
        <x:v>Included</x:v>
      </x:c>
      <x:c r="Y433" s="14"/>
      <x:c r="Z433" s="14" t="str">
        <x:v>The Power of Parker.docx</x:v>
      </x:c>
      <x:c r="AA433" s="14" t="str">
        <x:v>HYPERLINK is not implemented. linkLocation=https://www.imdb.com/title/tt26627660/fullcredits/,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1</x:v>
      </x:c>
      <x:c r="BS433" s="16" t="n">
        <x:v>0.08333333333333333</x:v>
      </x:c>
      <x:c r="BT433" s="14" t="str">
        <x:v>One episode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4" t="str">
        <x:v>HYPERLINK is not implemented. linkLocation=https://www.imdb.com/title/tt26627660/fullcredits/,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tt26627660|nm3893637|dance instructor</x:v>
      </x:c>
      <x:c r="B434" s="14" t="str">
        <x:v>05</x:v>
      </x:c>
      <x:c r="C434" s="14" t="str">
        <x:v>2023_IMDb_Cast_Lists_Batch_05(2).xlsx</x:v>
      </x:c>
      <x:c r="D434" s="14" t="str">
        <x:v>The Power of Parker</x:v>
      </x:c>
      <x:c r="E434" s="14" t="n">
        <x:v>37</x:v>
      </x:c>
      <x:c r="F434" s="14" t="str">
        <x:v>The Power of Parker</x:v>
      </x:c>
      <x:c r="G434" s="14" t="str">
        <x:v>tt26627660</x:v>
      </x:c>
      <x:c r="H434" s="14" t="n">
        <x:v>2023</x:v>
      </x:c>
      <x:c r="I434" s="14" t="n">
        <x:v>2025</x:v>
      </x:c>
      <x:c r="J434" s="14" t="str">
        <x:v>Earlier-Production Carry-In Cohort</x:v>
      </x:c>
      <x:c r="K434" s="14" t="n">
        <x:v>2023</x:v>
      </x:c>
      <x:c r="L434" s="14" t="str">
        <x:v>Not inherited</x:v>
      </x:c>
      <x:c r="M434" s="15" t="n">
        <x:v>30</x:v>
      </x:c>
      <x:c r="N434" s="14" t="str">
        <x:v>Harry Taurasi</x:v>
      </x:c>
      <x:c r="O434" s="14" t="str">
        <x:v>nm3893637</x:v>
      </x:c>
      <x:c r="P434" s="14" t="str">
        <x:v>Dance Instructor</x:v>
      </x:c>
      <x:c r="Q434" s="15" t="n">
        <x:v>1</x:v>
      </x:c>
      <x:c r="R434" s="14" t="str">
        <x:v>2025</x:v>
      </x:c>
      <x:c r="S434" s="14" t="n">
        <x:v>2025</x:v>
      </x:c>
      <x:c r="T434" s="14" t="n">
        <x:v>2025</x:v>
      </x:c>
      <x:c r="U434" s="14" t="str">
        <x:v>Explicit source first year retained</x:v>
      </x:c>
      <x:c r="V434" s="14" t="str">
        <x:v>Earliest supplied year is 2025.</x:v>
      </x:c>
      <x:c r="W434" s="14"/>
      <x:c r="X434" s="14" t="str">
        <x:v>Included</x:v>
      </x:c>
      <x:c r="Y434" s="14"/>
      <x:c r="Z434" s="14" t="str">
        <x:v>The Power of Parker.docx</x:v>
      </x:c>
      <x:c r="AA434" s="14" t="str">
        <x:v>HYPERLINK is not implemented. linkLocation=https://www.imdb.com/title/tt26627660/fullcredits/,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1</x:v>
      </x:c>
      <x:c r="BS434" s="16" t="n">
        <x:v>0.08333333333333333</x:v>
      </x:c>
      <x:c r="BT434" s="14" t="str">
        <x:v>One episode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4" t="str">
        <x:v>HYPERLINK is not implemented. linkLocation=https://www.imdb.com/title/tt26627660/fullcredits/,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tt26627660|nm9332058|kelly sue</x:v>
      </x:c>
      <x:c r="B435" s="14" t="str">
        <x:v>05</x:v>
      </x:c>
      <x:c r="C435" s="14" t="str">
        <x:v>2023_IMDb_Cast_Lists_Batch_05(2).xlsx</x:v>
      </x:c>
      <x:c r="D435" s="14" t="str">
        <x:v>The Power of Parker</x:v>
      </x:c>
      <x:c r="E435" s="14" t="n">
        <x:v>39</x:v>
      </x:c>
      <x:c r="F435" s="14" t="str">
        <x:v>The Power of Parker</x:v>
      </x:c>
      <x:c r="G435" s="14" t="str">
        <x:v>tt26627660</x:v>
      </x:c>
      <x:c r="H435" s="14" t="n">
        <x:v>2023</x:v>
      </x:c>
      <x:c r="I435" s="14" t="n">
        <x:v>2025</x:v>
      </x:c>
      <x:c r="J435" s="14" t="str">
        <x:v>Earlier-Production Carry-In Cohort</x:v>
      </x:c>
      <x:c r="K435" s="14" t="n">
        <x:v>2023</x:v>
      </x:c>
      <x:c r="L435" s="14" t="str">
        <x:v>Not inherited</x:v>
      </x:c>
      <x:c r="M435" s="15" t="n">
        <x:v>32</x:v>
      </x:c>
      <x:c r="N435" s="14" t="str">
        <x:v>Ada Player</x:v>
      </x:c>
      <x:c r="O435" s="14" t="str">
        <x:v>nm9332058</x:v>
      </x:c>
      <x:c r="P435" s="14" t="str">
        <x:v>Kelly Sue</x:v>
      </x:c>
      <x:c r="Q435" s="15" t="n">
        <x:v>1</x:v>
      </x:c>
      <x:c r="R435" s="14" t="str">
        <x:v>2025</x:v>
      </x:c>
      <x:c r="S435" s="14" t="n">
        <x:v>2025</x:v>
      </x:c>
      <x:c r="T435" s="14" t="n">
        <x:v>2025</x:v>
      </x:c>
      <x:c r="U435" s="14" t="str">
        <x:v>Explicit source first year retained</x:v>
      </x:c>
      <x:c r="V435" s="14" t="str">
        <x:v>Earliest supplied year is 2025.</x:v>
      </x:c>
      <x:c r="W435" s="14"/>
      <x:c r="X435" s="14" t="str">
        <x:v>Included</x:v>
      </x:c>
      <x:c r="Y435" s="14"/>
      <x:c r="Z435" s="14" t="str">
        <x:v>The Power of Parker.docx</x:v>
      </x:c>
      <x:c r="AA435" s="14" t="str">
        <x:v>HYPERLINK is not implemented. linkLocation=https://www.imdb.com/title/tt26627660/fullcredits/,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1</x:v>
      </x:c>
      <x:c r="BS435" s="16" t="n">
        <x:v>0.08333333333333333</x:v>
      </x:c>
      <x:c r="BT435" s="14" t="str">
        <x:v>One episode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4" t="str">
        <x:v>HYPERLINK is not implemented. linkLocation=https://www.imdb.com/title/tt26627660/fullcredits/,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tt26627660|nm6641256|andy</x:v>
      </x:c>
      <x:c r="B436" s="14" t="str">
        <x:v>05</x:v>
      </x:c>
      <x:c r="C436" s="14" t="str">
        <x:v>2023_IMDb_Cast_Lists_Batch_05(2).xlsx</x:v>
      </x:c>
      <x:c r="D436" s="14" t="str">
        <x:v>The Power of Parker</x:v>
      </x:c>
      <x:c r="E436" s="14" t="n">
        <x:v>41</x:v>
      </x:c>
      <x:c r="F436" s="14" t="str">
        <x:v>The Power of Parker</x:v>
      </x:c>
      <x:c r="G436" s="14" t="str">
        <x:v>tt26627660</x:v>
      </x:c>
      <x:c r="H436" s="14" t="n">
        <x:v>2023</x:v>
      </x:c>
      <x:c r="I436" s="14" t="n">
        <x:v>2025</x:v>
      </x:c>
      <x:c r="J436" s="14" t="str">
        <x:v>Earlier-Production Carry-In Cohort</x:v>
      </x:c>
      <x:c r="K436" s="14" t="n">
        <x:v>2023</x:v>
      </x:c>
      <x:c r="L436" s="14" t="str">
        <x:v>Not inherited</x:v>
      </x:c>
      <x:c r="M436" s="15" t="n">
        <x:v>34</x:v>
      </x:c>
      <x:c r="N436" s="14" t="str">
        <x:v>Karl Cam</x:v>
      </x:c>
      <x:c r="O436" s="14" t="str">
        <x:v>nm6641256</x:v>
      </x:c>
      <x:c r="P436" s="14" t="str">
        <x:v>Andy</x:v>
      </x:c>
      <x:c r="Q436" s="15" t="n">
        <x:v>1</x:v>
      </x:c>
      <x:c r="R436" s="14" t="str">
        <x:v>2025</x:v>
      </x:c>
      <x:c r="S436" s="14" t="n">
        <x:v>2025</x:v>
      </x:c>
      <x:c r="T436" s="14" t="n">
        <x:v>2025</x:v>
      </x:c>
      <x:c r="U436" s="14" t="str">
        <x:v>Explicit source first year retained</x:v>
      </x:c>
      <x:c r="V436" s="14" t="str">
        <x:v>Earliest supplied year is 2025.</x:v>
      </x:c>
      <x:c r="W436" s="14"/>
      <x:c r="X436" s="14" t="str">
        <x:v>Included</x:v>
      </x:c>
      <x:c r="Y436" s="14"/>
      <x:c r="Z436" s="14" t="str">
        <x:v>The Power of Parker.docx</x:v>
      </x:c>
      <x:c r="AA436" s="14" t="str">
        <x:v>HYPERLINK is not implemented. linkLocation=https://www.imdb.com/title/tt26627660/fullcredits/,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1</x:v>
      </x:c>
      <x:c r="BS436" s="16" t="n">
        <x:v>0.08333333333333333</x:v>
      </x:c>
      <x:c r="BT436" s="14" t="str">
        <x:v>One episode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4" t="str">
        <x:v>HYPERLINK is not implemented. linkLocation=https://www.imdb.com/title/tt26627660/fullcredits/,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tt26627660|nm5118505|layla's mum</x:v>
      </x:c>
      <x:c r="B437" s="14" t="str">
        <x:v>05</x:v>
      </x:c>
      <x:c r="C437" s="14" t="str">
        <x:v>2023_IMDb_Cast_Lists_Batch_05(2).xlsx</x:v>
      </x:c>
      <x:c r="D437" s="14" t="str">
        <x:v>The Power of Parker</x:v>
      </x:c>
      <x:c r="E437" s="14" t="n">
        <x:v>42</x:v>
      </x:c>
      <x:c r="F437" s="14" t="str">
        <x:v>The Power of Parker</x:v>
      </x:c>
      <x:c r="G437" s="14" t="str">
        <x:v>tt26627660</x:v>
      </x:c>
      <x:c r="H437" s="14" t="n">
        <x:v>2023</x:v>
      </x:c>
      <x:c r="I437" s="14" t="n">
        <x:v>2025</x:v>
      </x:c>
      <x:c r="J437" s="14" t="str">
        <x:v>Earlier-Production Carry-In Cohort</x:v>
      </x:c>
      <x:c r="K437" s="14" t="n">
        <x:v>2023</x:v>
      </x:c>
      <x:c r="L437" s="14" t="str">
        <x:v>Not inherited</x:v>
      </x:c>
      <x:c r="M437" s="15" t="n">
        <x:v>35</x:v>
      </x:c>
      <x:c r="N437" s="14" t="str">
        <x:v>Elika Scere Jacobs</x:v>
      </x:c>
      <x:c r="O437" s="14" t="str">
        <x:v>nm5118505</x:v>
      </x:c>
      <x:c r="P437" s="14" t="str">
        <x:v>Layla's Mum</x:v>
      </x:c>
      <x:c r="Q437" s="15" t="n">
        <x:v>1</x:v>
      </x:c>
      <x:c r="R437" s="14" t="str">
        <x:v>2025</x:v>
      </x:c>
      <x:c r="S437" s="14" t="n">
        <x:v>2025</x:v>
      </x:c>
      <x:c r="T437" s="14" t="n">
        <x:v>2025</x:v>
      </x:c>
      <x:c r="U437" s="14" t="str">
        <x:v>Explicit source first year retained</x:v>
      </x:c>
      <x:c r="V437" s="14" t="str">
        <x:v>Earliest supplied year is 2025.</x:v>
      </x:c>
      <x:c r="W437" s="14"/>
      <x:c r="X437" s="14" t="str">
        <x:v>Included</x:v>
      </x:c>
      <x:c r="Y437" s="14"/>
      <x:c r="Z437" s="14" t="str">
        <x:v>The Power of Parker.docx</x:v>
      </x:c>
      <x:c r="AA437" s="14" t="str">
        <x:v>HYPERLINK is not implemented. linkLocation=https://www.imdb.com/title/tt26627660/fullcredits/,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1</x:v>
      </x:c>
      <x:c r="BS437" s="16" t="n">
        <x:v>0.08333333333333333</x:v>
      </x:c>
      <x:c r="BT437" s="14" t="str">
        <x:v>One episode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4" t="str">
        <x:v>HYPERLINK is not implemented. linkLocation=https://www.imdb.com/title/tt26627660/fullcredits/,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tt26627660|nm17419379|pat o'daniels</x:v>
      </x:c>
      <x:c r="B438" s="14" t="str">
        <x:v>05</x:v>
      </x:c>
      <x:c r="C438" s="14" t="str">
        <x:v>2023_IMDb_Cast_Lists_Batch_05(2).xlsx</x:v>
      </x:c>
      <x:c r="D438" s="14" t="str">
        <x:v>The Power of Parker</x:v>
      </x:c>
      <x:c r="E438" s="14" t="n">
        <x:v>45</x:v>
      </x:c>
      <x:c r="F438" s="14" t="str">
        <x:v>The Power of Parker</x:v>
      </x:c>
      <x:c r="G438" s="14" t="str">
        <x:v>tt26627660</x:v>
      </x:c>
      <x:c r="H438" s="14" t="n">
        <x:v>2023</x:v>
      </x:c>
      <x:c r="I438" s="14" t="n">
        <x:v>2025</x:v>
      </x:c>
      <x:c r="J438" s="14" t="str">
        <x:v>Earlier-Production Carry-In Cohort</x:v>
      </x:c>
      <x:c r="K438" s="14" t="n">
        <x:v>2023</x:v>
      </x:c>
      <x:c r="L438" s="14" t="str">
        <x:v>Not inherited</x:v>
      </x:c>
      <x:c r="M438" s="15" t="n">
        <x:v>38</x:v>
      </x:c>
      <x:c r="N438" s="14" t="str">
        <x:v>Andrew Marx</x:v>
      </x:c>
      <x:c r="O438" s="14" t="str">
        <x:v>nm17419379</x:v>
      </x:c>
      <x:c r="P438" s="14" t="str">
        <x:v>Pat O'Daniels</x:v>
      </x:c>
      <x:c r="Q438" s="15" t="n">
        <x:v>1</x:v>
      </x:c>
      <x:c r="R438" s="14" t="str">
        <x:v>2025</x:v>
      </x:c>
      <x:c r="S438" s="14" t="n">
        <x:v>2025</x:v>
      </x:c>
      <x:c r="T438" s="14" t="n">
        <x:v>2025</x:v>
      </x:c>
      <x:c r="U438" s="14" t="str">
        <x:v>Explicit source first year retained</x:v>
      </x:c>
      <x:c r="V438" s="14" t="str">
        <x:v>Earliest supplied year is 2025.</x:v>
      </x:c>
      <x:c r="W438" s="14"/>
      <x:c r="X438" s="14" t="str">
        <x:v>Included</x:v>
      </x:c>
      <x:c r="Y438" s="14"/>
      <x:c r="Z438" s="14" t="str">
        <x:v>The Power of Parker.docx</x:v>
      </x:c>
      <x:c r="AA438" s="14" t="str">
        <x:v>HYPERLINK is not implemented. linkLocation=https://www.imdb.com/title/tt26627660/fullcredits/,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1</x:v>
      </x:c>
      <x:c r="BS438" s="16" t="n">
        <x:v>0.08333333333333333</x:v>
      </x:c>
      <x:c r="BT438" s="14" t="str">
        <x:v>One episode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4" t="str">
        <x:v>HYPERLINK is not implemented. linkLocation=https://www.imdb.com/title/tt26627660/fullcredits/,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tt26627660|nm0271516|des</x:v>
      </x:c>
      <x:c r="B439" s="14" t="str">
        <x:v>05</x:v>
      </x:c>
      <x:c r="C439" s="14" t="str">
        <x:v>2023_IMDb_Cast_Lists_Batch_05(2).xlsx</x:v>
      </x:c>
      <x:c r="D439" s="14" t="str">
        <x:v>The Power of Parker</x:v>
      </x:c>
      <x:c r="E439" s="14" t="n">
        <x:v>47</x:v>
      </x:c>
      <x:c r="F439" s="14" t="str">
        <x:v>The Power of Parker</x:v>
      </x:c>
      <x:c r="G439" s="14" t="str">
        <x:v>tt26627660</x:v>
      </x:c>
      <x:c r="H439" s="14" t="n">
        <x:v>2023</x:v>
      </x:c>
      <x:c r="I439" s="14" t="n">
        <x:v>2025</x:v>
      </x:c>
      <x:c r="J439" s="14" t="str">
        <x:v>Earlier-Production Carry-In Cohort</x:v>
      </x:c>
      <x:c r="K439" s="14" t="n">
        <x:v>2023</x:v>
      </x:c>
      <x:c r="L439" s="14" t="str">
        <x:v>Not inherited</x:v>
      </x:c>
      <x:c r="M439" s="15" t="n">
        <x:v>40</x:v>
      </x:c>
      <x:c r="N439" s="14" t="str">
        <x:v>Graham Fellows</x:v>
      </x:c>
      <x:c r="O439" s="14" t="str">
        <x:v>nm0271516</x:v>
      </x:c>
      <x:c r="P439" s="14" t="str">
        <x:v>Des</x:v>
      </x:c>
      <x:c r="Q439" s="15" t="n">
        <x:v>1</x:v>
      </x:c>
      <x:c r="R439" s="14" t="str">
        <x:v>2025</x:v>
      </x:c>
      <x:c r="S439" s="14" t="n">
        <x:v>2025</x:v>
      </x:c>
      <x:c r="T439" s="14" t="n">
        <x:v>2025</x:v>
      </x:c>
      <x:c r="U439" s="14" t="str">
        <x:v>Explicit source first year retained</x:v>
      </x:c>
      <x:c r="V439" s="14" t="str">
        <x:v>Earliest supplied year is 2025.</x:v>
      </x:c>
      <x:c r="W439" s="14"/>
      <x:c r="X439" s="14" t="str">
        <x:v>Included</x:v>
      </x:c>
      <x:c r="Y439" s="14"/>
      <x:c r="Z439" s="14" t="str">
        <x:v>The Power of Parker.docx</x:v>
      </x:c>
      <x:c r="AA439" s="14" t="str">
        <x:v>HYPERLINK is not implemented. linkLocation=https://www.imdb.com/title/tt26627660/fullcredits/,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1</x:v>
      </x:c>
      <x:c r="BS439" s="16" t="n">
        <x:v>0.08333333333333333</x:v>
      </x:c>
      <x:c r="BT439" s="14" t="str">
        <x:v>One episode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4" t="str">
        <x:v>HYPERLINK is not implemented. linkLocation=https://www.imdb.com/title/tt26627660/fullcredits/,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tt26627660|nm0057598|bob</x:v>
      </x:c>
      <x:c r="B440" s="14" t="str">
        <x:v>05</x:v>
      </x:c>
      <x:c r="C440" s="14" t="str">
        <x:v>2023_IMDb_Cast_Lists_Batch_05(2).xlsx</x:v>
      </x:c>
      <x:c r="D440" s="14" t="str">
        <x:v>The Power of Parker</x:v>
      </x:c>
      <x:c r="E440" s="14" t="n">
        <x:v>51</x:v>
      </x:c>
      <x:c r="F440" s="14" t="str">
        <x:v>The Power of Parker</x:v>
      </x:c>
      <x:c r="G440" s="14" t="str">
        <x:v>tt26627660</x:v>
      </x:c>
      <x:c r="H440" s="14" t="n">
        <x:v>2023</x:v>
      </x:c>
      <x:c r="I440" s="14" t="n">
        <x:v>2025</x:v>
      </x:c>
      <x:c r="J440" s="14" t="str">
        <x:v>Earlier-Production Carry-In Cohort</x:v>
      </x:c>
      <x:c r="K440" s="14" t="n">
        <x:v>2023</x:v>
      </x:c>
      <x:c r="L440" s="14" t="str">
        <x:v>Not inherited</x:v>
      </x:c>
      <x:c r="M440" s="15" t="n">
        <x:v>44</x:v>
      </x:c>
      <x:c r="N440" s="14" t="str">
        <x:v>Ian Barritt</x:v>
      </x:c>
      <x:c r="O440" s="14" t="str">
        <x:v>nm0057598</x:v>
      </x:c>
      <x:c r="P440" s="14" t="str">
        <x:v>Bob</x:v>
      </x:c>
      <x:c r="Q440" s="15" t="n">
        <x:v>1</x:v>
      </x:c>
      <x:c r="R440" s="14" t="str">
        <x:v>2025</x:v>
      </x:c>
      <x:c r="S440" s="14" t="n">
        <x:v>2025</x:v>
      </x:c>
      <x:c r="T440" s="14" t="n">
        <x:v>2025</x:v>
      </x:c>
      <x:c r="U440" s="14" t="str">
        <x:v>Explicit source first year retained</x:v>
      </x:c>
      <x:c r="V440" s="14" t="str">
        <x:v>Earliest supplied year is 2025.</x:v>
      </x:c>
      <x:c r="W440" s="14"/>
      <x:c r="X440" s="14" t="str">
        <x:v>Included</x:v>
      </x:c>
      <x:c r="Y440" s="14"/>
      <x:c r="Z440" s="14" t="str">
        <x:v>The Power of Parker.docx</x:v>
      </x:c>
      <x:c r="AA440" s="14" t="str">
        <x:v>HYPERLINK is not implemented. linkLocation=https://www.imdb.com/title/tt26627660/fullcredits/,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0" s="14" t="str">
        <x:v>BBC public-service 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1</x:v>
      </x:c>
      <x:c r="BS440" s="16" t="n">
        <x:v>0.08333333333333333</x:v>
      </x:c>
      <x:c r="BT440" s="14" t="str">
        <x:v>One episode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4" t="str">
        <x:v>HYPERLINK is not implemented. linkLocation=https://www.imdb.com/title/tt26627660/fullcredits/,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tt26627660|nm0151064|chen</x:v>
      </x:c>
      <x:c r="B441" s="14" t="str">
        <x:v>05</x:v>
      </x:c>
      <x:c r="C441" s="14" t="str">
        <x:v>2023_IMDb_Cast_Lists_Batch_05(2).xlsx</x:v>
      </x:c>
      <x:c r="D441" s="14" t="str">
        <x:v>The Power of Parker</x:v>
      </x:c>
      <x:c r="E441" s="14" t="n">
        <x:v>53</x:v>
      </x:c>
      <x:c r="F441" s="14" t="str">
        <x:v>The Power of Parker</x:v>
      </x:c>
      <x:c r="G441" s="14" t="str">
        <x:v>tt26627660</x:v>
      </x:c>
      <x:c r="H441" s="14" t="n">
        <x:v>2023</x:v>
      </x:c>
      <x:c r="I441" s="14" t="n">
        <x:v>2025</x:v>
      </x:c>
      <x:c r="J441" s="14" t="str">
        <x:v>Earlier-Production Carry-In Cohort</x:v>
      </x:c>
      <x:c r="K441" s="14" t="n">
        <x:v>2023</x:v>
      </x:c>
      <x:c r="L441" s="14" t="str">
        <x:v>Not inherited</x:v>
      </x:c>
      <x:c r="M441" s="15" t="n">
        <x:v>46</x:v>
      </x:c>
      <x:c r="N441" s="14" t="str">
        <x:v>Paul Chan</x:v>
      </x:c>
      <x:c r="O441" s="14" t="str">
        <x:v>nm0151064</x:v>
      </x:c>
      <x:c r="P441" s="14" t="str">
        <x:v>Chen</x:v>
      </x:c>
      <x:c r="Q441" s="15" t="n">
        <x:v>1</x:v>
      </x:c>
      <x:c r="R441" s="14" t="str">
        <x:v>2025</x:v>
      </x:c>
      <x:c r="S441" s="14" t="n">
        <x:v>2025</x:v>
      </x:c>
      <x:c r="T441" s="14" t="n">
        <x:v>2025</x:v>
      </x:c>
      <x:c r="U441" s="14" t="str">
        <x:v>Explicit source first year retained</x:v>
      </x:c>
      <x:c r="V441" s="14" t="str">
        <x:v>Earliest supplied year is 2025.</x:v>
      </x:c>
      <x:c r="W441" s="14"/>
      <x:c r="X441" s="14" t="str">
        <x:v>Included</x:v>
      </x:c>
      <x:c r="Y441" s="14"/>
      <x:c r="Z441" s="14" t="str">
        <x:v>The Power of Parker.docx</x:v>
      </x:c>
      <x:c r="AA441" s="14" t="str">
        <x:v>HYPERLINK is not implemented. linkLocation=https://www.imdb.com/title/tt26627660/fullcredits/,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1" s="14" t="str">
        <x:v>BBC public-service 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1</x:v>
      </x:c>
      <x:c r="BS441" s="16" t="n">
        <x:v>0.08333333333333333</x:v>
      </x:c>
      <x:c r="BT441" s="14" t="str">
        <x:v>One episode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4" t="str">
        <x:v>HYPERLINK is not implemented. linkLocation=https://www.imdb.com/title/tt26627660/fullcredits/,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tt26627660|nm16499868|dale</x:v>
      </x:c>
      <x:c r="B442" s="14" t="str">
        <x:v>05</x:v>
      </x:c>
      <x:c r="C442" s="14" t="str">
        <x:v>2023_IMDb_Cast_Lists_Batch_05(2).xlsx</x:v>
      </x:c>
      <x:c r="D442" s="14" t="str">
        <x:v>The Power of Parker</x:v>
      </x:c>
      <x:c r="E442" s="14" t="n">
        <x:v>54</x:v>
      </x:c>
      <x:c r="F442" s="14" t="str">
        <x:v>The Power of Parker</x:v>
      </x:c>
      <x:c r="G442" s="14" t="str">
        <x:v>tt26627660</x:v>
      </x:c>
      <x:c r="H442" s="14" t="n">
        <x:v>2023</x:v>
      </x:c>
      <x:c r="I442" s="14" t="n">
        <x:v>2025</x:v>
      </x:c>
      <x:c r="J442" s="14" t="str">
        <x:v>Earlier-Production Carry-In Cohort</x:v>
      </x:c>
      <x:c r="K442" s="14" t="n">
        <x:v>2023</x:v>
      </x:c>
      <x:c r="L442" s="14" t="str">
        <x:v>Not inherited</x:v>
      </x:c>
      <x:c r="M442" s="15" t="n">
        <x:v>47</x:v>
      </x:c>
      <x:c r="N442" s="14" t="str">
        <x:v>Tom Lawrinson</x:v>
      </x:c>
      <x:c r="O442" s="14" t="str">
        <x:v>nm16499868</x:v>
      </x:c>
      <x:c r="P442" s="14" t="str">
        <x:v>Dale</x:v>
      </x:c>
      <x:c r="Q442" s="15" t="n">
        <x:v>1</x:v>
      </x:c>
      <x:c r="R442" s="14" t="str">
        <x:v>2025</x:v>
      </x:c>
      <x:c r="S442" s="14" t="n">
        <x:v>2025</x:v>
      </x:c>
      <x:c r="T442" s="14" t="n">
        <x:v>2025</x:v>
      </x:c>
      <x:c r="U442" s="14" t="str">
        <x:v>Explicit source first year retained</x:v>
      </x:c>
      <x:c r="V442" s="14" t="str">
        <x:v>Earliest supplied year is 2025.</x:v>
      </x:c>
      <x:c r="W442" s="14"/>
      <x:c r="X442" s="14" t="str">
        <x:v>Included</x:v>
      </x:c>
      <x:c r="Y442" s="14"/>
      <x:c r="Z442" s="14" t="str">
        <x:v>The Power of Parker.docx</x:v>
      </x:c>
      <x:c r="AA442" s="14" t="str">
        <x:v>HYPERLINK is not implemented. linkLocation=https://www.imdb.com/title/tt26627660/fullcredits/,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2" s="14" t="str">
        <x:v>BBC public-service 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1</x:v>
      </x:c>
      <x:c r="BS442" s="16" t="n">
        <x:v>0.08333333333333333</x:v>
      </x:c>
      <x:c r="BT442" s="14" t="str">
        <x:v>One episode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4" t="str">
        <x:v>HYPERLINK is not implemented. linkLocation=https://www.imdb.com/title/tt26627660/fullcredits/,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tt26627660|nm0059260|uncle dennis</x:v>
      </x:c>
      <x:c r="B443" s="14" t="str">
        <x:v>05</x:v>
      </x:c>
      <x:c r="C443" s="14" t="str">
        <x:v>2023_IMDb_Cast_Lists_Batch_05(2).xlsx</x:v>
      </x:c>
      <x:c r="D443" s="14" t="str">
        <x:v>The Power of Parker</x:v>
      </x:c>
      <x:c r="E443" s="14" t="n">
        <x:v>55</x:v>
      </x:c>
      <x:c r="F443" s="14" t="str">
        <x:v>The Power of Parker</x:v>
      </x:c>
      <x:c r="G443" s="14" t="str">
        <x:v>tt26627660</x:v>
      </x:c>
      <x:c r="H443" s="14" t="n">
        <x:v>2023</x:v>
      </x:c>
      <x:c r="I443" s="14" t="n">
        <x:v>2025</x:v>
      </x:c>
      <x:c r="J443" s="14" t="str">
        <x:v>Earlier-Production Carry-In Cohort</x:v>
      </x:c>
      <x:c r="K443" s="14" t="n">
        <x:v>2023</x:v>
      </x:c>
      <x:c r="L443" s="14" t="str">
        <x:v>Not inherited</x:v>
      </x:c>
      <x:c r="M443" s="15" t="n">
        <x:v>48</x:v>
      </x:c>
      <x:c r="N443" s="14" t="str">
        <x:v>Tony Barton</x:v>
      </x:c>
      <x:c r="O443" s="14" t="str">
        <x:v>nm0059260</x:v>
      </x:c>
      <x:c r="P443" s="14" t="str">
        <x:v>Uncle Dennis</x:v>
      </x:c>
      <x:c r="Q443" s="15" t="n">
        <x:v>1</x:v>
      </x:c>
      <x:c r="R443" s="14" t="str">
        <x:v>2025</x:v>
      </x:c>
      <x:c r="S443" s="14" t="n">
        <x:v>2025</x:v>
      </x:c>
      <x:c r="T443" s="14" t="n">
        <x:v>2025</x:v>
      </x:c>
      <x:c r="U443" s="14" t="str">
        <x:v>Explicit source first year retained</x:v>
      </x:c>
      <x:c r="V443" s="14" t="str">
        <x:v>Earliest supplied year is 2025.</x:v>
      </x:c>
      <x:c r="W443" s="14"/>
      <x:c r="X443" s="14" t="str">
        <x:v>Included</x:v>
      </x:c>
      <x:c r="Y443" s="14"/>
      <x:c r="Z443" s="14" t="str">
        <x:v>The Power of Parker.docx</x:v>
      </x:c>
      <x:c r="AA443" s="14" t="str">
        <x:v>HYPERLINK is not implemented. linkLocation=https://www.imdb.com/title/tt26627660/fullcredits/,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3" s="14" t="str">
        <x:v>BBC public-service 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1</x:v>
      </x:c>
      <x:c r="BS443" s="16" t="n">
        <x:v>0.08333333333333333</x:v>
      </x:c>
      <x:c r="BT443" s="14" t="str">
        <x:v>One episode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4" t="str">
        <x:v>HYPERLINK is not implemented. linkLocation=https://www.imdb.com/title/tt26627660/fullcredits/,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tt26627660|nm1853095|hua</x:v>
      </x:c>
      <x:c r="B444" s="14" t="str">
        <x:v>05</x:v>
      </x:c>
      <x:c r="C444" s="14" t="str">
        <x:v>2023_IMDb_Cast_Lists_Batch_05(2).xlsx</x:v>
      </x:c>
      <x:c r="D444" s="14" t="str">
        <x:v>The Power of Parker</x:v>
      </x:c>
      <x:c r="E444" s="14" t="n">
        <x:v>56</x:v>
      </x:c>
      <x:c r="F444" s="14" t="str">
        <x:v>The Power of Parker</x:v>
      </x:c>
      <x:c r="G444" s="14" t="str">
        <x:v>tt26627660</x:v>
      </x:c>
      <x:c r="H444" s="14" t="n">
        <x:v>2023</x:v>
      </x:c>
      <x:c r="I444" s="14" t="n">
        <x:v>2025</x:v>
      </x:c>
      <x:c r="J444" s="14" t="str">
        <x:v>Earlier-Production Carry-In Cohort</x:v>
      </x:c>
      <x:c r="K444" s="14" t="n">
        <x:v>2023</x:v>
      </x:c>
      <x:c r="L444" s="14" t="str">
        <x:v>Not inherited</x:v>
      </x:c>
      <x:c r="M444" s="15" t="n">
        <x:v>49</x:v>
      </x:c>
      <x:c r="N444" s="14" t="str">
        <x:v>Grace Fan</x:v>
      </x:c>
      <x:c r="O444" s="14" t="str">
        <x:v>nm1853095</x:v>
      </x:c>
      <x:c r="P444" s="14" t="str">
        <x:v>Hua</x:v>
      </x:c>
      <x:c r="Q444" s="15" t="n">
        <x:v>1</x:v>
      </x:c>
      <x:c r="R444" s="14" t="str">
        <x:v>2025</x:v>
      </x:c>
      <x:c r="S444" s="14" t="n">
        <x:v>2025</x:v>
      </x:c>
      <x:c r="T444" s="14" t="n">
        <x:v>2025</x:v>
      </x:c>
      <x:c r="U444" s="14" t="str">
        <x:v>Explicit source first year retained</x:v>
      </x:c>
      <x:c r="V444" s="14" t="str">
        <x:v>Earliest supplied year is 2025.</x:v>
      </x:c>
      <x:c r="W444" s="14"/>
      <x:c r="X444" s="14" t="str">
        <x:v>Included</x:v>
      </x:c>
      <x:c r="Y444" s="14"/>
      <x:c r="Z444" s="14" t="str">
        <x:v>The Power of Parker.docx</x:v>
      </x:c>
      <x:c r="AA444" s="14" t="str">
        <x:v>HYPERLINK is not implemented. linkLocation=https://www.imdb.com/title/tt26627660/fullcredits/,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4" s="14" t="str">
        <x:v>BBC public-service 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1</x:v>
      </x:c>
      <x:c r="BS444" s="16" t="n">
        <x:v>0.08333333333333333</x:v>
      </x:c>
      <x:c r="BT444" s="14" t="str">
        <x:v>One episode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4" t="str">
        <x:v>HYPERLINK is not implemented. linkLocation=https://www.imdb.com/title/tt26627660/fullcredits/,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tt26627660|nm2026454|mc colin rooney</x:v>
      </x:c>
      <x:c r="B445" s="14" t="str">
        <x:v>05</x:v>
      </x:c>
      <x:c r="C445" s="14" t="str">
        <x:v>2023_IMDb_Cast_Lists_Batch_05(2).xlsx</x:v>
      </x:c>
      <x:c r="D445" s="14" t="str">
        <x:v>The Power of Parker</x:v>
      </x:c>
      <x:c r="E445" s="14" t="n">
        <x:v>57</x:v>
      </x:c>
      <x:c r="F445" s="14" t="str">
        <x:v>The Power of Parker</x:v>
      </x:c>
      <x:c r="G445" s="14" t="str">
        <x:v>tt26627660</x:v>
      </x:c>
      <x:c r="H445" s="14" t="n">
        <x:v>2023</x:v>
      </x:c>
      <x:c r="I445" s="14" t="n">
        <x:v>2025</x:v>
      </x:c>
      <x:c r="J445" s="14" t="str">
        <x:v>Earlier-Production Carry-In Cohort</x:v>
      </x:c>
      <x:c r="K445" s="14" t="n">
        <x:v>2023</x:v>
      </x:c>
      <x:c r="L445" s="14" t="str">
        <x:v>Not inherited</x:v>
      </x:c>
      <x:c r="M445" s="15" t="n">
        <x:v>50</x:v>
      </x:c>
      <x:c r="N445" s="14" t="str">
        <x:v>Robin Colvill</x:v>
      </x:c>
      <x:c r="O445" s="14" t="str">
        <x:v>nm2026454</x:v>
      </x:c>
      <x:c r="P445" s="14" t="str">
        <x:v>MC Colin Rooney</x:v>
      </x:c>
      <x:c r="Q445" s="15" t="n">
        <x:v>1</x:v>
      </x:c>
      <x:c r="R445" s="14" t="str">
        <x:v>2025</x:v>
      </x:c>
      <x:c r="S445" s="14" t="n">
        <x:v>2025</x:v>
      </x:c>
      <x:c r="T445" s="14" t="n">
        <x:v>2025</x:v>
      </x:c>
      <x:c r="U445" s="14" t="str">
        <x:v>Explicit source first year retained</x:v>
      </x:c>
      <x:c r="V445" s="14" t="str">
        <x:v>Earliest supplied year is 2025.</x:v>
      </x:c>
      <x:c r="W445" s="14"/>
      <x:c r="X445" s="14" t="str">
        <x:v>Included</x:v>
      </x:c>
      <x:c r="Y445" s="14"/>
      <x:c r="Z445" s="14" t="str">
        <x:v>The Power of Parker.docx</x:v>
      </x:c>
      <x:c r="AA445" s="14" t="str">
        <x:v>HYPERLINK is not implemented. linkLocation=https://www.imdb.com/title/tt26627660/fullcredits/,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HYPERLINK("https://en.wikipedia.org/wiki/The_Power_of_Parker","Open source")</x:f>
        <x:v>HYPERLINK is not implemented. linkLocation=https://en.wikipedia.org/wiki/The_Power_of_Parker, friendlyName=Open source</x:v>
      </x:c>
      <x:c r="AN445" s="14" t="str">
        <x:v>BBC public-service 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1</x:v>
      </x:c>
      <x:c r="BS445" s="16" t="n">
        <x:v>0.08333333333333333</x:v>
      </x:c>
      <x:c r="BT445" s="14" t="str">
        <x:v>One episode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4" t="str">
        <x:v>HYPERLINK is not implemented. linkLocation=https://www.imdb.com/title/tt26627660/fullcredits/,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tt15792042|nm14669558|harry</x:v>
      </x:c>
      <x:c r="B446" s="14" t="str">
        <x:v>01</x:v>
      </x:c>
      <x:c r="C446" s="14" t="str">
        <x:v>2022_IMDb_Cast_Lists_Batch_01(1).xlsx</x:v>
      </x:c>
      <x:c r="D446" s="14" t="str">
        <x:v>Am I Being Unreasonable?</x:v>
      </x:c>
      <x:c r="E446" s="14" t="n">
        <x:v>20</x:v>
      </x:c>
      <x:c r="F446" s="14" t="str">
        <x:v>Am I Being Unreasonable?</x:v>
      </x:c>
      <x:c r="G446" s="14" t="str">
        <x:v>tt15792042</x:v>
      </x:c>
      <x:c r="H446" s="14" t="n">
        <x:v>2022</x:v>
      </x:c>
      <x:c r="I446" s="14" t="n">
        <x:v>2025</x:v>
      </x:c>
      <x:c r="J446" s="14" t="str">
        <x:v>Earlier-Production Carry-In Cohort</x:v>
      </x:c>
      <x:c r="K446" s="14" t="n">
        <x:v>2022</x:v>
      </x:c>
      <x:c r="L446" s="14" t="str">
        <x:v>Not inherited</x:v>
      </x:c>
      <x:c r="M446" s="15" t="n">
        <x:v>13</x:v>
      </x:c>
      <x:c r="N446" s="14" t="str">
        <x:v>Ankido Hussen</x:v>
      </x:c>
      <x:c r="O446" s="14" t="str">
        <x:v>nm14669558</x:v>
      </x:c>
      <x:c r="P446" s="14" t="str">
        <x:v>Harry</x:v>
      </x:c>
      <x:c r="Q446" s="15" t="n">
        <x:v>6</x:v>
      </x:c>
      <x:c r="R446" s="14" t="str">
        <x:v>2025</x:v>
      </x:c>
      <x:c r="S446" s="14" t="n">
        <x:v>2025</x:v>
      </x:c>
      <x:c r="T446" s="14" t="n">
        <x:v>2025</x:v>
      </x:c>
      <x:c r="U446" s="14" t="str">
        <x:v>Explicit source first year retained</x:v>
      </x:c>
      <x:c r="V446" s="14" t="str">
        <x:v>Earliest supplied year is 2025.</x:v>
      </x:c>
      <x:c r="W446" s="14"/>
      <x:c r="X446" s="14" t="str">
        <x:v>Included</x:v>
      </x:c>
      <x:c r="Y446" s="14"/>
      <x:c r="Z446" s="14" t="str">
        <x:v>Am I Being Unreasonable.docx</x:v>
      </x:c>
      <x:c r="AA446" s="14" t="str">
        <x:v>HYPERLINK is not implemented. linkLocation=https://www.imdb.com/title/tt15792042/fullcredits/,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6" s="14" t="str">
        <x:v>BBC public-service 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6</x:v>
      </x:c>
      <x:c r="BS446" s="16" t="n">
        <x:v>0.5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4" t="str">
        <x:v>HYPERLINK is not implemented. linkLocation=https://www.imdb.com/title/tt15792042/fullcredits/,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tt15792042|nm7350296|jurgen / lee 'kurtan' mucklowe</x:v>
      </x:c>
      <x:c r="B447" s="14" t="str">
        <x:v>01</x:v>
      </x:c>
      <x:c r="C447" s="14" t="str">
        <x:v>2022_IMDb_Cast_Lists_Batch_01(1).xlsx</x:v>
      </x:c>
      <x:c r="D447" s="14" t="str">
        <x:v>Am I Being Unreasonable?</x:v>
      </x:c>
      <x:c r="E447" s="14" t="n">
        <x:v>21</x:v>
      </x:c>
      <x:c r="F447" s="14" t="str">
        <x:v>Am I Being Unreasonable?</x:v>
      </x:c>
      <x:c r="G447" s="14" t="str">
        <x:v>tt15792042</x:v>
      </x:c>
      <x:c r="H447" s="14" t="n">
        <x:v>2022</x:v>
      </x:c>
      <x:c r="I447" s="14" t="n">
        <x:v>2025</x:v>
      </x:c>
      <x:c r="J447" s="14" t="str">
        <x:v>Earlier-Production Carry-In Cohort</x:v>
      </x:c>
      <x:c r="K447" s="14" t="n">
        <x:v>2022</x:v>
      </x:c>
      <x:c r="L447" s="14" t="str">
        <x:v>Not inherited</x:v>
      </x:c>
      <x:c r="M447" s="15" t="n">
        <x:v>14</x:v>
      </x:c>
      <x:c r="N447" s="14" t="str">
        <x:v>Charlie Cooper</x:v>
      </x:c>
      <x:c r="O447" s="14" t="str">
        <x:v>nm7350296</x:v>
      </x:c>
      <x:c r="P447" s="14" t="str">
        <x:v>Jurgen / Lee 'Kurtan' Mucklowe</x:v>
      </x:c>
      <x:c r="Q447" s="15" t="n">
        <x:v>5</x:v>
      </x:c>
      <x:c r="R447" s="14" t="str">
        <x:v>2025</x:v>
      </x:c>
      <x:c r="S447" s="14" t="n">
        <x:v>2025</x:v>
      </x:c>
      <x:c r="T447" s="14" t="n">
        <x:v>2025</x:v>
      </x:c>
      <x:c r="U447" s="14" t="str">
        <x:v>Explicit source first year retained</x:v>
      </x:c>
      <x:c r="V447" s="14" t="str">
        <x:v>Earliest supplied year is 2025.</x:v>
      </x:c>
      <x:c r="W447" s="14"/>
      <x:c r="X447" s="14" t="str">
        <x:v>Included</x:v>
      </x:c>
      <x:c r="Y447" s="14"/>
      <x:c r="Z447" s="14" t="str">
        <x:v>Am I Being Unreasonable.docx</x:v>
      </x:c>
      <x:c r="AA447" s="14" t="str">
        <x:v>HYPERLINK is not implemented. linkLocation=https://www.imdb.com/title/tt15792042/fullcredits/,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7" s="14" t="str">
        <x:v>BBC public-service 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5</x:v>
      </x:c>
      <x:c r="BS447" s="16" t="n">
        <x:v>0.4166666666666667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4" t="str">
        <x:v>HYPERLINK is not implemented. linkLocation=https://www.imdb.com/title/tt15792042/fullcredits/,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tt15792042|nm0085244|daphne</x:v>
      </x:c>
      <x:c r="B448" s="14" t="str">
        <x:v>01</x:v>
      </x:c>
      <x:c r="C448" s="14" t="str">
        <x:v>2022_IMDb_Cast_Lists_Batch_01(1).xlsx</x:v>
      </x:c>
      <x:c r="D448" s="14" t="str">
        <x:v>Am I Being Unreasonable?</x:v>
      </x:c>
      <x:c r="E448" s="14" t="n">
        <x:v>22</x:v>
      </x:c>
      <x:c r="F448" s="14" t="str">
        <x:v>Am I Being Unreasonable?</x:v>
      </x:c>
      <x:c r="G448" s="14" t="str">
        <x:v>tt15792042</x:v>
      </x:c>
      <x:c r="H448" s="14" t="n">
        <x:v>2022</x:v>
      </x:c>
      <x:c r="I448" s="14" t="n">
        <x:v>2025</x:v>
      </x:c>
      <x:c r="J448" s="14" t="str">
        <x:v>Earlier-Production Carry-In Cohort</x:v>
      </x:c>
      <x:c r="K448" s="14" t="n">
        <x:v>2022</x:v>
      </x:c>
      <x:c r="L448" s="14" t="str">
        <x:v>Not inherited</x:v>
      </x:c>
      <x:c r="M448" s="15" t="n">
        <x:v>15</x:v>
      </x:c>
      <x:c r="N448" s="14" t="str">
        <x:v>Denise Black</x:v>
      </x:c>
      <x:c r="O448" s="14" t="str">
        <x:v>nm0085244</x:v>
      </x:c>
      <x:c r="P448" s="14" t="str">
        <x:v>Daphne</x:v>
      </x:c>
      <x:c r="Q448" s="15" t="n">
        <x:v>5</x:v>
      </x:c>
      <x:c r="R448" s="14" t="str">
        <x:v>2025</x:v>
      </x:c>
      <x:c r="S448" s="14" t="n">
        <x:v>2025</x:v>
      </x:c>
      <x:c r="T448" s="14" t="n">
        <x:v>2025</x:v>
      </x:c>
      <x:c r="U448" s="14" t="str">
        <x:v>Explicit source first year retained</x:v>
      </x:c>
      <x:c r="V448" s="14" t="str">
        <x:v>Earliest supplied year is 2025.</x:v>
      </x:c>
      <x:c r="W448" s="14"/>
      <x:c r="X448" s="14" t="str">
        <x:v>Included</x:v>
      </x:c>
      <x:c r="Y448" s="14"/>
      <x:c r="Z448" s="14" t="str">
        <x:v>Am I Being Unreasonable.docx</x:v>
      </x:c>
      <x:c r="AA448" s="14" t="str">
        <x:v>HYPERLINK is not implemented. linkLocation=https://www.imdb.com/title/tt15792042/fullcredits/, friendlyName=Open source</x:v>
      </x:c>
      <x:c r="AB448" s="14" t="str">
        <x:v>Existing established-register match</x:v>
      </x:c>
      <x:c r="AC448" s="14" t="str">
        <x:v>Physical disability</x:v>
      </x:c>
      <x:c r="AD448" s="14" t="str">
        <x:v>Existing register classification: Physical disability</x:v>
      </x:c>
      <x:c r="AE448" s="14" t="str">
        <x:v>Established_Disability_Category_Register V1.2.xlsx</x:v>
      </x:c>
      <x:c r="AF448" s="14"/>
      <x:c r="AG448" s="14" t="str">
        <x:v>Established user-supplied classification retained for deduplication; evidence was not re-researched in this batch.</x:v>
      </x:c>
      <x:c r="AH448" s="14" t="str">
        <x:v>BBC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8" s="14" t="str">
        <x:v>BBC public-service 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 t="str">
        <x:v>Exact IMDb performer ID match</x:v>
      </x:c>
      <x:c r="AT448" s="14" t="str">
        <x:v>nm0085244</x:v>
      </x:c>
      <x:c r="AU448" s="14" t="str">
        <x:v>Physical disability</x:v>
      </x:c>
      <x:c r="AV448" s="14" t="str">
        <x:v>Yes</x:v>
      </x:c>
      <x:c r="AW448" s="14" t="str">
        <x:v>Physical disability</x:v>
      </x:c>
      <x:c r="AX448" s="14" t="str">
        <x:v>No</x:v>
      </x:c>
      <x:c r="AY448" s="14" t="str">
        <x:v>Matched</x:v>
      </x:c>
      <x:c r="AZ448" s="14" t="str">
        <x:v>Final supplied register</x:v>
      </x:c>
      <x:c r="BA448" s="14"/>
      <x:c r="BB448" s="14" t="str">
        <x:v>Exact IMDb performer ID match</x:v>
      </x:c>
      <x:c r="BC448" s="14" t="str">
        <x:v>nm0085244</x:v>
      </x:c>
      <x:c r="BD448" s="14" t="str">
        <x:v>Denise Black</x:v>
      </x:c>
      <x:c r="BE448" s="14" t="str">
        <x:v>Physical disability</x:v>
      </x:c>
      <x:c r="BF448" s="14" t="str">
        <x:v>Yes</x:v>
      </x:c>
      <x:c r="BG448" s="14" t="str">
        <x:v>Physical disability</x:v>
      </x:c>
      <x:c r="BH448" s="14" t="str">
        <x:v>No</x:v>
      </x:c>
      <x:c r="BI448" s="14" t="str">
        <x:v>User-supplied established classification</x:v>
      </x:c>
      <x:c r="BJ448" s="14" t="str">
        <x:v>04_Physical_disability.csv</x:v>
      </x:c>
      <x:c r="BK448" s="14"/>
      <x:c r="BL448" s="14" t="str">
        <x:v>Matched</x:v>
      </x:c>
      <x:c r="BM448" s="14" t="str">
        <x:v>Final supplied register</x:v>
      </x:c>
      <x:c r="BN448" s="14"/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5</x:v>
      </x:c>
      <x:c r="BS448" s="16" t="n">
        <x:v>0.4166666666666667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4" t="str">
        <x:v>HYPERLINK is not implemented. linkLocation=https://www.imdb.com/title/tt15792042/fullcredits/,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tt15792042|nm9895064|mr. woodbead</x:v>
      </x:c>
      <x:c r="B449" s="14" t="str">
        <x:v>01</x:v>
      </x:c>
      <x:c r="C449" s="14" t="str">
        <x:v>2022_IMDb_Cast_Lists_Batch_01(1).xlsx</x:v>
      </x:c>
      <x:c r="D449" s="14" t="str">
        <x:v>Am I Being Unreasonable?</x:v>
      </x:c>
      <x:c r="E449" s="14" t="n">
        <x:v>32</x:v>
      </x:c>
      <x:c r="F449" s="14" t="str">
        <x:v>Am I Being Unreasonable?</x:v>
      </x:c>
      <x:c r="G449" s="14" t="str">
        <x:v>tt15792042</x:v>
      </x:c>
      <x:c r="H449" s="14" t="n">
        <x:v>2022</x:v>
      </x:c>
      <x:c r="I449" s="14" t="n">
        <x:v>2025</x:v>
      </x:c>
      <x:c r="J449" s="14" t="str">
        <x:v>Earlier-Production Carry-In Cohort</x:v>
      </x:c>
      <x:c r="K449" s="14" t="n">
        <x:v>2022</x:v>
      </x:c>
      <x:c r="L449" s="14" t="str">
        <x:v>Not inherited</x:v>
      </x:c>
      <x:c r="M449" s="15" t="n">
        <x:v>25</x:v>
      </x:c>
      <x:c r="N449" s="14" t="str">
        <x:v>Kojey Radical</x:v>
      </x:c>
      <x:c r="O449" s="14" t="str">
        <x:v>nm9895064</x:v>
      </x:c>
      <x:c r="P449" s="14" t="str">
        <x:v>Mr. Woodbead</x:v>
      </x:c>
      <x:c r="Q449" s="15" t="n">
        <x:v>3</x:v>
      </x:c>
      <x:c r="R449" s="14" t="str">
        <x:v>2025</x:v>
      </x:c>
      <x:c r="S449" s="14" t="n">
        <x:v>2025</x:v>
      </x:c>
      <x:c r="T449" s="14" t="n">
        <x:v>2025</x:v>
      </x:c>
      <x:c r="U449" s="14" t="str">
        <x:v>Explicit source first year retained</x:v>
      </x:c>
      <x:c r="V449" s="14" t="str">
        <x:v>Earliest supplied year is 2025.</x:v>
      </x:c>
      <x:c r="W449" s="14"/>
      <x:c r="X449" s="14" t="str">
        <x:v>Included</x:v>
      </x:c>
      <x:c r="Y449" s="14"/>
      <x:c r="Z449" s="14" t="str">
        <x:v>Am I Being Unreasonable.docx</x:v>
      </x:c>
      <x:c r="AA449" s="14" t="str">
        <x:v>HYPERLINK is not implemented. linkLocation=https://www.imdb.com/title/tt15792042/fullcredits/,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49" s="14" t="str">
        <x:v>BBC public-service 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3</x:v>
      </x:c>
      <x:c r="BS449" s="16" t="n">
        <x:v>0.25</x:v>
      </x:c>
      <x:c r="BT449" s="14" t="str">
        <x:v>Minority of episodes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4" t="str">
        <x:v>HYPERLINK is not implemented. linkLocation=https://www.imdb.com/title/tt15792042/fullcredits/,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tt15792042|nm11198654|skellis performer</x:v>
      </x:c>
      <x:c r="B450" s="14" t="str">
        <x:v>01</x:v>
      </x:c>
      <x:c r="C450" s="14" t="str">
        <x:v>2022_IMDb_Cast_Lists_Batch_01(1).xlsx</x:v>
      </x:c>
      <x:c r="D450" s="14" t="str">
        <x:v>Am I Being Unreasonable?</x:v>
      </x:c>
      <x:c r="E450" s="14" t="n">
        <x:v>33</x:v>
      </x:c>
      <x:c r="F450" s="14" t="str">
        <x:v>Am I Being Unreasonable?</x:v>
      </x:c>
      <x:c r="G450" s="14" t="str">
        <x:v>tt15792042</x:v>
      </x:c>
      <x:c r="H450" s="14" t="n">
        <x:v>2022</x:v>
      </x:c>
      <x:c r="I450" s="14" t="n">
        <x:v>2025</x:v>
      </x:c>
      <x:c r="J450" s="14" t="str">
        <x:v>Earlier-Production Carry-In Cohort</x:v>
      </x:c>
      <x:c r="K450" s="14" t="n">
        <x:v>2022</x:v>
      </x:c>
      <x:c r="L450" s="14" t="str">
        <x:v>Not inherited</x:v>
      </x:c>
      <x:c r="M450" s="15" t="n">
        <x:v>26</x:v>
      </x:c>
      <x:c r="N450" s="14" t="str">
        <x:v>Nick Tiernan</x:v>
      </x:c>
      <x:c r="O450" s="14" t="str">
        <x:v>nm11198654</x:v>
      </x:c>
      <x:c r="P450" s="14" t="str">
        <x:v>Skellis Performer</x:v>
      </x:c>
      <x:c r="Q450" s="15" t="n">
        <x:v>3</x:v>
      </x:c>
      <x:c r="R450" s="14" t="str">
        <x:v>2025</x:v>
      </x:c>
      <x:c r="S450" s="14" t="n">
        <x:v>2025</x:v>
      </x:c>
      <x:c r="T450" s="14" t="n">
        <x:v>2025</x:v>
      </x:c>
      <x:c r="U450" s="14" t="str">
        <x:v>Explicit source first year retained</x:v>
      </x:c>
      <x:c r="V450" s="14" t="str">
        <x:v>Earliest supplied year is 2025.</x:v>
      </x:c>
      <x:c r="W450" s="14"/>
      <x:c r="X450" s="14" t="str">
        <x:v>Included</x:v>
      </x:c>
      <x:c r="Y450" s="14"/>
      <x:c r="Z450" s="14" t="str">
        <x:v>Am I Being Unreasonable.docx</x:v>
      </x:c>
      <x:c r="AA450" s="14" t="str">
        <x:v>HYPERLINK is not implemented. linkLocation=https://www.imdb.com/title/tt15792042/fullcredits/,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0" s="14" t="str">
        <x:v>BBC public-service 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3</x:v>
      </x:c>
      <x:c r="BS450" s="16" t="n">
        <x:v>0.25</x:v>
      </x:c>
      <x:c r="BT450" s="14" t="str">
        <x:v>Minority of episodes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4" t="str">
        <x:v>HYPERLINK is not implemented. linkLocation=https://www.imdb.com/title/tt15792042/fullcredits/,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tt15792042|nm2003229|therapist</x:v>
      </x:c>
      <x:c r="B451" s="14" t="str">
        <x:v>01</x:v>
      </x:c>
      <x:c r="C451" s="14" t="str">
        <x:v>2022_IMDb_Cast_Lists_Batch_01(1).xlsx</x:v>
      </x:c>
      <x:c r="D451" s="14" t="str">
        <x:v>Am I Being Unreasonable?</x:v>
      </x:c>
      <x:c r="E451" s="14" t="n">
        <x:v>36</x:v>
      </x:c>
      <x:c r="F451" s="14" t="str">
        <x:v>Am I Being Unreasonable?</x:v>
      </x:c>
      <x:c r="G451" s="14" t="str">
        <x:v>tt15792042</x:v>
      </x:c>
      <x:c r="H451" s="14" t="n">
        <x:v>2022</x:v>
      </x:c>
      <x:c r="I451" s="14" t="n">
        <x:v>2025</x:v>
      </x:c>
      <x:c r="J451" s="14" t="str">
        <x:v>Earlier-Production Carry-In Cohort</x:v>
      </x:c>
      <x:c r="K451" s="14" t="n">
        <x:v>2022</x:v>
      </x:c>
      <x:c r="L451" s="14" t="str">
        <x:v>Not inherited</x:v>
      </x:c>
      <x:c r="M451" s="15" t="n">
        <x:v>29</x:v>
      </x:c>
      <x:c r="N451" s="14" t="str">
        <x:v>Chelsea Peretti</x:v>
      </x:c>
      <x:c r="O451" s="14" t="str">
        <x:v>nm2003229</x:v>
      </x:c>
      <x:c r="P451" s="14" t="str">
        <x:v>Therapist</x:v>
      </x:c>
      <x:c r="Q451" s="15" t="n">
        <x:v>2</x:v>
      </x:c>
      <x:c r="R451" s="14" t="str">
        <x:v>2025</x:v>
      </x:c>
      <x:c r="S451" s="14" t="n">
        <x:v>2025</x:v>
      </x:c>
      <x:c r="T451" s="14" t="n">
        <x:v>2025</x:v>
      </x:c>
      <x:c r="U451" s="14" t="str">
        <x:v>Explicit source first year retained</x:v>
      </x:c>
      <x:c r="V451" s="14" t="str">
        <x:v>Earliest supplied year is 2025.</x:v>
      </x:c>
      <x:c r="W451" s="14"/>
      <x:c r="X451" s="14" t="str">
        <x:v>Included</x:v>
      </x:c>
      <x:c r="Y451" s="14"/>
      <x:c r="Z451" s="14" t="str">
        <x:v>Am I Being Unreasonable.docx</x:v>
      </x:c>
      <x:c r="AA451" s="14" t="str">
        <x:v>HYPERLINK is not implemented. linkLocation=https://www.imdb.com/title/tt15792042/fullcredits/,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1" s="14" t="str">
        <x:v>BBC public-service 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2</x:v>
      </x:c>
      <x:c r="BS451" s="16" t="n">
        <x:v>0.16666666666666666</x:v>
      </x:c>
      <x:c r="BT451" s="14" t="str">
        <x:v>Minority of episodes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4" t="str">
        <x:v>HYPERLINK is not implemented. linkLocation=https://www.imdb.com/title/tt15792042/fullcredits/,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tt15792042|nm4269084|taxi driver</x:v>
      </x:c>
      <x:c r="B452" s="14" t="str">
        <x:v>01</x:v>
      </x:c>
      <x:c r="C452" s="14" t="str">
        <x:v>2022_IMDb_Cast_Lists_Batch_01(1).xlsx</x:v>
      </x:c>
      <x:c r="D452" s="14" t="str">
        <x:v>Am I Being Unreasonable?</x:v>
      </x:c>
      <x:c r="E452" s="14" t="n">
        <x:v>38</x:v>
      </x:c>
      <x:c r="F452" s="14" t="str">
        <x:v>Am I Being Unreasonable?</x:v>
      </x:c>
      <x:c r="G452" s="14" t="str">
        <x:v>tt15792042</x:v>
      </x:c>
      <x:c r="H452" s="14" t="n">
        <x:v>2022</x:v>
      </x:c>
      <x:c r="I452" s="14" t="n">
        <x:v>2025</x:v>
      </x:c>
      <x:c r="J452" s="14" t="str">
        <x:v>Earlier-Production Carry-In Cohort</x:v>
      </x:c>
      <x:c r="K452" s="14" t="n">
        <x:v>2022</x:v>
      </x:c>
      <x:c r="L452" s="14" t="str">
        <x:v>Not inherited</x:v>
      </x:c>
      <x:c r="M452" s="15" t="n">
        <x:v>31</x:v>
      </x:c>
      <x:c r="N452" s="14" t="str">
        <x:v>Tom Davis</x:v>
      </x:c>
      <x:c r="O452" s="14" t="str">
        <x:v>nm4269084</x:v>
      </x:c>
      <x:c r="P452" s="14" t="str">
        <x:v>Taxi Driver</x:v>
      </x:c>
      <x:c r="Q452" s="15" t="n">
        <x:v>1</x:v>
      </x:c>
      <x:c r="R452" s="14" t="str">
        <x:v>2025</x:v>
      </x:c>
      <x:c r="S452" s="14" t="n">
        <x:v>2025</x:v>
      </x:c>
      <x:c r="T452" s="14" t="n">
        <x:v>2025</x:v>
      </x:c>
      <x:c r="U452" s="14" t="str">
        <x:v>Explicit source first year retained</x:v>
      </x:c>
      <x:c r="V452" s="14" t="str">
        <x:v>Earliest supplied year is 2025.</x:v>
      </x:c>
      <x:c r="W452" s="14"/>
      <x:c r="X452" s="14" t="str">
        <x:v>Included</x:v>
      </x:c>
      <x:c r="Y452" s="14"/>
      <x:c r="Z452" s="14" t="str">
        <x:v>Am I Being Unreasonable.docx</x:v>
      </x:c>
      <x:c r="AA452" s="14" t="str">
        <x:v>HYPERLINK is not implemented. linkLocation=https://www.imdb.com/title/tt15792042/fullcredits/,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2" s="14" t="str">
        <x:v>BBC public-service 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4" t="str">
        <x:v>HYPERLINK is not implemented. linkLocation=https://www.imdb.com/title/tt15792042/fullcredits/,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tt15792042|nm15330262|nurse</x:v>
      </x:c>
      <x:c r="B453" s="14" t="str">
        <x:v>01</x:v>
      </x:c>
      <x:c r="C453" s="14" t="str">
        <x:v>2022_IMDb_Cast_Lists_Batch_01(1).xlsx</x:v>
      </x:c>
      <x:c r="D453" s="14" t="str">
        <x:v>Am I Being Unreasonable?</x:v>
      </x:c>
      <x:c r="E453" s="14" t="n">
        <x:v>40</x:v>
      </x:c>
      <x:c r="F453" s="14" t="str">
        <x:v>Am I Being Unreasonable?</x:v>
      </x:c>
      <x:c r="G453" s="14" t="str">
        <x:v>tt15792042</x:v>
      </x:c>
      <x:c r="H453" s="14" t="n">
        <x:v>2022</x:v>
      </x:c>
      <x:c r="I453" s="14" t="n">
        <x:v>2025</x:v>
      </x:c>
      <x:c r="J453" s="14" t="str">
        <x:v>Earlier-Production Carry-In Cohort</x:v>
      </x:c>
      <x:c r="K453" s="14" t="n">
        <x:v>2022</x:v>
      </x:c>
      <x:c r="L453" s="14" t="str">
        <x:v>Not inherited</x:v>
      </x:c>
      <x:c r="M453" s="15" t="n">
        <x:v>33</x:v>
      </x:c>
      <x:c r="N453" s="14" t="str">
        <x:v>Fowzia Madar</x:v>
      </x:c>
      <x:c r="O453" s="14" t="str">
        <x:v>nm15330262</x:v>
      </x:c>
      <x:c r="P453" s="14" t="str">
        <x:v>Nurse</x:v>
      </x:c>
      <x:c r="Q453" s="15" t="n">
        <x:v>1</x:v>
      </x:c>
      <x:c r="R453" s="14" t="str">
        <x:v>2025</x:v>
      </x:c>
      <x:c r="S453" s="14" t="n">
        <x:v>2025</x:v>
      </x:c>
      <x:c r="T453" s="14" t="n">
        <x:v>2025</x:v>
      </x:c>
      <x:c r="U453" s="14" t="str">
        <x:v>Explicit source first year retained</x:v>
      </x:c>
      <x:c r="V453" s="14" t="str">
        <x:v>Earliest supplied year is 2025.</x:v>
      </x:c>
      <x:c r="W453" s="14"/>
      <x:c r="X453" s="14" t="str">
        <x:v>Included</x:v>
      </x:c>
      <x:c r="Y453" s="14"/>
      <x:c r="Z453" s="14" t="str">
        <x:v>Am I Being Unreasonable.docx</x:v>
      </x:c>
      <x:c r="AA453" s="14" t="str">
        <x:v>HYPERLINK is not implemented. linkLocation=https://www.imdb.com/title/tt15792042/fullcredits/,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3" s="14" t="str">
        <x:v>BBC public-service 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4" t="str">
        <x:v>HYPERLINK is not implemented. linkLocation=https://www.imdb.com/title/tt15792042/fullcredits/,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tt15792042|nm8314674|hotel worker</x:v>
      </x:c>
      <x:c r="B454" s="14" t="str">
        <x:v>01</x:v>
      </x:c>
      <x:c r="C454" s="14" t="str">
        <x:v>2022_IMDb_Cast_Lists_Batch_01(1).xlsx</x:v>
      </x:c>
      <x:c r="D454" s="14" t="str">
        <x:v>Am I Being Unreasonable?</x:v>
      </x:c>
      <x:c r="E454" s="14" t="n">
        <x:v>41</x:v>
      </x:c>
      <x:c r="F454" s="14" t="str">
        <x:v>Am I Being Unreasonable?</x:v>
      </x:c>
      <x:c r="G454" s="14" t="str">
        <x:v>tt15792042</x:v>
      </x:c>
      <x:c r="H454" s="14" t="n">
        <x:v>2022</x:v>
      </x:c>
      <x:c r="I454" s="14" t="n">
        <x:v>2025</x:v>
      </x:c>
      <x:c r="J454" s="14" t="str">
        <x:v>Earlier-Production Carry-In Cohort</x:v>
      </x:c>
      <x:c r="K454" s="14" t="n">
        <x:v>2022</x:v>
      </x:c>
      <x:c r="L454" s="14" t="str">
        <x:v>Not inherited</x:v>
      </x:c>
      <x:c r="M454" s="15" t="n">
        <x:v>34</x:v>
      </x:c>
      <x:c r="N454" s="14" t="str">
        <x:v>Jamali Maddix</x:v>
      </x:c>
      <x:c r="O454" s="14" t="str">
        <x:v>nm8314674</x:v>
      </x:c>
      <x:c r="P454" s="14" t="str">
        <x:v>Hotel Worker</x:v>
      </x:c>
      <x:c r="Q454" s="15" t="n">
        <x:v>1</x:v>
      </x:c>
      <x:c r="R454" s="14" t="str">
        <x:v>2025</x:v>
      </x:c>
      <x:c r="S454" s="14" t="n">
        <x:v>2025</x:v>
      </x:c>
      <x:c r="T454" s="14" t="n">
        <x:v>2025</x:v>
      </x:c>
      <x:c r="U454" s="14" t="str">
        <x:v>Explicit source first year retained</x:v>
      </x:c>
      <x:c r="V454" s="14" t="str">
        <x:v>Earliest supplied year is 2025.</x:v>
      </x:c>
      <x:c r="W454" s="14"/>
      <x:c r="X454" s="14" t="str">
        <x:v>Included</x:v>
      </x:c>
      <x:c r="Y454" s="14"/>
      <x:c r="Z454" s="14" t="str">
        <x:v>Am I Being Unreasonable.docx</x:v>
      </x:c>
      <x:c r="AA454" s="14" t="str">
        <x:v>HYPERLINK is not implemented. linkLocation=https://www.imdb.com/title/tt15792042/fullcredits/,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4" s="14" t="str">
        <x:v>BBC public-service 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4" t="str">
        <x:v>HYPERLINK is not implemented. linkLocation=https://www.imdb.com/title/tt15792042/fullcredits/,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tt15792042|nm0253126|sky engineer</x:v>
      </x:c>
      <x:c r="B455" s="14" t="str">
        <x:v>01</x:v>
      </x:c>
      <x:c r="C455" s="14" t="str">
        <x:v>2022_IMDb_Cast_Lists_Batch_01(1).xlsx</x:v>
      </x:c>
      <x:c r="D455" s="14" t="str">
        <x:v>Am I Being Unreasonable?</x:v>
      </x:c>
      <x:c r="E455" s="14" t="n">
        <x:v>46</x:v>
      </x:c>
      <x:c r="F455" s="14" t="str">
        <x:v>Am I Being Unreasonable?</x:v>
      </x:c>
      <x:c r="G455" s="14" t="str">
        <x:v>tt15792042</x:v>
      </x:c>
      <x:c r="H455" s="14" t="n">
        <x:v>2022</x:v>
      </x:c>
      <x:c r="I455" s="14" t="n">
        <x:v>2025</x:v>
      </x:c>
      <x:c r="J455" s="14" t="str">
        <x:v>Earlier-Production Carry-In Cohort</x:v>
      </x:c>
      <x:c r="K455" s="14" t="n">
        <x:v>2022</x:v>
      </x:c>
      <x:c r="L455" s="14" t="str">
        <x:v>Not inherited</x:v>
      </x:c>
      <x:c r="M455" s="15" t="n">
        <x:v>39</x:v>
      </x:c>
      <x:c r="N455" s="14" t="str">
        <x:v>Kevin Eldon</x:v>
      </x:c>
      <x:c r="O455" s="14" t="str">
        <x:v>nm0253126</x:v>
      </x:c>
      <x:c r="P455" s="14" t="str">
        <x:v>Sky Engineer</x:v>
      </x:c>
      <x:c r="Q455" s="15" t="n">
        <x:v>1</x:v>
      </x:c>
      <x:c r="R455" s="14" t="str">
        <x:v>2025</x:v>
      </x:c>
      <x:c r="S455" s="14" t="n">
        <x:v>2025</x:v>
      </x:c>
      <x:c r="T455" s="14" t="n">
        <x:v>2025</x:v>
      </x:c>
      <x:c r="U455" s="14" t="str">
        <x:v>Explicit source first year retained</x:v>
      </x:c>
      <x:c r="V455" s="14" t="str">
        <x:v>Earliest supplied year is 2025.</x:v>
      </x:c>
      <x:c r="W455" s="14"/>
      <x:c r="X455" s="14" t="str">
        <x:v>Included</x:v>
      </x:c>
      <x:c r="Y455" s="14"/>
      <x:c r="Z455" s="14" t="str">
        <x:v>Am I Being Unreasonable.docx</x:v>
      </x:c>
      <x:c r="AA455" s="14" t="str">
        <x:v>HYPERLINK is not implemented. linkLocation=https://www.imdb.com/title/tt15792042/fullcredits/,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5" s="14" t="str">
        <x:v>BBC public-service 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4" t="str">
        <x:v>HYPERLINK is not implemented. linkLocation=https://www.imdb.com/title/tt15792042/fullcredits/,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tt15792042|nm3764470|witch trial parent</x:v>
      </x:c>
      <x:c r="B456" s="14" t="str">
        <x:v>01</x:v>
      </x:c>
      <x:c r="C456" s="14" t="str">
        <x:v>2022_IMDb_Cast_Lists_Batch_01(1).xlsx</x:v>
      </x:c>
      <x:c r="D456" s="14" t="str">
        <x:v>Am I Being Unreasonable?</x:v>
      </x:c>
      <x:c r="E456" s="14" t="n">
        <x:v>47</x:v>
      </x:c>
      <x:c r="F456" s="14" t="str">
        <x:v>Am I Being Unreasonable?</x:v>
      </x:c>
      <x:c r="G456" s="14" t="str">
        <x:v>tt15792042</x:v>
      </x:c>
      <x:c r="H456" s="14" t="n">
        <x:v>2022</x:v>
      </x:c>
      <x:c r="I456" s="14" t="n">
        <x:v>2025</x:v>
      </x:c>
      <x:c r="J456" s="14" t="str">
        <x:v>Earlier-Production Carry-In Cohort</x:v>
      </x:c>
      <x:c r="K456" s="14" t="n">
        <x:v>2022</x:v>
      </x:c>
      <x:c r="L456" s="14" t="str">
        <x:v>Not inherited</x:v>
      </x:c>
      <x:c r="M456" s="15" t="n">
        <x:v>40</x:v>
      </x:c>
      <x:c r="N456" s="14" t="str">
        <x:v>Richard Price</x:v>
      </x:c>
      <x:c r="O456" s="14" t="str">
        <x:v>nm3764470</x:v>
      </x:c>
      <x:c r="P456" s="14" t="str">
        <x:v>Witch Trial Parent</x:v>
      </x:c>
      <x:c r="Q456" s="15" t="n">
        <x:v>1</x:v>
      </x:c>
      <x:c r="R456" s="14" t="str">
        <x:v>2025</x:v>
      </x:c>
      <x:c r="S456" s="14" t="n">
        <x:v>2025</x:v>
      </x:c>
      <x:c r="T456" s="14" t="n">
        <x:v>2025</x:v>
      </x:c>
      <x:c r="U456" s="14" t="str">
        <x:v>Explicit source first year retained</x:v>
      </x:c>
      <x:c r="V456" s="14" t="str">
        <x:v>Earliest supplied year is 2025.</x:v>
      </x:c>
      <x:c r="W456" s="14"/>
      <x:c r="X456" s="14" t="str">
        <x:v>Included</x:v>
      </x:c>
      <x:c r="Y456" s="14"/>
      <x:c r="Z456" s="14" t="str">
        <x:v>Am I Being Unreasonable.docx</x:v>
      </x:c>
      <x:c r="AA456" s="14" t="str">
        <x:v>HYPERLINK is not implemented. linkLocation=https://www.imdb.com/title/tt15792042/fullcredits/, friendlyName=Open source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BBC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6" s="14" t="str">
        <x:v>BBC public-service 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 t="str">
        <x:v>No established-register match</x:v>
      </x:c>
      <x:c r="AT456" s="14"/>
      <x:c r="AU456" s="14"/>
      <x:c r="AV456" s="14" t="str">
        <x:v>No established apparent-disability match</x:v>
      </x:c>
      <x:c r="AW456" s="14"/>
      <x:c r="AX456" s="14" t="str">
        <x:v>No</x:v>
      </x:c>
      <x:c r="AY456" s="14" t="str">
        <x:v>Unmatched</x:v>
      </x:c>
      <x:c r="AZ456" s="14" t="str">
        <x:v>Final supplied register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4" t="str">
        <x:v>HYPERLINK is not implemented. linkLocation=https://www.imdb.com/title/tt15792042/fullcredits/,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tt15792042|nm16756518|villager</x:v>
      </x:c>
      <x:c r="B457" s="14" t="str">
        <x:v>01</x:v>
      </x:c>
      <x:c r="C457" s="14" t="str">
        <x:v>2022_IMDb_Cast_Lists_Batch_01(1).xlsx</x:v>
      </x:c>
      <x:c r="D457" s="14" t="str">
        <x:v>Am I Being Unreasonable?</x:v>
      </x:c>
      <x:c r="E457" s="14" t="n">
        <x:v>48</x:v>
      </x:c>
      <x:c r="F457" s="14" t="str">
        <x:v>Am I Being Unreasonable?</x:v>
      </x:c>
      <x:c r="G457" s="14" t="str">
        <x:v>tt15792042</x:v>
      </x:c>
      <x:c r="H457" s="14" t="n">
        <x:v>2022</x:v>
      </x:c>
      <x:c r="I457" s="14" t="n">
        <x:v>2025</x:v>
      </x:c>
      <x:c r="J457" s="14" t="str">
        <x:v>Earlier-Production Carry-In Cohort</x:v>
      </x:c>
      <x:c r="K457" s="14" t="n">
        <x:v>2022</x:v>
      </x:c>
      <x:c r="L457" s="14" t="str">
        <x:v>Not inherited</x:v>
      </x:c>
      <x:c r="M457" s="15" t="n">
        <x:v>41</x:v>
      </x:c>
      <x:c r="N457" s="14" t="str">
        <x:v>Steve Dixon</x:v>
      </x:c>
      <x:c r="O457" s="14" t="str">
        <x:v>nm16756518</x:v>
      </x:c>
      <x:c r="P457" s="14" t="str">
        <x:v>Villager</x:v>
      </x:c>
      <x:c r="Q457" s="15" t="n">
        <x:v>1</x:v>
      </x:c>
      <x:c r="R457" s="14" t="str">
        <x:v>2025</x:v>
      </x:c>
      <x:c r="S457" s="14" t="n">
        <x:v>2025</x:v>
      </x:c>
      <x:c r="T457" s="14" t="n">
        <x:v>2025</x:v>
      </x:c>
      <x:c r="U457" s="14" t="str">
        <x:v>Explicit source first year retained</x:v>
      </x:c>
      <x:c r="V457" s="14" t="str">
        <x:v>Earliest supplied year is 2025.</x:v>
      </x:c>
      <x:c r="W457" s="14"/>
      <x:c r="X457" s="14" t="str">
        <x:v>Included</x:v>
      </x:c>
      <x:c r="Y457" s="14"/>
      <x:c r="Z457" s="14" t="str">
        <x:v>Am I Being Unreasonable.docx</x:v>
      </x:c>
      <x:c r="AA457" s="14" t="str">
        <x:v>HYPERLINK is not implemented. linkLocation=https://www.imdb.com/title/tt15792042/fullcredits/,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7" s="14" t="str">
        <x:v>BBC public-service 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4" t="str">
        <x:v>HYPERLINK is not implemented. linkLocation=https://www.imdb.com/title/tt15792042/fullcredits/,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tt15792042|nm17011539|caretaker</x:v>
      </x:c>
      <x:c r="B458" s="14" t="str">
        <x:v>01</x:v>
      </x:c>
      <x:c r="C458" s="14" t="str">
        <x:v>2022_IMDb_Cast_Lists_Batch_01(1).xlsx</x:v>
      </x:c>
      <x:c r="D458" s="14" t="str">
        <x:v>Am I Being Unreasonable?</x:v>
      </x:c>
      <x:c r="E458" s="14" t="n">
        <x:v>49</x:v>
      </x:c>
      <x:c r="F458" s="14" t="str">
        <x:v>Am I Being Unreasonable?</x:v>
      </x:c>
      <x:c r="G458" s="14" t="str">
        <x:v>tt15792042</x:v>
      </x:c>
      <x:c r="H458" s="14" t="n">
        <x:v>2022</x:v>
      </x:c>
      <x:c r="I458" s="14" t="n">
        <x:v>2025</x:v>
      </x:c>
      <x:c r="J458" s="14" t="str">
        <x:v>Earlier-Production Carry-In Cohort</x:v>
      </x:c>
      <x:c r="K458" s="14" t="n">
        <x:v>2022</x:v>
      </x:c>
      <x:c r="L458" s="14" t="str">
        <x:v>Not inherited</x:v>
      </x:c>
      <x:c r="M458" s="15" t="n">
        <x:v>42</x:v>
      </x:c>
      <x:c r="N458" s="14" t="str">
        <x:v>Ant Huggins</x:v>
      </x:c>
      <x:c r="O458" s="14" t="str">
        <x:v>nm17011539</x:v>
      </x:c>
      <x:c r="P458" s="14" t="str">
        <x:v>Caretaker</x:v>
      </x:c>
      <x:c r="Q458" s="15" t="n">
        <x:v>1</x:v>
      </x:c>
      <x:c r="R458" s="14" t="str">
        <x:v>2025</x:v>
      </x:c>
      <x:c r="S458" s="14" t="n">
        <x:v>2025</x:v>
      </x:c>
      <x:c r="T458" s="14" t="n">
        <x:v>2025</x:v>
      </x:c>
      <x:c r="U458" s="14" t="str">
        <x:v>Explicit source first year retained</x:v>
      </x:c>
      <x:c r="V458" s="14" t="str">
        <x:v>Earliest supplied year is 2025.</x:v>
      </x:c>
      <x:c r="W458" s="14"/>
      <x:c r="X458" s="14" t="str">
        <x:v>Included</x:v>
      </x:c>
      <x:c r="Y458" s="14"/>
      <x:c r="Z458" s="14" t="str">
        <x:v>Am I Being Unreasonable.docx</x:v>
      </x:c>
      <x:c r="AA458" s="14" t="str">
        <x:v>HYPERLINK is not implemented. linkLocation=https://www.imdb.com/title/tt15792042/fullcredits/,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BBC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458" s="14" t="str">
        <x:v>BBC public-service commission</x:v>
      </x:c>
      <x:c r="AO458" s="14" t="str">
        <x:v>Yes</x:v>
      </x:c>
      <x:c r="AP458" s="14" t="str">
        <x:v>Direct BBC public-service scope</x:v>
      </x:c>
      <x:c r="AQ458" s="14" t="str">
        <x:v>Yes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4" t="str">
        <x:v>HYPERLINK is not implemented. linkLocation=https://www.imdb.com/title/tt15792042/fullcredits/,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tt13683866|nm3535066|eleanor</x:v>
      </x:c>
      <x:c r="B459" s="14" t="str">
        <x:v>01</x:v>
      </x:c>
      <x:c r="C459" s="14" t="str">
        <x:v>2022_IMDb_Cast_Lists_Batch_01(1).xlsx</x:v>
      </x:c>
      <x:c r="D459" s="14" t="str">
        <x:v>Big Boys</x:v>
      </x:c>
      <x:c r="E459" s="14" t="n">
        <x:v>25</x:v>
      </x:c>
      <x:c r="F459" s="14" t="str">
        <x:v>Big Boys</x:v>
      </x:c>
      <x:c r="G459" s="14" t="str">
        <x:v>tt13683866</x:v>
      </x:c>
      <x:c r="H459" s="14" t="n">
        <x:v>2022</x:v>
      </x:c>
      <x:c r="I459" s="14" t="n">
        <x:v>2025</x:v>
      </x:c>
      <x:c r="J459" s="14" t="str">
        <x:v>Earlier-Production Carry-In Cohort</x:v>
      </x:c>
      <x:c r="K459" s="14" t="n">
        <x:v>2022</x:v>
      </x:c>
      <x:c r="L459" s="14" t="str">
        <x:v>Not inherited</x:v>
      </x:c>
      <x:c r="M459" s="15" t="n">
        <x:v>18</x:v>
      </x:c>
      <x:c r="N459" s="14" t="str">
        <x:v>Nana Mensah</x:v>
      </x:c>
      <x:c r="O459" s="14" t="str">
        <x:v>nm3535066</x:v>
      </x:c>
      <x:c r="P459" s="14" t="str">
        <x:v>Eleanor</x:v>
      </x:c>
      <x:c r="Q459" s="15" t="n">
        <x:v>4</x:v>
      </x:c>
      <x:c r="R459" s="14" t="str">
        <x:v>2025</x:v>
      </x:c>
      <x:c r="S459" s="14" t="n">
        <x:v>2025</x:v>
      </x:c>
      <x:c r="T459" s="14" t="n">
        <x:v>2025</x:v>
      </x:c>
      <x:c r="U459" s="14" t="str">
        <x:v>Explicit source first year retained</x:v>
      </x:c>
      <x:c r="V459" s="14" t="str">
        <x:v>Earliest supplied year is 2025.</x:v>
      </x:c>
      <x:c r="W459" s="14"/>
      <x:c r="X459" s="14" t="str">
        <x:v>Included</x:v>
      </x:c>
      <x:c r="Y459" s="14"/>
      <x:c r="Z459" s="14" t="str">
        <x:v>Big Boys.docx</x:v>
      </x:c>
      <x:c r="AA459" s="14" t="str">
        <x:v>HYPERLINK is not implemented. linkLocation=https://www.imdb.com/title/tt13683866/fullcredits/,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Channel 4 / E4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HYPERLINK("https://en.wikipedia.org/wiki/Big_Boy","Open source")</x:f>
        <x:v>HYPERLINK is not implemented. linkLocation=https://en.wikipedia.org/wiki/Big_Boy, friendlyName=Open source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18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4</x:v>
      </x:c>
      <x:c r="BS459" s="16" t="n">
        <x:v>0.2222222222222222</x:v>
      </x:c>
      <x:c r="BT459" s="14" t="str">
        <x:v>Minority of episodes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4" t="str">
        <x:v>HYPERLINK is not implemented. linkLocation=https://www.imdb.com/title/tt13683866/fullcredits/,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tt13683866|nm9148037|andrew</x:v>
      </x:c>
      <x:c r="B460" s="14" t="str">
        <x:v>01</x:v>
      </x:c>
      <x:c r="C460" s="14" t="str">
        <x:v>2022_IMDb_Cast_Lists_Batch_01(1).xlsx</x:v>
      </x:c>
      <x:c r="D460" s="14" t="str">
        <x:v>Big Boys</x:v>
      </x:c>
      <x:c r="E460" s="14" t="n">
        <x:v>59</x:v>
      </x:c>
      <x:c r="F460" s="14" t="str">
        <x:v>Big Boys</x:v>
      </x:c>
      <x:c r="G460" s="14" t="str">
        <x:v>tt13683866</x:v>
      </x:c>
      <x:c r="H460" s="14" t="n">
        <x:v>2022</x:v>
      </x:c>
      <x:c r="I460" s="14" t="n">
        <x:v>2025</x:v>
      </x:c>
      <x:c r="J460" s="14" t="str">
        <x:v>Earlier-Production Carry-In Cohort</x:v>
      </x:c>
      <x:c r="K460" s="14" t="n">
        <x:v>2022</x:v>
      </x:c>
      <x:c r="L460" s="14" t="str">
        <x:v>Not inherited</x:v>
      </x:c>
      <x:c r="M460" s="15" t="n">
        <x:v>52</x:v>
      </x:c>
      <x:c r="N460" s="14" t="str">
        <x:v>Ralph Davis</x:v>
      </x:c>
      <x:c r="O460" s="14" t="str">
        <x:v>nm9148037</x:v>
      </x:c>
      <x:c r="P460" s="14" t="str">
        <x:v>Andrew</x:v>
      </x:c>
      <x:c r="Q460" s="15" t="n">
        <x:v>1</x:v>
      </x:c>
      <x:c r="R460" s="14" t="str">
        <x:v>2025</x:v>
      </x:c>
      <x:c r="S460" s="14" t="n">
        <x:v>2025</x:v>
      </x:c>
      <x:c r="T460" s="14" t="n">
        <x:v>2025</x:v>
      </x:c>
      <x:c r="U460" s="14" t="str">
        <x:v>Explicit source first year retained</x:v>
      </x:c>
      <x:c r="V460" s="14" t="str">
        <x:v>Earliest supplied year is 2025.</x:v>
      </x:c>
      <x:c r="W460" s="14"/>
      <x:c r="X460" s="14" t="str">
        <x:v>Included</x:v>
      </x:c>
      <x:c r="Y460" s="14"/>
      <x:c r="Z460" s="14" t="str">
        <x:v>Big Boys.docx</x:v>
      </x:c>
      <x:c r="AA460" s="14" t="str">
        <x:v>HYPERLINK is not implemented. linkLocation=https://www.imdb.com/title/tt13683866/fullcredits/,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Channel 4 / E4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HYPERLINK("https://en.wikipedia.org/wiki/Big_Boy","Open source")</x:f>
        <x:v>HYPERLINK is not implemented. linkLocation=https://en.wikipedia.org/wiki/Big_Boy, friendlyName=Open source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18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0.05555555555555555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4" t="str">
        <x:v>HYPERLINK is not implemented. linkLocation=https://www.imdb.com/title/tt13683866/fullcredits/,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tt13683866|nm0358641|alison hammond</x:v>
      </x:c>
      <x:c r="B461" s="14" t="str">
        <x:v>01</x:v>
      </x:c>
      <x:c r="C461" s="14" t="str">
        <x:v>2022_IMDb_Cast_Lists_Batch_01(1).xlsx</x:v>
      </x:c>
      <x:c r="D461" s="14" t="str">
        <x:v>Big Boys</x:v>
      </x:c>
      <x:c r="E461" s="14" t="n">
        <x:v>60</x:v>
      </x:c>
      <x:c r="F461" s="14" t="str">
        <x:v>Big Boys</x:v>
      </x:c>
      <x:c r="G461" s="14" t="str">
        <x:v>tt13683866</x:v>
      </x:c>
      <x:c r="H461" s="14" t="n">
        <x:v>2022</x:v>
      </x:c>
      <x:c r="I461" s="14" t="n">
        <x:v>2025</x:v>
      </x:c>
      <x:c r="J461" s="14" t="str">
        <x:v>Earlier-Production Carry-In Cohort</x:v>
      </x:c>
      <x:c r="K461" s="14" t="n">
        <x:v>2022</x:v>
      </x:c>
      <x:c r="L461" s="14" t="str">
        <x:v>Not inherited</x:v>
      </x:c>
      <x:c r="M461" s="15" t="n">
        <x:v>53</x:v>
      </x:c>
      <x:c r="N461" s="14" t="str">
        <x:v>Alison Hammond</x:v>
      </x:c>
      <x:c r="O461" s="14" t="str">
        <x:v>nm0358641</x:v>
      </x:c>
      <x:c r="P461" s="14" t="str">
        <x:v>Alison Hammond</x:v>
      </x:c>
      <x:c r="Q461" s="15" t="n">
        <x:v>1</x:v>
      </x:c>
      <x:c r="R461" s="14" t="str">
        <x:v>2025</x:v>
      </x:c>
      <x:c r="S461" s="14" t="n">
        <x:v>2025</x:v>
      </x:c>
      <x:c r="T461" s="14" t="n">
        <x:v>2025</x:v>
      </x:c>
      <x:c r="U461" s="14" t="str">
        <x:v>Explicit source first year retained</x:v>
      </x:c>
      <x:c r="V461" s="14" t="str">
        <x:v>Earliest supplied year is 2025.</x:v>
      </x:c>
      <x:c r="W461" s="14"/>
      <x:c r="X461" s="14" t="str">
        <x:v>Included</x:v>
      </x:c>
      <x:c r="Y461" s="14"/>
      <x:c r="Z461" s="14" t="str">
        <x:v>Big Boys.docx</x:v>
      </x:c>
      <x:c r="AA461" s="14" t="str">
        <x:v>HYPERLINK is not implemented. linkLocation=https://www.imdb.com/title/tt13683866/fullcredits/,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Channel 4 / E4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HYPERLINK("https://en.wikipedia.org/wiki/Big_Boy","Open source")</x:f>
        <x:v>HYPERLINK is not implemented. linkLocation=https://en.wikipedia.org/wiki/Big_Boy, friendlyName=Open source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18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0.05555555555555555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4" t="str">
        <x:v>HYPERLINK is not implemented. linkLocation=https://www.imdb.com/title/tt13683866/fullcredits/,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tt13683866|nm0184588|eileen</x:v>
      </x:c>
      <x:c r="B462" s="14" t="str">
        <x:v>01</x:v>
      </x:c>
      <x:c r="C462" s="14" t="str">
        <x:v>2022_IMDb_Cast_Lists_Batch_01(1).xlsx</x:v>
      </x:c>
      <x:c r="D462" s="14" t="str">
        <x:v>Big Boys</x:v>
      </x:c>
      <x:c r="E462" s="14" t="n">
        <x:v>61</x:v>
      </x:c>
      <x:c r="F462" s="14" t="str">
        <x:v>Big Boys</x:v>
      </x:c>
      <x:c r="G462" s="14" t="str">
        <x:v>tt13683866</x:v>
      </x:c>
      <x:c r="H462" s="14" t="n">
        <x:v>2022</x:v>
      </x:c>
      <x:c r="I462" s="14" t="n">
        <x:v>2025</x:v>
      </x:c>
      <x:c r="J462" s="14" t="str">
        <x:v>Earlier-Production Carry-In Cohort</x:v>
      </x:c>
      <x:c r="K462" s="14" t="n">
        <x:v>2022</x:v>
      </x:c>
      <x:c r="L462" s="14" t="str">
        <x:v>Not inherited</x:v>
      </x:c>
      <x:c r="M462" s="15" t="n">
        <x:v>54</x:v>
      </x:c>
      <x:c r="N462" s="14" t="str">
        <x:v>Juliet Cowan</x:v>
      </x:c>
      <x:c r="O462" s="14" t="str">
        <x:v>nm0184588</x:v>
      </x:c>
      <x:c r="P462" s="14" t="str">
        <x:v>Eileen</x:v>
      </x:c>
      <x:c r="Q462" s="15" t="n">
        <x:v>1</x:v>
      </x:c>
      <x:c r="R462" s="14" t="str">
        <x:v>2025</x:v>
      </x:c>
      <x:c r="S462" s="14" t="n">
        <x:v>2025</x:v>
      </x:c>
      <x:c r="T462" s="14" t="n">
        <x:v>2025</x:v>
      </x:c>
      <x:c r="U462" s="14" t="str">
        <x:v>Explicit source first year retained</x:v>
      </x:c>
      <x:c r="V462" s="14" t="str">
        <x:v>Earliest supplied year is 2025.</x:v>
      </x:c>
      <x:c r="W462" s="14"/>
      <x:c r="X462" s="14" t="str">
        <x:v>Included</x:v>
      </x:c>
      <x:c r="Y462" s="14"/>
      <x:c r="Z462" s="14" t="str">
        <x:v>Big Boys.docx</x:v>
      </x:c>
      <x:c r="AA462" s="14" t="str">
        <x:v>HYPERLINK is not implemented. linkLocation=https://www.imdb.com/title/tt13683866/fullcredits/,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Channel 4 / E4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HYPERLINK("https://en.wikipedia.org/wiki/Big_Boy","Open source")</x:f>
        <x:v>HYPERLINK is not implemented. linkLocation=https://en.wikipedia.org/wiki/Big_Boy, friendlyName=Open source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18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0.05555555555555555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4" t="str">
        <x:v>HYPERLINK is not implemented. linkLocation=https://www.imdb.com/title/tt13683866/fullcredits/,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tt13683866|nm4720651|charity shop prue</x:v>
      </x:c>
      <x:c r="B463" s="14" t="str">
        <x:v>01</x:v>
      </x:c>
      <x:c r="C463" s="14" t="str">
        <x:v>2022_IMDb_Cast_Lists_Batch_01(1).xlsx</x:v>
      </x:c>
      <x:c r="D463" s="14" t="str">
        <x:v>Big Boys</x:v>
      </x:c>
      <x:c r="E463" s="14" t="n">
        <x:v>62</x:v>
      </x:c>
      <x:c r="F463" s="14" t="str">
        <x:v>Big Boys</x:v>
      </x:c>
      <x:c r="G463" s="14" t="str">
        <x:v>tt13683866</x:v>
      </x:c>
      <x:c r="H463" s="14" t="n">
        <x:v>2022</x:v>
      </x:c>
      <x:c r="I463" s="14" t="n">
        <x:v>2025</x:v>
      </x:c>
      <x:c r="J463" s="14" t="str">
        <x:v>Earlier-Production Carry-In Cohort</x:v>
      </x:c>
      <x:c r="K463" s="14" t="n">
        <x:v>2022</x:v>
      </x:c>
      <x:c r="L463" s="14" t="str">
        <x:v>Not inherited</x:v>
      </x:c>
      <x:c r="M463" s="15" t="n">
        <x:v>55</x:v>
      </x:c>
      <x:c r="N463" s="14" t="str">
        <x:v>Emma Sidi</x:v>
      </x:c>
      <x:c r="O463" s="14" t="str">
        <x:v>nm4720651</x:v>
      </x:c>
      <x:c r="P463" s="14" t="str">
        <x:v>Charity Shop Prue</x:v>
      </x:c>
      <x:c r="Q463" s="15" t="n">
        <x:v>1</x:v>
      </x:c>
      <x:c r="R463" s="14" t="str">
        <x:v>2025</x:v>
      </x:c>
      <x:c r="S463" s="14" t="n">
        <x:v>2025</x:v>
      </x:c>
      <x:c r="T463" s="14" t="n">
        <x:v>2025</x:v>
      </x:c>
      <x:c r="U463" s="14" t="str">
        <x:v>Explicit source first year retained</x:v>
      </x:c>
      <x:c r="V463" s="14" t="str">
        <x:v>Earliest supplied year is 2025.</x:v>
      </x:c>
      <x:c r="W463" s="14"/>
      <x:c r="X463" s="14" t="str">
        <x:v>Included</x:v>
      </x:c>
      <x:c r="Y463" s="14"/>
      <x:c r="Z463" s="14" t="str">
        <x:v>Big Boys.docx</x:v>
      </x:c>
      <x:c r="AA463" s="14" t="str">
        <x:v>HYPERLINK is not implemented. linkLocation=https://www.imdb.com/title/tt13683866/fullcredits/,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Channel 4 / E4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HYPERLINK("https://en.wikipedia.org/wiki/Big_Boy","Open source")</x:f>
        <x:v>HYPERLINK is not implemented. linkLocation=https://en.wikipedia.org/wiki/Big_Boy, friendlyName=Open source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18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0.05555555555555555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4" t="str">
        <x:v>HYPERLINK is not implemented. linkLocation=https://www.imdb.com/title/tt13683866/fullcredits/,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tt13683866|nm10568063|bamboo armitage</x:v>
      </x:c>
      <x:c r="B464" s="14" t="str">
        <x:v>01</x:v>
      </x:c>
      <x:c r="C464" s="14" t="str">
        <x:v>2022_IMDb_Cast_Lists_Batch_01(1).xlsx</x:v>
      </x:c>
      <x:c r="D464" s="14" t="str">
        <x:v>Big Boys</x:v>
      </x:c>
      <x:c r="E464" s="14" t="n">
        <x:v>63</x:v>
      </x:c>
      <x:c r="F464" s="14" t="str">
        <x:v>Big Boys</x:v>
      </x:c>
      <x:c r="G464" s="14" t="str">
        <x:v>tt13683866</x:v>
      </x:c>
      <x:c r="H464" s="14" t="n">
        <x:v>2022</x:v>
      </x:c>
      <x:c r="I464" s="14" t="n">
        <x:v>2025</x:v>
      </x:c>
      <x:c r="J464" s="14" t="str">
        <x:v>Earlier-Production Carry-In Cohort</x:v>
      </x:c>
      <x:c r="K464" s="14" t="n">
        <x:v>2022</x:v>
      </x:c>
      <x:c r="L464" s="14" t="str">
        <x:v>Not inherited</x:v>
      </x:c>
      <x:c r="M464" s="15" t="n">
        <x:v>56</x:v>
      </x:c>
      <x:c r="N464" s="14" t="str">
        <x:v>Will Hislop</x:v>
      </x:c>
      <x:c r="O464" s="14" t="str">
        <x:v>nm10568063</x:v>
      </x:c>
      <x:c r="P464" s="14" t="str">
        <x:v>Bamboo Armitage</x:v>
      </x:c>
      <x:c r="Q464" s="15" t="n">
        <x:v>1</x:v>
      </x:c>
      <x:c r="R464" s="14" t="str">
        <x:v>2025</x:v>
      </x:c>
      <x:c r="S464" s="14" t="n">
        <x:v>2025</x:v>
      </x:c>
      <x:c r="T464" s="14" t="n">
        <x:v>2025</x:v>
      </x:c>
      <x:c r="U464" s="14" t="str">
        <x:v>Explicit source first year retained</x:v>
      </x:c>
      <x:c r="V464" s="14" t="str">
        <x:v>Earliest supplied year is 2025.</x:v>
      </x:c>
      <x:c r="W464" s="14"/>
      <x:c r="X464" s="14" t="str">
        <x:v>Included</x:v>
      </x:c>
      <x:c r="Y464" s="14"/>
      <x:c r="Z464" s="14" t="str">
        <x:v>Big Boys.docx</x:v>
      </x:c>
      <x:c r="AA464" s="14" t="str">
        <x:v>HYPERLINK is not implemented. linkLocation=https://www.imdb.com/title/tt13683866/fullcredits/,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Channel 4 / E4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HYPERLINK("https://en.wikipedia.org/wiki/Big_Boy","Open source")</x:f>
        <x:v>HYPERLINK is not implemented. linkLocation=https://en.wikipedia.org/wiki/Big_Boy, friendlyName=Open source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18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0.05555555555555555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4" t="str">
        <x:v>HYPERLINK is not implemented. linkLocation=https://www.imdb.com/title/tt13683866/fullcredits/,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tt13683866|nm9391743|lucian the poet</x:v>
      </x:c>
      <x:c r="B465" s="14" t="str">
        <x:v>01</x:v>
      </x:c>
      <x:c r="C465" s="14" t="str">
        <x:v>2022_IMDb_Cast_Lists_Batch_01(1).xlsx</x:v>
      </x:c>
      <x:c r="D465" s="14" t="str">
        <x:v>Big Boys</x:v>
      </x:c>
      <x:c r="E465" s="14" t="n">
        <x:v>64</x:v>
      </x:c>
      <x:c r="F465" s="14" t="str">
        <x:v>Big Boys</x:v>
      </x:c>
      <x:c r="G465" s="14" t="str">
        <x:v>tt13683866</x:v>
      </x:c>
      <x:c r="H465" s="14" t="n">
        <x:v>2022</x:v>
      </x:c>
      <x:c r="I465" s="14" t="n">
        <x:v>2025</x:v>
      </x:c>
      <x:c r="J465" s="14" t="str">
        <x:v>Earlier-Production Carry-In Cohort</x:v>
      </x:c>
      <x:c r="K465" s="14" t="n">
        <x:v>2022</x:v>
      </x:c>
      <x:c r="L465" s="14" t="str">
        <x:v>Not inherited</x:v>
      </x:c>
      <x:c r="M465" s="15" t="n">
        <x:v>57</x:v>
      </x:c>
      <x:c r="N465" s="14" t="str">
        <x:v>Jim Caesar</x:v>
      </x:c>
      <x:c r="O465" s="14" t="str">
        <x:v>nm9391743</x:v>
      </x:c>
      <x:c r="P465" s="14" t="str">
        <x:v>Lucian the Poet</x:v>
      </x:c>
      <x:c r="Q465" s="15" t="n">
        <x:v>1</x:v>
      </x:c>
      <x:c r="R465" s="14" t="str">
        <x:v>2025</x:v>
      </x:c>
      <x:c r="S465" s="14" t="n">
        <x:v>2025</x:v>
      </x:c>
      <x:c r="T465" s="14" t="n">
        <x:v>2025</x:v>
      </x:c>
      <x:c r="U465" s="14" t="str">
        <x:v>Explicit source first year retained</x:v>
      </x:c>
      <x:c r="V465" s="14" t="str">
        <x:v>Earliest supplied year is 2025.</x:v>
      </x:c>
      <x:c r="W465" s="14"/>
      <x:c r="X465" s="14" t="str">
        <x:v>Included</x:v>
      </x:c>
      <x:c r="Y465" s="14"/>
      <x:c r="Z465" s="14" t="str">
        <x:v>Big Boys.docx</x:v>
      </x:c>
      <x:c r="AA465" s="14" t="str">
        <x:v>HYPERLINK is not implemented. linkLocation=https://www.imdb.com/title/tt13683866/fullcredits/,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Channel 4 / E4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HYPERLINK("https://en.wikipedia.org/wiki/Big_Boy","Open source")</x:f>
        <x:v>HYPERLINK is not implemented. linkLocation=https://en.wikipedia.org/wiki/Big_Boy, friendlyName=Open source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18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0.05555555555555555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4" t="str">
        <x:v>HYPERLINK is not implemented. linkLocation=https://www.imdb.com/title/tt13683866/fullcredits/,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tt13683866|nm8232759|university professor</x:v>
      </x:c>
      <x:c r="B466" s="14" t="str">
        <x:v>01</x:v>
      </x:c>
      <x:c r="C466" s="14" t="str">
        <x:v>2022_IMDb_Cast_Lists_Batch_01(1).xlsx</x:v>
      </x:c>
      <x:c r="D466" s="14" t="str">
        <x:v>Big Boys</x:v>
      </x:c>
      <x:c r="E466" s="14" t="n">
        <x:v>65</x:v>
      </x:c>
      <x:c r="F466" s="14" t="str">
        <x:v>Big Boys</x:v>
      </x:c>
      <x:c r="G466" s="14" t="str">
        <x:v>tt13683866</x:v>
      </x:c>
      <x:c r="H466" s="14" t="n">
        <x:v>2022</x:v>
      </x:c>
      <x:c r="I466" s="14" t="n">
        <x:v>2025</x:v>
      </x:c>
      <x:c r="J466" s="14" t="str">
        <x:v>Earlier-Production Carry-In Cohort</x:v>
      </x:c>
      <x:c r="K466" s="14" t="n">
        <x:v>2022</x:v>
      </x:c>
      <x:c r="L466" s="14" t="str">
        <x:v>Not inherited</x:v>
      </x:c>
      <x:c r="M466" s="15" t="n">
        <x:v>58</x:v>
      </x:c>
      <x:c r="N466" s="14" t="str">
        <x:v>John Heartstone</x:v>
      </x:c>
      <x:c r="O466" s="14" t="str">
        <x:v>nm8232759</x:v>
      </x:c>
      <x:c r="P466" s="14" t="str">
        <x:v>University professor</x:v>
      </x:c>
      <x:c r="Q466" s="15" t="n">
        <x:v>1</x:v>
      </x:c>
      <x:c r="R466" s="14" t="str">
        <x:v>2025</x:v>
      </x:c>
      <x:c r="S466" s="14" t="n">
        <x:v>2025</x:v>
      </x:c>
      <x:c r="T466" s="14" t="n">
        <x:v>2025</x:v>
      </x:c>
      <x:c r="U466" s="14" t="str">
        <x:v>Explicit source first year retained</x:v>
      </x:c>
      <x:c r="V466" s="14" t="str">
        <x:v>Earliest supplied year is 2025.</x:v>
      </x:c>
      <x:c r="W466" s="14"/>
      <x:c r="X466" s="14" t="str">
        <x:v>Included</x:v>
      </x:c>
      <x:c r="Y466" s="14"/>
      <x:c r="Z466" s="14" t="str">
        <x:v>Big Boys.docx</x:v>
      </x:c>
      <x:c r="AA466" s="14" t="str">
        <x:v>HYPERLINK is not implemented. linkLocation=https://www.imdb.com/title/tt13683866/fullcredits/,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Channel 4 / E4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HYPERLINK("https://en.wikipedia.org/wiki/Big_Boy","Open source")</x:f>
        <x:v>HYPERLINK is not implemented. linkLocation=https://en.wikipedia.org/wiki/Big_Boy, friendlyName=Open source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18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0.05555555555555555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4" t="str">
        <x:v>HYPERLINK is not implemented. linkLocation=https://www.imdb.com/title/tt13683866/fullcredits/,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tt13683866|nm1000807|neighbor</x:v>
      </x:c>
      <x:c r="B467" s="14" t="str">
        <x:v>01</x:v>
      </x:c>
      <x:c r="C467" s="14" t="str">
        <x:v>2022_IMDb_Cast_Lists_Batch_01(1).xlsx</x:v>
      </x:c>
      <x:c r="D467" s="14" t="str">
        <x:v>Big Boys</x:v>
      </x:c>
      <x:c r="E467" s="14" t="n">
        <x:v>66</x:v>
      </x:c>
      <x:c r="F467" s="14" t="str">
        <x:v>Big Boys</x:v>
      </x:c>
      <x:c r="G467" s="14" t="str">
        <x:v>tt13683866</x:v>
      </x:c>
      <x:c r="H467" s="14" t="n">
        <x:v>2022</x:v>
      </x:c>
      <x:c r="I467" s="14" t="n">
        <x:v>2025</x:v>
      </x:c>
      <x:c r="J467" s="14" t="str">
        <x:v>Earlier-Production Carry-In Cohort</x:v>
      </x:c>
      <x:c r="K467" s="14" t="n">
        <x:v>2022</x:v>
      </x:c>
      <x:c r="L467" s="14" t="str">
        <x:v>Not inherited</x:v>
      </x:c>
      <x:c r="M467" s="15" t="n">
        <x:v>59</x:v>
      </x:c>
      <x:c r="N467" s="14" t="str">
        <x:v>Anna-Maria Everett</x:v>
      </x:c>
      <x:c r="O467" s="14" t="str">
        <x:v>nm1000807</x:v>
      </x:c>
      <x:c r="P467" s="14" t="str">
        <x:v>Neighbor</x:v>
      </x:c>
      <x:c r="Q467" s="15" t="n">
        <x:v>1</x:v>
      </x:c>
      <x:c r="R467" s="14" t="str">
        <x:v>2025</x:v>
      </x:c>
      <x:c r="S467" s="14" t="n">
        <x:v>2025</x:v>
      </x:c>
      <x:c r="T467" s="14" t="n">
        <x:v>2025</x:v>
      </x:c>
      <x:c r="U467" s="14" t="str">
        <x:v>Explicit source first year retained</x:v>
      </x:c>
      <x:c r="V467" s="14" t="str">
        <x:v>Earliest supplied year is 2025.</x:v>
      </x:c>
      <x:c r="W467" s="14"/>
      <x:c r="X467" s="14" t="str">
        <x:v>Included</x:v>
      </x:c>
      <x:c r="Y467" s="14"/>
      <x:c r="Z467" s="14" t="str">
        <x:v>Big Boys.docx</x:v>
      </x:c>
      <x:c r="AA467" s="14" t="str">
        <x:v>HYPERLINK is not implemented. linkLocation=https://www.imdb.com/title/tt13683866/fullcredits/,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Channel 4 / E4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HYPERLINK("https://en.wikipedia.org/wiki/Big_Boy","Open source")</x:f>
        <x:v>HYPERLINK is not implemented. linkLocation=https://en.wikipedia.org/wiki/Big_Boy, friendlyName=Open source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18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0.05555555555555555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4" t="str">
        <x:v>HYPERLINK is not implemented. linkLocation=https://www.imdb.com/title/tt13683866/fullcredits/,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tt13683866|nm5098614|dimitri</x:v>
      </x:c>
      <x:c r="B468" s="14" t="str">
        <x:v>01</x:v>
      </x:c>
      <x:c r="C468" s="14" t="str">
        <x:v>2022_IMDb_Cast_Lists_Batch_01(1).xlsx</x:v>
      </x:c>
      <x:c r="D468" s="14" t="str">
        <x:v>Big Boys</x:v>
      </x:c>
      <x:c r="E468" s="14" t="n">
        <x:v>67</x:v>
      </x:c>
      <x:c r="F468" s="14" t="str">
        <x:v>Big Boys</x:v>
      </x:c>
      <x:c r="G468" s="14" t="str">
        <x:v>tt13683866</x:v>
      </x:c>
      <x:c r="H468" s="14" t="n">
        <x:v>2022</x:v>
      </x:c>
      <x:c r="I468" s="14" t="n">
        <x:v>2025</x:v>
      </x:c>
      <x:c r="J468" s="14" t="str">
        <x:v>Earlier-Production Carry-In Cohort</x:v>
      </x:c>
      <x:c r="K468" s="14" t="n">
        <x:v>2022</x:v>
      </x:c>
      <x:c r="L468" s="14" t="str">
        <x:v>Not inherited</x:v>
      </x:c>
      <x:c r="M468" s="15" t="n">
        <x:v>60</x:v>
      </x:c>
      <x:c r="N468" s="14" t="str">
        <x:v>Alexander Theo</x:v>
      </x:c>
      <x:c r="O468" s="14" t="str">
        <x:v>nm5098614</x:v>
      </x:c>
      <x:c r="P468" s="14" t="str">
        <x:v>Dimitri</x:v>
      </x:c>
      <x:c r="Q468" s="15" t="n">
        <x:v>1</x:v>
      </x:c>
      <x:c r="R468" s="14" t="str">
        <x:v>2025</x:v>
      </x:c>
      <x:c r="S468" s="14" t="n">
        <x:v>2025</x:v>
      </x:c>
      <x:c r="T468" s="14" t="n">
        <x:v>2025</x:v>
      </x:c>
      <x:c r="U468" s="14" t="str">
        <x:v>Explicit source first year retained</x:v>
      </x:c>
      <x:c r="V468" s="14" t="str">
        <x:v>Earliest supplied year is 2025.</x:v>
      </x:c>
      <x:c r="W468" s="14"/>
      <x:c r="X468" s="14" t="str">
        <x:v>Included</x:v>
      </x:c>
      <x:c r="Y468" s="14"/>
      <x:c r="Z468" s="14" t="str">
        <x:v>Big Boys.docx</x:v>
      </x:c>
      <x:c r="AA468" s="14" t="str">
        <x:v>HYPERLINK is not implemented. linkLocation=https://www.imdb.com/title/tt13683866/fullcredits/,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Channel 4 / E4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HYPERLINK("https://en.wikipedia.org/wiki/Big_Boy","Open source")</x:f>
        <x:v>HYPERLINK is not implemented. linkLocation=https://en.wikipedia.org/wiki/Big_Boy, friendlyName=Open source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18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0.05555555555555555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4" t="str">
        <x:v>HYPERLINK is not implemented. linkLocation=https://www.imdb.com/title/tt13683866/fullcredits/,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tt13683866|nm3357665|anouska delafonte</x:v>
      </x:c>
      <x:c r="B469" s="14" t="str">
        <x:v>01</x:v>
      </x:c>
      <x:c r="C469" s="14" t="str">
        <x:v>2022_IMDb_Cast_Lists_Batch_01(1).xlsx</x:v>
      </x:c>
      <x:c r="D469" s="14" t="str">
        <x:v>Big Boys</x:v>
      </x:c>
      <x:c r="E469" s="14" t="n">
        <x:v>68</x:v>
      </x:c>
      <x:c r="F469" s="14" t="str">
        <x:v>Big Boys</x:v>
      </x:c>
      <x:c r="G469" s="14" t="str">
        <x:v>tt13683866</x:v>
      </x:c>
      <x:c r="H469" s="14" t="n">
        <x:v>2022</x:v>
      </x:c>
      <x:c r="I469" s="14" t="n">
        <x:v>2025</x:v>
      </x:c>
      <x:c r="J469" s="14" t="str">
        <x:v>Earlier-Production Carry-In Cohort</x:v>
      </x:c>
      <x:c r="K469" s="14" t="n">
        <x:v>2022</x:v>
      </x:c>
      <x:c r="L469" s="14" t="str">
        <x:v>Not inherited</x:v>
      </x:c>
      <x:c r="M469" s="15" t="n">
        <x:v>61</x:v>
      </x:c>
      <x:c r="N469" s="14" t="str">
        <x:v>Aimee Phillips</x:v>
      </x:c>
      <x:c r="O469" s="14" t="str">
        <x:v>nm3357665</x:v>
      </x:c>
      <x:c r="P469" s="14" t="str">
        <x:v>Anouska Delafonte</x:v>
      </x:c>
      <x:c r="Q469" s="15" t="n">
        <x:v>1</x:v>
      </x:c>
      <x:c r="R469" s="14" t="str">
        <x:v>2025</x:v>
      </x:c>
      <x:c r="S469" s="14" t="n">
        <x:v>2025</x:v>
      </x:c>
      <x:c r="T469" s="14" t="n">
        <x:v>2025</x:v>
      </x:c>
      <x:c r="U469" s="14" t="str">
        <x:v>Explicit source first year retained</x:v>
      </x:c>
      <x:c r="V469" s="14" t="str">
        <x:v>Earliest supplied year is 2025.</x:v>
      </x:c>
      <x:c r="W469" s="14"/>
      <x:c r="X469" s="14" t="str">
        <x:v>Included</x:v>
      </x:c>
      <x:c r="Y469" s="14"/>
      <x:c r="Z469" s="14" t="str">
        <x:v>Big Boys.docx</x:v>
      </x:c>
      <x:c r="AA469" s="14" t="str">
        <x:v>HYPERLINK is not implemented. linkLocation=https://www.imdb.com/title/tt13683866/fullcredits/,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Channel 4 / E4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HYPERLINK("https://en.wikipedia.org/wiki/Big_Boy","Open source")</x:f>
        <x:v>HYPERLINK is not implemented. linkLocation=https://en.wikipedia.org/wiki/Big_Boy, friendlyName=Open source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18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0.05555555555555555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4" t="str">
        <x:v>HYPERLINK is not implemented. linkLocation=https://www.imdb.com/title/tt13683866/fullcredits/,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tt13683866|nm14651214|ice cream man</x:v>
      </x:c>
      <x:c r="B470" s="14" t="str">
        <x:v>01</x:v>
      </x:c>
      <x:c r="C470" s="14" t="str">
        <x:v>2022_IMDb_Cast_Lists_Batch_01(1).xlsx</x:v>
      </x:c>
      <x:c r="D470" s="14" t="str">
        <x:v>Big Boys</x:v>
      </x:c>
      <x:c r="E470" s="14" t="n">
        <x:v>69</x:v>
      </x:c>
      <x:c r="F470" s="14" t="str">
        <x:v>Big Boys</x:v>
      </x:c>
      <x:c r="G470" s="14" t="str">
        <x:v>tt13683866</x:v>
      </x:c>
      <x:c r="H470" s="14" t="n">
        <x:v>2022</x:v>
      </x:c>
      <x:c r="I470" s="14" t="n">
        <x:v>2025</x:v>
      </x:c>
      <x:c r="J470" s="14" t="str">
        <x:v>Earlier-Production Carry-In Cohort</x:v>
      </x:c>
      <x:c r="K470" s="14" t="n">
        <x:v>2022</x:v>
      </x:c>
      <x:c r="L470" s="14" t="str">
        <x:v>Not inherited</x:v>
      </x:c>
      <x:c r="M470" s="15" t="n">
        <x:v>62</x:v>
      </x:c>
      <x:c r="N470" s="14" t="str">
        <x:v>Felix Zhang</x:v>
      </x:c>
      <x:c r="O470" s="14" t="str">
        <x:v>nm14651214</x:v>
      </x:c>
      <x:c r="P470" s="14" t="str">
        <x:v>Ice Cream Man</x:v>
      </x:c>
      <x:c r="Q470" s="15" t="n">
        <x:v>1</x:v>
      </x:c>
      <x:c r="R470" s="14" t="str">
        <x:v>2025</x:v>
      </x:c>
      <x:c r="S470" s="14" t="n">
        <x:v>2025</x:v>
      </x:c>
      <x:c r="T470" s="14" t="n">
        <x:v>2025</x:v>
      </x:c>
      <x:c r="U470" s="14" t="str">
        <x:v>Explicit source first year retained</x:v>
      </x:c>
      <x:c r="V470" s="14" t="str">
        <x:v>Earliest supplied year is 2025.</x:v>
      </x:c>
      <x:c r="W470" s="14"/>
      <x:c r="X470" s="14" t="str">
        <x:v>Included</x:v>
      </x:c>
      <x:c r="Y470" s="14"/>
      <x:c r="Z470" s="14" t="str">
        <x:v>Big Boys.docx</x:v>
      </x:c>
      <x:c r="AA470" s="14" t="str">
        <x:v>HYPERLINK is not implemented. linkLocation=https://www.imdb.com/title/tt13683866/fullcredits/,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Channel 4 / E4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HYPERLINK("https://en.wikipedia.org/wiki/Big_Boy","Open source")</x:f>
        <x:v>HYPERLINK is not implemented. linkLocation=https://en.wikipedia.org/wiki/Big_Boy,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18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1</x:v>
      </x:c>
      <x:c r="BS470" s="16" t="n">
        <x:v>0.05555555555555555</x:v>
      </x:c>
      <x:c r="BT470" s="14" t="str">
        <x:v>One episode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4" t="str">
        <x:v>HYPERLINK is not implemented. linkLocation=https://www.imdb.com/title/tt13683866/fullcredits/,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tt13683866|nm9309855|larp nerd</x:v>
      </x:c>
      <x:c r="B471" s="14" t="str">
        <x:v>01</x:v>
      </x:c>
      <x:c r="C471" s="14" t="str">
        <x:v>2022_IMDb_Cast_Lists_Batch_01(1).xlsx</x:v>
      </x:c>
      <x:c r="D471" s="14" t="str">
        <x:v>Big Boys</x:v>
      </x:c>
      <x:c r="E471" s="14" t="n">
        <x:v>70</x:v>
      </x:c>
      <x:c r="F471" s="14" t="str">
        <x:v>Big Boys</x:v>
      </x:c>
      <x:c r="G471" s="14" t="str">
        <x:v>tt13683866</x:v>
      </x:c>
      <x:c r="H471" s="14" t="n">
        <x:v>2022</x:v>
      </x:c>
      <x:c r="I471" s="14" t="n">
        <x:v>2025</x:v>
      </x:c>
      <x:c r="J471" s="14" t="str">
        <x:v>Earlier-Production Carry-In Cohort</x:v>
      </x:c>
      <x:c r="K471" s="14" t="n">
        <x:v>2022</x:v>
      </x:c>
      <x:c r="L471" s="14" t="str">
        <x:v>Not inherited</x:v>
      </x:c>
      <x:c r="M471" s="15" t="n">
        <x:v>63</x:v>
      </x:c>
      <x:c r="N471" s="14" t="str">
        <x:v>Aled Gomer</x:v>
      </x:c>
      <x:c r="O471" s="14" t="str">
        <x:v>nm9309855</x:v>
      </x:c>
      <x:c r="P471" s="14" t="str">
        <x:v>LARP Nerd</x:v>
      </x:c>
      <x:c r="Q471" s="15" t="n">
        <x:v>1</x:v>
      </x:c>
      <x:c r="R471" s="14" t="str">
        <x:v>2025</x:v>
      </x:c>
      <x:c r="S471" s="14" t="n">
        <x:v>2025</x:v>
      </x:c>
      <x:c r="T471" s="14" t="n">
        <x:v>2025</x:v>
      </x:c>
      <x:c r="U471" s="14" t="str">
        <x:v>Explicit source first year retained</x:v>
      </x:c>
      <x:c r="V471" s="14" t="str">
        <x:v>Earliest supplied year is 2025.</x:v>
      </x:c>
      <x:c r="W471" s="14"/>
      <x:c r="X471" s="14" t="str">
        <x:v>Included</x:v>
      </x:c>
      <x:c r="Y471" s="14" t="str">
        <x:v>(as Aled Gormer)</x:v>
      </x:c>
      <x:c r="Z471" s="14" t="str">
        <x:v>Big Boys.docx</x:v>
      </x:c>
      <x:c r="AA471" s="14" t="str">
        <x:v>HYPERLINK is not implemented. linkLocation=https://www.imdb.com/title/tt13683866/fullcredits/,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Channel 4 / E4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HYPERLINK("https://en.wikipedia.org/wiki/Big_Boy","Open source")</x:f>
        <x:v>HYPERLINK is not implemented. linkLocation=https://en.wikipedia.org/wiki/Big_Boy,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18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1</x:v>
      </x:c>
      <x:c r="BS471" s="16" t="n">
        <x:v>0.05555555555555555</x:v>
      </x:c>
      <x:c r="BT471" s="14" t="str">
        <x:v>One episode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4" t="str">
        <x:v>HYPERLINK is not implemented. linkLocation=https://www.imdb.com/title/tt13683866/fullcredits/,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tt13683866|nm17080646|craig</x:v>
      </x:c>
      <x:c r="B472" s="14" t="str">
        <x:v>01</x:v>
      </x:c>
      <x:c r="C472" s="14" t="str">
        <x:v>2022_IMDb_Cast_Lists_Batch_01(1).xlsx</x:v>
      </x:c>
      <x:c r="D472" s="14" t="str">
        <x:v>Big Boys</x:v>
      </x:c>
      <x:c r="E472" s="14" t="n">
        <x:v>71</x:v>
      </x:c>
      <x:c r="F472" s="14" t="str">
        <x:v>Big Boys</x:v>
      </x:c>
      <x:c r="G472" s="14" t="str">
        <x:v>tt13683866</x:v>
      </x:c>
      <x:c r="H472" s="14" t="n">
        <x:v>2022</x:v>
      </x:c>
      <x:c r="I472" s="14" t="n">
        <x:v>2025</x:v>
      </x:c>
      <x:c r="J472" s="14" t="str">
        <x:v>Earlier-Production Carry-In Cohort</x:v>
      </x:c>
      <x:c r="K472" s="14" t="n">
        <x:v>2022</x:v>
      </x:c>
      <x:c r="L472" s="14" t="str">
        <x:v>Not inherited</x:v>
      </x:c>
      <x:c r="M472" s="15" t="n">
        <x:v>64</x:v>
      </x:c>
      <x:c r="N472" s="14" t="str">
        <x:v>Harrison Ferron-Barnett</x:v>
      </x:c>
      <x:c r="O472" s="14" t="str">
        <x:v>nm17080646</x:v>
      </x:c>
      <x:c r="P472" s="14" t="str">
        <x:v>Craig</x:v>
      </x:c>
      <x:c r="Q472" s="15" t="n">
        <x:v>1</x:v>
      </x:c>
      <x:c r="R472" s="14" t="str">
        <x:v>2025</x:v>
      </x:c>
      <x:c r="S472" s="14" t="n">
        <x:v>2025</x:v>
      </x:c>
      <x:c r="T472" s="14" t="n">
        <x:v>2025</x:v>
      </x:c>
      <x:c r="U472" s="14" t="str">
        <x:v>Explicit source first year retained</x:v>
      </x:c>
      <x:c r="V472" s="14" t="str">
        <x:v>Earliest supplied year is 2025.</x:v>
      </x:c>
      <x:c r="W472" s="14"/>
      <x:c r="X472" s="14" t="str">
        <x:v>Included</x:v>
      </x:c>
      <x:c r="Y472" s="14"/>
      <x:c r="Z472" s="14" t="str">
        <x:v>Big Boys.docx</x:v>
      </x:c>
      <x:c r="AA472" s="14" t="str">
        <x:v>HYPERLINK is not implemented. linkLocation=https://www.imdb.com/title/tt13683866/fullcredits/,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Channel 4 / E4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HYPERLINK("https://en.wikipedia.org/wiki/Big_Boy","Open source")</x:f>
        <x:v>HYPERLINK is not implemented. linkLocation=https://en.wikipedia.org/wiki/Big_Boy,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18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0.05555555555555555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4" t="str">
        <x:v>HYPERLINK is not implemented. linkLocation=https://www.imdb.com/title/tt13683866/fullcredits/,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tt11725900|nm0585181|fergus sinclair snr</x:v>
      </x:c>
      <x:c r="B473" s="14" t="str">
        <x:v>03</x:v>
      </x:c>
      <x:c r="C473" s="14" t="str">
        <x:v>2022_IMDb_Cast_Lists_Batch_03(1).xlsx</x:v>
      </x:c>
      <x:c r="D473" s="14" t="str">
        <x:v>Karen Pirie</x:v>
      </x:c>
      <x:c r="E473" s="14" t="n">
        <x:v>19</x:v>
      </x:c>
      <x:c r="F473" s="14" t="str">
        <x:v>Karen Pirie</x:v>
      </x:c>
      <x:c r="G473" s="14" t="str">
        <x:v>tt11725900</x:v>
      </x:c>
      <x:c r="H473" s="14" t="n">
        <x:v>2022</x:v>
      </x:c>
      <x:c r="I473" s="14" t="n">
        <x:v>2025</x:v>
      </x:c>
      <x:c r="J473" s="14" t="str">
        <x:v>Earlier-Production Carry-In Cohort</x:v>
      </x:c>
      <x:c r="K473" s="14" t="n">
        <x:v>2022</x:v>
      </x:c>
      <x:c r="L473" s="14" t="str">
        <x:v>Not inherited</x:v>
      </x:c>
      <x:c r="M473" s="15" t="n">
        <x:v>12</x:v>
      </x:c>
      <x:c r="N473" s="14" t="str">
        <x:v>John Michie</x:v>
      </x:c>
      <x:c r="O473" s="14" t="str">
        <x:v>nm0585181</x:v>
      </x:c>
      <x:c r="P473" s="14" t="str">
        <x:v>Fergus Sinclair Snr</x:v>
      </x:c>
      <x:c r="Q473" s="15" t="n">
        <x:v>3</x:v>
      </x:c>
      <x:c r="R473" s="14" t="str">
        <x:v>2025</x:v>
      </x:c>
      <x:c r="S473" s="14" t="n">
        <x:v>2025</x:v>
      </x:c>
      <x:c r="T473" s="14" t="n">
        <x:v>2025</x:v>
      </x:c>
      <x:c r="U473" s="14" t="str">
        <x:v>Explicit source first year retained</x:v>
      </x:c>
      <x:c r="V473" s="14" t="str">
        <x:v>Earliest supplied year is 2025.</x:v>
      </x:c>
      <x:c r="W473" s="14"/>
      <x:c r="X473" s="14" t="str">
        <x:v>Included</x:v>
      </x:c>
      <x:c r="Y473" s="14"/>
      <x:c r="Z473" s="14" t="str">
        <x:v>Karen Pirie.docx</x:v>
      </x:c>
      <x:c r="AA473" s="14" t="str">
        <x:v>HYPERLINK is not implemented. linkLocation=https://www.imdb.com/title/tt11725900/fullcredits/,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ITV / ITVX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HYPERLINK("https://en.wikipedia.org/wiki/Karen_Pirie","Open source")</x:f>
        <x:v>HYPERLINK is not implemented. linkLocation=https://en.wikipedia.org/wiki/Karen_Pirie,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6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3</x:v>
      </x:c>
      <x:c r="BS473" s="16" t="n">
        <x:v>0.5</x:v>
      </x:c>
      <x:c r="BT473" s="14" t="str">
        <x:v>Minority of episodes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4" t="str">
        <x:v>HYPERLINK is not implemented. linkLocation=https://www.imdb.com/title/tt11725900/fullcredits/,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tt11725900|nm6267130|catriona grant</x:v>
      </x:c>
      <x:c r="B474" s="14" t="str">
        <x:v>03</x:v>
      </x:c>
      <x:c r="C474" s="14" t="str">
        <x:v>2022_IMDb_Cast_Lists_Batch_03(1).xlsx</x:v>
      </x:c>
      <x:c r="D474" s="14" t="str">
        <x:v>Karen Pirie</x:v>
      </x:c>
      <x:c r="E474" s="14" t="n">
        <x:v>20</x:v>
      </x:c>
      <x:c r="F474" s="14" t="str">
        <x:v>Karen Pirie</x:v>
      </x:c>
      <x:c r="G474" s="14" t="str">
        <x:v>tt11725900</x:v>
      </x:c>
      <x:c r="H474" s="14" t="n">
        <x:v>2022</x:v>
      </x:c>
      <x:c r="I474" s="14" t="n">
        <x:v>2025</x:v>
      </x:c>
      <x:c r="J474" s="14" t="str">
        <x:v>Earlier-Production Carry-In Cohort</x:v>
      </x:c>
      <x:c r="K474" s="14" t="n">
        <x:v>2022</x:v>
      </x:c>
      <x:c r="L474" s="14" t="str">
        <x:v>Not inherited</x:v>
      </x:c>
      <x:c r="M474" s="15" t="n">
        <x:v>13</x:v>
      </x:c>
      <x:c r="N474" s="14" t="str">
        <x:v>Julia Brown</x:v>
      </x:c>
      <x:c r="O474" s="14" t="str">
        <x:v>nm6267130</x:v>
      </x:c>
      <x:c r="P474" s="14" t="str">
        <x:v>Catriona Grant</x:v>
      </x:c>
      <x:c r="Q474" s="15" t="n">
        <x:v>3</x:v>
      </x:c>
      <x:c r="R474" s="14" t="str">
        <x:v>2025</x:v>
      </x:c>
      <x:c r="S474" s="14" t="n">
        <x:v>2025</x:v>
      </x:c>
      <x:c r="T474" s="14" t="n">
        <x:v>2025</x:v>
      </x:c>
      <x:c r="U474" s="14" t="str">
        <x:v>Explicit source first year retained</x:v>
      </x:c>
      <x:c r="V474" s="14" t="str">
        <x:v>Earliest supplied year is 2025.</x:v>
      </x:c>
      <x:c r="W474" s="14"/>
      <x:c r="X474" s="14" t="str">
        <x:v>Included</x:v>
      </x:c>
      <x:c r="Y474" s="14"/>
      <x:c r="Z474" s="14" t="str">
        <x:v>Karen Pirie.docx</x:v>
      </x:c>
      <x:c r="AA474" s="14" t="str">
        <x:v>HYPERLINK is not implemented. linkLocation=https://www.imdb.com/title/tt11725900/fullcredits/,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ITV / ITVX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HYPERLINK("https://en.wikipedia.org/wiki/Karen_Pirie","Open source")</x:f>
        <x:v>HYPERLINK is not implemented. linkLocation=https://en.wikipedia.org/wiki/Karen_Pirie,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6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3</x:v>
      </x:c>
      <x:c r="BS474" s="16" t="n">
        <x:v>0.5</x:v>
      </x:c>
      <x:c r="BT474" s="14" t="str">
        <x:v>Minority of episodes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4" t="str">
        <x:v>HYPERLINK is not implemented. linkLocation=https://www.imdb.com/title/tt11725900/fullcredits/,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tt11725900|nm9974122|dc isla stark</x:v>
      </x:c>
      <x:c r="B475" s="14" t="str">
        <x:v>03</x:v>
      </x:c>
      <x:c r="C475" s="14" t="str">
        <x:v>2022_IMDb_Cast_Lists_Batch_03(1).xlsx</x:v>
      </x:c>
      <x:c r="D475" s="14" t="str">
        <x:v>Karen Pirie</x:v>
      </x:c>
      <x:c r="E475" s="14" t="n">
        <x:v>23</x:v>
      </x:c>
      <x:c r="F475" s="14" t="str">
        <x:v>Karen Pirie</x:v>
      </x:c>
      <x:c r="G475" s="14" t="str">
        <x:v>tt11725900</x:v>
      </x:c>
      <x:c r="H475" s="14" t="n">
        <x:v>2022</x:v>
      </x:c>
      <x:c r="I475" s="14" t="n">
        <x:v>2025</x:v>
      </x:c>
      <x:c r="J475" s="14" t="str">
        <x:v>Earlier-Production Carry-In Cohort</x:v>
      </x:c>
      <x:c r="K475" s="14" t="n">
        <x:v>2022</x:v>
      </x:c>
      <x:c r="L475" s="14" t="str">
        <x:v>Not inherited</x:v>
      </x:c>
      <x:c r="M475" s="15" t="n">
        <x:v>16</x:v>
      </x:c>
      <x:c r="N475" s="14" t="str">
        <x:v>Saskia Ashdown</x:v>
      </x:c>
      <x:c r="O475" s="14" t="str">
        <x:v>nm9974122</x:v>
      </x:c>
      <x:c r="P475" s="14" t="str">
        <x:v>DC Isla Stark</x:v>
      </x:c>
      <x:c r="Q475" s="15" t="n">
        <x:v>3</x:v>
      </x:c>
      <x:c r="R475" s="14" t="str">
        <x:v>2025</x:v>
      </x:c>
      <x:c r="S475" s="14" t="n">
        <x:v>2025</x:v>
      </x:c>
      <x:c r="T475" s="14" t="n">
        <x:v>2025</x:v>
      </x:c>
      <x:c r="U475" s="14" t="str">
        <x:v>Explicit source first year retained</x:v>
      </x:c>
      <x:c r="V475" s="14" t="str">
        <x:v>Earliest supplied year is 2025.</x:v>
      </x:c>
      <x:c r="W475" s="14"/>
      <x:c r="X475" s="14" t="str">
        <x:v>Included</x:v>
      </x:c>
      <x:c r="Y475" s="14"/>
      <x:c r="Z475" s="14" t="str">
        <x:v>Karen Pirie.docx</x:v>
      </x:c>
      <x:c r="AA475" s="14" t="str">
        <x:v>HYPERLINK is not implemented. linkLocation=https://www.imdb.com/title/tt11725900/fullcredits/,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ITV / ITVX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HYPERLINK("https://en.wikipedia.org/wiki/Karen_Pirie","Open source")</x:f>
        <x:v>HYPERLINK is not implemented. linkLocation=https://en.wikipedia.org/wiki/Karen_Pirie,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6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3</x:v>
      </x:c>
      <x:c r="BS475" s="16" t="n">
        <x:v>0.5</x:v>
      </x:c>
      <x:c r="BT475" s="14" t="str">
        <x:v>Minority of episodes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4" t="str">
        <x:v>HYPERLINK is not implemented. linkLocation=https://www.imdb.com/title/tt11725900/fullcredits/,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tt11725900|nm4495529|mick prentice jnr</x:v>
      </x:c>
      <x:c r="B476" s="14" t="str">
        <x:v>03</x:v>
      </x:c>
      <x:c r="C476" s="14" t="str">
        <x:v>2022_IMDb_Cast_Lists_Batch_03(1).xlsx</x:v>
      </x:c>
      <x:c r="D476" s="14" t="str">
        <x:v>Karen Pirie</x:v>
      </x:c>
      <x:c r="E476" s="14" t="n">
        <x:v>24</x:v>
      </x:c>
      <x:c r="F476" s="14" t="str">
        <x:v>Karen Pirie</x:v>
      </x:c>
      <x:c r="G476" s="14" t="str">
        <x:v>tt11725900</x:v>
      </x:c>
      <x:c r="H476" s="14" t="n">
        <x:v>2022</x:v>
      </x:c>
      <x:c r="I476" s="14" t="n">
        <x:v>2025</x:v>
      </x:c>
      <x:c r="J476" s="14" t="str">
        <x:v>Earlier-Production Carry-In Cohort</x:v>
      </x:c>
      <x:c r="K476" s="14" t="n">
        <x:v>2022</x:v>
      </x:c>
      <x:c r="L476" s="14" t="str">
        <x:v>Not inherited</x:v>
      </x:c>
      <x:c r="M476" s="15" t="n">
        <x:v>17</x:v>
      </x:c>
      <x:c r="N476" s="14" t="str">
        <x:v>Mark Rowley</x:v>
      </x:c>
      <x:c r="O476" s="14" t="str">
        <x:v>nm4495529</x:v>
      </x:c>
      <x:c r="P476" s="14" t="str">
        <x:v>Mick Prentice Jnr</x:v>
      </x:c>
      <x:c r="Q476" s="15" t="n">
        <x:v>3</x:v>
      </x:c>
      <x:c r="R476" s="14" t="str">
        <x:v>2025</x:v>
      </x:c>
      <x:c r="S476" s="14" t="n">
        <x:v>2025</x:v>
      </x:c>
      <x:c r="T476" s="14" t="n">
        <x:v>2025</x:v>
      </x:c>
      <x:c r="U476" s="14" t="str">
        <x:v>Explicit source first year retained</x:v>
      </x:c>
      <x:c r="V476" s="14" t="str">
        <x:v>Earliest supplied year is 2025.</x:v>
      </x:c>
      <x:c r="W476" s="14"/>
      <x:c r="X476" s="14" t="str">
        <x:v>Included</x:v>
      </x:c>
      <x:c r="Y476" s="14"/>
      <x:c r="Z476" s="14" t="str">
        <x:v>Karen Pirie.docx</x:v>
      </x:c>
      <x:c r="AA476" s="14" t="str">
        <x:v>HYPERLINK is not implemented. linkLocation=https://www.imdb.com/title/tt11725900/fullcredits/,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ITV / ITVX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HYPERLINK("https://en.wikipedia.org/wiki/Karen_Pirie","Open source")</x:f>
        <x:v>HYPERLINK is not implemented. linkLocation=https://en.wikipedia.org/wiki/Karen_Pirie,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6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3</x:v>
      </x:c>
      <x:c r="BS476" s="16" t="n">
        <x:v>0.5</x:v>
      </x:c>
      <x:c r="BT476" s="14" t="str">
        <x:v>Minority of episodes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4" t="str">
        <x:v>HYPERLINK is not implemented. linkLocation=https://www.imdb.com/title/tt11725900/fullcredits/,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tt11725900|nm5458478|kevin campbell</x:v>
      </x:c>
      <x:c r="B477" s="14" t="str">
        <x:v>03</x:v>
      </x:c>
      <x:c r="C477" s="14" t="str">
        <x:v>2022_IMDb_Cast_Lists_Batch_03(1).xlsx</x:v>
      </x:c>
      <x:c r="D477" s="14" t="str">
        <x:v>Karen Pirie</x:v>
      </x:c>
      <x:c r="E477" s="14" t="n">
        <x:v>25</x:v>
      </x:c>
      <x:c r="F477" s="14" t="str">
        <x:v>Karen Pirie</x:v>
      </x:c>
      <x:c r="G477" s="14" t="str">
        <x:v>tt11725900</x:v>
      </x:c>
      <x:c r="H477" s="14" t="n">
        <x:v>2022</x:v>
      </x:c>
      <x:c r="I477" s="14" t="n">
        <x:v>2025</x:v>
      </x:c>
      <x:c r="J477" s="14" t="str">
        <x:v>Earlier-Production Carry-In Cohort</x:v>
      </x:c>
      <x:c r="K477" s="14" t="n">
        <x:v>2022</x:v>
      </x:c>
      <x:c r="L477" s="14" t="str">
        <x:v>Not inherited</x:v>
      </x:c>
      <x:c r="M477" s="15" t="n">
        <x:v>18</x:v>
      </x:c>
      <x:c r="N477" s="14" t="str">
        <x:v>Stuart Campbell</x:v>
      </x:c>
      <x:c r="O477" s="14" t="str">
        <x:v>nm5458478</x:v>
      </x:c>
      <x:c r="P477" s="14" t="str">
        <x:v>Kevin Campbell</x:v>
      </x:c>
      <x:c r="Q477" s="15" t="n">
        <x:v>3</x:v>
      </x:c>
      <x:c r="R477" s="14" t="str">
        <x:v>2025</x:v>
      </x:c>
      <x:c r="S477" s="14" t="n">
        <x:v>2025</x:v>
      </x:c>
      <x:c r="T477" s="14" t="n">
        <x:v>2025</x:v>
      </x:c>
      <x:c r="U477" s="14" t="str">
        <x:v>Explicit source first year retained</x:v>
      </x:c>
      <x:c r="V477" s="14" t="str">
        <x:v>Earliest supplied year is 2025.</x:v>
      </x:c>
      <x:c r="W477" s="14"/>
      <x:c r="X477" s="14" t="str">
        <x:v>Included</x:v>
      </x:c>
      <x:c r="Y477" s="14"/>
      <x:c r="Z477" s="14" t="str">
        <x:v>Karen Pirie.docx</x:v>
      </x:c>
      <x:c r="AA477" s="14" t="str">
        <x:v>HYPERLINK is not implemented. linkLocation=https://www.imdb.com/title/tt11725900/fullcredits/,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ITV / ITVX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HYPERLINK("https://en.wikipedia.org/wiki/Karen_Pirie","Open source")</x:f>
        <x:v>HYPERLINK is not implemented. linkLocation=https://en.wikipedia.org/wiki/Karen_Pirie,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6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3</x:v>
      </x:c>
      <x:c r="BS477" s="16" t="n">
        <x:v>0.5</x:v>
      </x:c>
      <x:c r="BT477" s="14" t="str">
        <x:v>Minority of episodes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4" t="str">
        <x:v>HYPERLINK is not implemented. linkLocation=https://www.imdb.com/title/tt11725900/fullcredits/,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tt11725900|nm1652341|brodie grant jnr.</x:v>
      </x:c>
      <x:c r="B478" s="14" t="str">
        <x:v>03</x:v>
      </x:c>
      <x:c r="C478" s="14" t="str">
        <x:v>2022_IMDb_Cast_Lists_Batch_03(1).xlsx</x:v>
      </x:c>
      <x:c r="D478" s="14" t="str">
        <x:v>Karen Pirie</x:v>
      </x:c>
      <x:c r="E478" s="14" t="n">
        <x:v>27</x:v>
      </x:c>
      <x:c r="F478" s="14" t="str">
        <x:v>Karen Pirie</x:v>
      </x:c>
      <x:c r="G478" s="14" t="str">
        <x:v>tt11725900</x:v>
      </x:c>
      <x:c r="H478" s="14" t="n">
        <x:v>2022</x:v>
      </x:c>
      <x:c r="I478" s="14" t="n">
        <x:v>2025</x:v>
      </x:c>
      <x:c r="J478" s="14" t="str">
        <x:v>Earlier-Production Carry-In Cohort</x:v>
      </x:c>
      <x:c r="K478" s="14" t="n">
        <x:v>2022</x:v>
      </x:c>
      <x:c r="L478" s="14" t="str">
        <x:v>Not inherited</x:v>
      </x:c>
      <x:c r="M478" s="15" t="n">
        <x:v>20</x:v>
      </x:c>
      <x:c r="N478" s="14" t="str">
        <x:v>Jamie Michie</x:v>
      </x:c>
      <x:c r="O478" s="14" t="str">
        <x:v>nm1652341</x:v>
      </x:c>
      <x:c r="P478" s="14" t="str">
        <x:v>Brodie Grant Jnr.</x:v>
      </x:c>
      <x:c r="Q478" s="15" t="n">
        <x:v>3</x:v>
      </x:c>
      <x:c r="R478" s="14" t="str">
        <x:v>2025</x:v>
      </x:c>
      <x:c r="S478" s="14" t="n">
        <x:v>2025</x:v>
      </x:c>
      <x:c r="T478" s="14" t="n">
        <x:v>2025</x:v>
      </x:c>
      <x:c r="U478" s="14" t="str">
        <x:v>Explicit source first year retained</x:v>
      </x:c>
      <x:c r="V478" s="14" t="str">
        <x:v>Earliest supplied year is 2025.</x:v>
      </x:c>
      <x:c r="W478" s="14"/>
      <x:c r="X478" s="14" t="str">
        <x:v>Included</x:v>
      </x:c>
      <x:c r="Y478" s="14"/>
      <x:c r="Z478" s="14" t="str">
        <x:v>Karen Pirie.docx</x:v>
      </x:c>
      <x:c r="AA478" s="14" t="str">
        <x:v>HYPERLINK is not implemented. linkLocation=https://www.imdb.com/title/tt11725900/fullcredits/,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ITV / ITVX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HYPERLINK("https://en.wikipedia.org/wiki/Karen_Pirie","Open source")</x:f>
        <x:v>HYPERLINK is not implemented. linkLocation=https://en.wikipedia.org/wiki/Karen_Pirie,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6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3</x:v>
      </x:c>
      <x:c r="BS478" s="16" t="n">
        <x:v>0.5</x:v>
      </x:c>
      <x:c r="BT478" s="14" t="str">
        <x:v>Minority of episodes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4" t="str">
        <x:v>HYPERLINK is not implemented. linkLocation=https://www.imdb.com/title/tt11725900/fullcredits/,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tt11725900|nm0866626|mary grant snr</x:v>
      </x:c>
      <x:c r="B479" s="14" t="str">
        <x:v>03</x:v>
      </x:c>
      <x:c r="C479" s="14" t="str">
        <x:v>2022_IMDb_Cast_Lists_Batch_03(1).xlsx</x:v>
      </x:c>
      <x:c r="D479" s="14" t="str">
        <x:v>Karen Pirie</x:v>
      </x:c>
      <x:c r="E479" s="14" t="n">
        <x:v>30</x:v>
      </x:c>
      <x:c r="F479" s="14" t="str">
        <x:v>Karen Pirie</x:v>
      </x:c>
      <x:c r="G479" s="14" t="str">
        <x:v>tt11725900</x:v>
      </x:c>
      <x:c r="H479" s="14" t="n">
        <x:v>2022</x:v>
      </x:c>
      <x:c r="I479" s="14" t="n">
        <x:v>2025</x:v>
      </x:c>
      <x:c r="J479" s="14" t="str">
        <x:v>Earlier-Production Carry-In Cohort</x:v>
      </x:c>
      <x:c r="K479" s="14" t="n">
        <x:v>2022</x:v>
      </x:c>
      <x:c r="L479" s="14" t="str">
        <x:v>Not inherited</x:v>
      </x:c>
      <x:c r="M479" s="15" t="n">
        <x:v>23</x:v>
      </x:c>
      <x:c r="N479" s="14" t="str">
        <x:v>Frances Tomelty</x:v>
      </x:c>
      <x:c r="O479" s="14" t="str">
        <x:v>nm0866626</x:v>
      </x:c>
      <x:c r="P479" s="14" t="str">
        <x:v>Mary Grant Snr</x:v>
      </x:c>
      <x:c r="Q479" s="15" t="n">
        <x:v>3</x:v>
      </x:c>
      <x:c r="R479" s="14" t="str">
        <x:v>2025</x:v>
      </x:c>
      <x:c r="S479" s="14" t="n">
        <x:v>2025</x:v>
      </x:c>
      <x:c r="T479" s="14" t="n">
        <x:v>2025</x:v>
      </x:c>
      <x:c r="U479" s="14" t="str">
        <x:v>Explicit source first year retained</x:v>
      </x:c>
      <x:c r="V479" s="14" t="str">
        <x:v>Earliest supplied year is 2025.</x:v>
      </x:c>
      <x:c r="W479" s="14"/>
      <x:c r="X479" s="14" t="str">
        <x:v>Included</x:v>
      </x:c>
      <x:c r="Y479" s="14"/>
      <x:c r="Z479" s="14" t="str">
        <x:v>Karen Pirie.docx</x:v>
      </x:c>
      <x:c r="AA479" s="14" t="str">
        <x:v>HYPERLINK is not implemented. linkLocation=https://www.imdb.com/title/tt11725900/fullcredits/,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ITV / ITVX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HYPERLINK("https://en.wikipedia.org/wiki/Karen_Pirie","Open source")</x:f>
        <x:v>HYPERLINK is not implemented. linkLocation=https://en.wikipedia.org/wiki/Karen_Pirie,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6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3</x:v>
      </x:c>
      <x:c r="BS479" s="16" t="n">
        <x:v>0.5</x:v>
      </x:c>
      <x:c r="BT479" s="14" t="str">
        <x:v>Minority of episodes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4" t="str">
        <x:v>HYPERLINK is not implemented. linkLocation=https://www.imdb.com/title/tt11725900/fullcredits/,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tt11725900|nm0181920|brodie grant snr</x:v>
      </x:c>
      <x:c r="B480" s="14" t="str">
        <x:v>03</x:v>
      </x:c>
      <x:c r="C480" s="14" t="str">
        <x:v>2022_IMDb_Cast_Lists_Batch_03(1).xlsx</x:v>
      </x:c>
      <x:c r="D480" s="14" t="str">
        <x:v>Karen Pirie</x:v>
      </x:c>
      <x:c r="E480" s="14" t="n">
        <x:v>32</x:v>
      </x:c>
      <x:c r="F480" s="14" t="str">
        <x:v>Karen Pirie</x:v>
      </x:c>
      <x:c r="G480" s="14" t="str">
        <x:v>tt11725900</x:v>
      </x:c>
      <x:c r="H480" s="14" t="n">
        <x:v>2022</x:v>
      </x:c>
      <x:c r="I480" s="14" t="n">
        <x:v>2025</x:v>
      </x:c>
      <x:c r="J480" s="14" t="str">
        <x:v>Earlier-Production Carry-In Cohort</x:v>
      </x:c>
      <x:c r="K480" s="14" t="n">
        <x:v>2022</x:v>
      </x:c>
      <x:c r="L480" s="14" t="str">
        <x:v>Not inherited</x:v>
      </x:c>
      <x:c r="M480" s="15" t="n">
        <x:v>25</x:v>
      </x:c>
      <x:c r="N480" s="14" t="str">
        <x:v>James Cosmo</x:v>
      </x:c>
      <x:c r="O480" s="14" t="str">
        <x:v>nm0181920</x:v>
      </x:c>
      <x:c r="P480" s="14" t="str">
        <x:v>Brodie Grant Snr</x:v>
      </x:c>
      <x:c r="Q480" s="15" t="n">
        <x:v>3</x:v>
      </x:c>
      <x:c r="R480" s="14" t="str">
        <x:v>2025</x:v>
      </x:c>
      <x:c r="S480" s="14" t="n">
        <x:v>2025</x:v>
      </x:c>
      <x:c r="T480" s="14" t="n">
        <x:v>2025</x:v>
      </x:c>
      <x:c r="U480" s="14" t="str">
        <x:v>Explicit source first year retained</x:v>
      </x:c>
      <x:c r="V480" s="14" t="str">
        <x:v>Earliest supplied year is 2025.</x:v>
      </x:c>
      <x:c r="W480" s="14"/>
      <x:c r="X480" s="14" t="str">
        <x:v>Included</x:v>
      </x:c>
      <x:c r="Y480" s="14"/>
      <x:c r="Z480" s="14" t="str">
        <x:v>Karen Pirie.docx</x:v>
      </x:c>
      <x:c r="AA480" s="14" t="str">
        <x:v>HYPERLINK is not implemented. linkLocation=https://www.imdb.com/title/tt11725900/fullcredits/,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ITV / ITVX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HYPERLINK("https://en.wikipedia.org/wiki/Karen_Pirie","Open source")</x:f>
        <x:v>HYPERLINK is not implemented. linkLocation=https://en.wikipedia.org/wiki/Karen_Pirie,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6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3</x:v>
      </x:c>
      <x:c r="BS480" s="16" t="n">
        <x:v>0.5</x:v>
      </x:c>
      <x:c r="BT480" s="14" t="str">
        <x:v>Minority of episodes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4" t="str">
        <x:v>HYPERLINK is not implemented. linkLocation=https://www.imdb.com/title/tt11725900/fullcredits/,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tt11725900|nm8548941|andy kerr</x:v>
      </x:c>
      <x:c r="B481" s="14" t="str">
        <x:v>03</x:v>
      </x:c>
      <x:c r="C481" s="14" t="str">
        <x:v>2022_IMDb_Cast_Lists_Batch_03(1).xlsx</x:v>
      </x:c>
      <x:c r="D481" s="14" t="str">
        <x:v>Karen Pirie</x:v>
      </x:c>
      <x:c r="E481" s="14" t="n">
        <x:v>35</x:v>
      </x:c>
      <x:c r="F481" s="14" t="str">
        <x:v>Karen Pirie</x:v>
      </x:c>
      <x:c r="G481" s="14" t="str">
        <x:v>tt11725900</x:v>
      </x:c>
      <x:c r="H481" s="14" t="n">
        <x:v>2022</x:v>
      </x:c>
      <x:c r="I481" s="14" t="n">
        <x:v>2025</x:v>
      </x:c>
      <x:c r="J481" s="14" t="str">
        <x:v>Earlier-Production Carry-In Cohort</x:v>
      </x:c>
      <x:c r="K481" s="14" t="n">
        <x:v>2022</x:v>
      </x:c>
      <x:c r="L481" s="14" t="str">
        <x:v>Not inherited</x:v>
      </x:c>
      <x:c r="M481" s="15" t="n">
        <x:v>28</x:v>
      </x:c>
      <x:c r="N481" s="14" t="str">
        <x:v>Conor Berry</x:v>
      </x:c>
      <x:c r="O481" s="14" t="str">
        <x:v>nm8548941</x:v>
      </x:c>
      <x:c r="P481" s="14" t="str">
        <x:v>Andy Kerr</x:v>
      </x:c>
      <x:c r="Q481" s="15" t="n">
        <x:v>3</x:v>
      </x:c>
      <x:c r="R481" s="14" t="str">
        <x:v>2025</x:v>
      </x:c>
      <x:c r="S481" s="14" t="n">
        <x:v>2025</x:v>
      </x:c>
      <x:c r="T481" s="14" t="n">
        <x:v>2025</x:v>
      </x:c>
      <x:c r="U481" s="14" t="str">
        <x:v>Explicit source first year retained</x:v>
      </x:c>
      <x:c r="V481" s="14" t="str">
        <x:v>Earliest supplied year is 2025.</x:v>
      </x:c>
      <x:c r="W481" s="14"/>
      <x:c r="X481" s="14" t="str">
        <x:v>Included</x:v>
      </x:c>
      <x:c r="Y481" s="14"/>
      <x:c r="Z481" s="14" t="str">
        <x:v>Karen Pirie.docx</x:v>
      </x:c>
      <x:c r="AA481" s="14" t="str">
        <x:v>HYPERLINK is not implemented. linkLocation=https://www.imdb.com/title/tt11725900/fullcredits/,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ITV / ITVX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HYPERLINK("https://en.wikipedia.org/wiki/Karen_Pirie","Open source")</x:f>
        <x:v>HYPERLINK is not implemented. linkLocation=https://en.wikipedia.org/wiki/Karen_Pirie,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6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3</x:v>
      </x:c>
      <x:c r="BS481" s="16" t="n">
        <x:v>0.5</x:v>
      </x:c>
      <x:c r="BT481" s="14" t="str">
        <x:v>Minority of episodes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4" t="str">
        <x:v>HYPERLINK is not implemented. linkLocation=https://www.imdb.com/title/tt11725900/fullcredits/,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tt11725900|nm10730874|fergus jnr</x:v>
      </x:c>
      <x:c r="B482" s="14" t="str">
        <x:v>03</x:v>
      </x:c>
      <x:c r="C482" s="14" t="str">
        <x:v>2022_IMDb_Cast_Lists_Batch_03(1).xlsx</x:v>
      </x:c>
      <x:c r="D482" s="14" t="str">
        <x:v>Karen Pirie</x:v>
      </x:c>
      <x:c r="E482" s="14" t="n">
        <x:v>36</x:v>
      </x:c>
      <x:c r="F482" s="14" t="str">
        <x:v>Karen Pirie</x:v>
      </x:c>
      <x:c r="G482" s="14" t="str">
        <x:v>tt11725900</x:v>
      </x:c>
      <x:c r="H482" s="14" t="n">
        <x:v>2022</x:v>
      </x:c>
      <x:c r="I482" s="14" t="n">
        <x:v>2025</x:v>
      </x:c>
      <x:c r="J482" s="14" t="str">
        <x:v>Earlier-Production Carry-In Cohort</x:v>
      </x:c>
      <x:c r="K482" s="14" t="n">
        <x:v>2022</x:v>
      </x:c>
      <x:c r="L482" s="14" t="str">
        <x:v>Not inherited</x:v>
      </x:c>
      <x:c r="M482" s="15" t="n">
        <x:v>29</x:v>
      </x:c>
      <x:c r="N482" s="14" t="str">
        <x:v>Jack Stewart</x:v>
      </x:c>
      <x:c r="O482" s="14" t="str">
        <x:v>nm10730874</x:v>
      </x:c>
      <x:c r="P482" s="14" t="str">
        <x:v>Fergus Jnr</x:v>
      </x:c>
      <x:c r="Q482" s="15" t="n">
        <x:v>3</x:v>
      </x:c>
      <x:c r="R482" s="14" t="str">
        <x:v>2025</x:v>
      </x:c>
      <x:c r="S482" s="14" t="n">
        <x:v>2025</x:v>
      </x:c>
      <x:c r="T482" s="14" t="n">
        <x:v>2025</x:v>
      </x:c>
      <x:c r="U482" s="14" t="str">
        <x:v>Explicit source first year retained</x:v>
      </x:c>
      <x:c r="V482" s="14" t="str">
        <x:v>Earliest supplied year is 2025.</x:v>
      </x:c>
      <x:c r="W482" s="14"/>
      <x:c r="X482" s="14" t="str">
        <x:v>Included</x:v>
      </x:c>
      <x:c r="Y482" s="14"/>
      <x:c r="Z482" s="14" t="str">
        <x:v>Karen Pirie.docx</x:v>
      </x:c>
      <x:c r="AA482" s="14" t="str">
        <x:v>HYPERLINK is not implemented. linkLocation=https://www.imdb.com/title/tt11725900/fullcredits/,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ITV / ITVX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HYPERLINK("https://en.wikipedia.org/wiki/Karen_Pirie","Open source")</x:f>
        <x:v>HYPERLINK is not implemented. linkLocation=https://en.wikipedia.org/wiki/Karen_Pirie,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6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3</x:v>
      </x:c>
      <x:c r="BS482" s="16" t="n">
        <x:v>0.5</x:v>
      </x:c>
      <x:c r="BT482" s="14" t="str">
        <x:v>Minority of episodes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4" t="str">
        <x:v>HYPERLINK is not implemented. linkLocation=https://www.imdb.com/title/tt11725900/fullcredits/,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tt11725900|nm1002209|mary grant jnr</x:v>
      </x:c>
      <x:c r="B483" s="14" t="str">
        <x:v>03</x:v>
      </x:c>
      <x:c r="C483" s="14" t="str">
        <x:v>2022_IMDb_Cast_Lists_Batch_03(1).xlsx</x:v>
      </x:c>
      <x:c r="D483" s="14" t="str">
        <x:v>Karen Pirie</x:v>
      </x:c>
      <x:c r="E483" s="14" t="n">
        <x:v>37</x:v>
      </x:c>
      <x:c r="F483" s="14" t="str">
        <x:v>Karen Pirie</x:v>
      </x:c>
      <x:c r="G483" s="14" t="str">
        <x:v>tt11725900</x:v>
      </x:c>
      <x:c r="H483" s="14" t="n">
        <x:v>2022</x:v>
      </x:c>
      <x:c r="I483" s="14" t="n">
        <x:v>2025</x:v>
      </x:c>
      <x:c r="J483" s="14" t="str">
        <x:v>Earlier-Production Carry-In Cohort</x:v>
      </x:c>
      <x:c r="K483" s="14" t="n">
        <x:v>2022</x:v>
      </x:c>
      <x:c r="L483" s="14" t="str">
        <x:v>Not inherited</x:v>
      </x:c>
      <x:c r="M483" s="15" t="n">
        <x:v>30</x:v>
      </x:c>
      <x:c r="N483" s="14" t="str">
        <x:v>Madeleine Worrall</x:v>
      </x:c>
      <x:c r="O483" s="14" t="str">
        <x:v>nm1002209</x:v>
      </x:c>
      <x:c r="P483" s="14" t="str">
        <x:v>Mary Grant Jnr</x:v>
      </x:c>
      <x:c r="Q483" s="15" t="n">
        <x:v>3</x:v>
      </x:c>
      <x:c r="R483" s="14" t="str">
        <x:v>2025</x:v>
      </x:c>
      <x:c r="S483" s="14" t="n">
        <x:v>2025</x:v>
      </x:c>
      <x:c r="T483" s="14" t="n">
        <x:v>2025</x:v>
      </x:c>
      <x:c r="U483" s="14" t="str">
        <x:v>Explicit source first year retained</x:v>
      </x:c>
      <x:c r="V483" s="14" t="str">
        <x:v>Earliest supplied year is 2025.</x:v>
      </x:c>
      <x:c r="W483" s="14"/>
      <x:c r="X483" s="14" t="str">
        <x:v>Included</x:v>
      </x:c>
      <x:c r="Y483" s="14"/>
      <x:c r="Z483" s="14" t="str">
        <x:v>Karen Pirie.docx</x:v>
      </x:c>
      <x:c r="AA483" s="14" t="str">
        <x:v>HYPERLINK is not implemented. linkLocation=https://www.imdb.com/title/tt11725900/fullcredits/,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ITV / ITVX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HYPERLINK("https://en.wikipedia.org/wiki/Karen_Pirie","Open source")</x:f>
        <x:v>HYPERLINK is not implemented. linkLocation=https://en.wikipedia.org/wiki/Karen_Pirie,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6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3</x:v>
      </x:c>
      <x:c r="BS483" s="16" t="n">
        <x:v>0.5</x:v>
      </x:c>
      <x:c r="BT483" s="14" t="str">
        <x:v>Minority of episodes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4" t="str">
        <x:v>HYPERLINK is not implemented. linkLocation=https://www.imdb.com/title/tt11725900/fullcredits/,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tt11725900|nm8624309|di anderson</x:v>
      </x:c>
      <x:c r="B484" s="14" t="str">
        <x:v>03</x:v>
      </x:c>
      <x:c r="C484" s="14" t="str">
        <x:v>2022_IMDb_Cast_Lists_Batch_03(1).xlsx</x:v>
      </x:c>
      <x:c r="D484" s="14" t="str">
        <x:v>Karen Pirie</x:v>
      </x:c>
      <x:c r="E484" s="14" t="n">
        <x:v>41</x:v>
      </x:c>
      <x:c r="F484" s="14" t="str">
        <x:v>Karen Pirie</x:v>
      </x:c>
      <x:c r="G484" s="14" t="str">
        <x:v>tt11725900</x:v>
      </x:c>
      <x:c r="H484" s="14" t="n">
        <x:v>2022</x:v>
      </x:c>
      <x:c r="I484" s="14" t="n">
        <x:v>2025</x:v>
      </x:c>
      <x:c r="J484" s="14" t="str">
        <x:v>Earlier-Production Carry-In Cohort</x:v>
      </x:c>
      <x:c r="K484" s="14" t="n">
        <x:v>2022</x:v>
      </x:c>
      <x:c r="L484" s="14" t="str">
        <x:v>Not inherited</x:v>
      </x:c>
      <x:c r="M484" s="15" t="n">
        <x:v>34</x:v>
      </x:c>
      <x:c r="N484" s="14" t="str">
        <x:v>Thoren Ferguson</x:v>
      </x:c>
      <x:c r="O484" s="14" t="str">
        <x:v>nm8624309</x:v>
      </x:c>
      <x:c r="P484" s="14" t="str">
        <x:v>DI Anderson</x:v>
      </x:c>
      <x:c r="Q484" s="15" t="n">
        <x:v>2</x:v>
      </x:c>
      <x:c r="R484" s="14" t="str">
        <x:v>2025</x:v>
      </x:c>
      <x:c r="S484" s="14" t="n">
        <x:v>2025</x:v>
      </x:c>
      <x:c r="T484" s="14" t="n">
        <x:v>2025</x:v>
      </x:c>
      <x:c r="U484" s="14" t="str">
        <x:v>Explicit source first year retained</x:v>
      </x:c>
      <x:c r="V484" s="14" t="str">
        <x:v>Earliest supplied year is 2025.</x:v>
      </x:c>
      <x:c r="W484" s="14"/>
      <x:c r="X484" s="14" t="str">
        <x:v>Included</x:v>
      </x:c>
      <x:c r="Y484" s="14"/>
      <x:c r="Z484" s="14" t="str">
        <x:v>Karen Pirie.docx</x:v>
      </x:c>
      <x:c r="AA484" s="14" t="str">
        <x:v>HYPERLINK is not implemented. linkLocation=https://www.imdb.com/title/tt11725900/fullcredits/,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ITV / ITVX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HYPERLINK("https://en.wikipedia.org/wiki/Karen_Pirie","Open source")</x:f>
        <x:v>HYPERLINK is not implemented. linkLocation=https://en.wikipedia.org/wiki/Karen_Pirie,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6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2</x:v>
      </x:c>
      <x:c r="BS484" s="16" t="n">
        <x:v>0.3333333333333333</x:v>
      </x:c>
      <x:c r="BT484" s="14" t="str">
        <x:v>Minority of episodes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4" t="str">
        <x:v>HYPERLINK is not implemented. linkLocation=https://www.imdb.com/title/tt11725900/fullcredits/,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tt11725900|nm8439834|gabriel porteous / adam snr</x:v>
      </x:c>
      <x:c r="B485" s="14" t="str">
        <x:v>03</x:v>
      </x:c>
      <x:c r="C485" s="14" t="str">
        <x:v>2022_IMDb_Cast_Lists_Batch_03(1).xlsx</x:v>
      </x:c>
      <x:c r="D485" s="14" t="str">
        <x:v>Karen Pirie</x:v>
      </x:c>
      <x:c r="E485" s="14" t="n">
        <x:v>42</x:v>
      </x:c>
      <x:c r="F485" s="14" t="str">
        <x:v>Karen Pirie</x:v>
      </x:c>
      <x:c r="G485" s="14" t="str">
        <x:v>tt11725900</x:v>
      </x:c>
      <x:c r="H485" s="14" t="n">
        <x:v>2022</x:v>
      </x:c>
      <x:c r="I485" s="14" t="n">
        <x:v>2025</x:v>
      </x:c>
      <x:c r="J485" s="14" t="str">
        <x:v>Earlier-Production Carry-In Cohort</x:v>
      </x:c>
      <x:c r="K485" s="14" t="n">
        <x:v>2022</x:v>
      </x:c>
      <x:c r="L485" s="14" t="str">
        <x:v>Not inherited</x:v>
      </x:c>
      <x:c r="M485" s="15" t="n">
        <x:v>35</x:v>
      </x:c>
      <x:c r="N485" s="14" t="str">
        <x:v>Tommaso Basili</x:v>
      </x:c>
      <x:c r="O485" s="14" t="str">
        <x:v>nm8439834</x:v>
      </x:c>
      <x:c r="P485" s="14" t="str">
        <x:v>Gabriel Porteous / Adam Snr</x:v>
      </x:c>
      <x:c r="Q485" s="15" t="n">
        <x:v>2</x:v>
      </x:c>
      <x:c r="R485" s="14" t="str">
        <x:v>2025</x:v>
      </x:c>
      <x:c r="S485" s="14" t="n">
        <x:v>2025</x:v>
      </x:c>
      <x:c r="T485" s="14" t="n">
        <x:v>2025</x:v>
      </x:c>
      <x:c r="U485" s="14" t="str">
        <x:v>Explicit source first year retained</x:v>
      </x:c>
      <x:c r="V485" s="14" t="str">
        <x:v>Earliest supplied year is 2025.</x:v>
      </x:c>
      <x:c r="W485" s="14"/>
      <x:c r="X485" s="14" t="str">
        <x:v>Included</x:v>
      </x:c>
      <x:c r="Y485" s="14"/>
      <x:c r="Z485" s="14" t="str">
        <x:v>Karen Pirie.docx</x:v>
      </x:c>
      <x:c r="AA485" s="14" t="str">
        <x:v>HYPERLINK is not implemented. linkLocation=https://www.imdb.com/title/tt11725900/fullcredits/,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ITV / ITVX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HYPERLINK("https://en.wikipedia.org/wiki/Karen_Pirie","Open source")</x:f>
        <x:v>HYPERLINK is not implemented. linkLocation=https://en.wikipedia.org/wiki/Karen_Pirie,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6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2</x:v>
      </x:c>
      <x:c r="BS485" s="16" t="n">
        <x:v>0.3333333333333333</x:v>
      </x:c>
      <x:c r="BT485" s="14" t="str">
        <x:v>Minority of episodes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4" t="str">
        <x:v>HYPERLINK is not implemented. linkLocation=https://www.imdb.com/title/tt11725900/fullcredits/,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tt11725900|nm12381883|bonnie jnr</x:v>
      </x:c>
      <x:c r="B486" s="14" t="str">
        <x:v>03</x:v>
      </x:c>
      <x:c r="C486" s="14" t="str">
        <x:v>2022_IMDb_Cast_Lists_Batch_03(1).xlsx</x:v>
      </x:c>
      <x:c r="D486" s="14" t="str">
        <x:v>Karen Pirie</x:v>
      </x:c>
      <x:c r="E486" s="14" t="n">
        <x:v>44</x:v>
      </x:c>
      <x:c r="F486" s="14" t="str">
        <x:v>Karen Pirie</x:v>
      </x:c>
      <x:c r="G486" s="14" t="str">
        <x:v>tt11725900</x:v>
      </x:c>
      <x:c r="H486" s="14" t="n">
        <x:v>2022</x:v>
      </x:c>
      <x:c r="I486" s="14" t="n">
        <x:v>2025</x:v>
      </x:c>
      <x:c r="J486" s="14" t="str">
        <x:v>Earlier-Production Carry-In Cohort</x:v>
      </x:c>
      <x:c r="K486" s="14" t="n">
        <x:v>2022</x:v>
      </x:c>
      <x:c r="L486" s="14" t="str">
        <x:v>Not inherited</x:v>
      </x:c>
      <x:c r="M486" s="15" t="n">
        <x:v>37</x:v>
      </x:c>
      <x:c r="N486" s="14" t="str">
        <x:v>Kat Ronney</x:v>
      </x:c>
      <x:c r="O486" s="14" t="str">
        <x:v>nm12381883</x:v>
      </x:c>
      <x:c r="P486" s="14" t="str">
        <x:v>Bonnie Jnr</x:v>
      </x:c>
      <x:c r="Q486" s="15" t="n">
        <x:v>2</x:v>
      </x:c>
      <x:c r="R486" s="14" t="str">
        <x:v>2025</x:v>
      </x:c>
      <x:c r="S486" s="14" t="n">
        <x:v>2025</x:v>
      </x:c>
      <x:c r="T486" s="14" t="n">
        <x:v>2025</x:v>
      </x:c>
      <x:c r="U486" s="14" t="str">
        <x:v>Explicit source first year retained</x:v>
      </x:c>
      <x:c r="V486" s="14" t="str">
        <x:v>Earliest supplied year is 2025.</x:v>
      </x:c>
      <x:c r="W486" s="14"/>
      <x:c r="X486" s="14" t="str">
        <x:v>Included</x:v>
      </x:c>
      <x:c r="Y486" s="14"/>
      <x:c r="Z486" s="14" t="str">
        <x:v>Karen Pirie.docx</x:v>
      </x:c>
      <x:c r="AA486" s="14" t="str">
        <x:v>HYPERLINK is not implemented. linkLocation=https://www.imdb.com/title/tt11725900/fullcredits/,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ITV / ITVX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HYPERLINK("https://en.wikipedia.org/wiki/Karen_Pirie","Open source")</x:f>
        <x:v>HYPERLINK is not implemented. linkLocation=https://en.wikipedia.org/wiki/Karen_Pirie,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6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2</x:v>
      </x:c>
      <x:c r="BS486" s="16" t="n">
        <x:v>0.3333333333333333</x:v>
      </x:c>
      <x:c r="BT486" s="14" t="str">
        <x:v>Minority of episodes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4" t="str">
        <x:v>HYPERLINK is not implemented. linkLocation=https://www.imdb.com/title/tt11725900/fullcredits/,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tt11725900|nm6210727|glen gibson</x:v>
      </x:c>
      <x:c r="B487" s="14" t="str">
        <x:v>03</x:v>
      </x:c>
      <x:c r="C487" s="14" t="str">
        <x:v>2022_IMDb_Cast_Lists_Batch_03(1).xlsx</x:v>
      </x:c>
      <x:c r="D487" s="14" t="str">
        <x:v>Karen Pirie</x:v>
      </x:c>
      <x:c r="E487" s="14" t="n">
        <x:v>48</x:v>
      </x:c>
      <x:c r="F487" s="14" t="str">
        <x:v>Karen Pirie</x:v>
      </x:c>
      <x:c r="G487" s="14" t="str">
        <x:v>tt11725900</x:v>
      </x:c>
      <x:c r="H487" s="14" t="n">
        <x:v>2022</x:v>
      </x:c>
      <x:c r="I487" s="14" t="n">
        <x:v>2025</x:v>
      </x:c>
      <x:c r="J487" s="14" t="str">
        <x:v>Earlier-Production Carry-In Cohort</x:v>
      </x:c>
      <x:c r="K487" s="14" t="n">
        <x:v>2022</x:v>
      </x:c>
      <x:c r="L487" s="14" t="str">
        <x:v>Not inherited</x:v>
      </x:c>
      <x:c r="M487" s="15" t="n">
        <x:v>41</x:v>
      </x:c>
      <x:c r="N487" s="14" t="str">
        <x:v>Craig McGinlay</x:v>
      </x:c>
      <x:c r="O487" s="14" t="str">
        <x:v>nm6210727</x:v>
      </x:c>
      <x:c r="P487" s="14" t="str">
        <x:v>Glen Gibson</x:v>
      </x:c>
      <x:c r="Q487" s="15" t="n">
        <x:v>2</x:v>
      </x:c>
      <x:c r="R487" s="14" t="str">
        <x:v>2025</x:v>
      </x:c>
      <x:c r="S487" s="14" t="n">
        <x:v>2025</x:v>
      </x:c>
      <x:c r="T487" s="14" t="n">
        <x:v>2025</x:v>
      </x:c>
      <x:c r="U487" s="14" t="str">
        <x:v>Explicit source first year retained</x:v>
      </x:c>
      <x:c r="V487" s="14" t="str">
        <x:v>Earliest supplied year is 2025.</x:v>
      </x:c>
      <x:c r="W487" s="14"/>
      <x:c r="X487" s="14" t="str">
        <x:v>Included</x:v>
      </x:c>
      <x:c r="Y487" s="14"/>
      <x:c r="Z487" s="14" t="str">
        <x:v>Karen Pirie.docx</x:v>
      </x:c>
      <x:c r="AA487" s="14" t="str">
        <x:v>HYPERLINK is not implemented. linkLocation=https://www.imdb.com/title/tt11725900/fullcredits/,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ITV / ITVX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HYPERLINK("https://en.wikipedia.org/wiki/Karen_Pirie","Open source")</x:f>
        <x:v>HYPERLINK is not implemented. linkLocation=https://en.wikipedia.org/wiki/Karen_Pirie,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6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2</x:v>
      </x:c>
      <x:c r="BS487" s="16" t="n">
        <x:v>0.3333333333333333</x:v>
      </x:c>
      <x:c r="BT487" s="14" t="str">
        <x:v>Minority of episodes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4" t="str">
        <x:v>HYPERLINK is not implemented. linkLocation=https://www.imdb.com/title/tt11725900/fullcredits/,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tt11725900|nm1368781|susan snr</x:v>
      </x:c>
      <x:c r="B488" s="14" t="str">
        <x:v>03</x:v>
      </x:c>
      <x:c r="C488" s="14" t="str">
        <x:v>2022_IMDb_Cast_Lists_Batch_03(1).xlsx</x:v>
      </x:c>
      <x:c r="D488" s="14" t="str">
        <x:v>Karen Pirie</x:v>
      </x:c>
      <x:c r="E488" s="14" t="n">
        <x:v>49</x:v>
      </x:c>
      <x:c r="F488" s="14" t="str">
        <x:v>Karen Pirie</x:v>
      </x:c>
      <x:c r="G488" s="14" t="str">
        <x:v>tt11725900</x:v>
      </x:c>
      <x:c r="H488" s="14" t="n">
        <x:v>2022</x:v>
      </x:c>
      <x:c r="I488" s="14" t="n">
        <x:v>2025</x:v>
      </x:c>
      <x:c r="J488" s="14" t="str">
        <x:v>Earlier-Production Carry-In Cohort</x:v>
      </x:c>
      <x:c r="K488" s="14" t="n">
        <x:v>2022</x:v>
      </x:c>
      <x:c r="L488" s="14" t="str">
        <x:v>Not inherited</x:v>
      </x:c>
      <x:c r="M488" s="15" t="n">
        <x:v>42</x:v>
      </x:c>
      <x:c r="N488" s="14" t="str">
        <x:v>Gillian Apter</x:v>
      </x:c>
      <x:c r="O488" s="14" t="str">
        <x:v>nm1368781</x:v>
      </x:c>
      <x:c r="P488" s="14" t="str">
        <x:v>Susan Snr</x:v>
      </x:c>
      <x:c r="Q488" s="15" t="n">
        <x:v>2</x:v>
      </x:c>
      <x:c r="R488" s="14" t="str">
        <x:v>2025</x:v>
      </x:c>
      <x:c r="S488" s="14" t="n">
        <x:v>2025</x:v>
      </x:c>
      <x:c r="T488" s="14" t="n">
        <x:v>2025</x:v>
      </x:c>
      <x:c r="U488" s="14" t="str">
        <x:v>Explicit source first year retained</x:v>
      </x:c>
      <x:c r="V488" s="14" t="str">
        <x:v>Earliest supplied year is 2025.</x:v>
      </x:c>
      <x:c r="W488" s="14"/>
      <x:c r="X488" s="14" t="str">
        <x:v>Included</x:v>
      </x:c>
      <x:c r="Y488" s="14"/>
      <x:c r="Z488" s="14" t="str">
        <x:v>Karen Pirie.docx</x:v>
      </x:c>
      <x:c r="AA488" s="14" t="str">
        <x:v>HYPERLINK is not implemented. linkLocation=https://www.imdb.com/title/tt11725900/fullcredits/,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ITV / ITVX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HYPERLINK("https://en.wikipedia.org/wiki/Karen_Pirie","Open source")</x:f>
        <x:v>HYPERLINK is not implemented. linkLocation=https://en.wikipedia.org/wiki/Karen_Pirie,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6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2</x:v>
      </x:c>
      <x:c r="BS488" s="16" t="n">
        <x:v>0.3333333333333333</x:v>
      </x:c>
      <x:c r="BT488" s="14" t="str">
        <x:v>Minority of episodes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4" t="str">
        <x:v>HYPERLINK is not implemented. linkLocation=https://www.imdb.com/title/tt11725900/fullcredits/,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tt11725900|nm9844932|wdc laurel blair</x:v>
      </x:c>
      <x:c r="B489" s="14" t="str">
        <x:v>03</x:v>
      </x:c>
      <x:c r="C489" s="14" t="str">
        <x:v>2022_IMDb_Cast_Lists_Batch_03(1).xlsx</x:v>
      </x:c>
      <x:c r="D489" s="14" t="str">
        <x:v>Karen Pirie</x:v>
      </x:c>
      <x:c r="E489" s="14" t="n">
        <x:v>50</x:v>
      </x:c>
      <x:c r="F489" s="14" t="str">
        <x:v>Karen Pirie</x:v>
      </x:c>
      <x:c r="G489" s="14" t="str">
        <x:v>tt11725900</x:v>
      </x:c>
      <x:c r="H489" s="14" t="n">
        <x:v>2022</x:v>
      </x:c>
      <x:c r="I489" s="14" t="n">
        <x:v>2025</x:v>
      </x:c>
      <x:c r="J489" s="14" t="str">
        <x:v>Earlier-Production Carry-In Cohort</x:v>
      </x:c>
      <x:c r="K489" s="14" t="n">
        <x:v>2022</x:v>
      </x:c>
      <x:c r="L489" s="14" t="str">
        <x:v>Not inherited</x:v>
      </x:c>
      <x:c r="M489" s="15" t="n">
        <x:v>43</x:v>
      </x:c>
      <x:c r="N489" s="14" t="str">
        <x:v>Helen Katamba</x:v>
      </x:c>
      <x:c r="O489" s="14" t="str">
        <x:v>nm9844932</x:v>
      </x:c>
      <x:c r="P489" s="14" t="str">
        <x:v>WDC Laurel Blair</x:v>
      </x:c>
      <x:c r="Q489" s="15" t="n">
        <x:v>2</x:v>
      </x:c>
      <x:c r="R489" s="14" t="str">
        <x:v>2025</x:v>
      </x:c>
      <x:c r="S489" s="14" t="n">
        <x:v>2025</x:v>
      </x:c>
      <x:c r="T489" s="14" t="n">
        <x:v>2025</x:v>
      </x:c>
      <x:c r="U489" s="14" t="str">
        <x:v>Explicit source first year retained</x:v>
      </x:c>
      <x:c r="V489" s="14" t="str">
        <x:v>Earliest supplied year is 2025.</x:v>
      </x:c>
      <x:c r="W489" s="14"/>
      <x:c r="X489" s="14" t="str">
        <x:v>Included</x:v>
      </x:c>
      <x:c r="Y489" s="14"/>
      <x:c r="Z489" s="14" t="str">
        <x:v>Karen Pirie.docx</x:v>
      </x:c>
      <x:c r="AA489" s="14" t="str">
        <x:v>HYPERLINK is not implemented. linkLocation=https://www.imdb.com/title/tt11725900/fullcredits/,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ITV / ITVX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HYPERLINK("https://en.wikipedia.org/wiki/Karen_Pirie","Open source")</x:f>
        <x:v>HYPERLINK is not implemented. linkLocation=https://en.wikipedia.org/wiki/Karen_Pirie,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6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2</x:v>
      </x:c>
      <x:c r="BS489" s="16" t="n">
        <x:v>0.3333333333333333</x:v>
      </x:c>
      <x:c r="BT489" s="14" t="str">
        <x:v>Minority of episodes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4" t="str">
        <x:v>HYPERLINK is not implemented. linkLocation=https://www.imdb.com/title/tt11725900/fullcredits/,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tt11725900|nm2405307|news presenter</x:v>
      </x:c>
      <x:c r="B490" s="14" t="str">
        <x:v>03</x:v>
      </x:c>
      <x:c r="C490" s="14" t="str">
        <x:v>2022_IMDb_Cast_Lists_Batch_03(1).xlsx</x:v>
      </x:c>
      <x:c r="D490" s="14" t="str">
        <x:v>Karen Pirie</x:v>
      </x:c>
      <x:c r="E490" s="14" t="n">
        <x:v>51</x:v>
      </x:c>
      <x:c r="F490" s="14" t="str">
        <x:v>Karen Pirie</x:v>
      </x:c>
      <x:c r="G490" s="14" t="str">
        <x:v>tt11725900</x:v>
      </x:c>
      <x:c r="H490" s="14" t="n">
        <x:v>2022</x:v>
      </x:c>
      <x:c r="I490" s="14" t="n">
        <x:v>2025</x:v>
      </x:c>
      <x:c r="J490" s="14" t="str">
        <x:v>Earlier-Production Carry-In Cohort</x:v>
      </x:c>
      <x:c r="K490" s="14" t="n">
        <x:v>2022</x:v>
      </x:c>
      <x:c r="L490" s="14" t="str">
        <x:v>Not inherited</x:v>
      </x:c>
      <x:c r="M490" s="15" t="n">
        <x:v>44</x:v>
      </x:c>
      <x:c r="N490" s="14" t="str">
        <x:v>Emma Cameron</x:v>
      </x:c>
      <x:c r="O490" s="14" t="str">
        <x:v>nm2405307</x:v>
      </x:c>
      <x:c r="P490" s="14" t="str">
        <x:v>News Presenter</x:v>
      </x:c>
      <x:c r="Q490" s="15" t="n">
        <x:v>2</x:v>
      </x:c>
      <x:c r="R490" s="14" t="str">
        <x:v>2025</x:v>
      </x:c>
      <x:c r="S490" s="14" t="n">
        <x:v>2025</x:v>
      </x:c>
      <x:c r="T490" s="14" t="n">
        <x:v>2025</x:v>
      </x:c>
      <x:c r="U490" s="14" t="str">
        <x:v>Explicit source first year retained</x:v>
      </x:c>
      <x:c r="V490" s="14" t="str">
        <x:v>Earliest supplied year is 2025.</x:v>
      </x:c>
      <x:c r="W490" s="14"/>
      <x:c r="X490" s="14" t="str">
        <x:v>Included</x:v>
      </x:c>
      <x:c r="Y490" s="14"/>
      <x:c r="Z490" s="14" t="str">
        <x:v>Karen Pirie.docx</x:v>
      </x:c>
      <x:c r="AA490" s="14" t="str">
        <x:v>HYPERLINK is not implemented. linkLocation=https://www.imdb.com/title/tt11725900/fullcredits/,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ITV / ITVX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HYPERLINK("https://en.wikipedia.org/wiki/Karen_Pirie","Open source")</x:f>
        <x:v>HYPERLINK is not implemented. linkLocation=https://en.wikipedia.org/wiki/Karen_Pirie,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6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2</x:v>
      </x:c>
      <x:c r="BS490" s="16" t="n">
        <x:v>0.3333333333333333</x:v>
      </x:c>
      <x:c r="BT490" s="14" t="str">
        <x:v>Minority of episodes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4" t="str">
        <x:v>HYPERLINK is not implemented. linkLocation=https://www.imdb.com/title/tt11725900/fullcredits/,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tt11725900|nm5030941|renata</x:v>
      </x:c>
      <x:c r="B491" s="14" t="str">
        <x:v>03</x:v>
      </x:c>
      <x:c r="C491" s="14" t="str">
        <x:v>2022_IMDb_Cast_Lists_Batch_03(1).xlsx</x:v>
      </x:c>
      <x:c r="D491" s="14" t="str">
        <x:v>Karen Pirie</x:v>
      </x:c>
      <x:c r="E491" s="14" t="n">
        <x:v>52</x:v>
      </x:c>
      <x:c r="F491" s="14" t="str">
        <x:v>Karen Pirie</x:v>
      </x:c>
      <x:c r="G491" s="14" t="str">
        <x:v>tt11725900</x:v>
      </x:c>
      <x:c r="H491" s="14" t="n">
        <x:v>2022</x:v>
      </x:c>
      <x:c r="I491" s="14" t="n">
        <x:v>2025</x:v>
      </x:c>
      <x:c r="J491" s="14" t="str">
        <x:v>Earlier-Production Carry-In Cohort</x:v>
      </x:c>
      <x:c r="K491" s="14" t="n">
        <x:v>2022</x:v>
      </x:c>
      <x:c r="L491" s="14" t="str">
        <x:v>Not inherited</x:v>
      </x:c>
      <x:c r="M491" s="15" t="n">
        <x:v>45</x:v>
      </x:c>
      <x:c r="N491" s="14" t="str">
        <x:v>Carlotta Morelli</x:v>
      </x:c>
      <x:c r="O491" s="14" t="str">
        <x:v>nm5030941</x:v>
      </x:c>
      <x:c r="P491" s="14" t="str">
        <x:v>Renata</x:v>
      </x:c>
      <x:c r="Q491" s="15" t="n">
        <x:v>2</x:v>
      </x:c>
      <x:c r="R491" s="14" t="str">
        <x:v>2025</x:v>
      </x:c>
      <x:c r="S491" s="14" t="n">
        <x:v>2025</x:v>
      </x:c>
      <x:c r="T491" s="14" t="n">
        <x:v>2025</x:v>
      </x:c>
      <x:c r="U491" s="14" t="str">
        <x:v>Explicit source first year retained</x:v>
      </x:c>
      <x:c r="V491" s="14" t="str">
        <x:v>Earliest supplied year is 2025.</x:v>
      </x:c>
      <x:c r="W491" s="14"/>
      <x:c r="X491" s="14" t="str">
        <x:v>Included</x:v>
      </x:c>
      <x:c r="Y491" s="14"/>
      <x:c r="Z491" s="14" t="str">
        <x:v>Karen Pirie.docx</x:v>
      </x:c>
      <x:c r="AA491" s="14" t="str">
        <x:v>HYPERLINK is not implemented. linkLocation=https://www.imdb.com/title/tt11725900/fullcredits/,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ITV / ITVX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HYPERLINK("https://en.wikipedia.org/wiki/Karen_Pirie","Open source")</x:f>
        <x:v>HYPERLINK is not implemented. linkLocation=https://en.wikipedia.org/wiki/Karen_Pirie,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6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2</x:v>
      </x:c>
      <x:c r="BS491" s="16" t="n">
        <x:v>0.3333333333333333</x:v>
      </x:c>
      <x:c r="BT491" s="14" t="str">
        <x:v>Minority of episodes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4" t="str">
        <x:v>HYPERLINK is not implemented. linkLocation=https://www.imdb.com/title/tt11725900/fullcredits/,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tt11725900|nm0214860|barbieri</x:v>
      </x:c>
      <x:c r="B492" s="14" t="str">
        <x:v>03</x:v>
      </x:c>
      <x:c r="C492" s="14" t="str">
        <x:v>2022_IMDb_Cast_Lists_Batch_03(1).xlsx</x:v>
      </x:c>
      <x:c r="D492" s="14" t="str">
        <x:v>Karen Pirie</x:v>
      </x:c>
      <x:c r="E492" s="14" t="n">
        <x:v>56</x:v>
      </x:c>
      <x:c r="F492" s="14" t="str">
        <x:v>Karen Pirie</x:v>
      </x:c>
      <x:c r="G492" s="14" t="str">
        <x:v>tt11725900</x:v>
      </x:c>
      <x:c r="H492" s="14" t="n">
        <x:v>2022</x:v>
      </x:c>
      <x:c r="I492" s="14" t="n">
        <x:v>2025</x:v>
      </x:c>
      <x:c r="J492" s="14" t="str">
        <x:v>Earlier-Production Carry-In Cohort</x:v>
      </x:c>
      <x:c r="K492" s="14" t="n">
        <x:v>2022</x:v>
      </x:c>
      <x:c r="L492" s="14" t="str">
        <x:v>Not inherited</x:v>
      </x:c>
      <x:c r="M492" s="15" t="n">
        <x:v>49</x:v>
      </x:c>
      <x:c r="N492" s="14" t="str">
        <x:v>Raffaello Degruttola</x:v>
      </x:c>
      <x:c r="O492" s="14" t="str">
        <x:v>nm0214860</x:v>
      </x:c>
      <x:c r="P492" s="14" t="str">
        <x:v>Barbieri</x:v>
      </x:c>
      <x:c r="Q492" s="15" t="n">
        <x:v>2</x:v>
      </x:c>
      <x:c r="R492" s="14" t="str">
        <x:v>2025</x:v>
      </x:c>
      <x:c r="S492" s="14" t="n">
        <x:v>2025</x:v>
      </x:c>
      <x:c r="T492" s="14" t="n">
        <x:v>2025</x:v>
      </x:c>
      <x:c r="U492" s="14" t="str">
        <x:v>Explicit source first year retained</x:v>
      </x:c>
      <x:c r="V492" s="14" t="str">
        <x:v>Earliest supplied year is 2025.</x:v>
      </x:c>
      <x:c r="W492" s="14"/>
      <x:c r="X492" s="14" t="str">
        <x:v>Included</x:v>
      </x:c>
      <x:c r="Y492" s="14"/>
      <x:c r="Z492" s="14" t="str">
        <x:v>Karen Pirie.docx</x:v>
      </x:c>
      <x:c r="AA492" s="14" t="str">
        <x:v>HYPERLINK is not implemented. linkLocation=https://www.imdb.com/title/tt11725900/fullcredits/,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ITV / ITVX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HYPERLINK("https://en.wikipedia.org/wiki/Karen_Pirie","Open source")</x:f>
        <x:v>HYPERLINK is not implemented. linkLocation=https://en.wikipedia.org/wiki/Karen_Pirie,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6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2</x:v>
      </x:c>
      <x:c r="BS492" s="16" t="n">
        <x:v>0.3333333333333333</x:v>
      </x:c>
      <x:c r="BT492" s="14" t="str">
        <x:v>Minority of episodes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4" t="str">
        <x:v>HYPERLINK is not implemented. linkLocation=https://www.imdb.com/title/tt11725900/fullcredits/,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tt11725900|nm0281424|mick prentice snr</x:v>
      </x:c>
      <x:c r="B493" s="14" t="str">
        <x:v>03</x:v>
      </x:c>
      <x:c r="C493" s="14" t="str">
        <x:v>2022_IMDb_Cast_Lists_Batch_03(1).xlsx</x:v>
      </x:c>
      <x:c r="D493" s="14" t="str">
        <x:v>Karen Pirie</x:v>
      </x:c>
      <x:c r="E493" s="14" t="n">
        <x:v>62</x:v>
      </x:c>
      <x:c r="F493" s="14" t="str">
        <x:v>Karen Pirie</x:v>
      </x:c>
      <x:c r="G493" s="14" t="str">
        <x:v>tt11725900</x:v>
      </x:c>
      <x:c r="H493" s="14" t="n">
        <x:v>2022</x:v>
      </x:c>
      <x:c r="I493" s="14" t="n">
        <x:v>2025</x:v>
      </x:c>
      <x:c r="J493" s="14" t="str">
        <x:v>Earlier-Production Carry-In Cohort</x:v>
      </x:c>
      <x:c r="K493" s="14" t="n">
        <x:v>2022</x:v>
      </x:c>
      <x:c r="L493" s="14" t="str">
        <x:v>Not inherited</x:v>
      </x:c>
      <x:c r="M493" s="15" t="n">
        <x:v>55</x:v>
      </x:c>
      <x:c r="N493" s="14" t="str">
        <x:v>James Fleet</x:v>
      </x:c>
      <x:c r="O493" s="14" t="str">
        <x:v>nm0281424</x:v>
      </x:c>
      <x:c r="P493" s="14" t="str">
        <x:v>Mick Prentice Snr</x:v>
      </x:c>
      <x:c r="Q493" s="15" t="n">
        <x:v>1</x:v>
      </x:c>
      <x:c r="R493" s="14" t="str">
        <x:v>2025</x:v>
      </x:c>
      <x:c r="S493" s="14" t="n">
        <x:v>2025</x:v>
      </x:c>
      <x:c r="T493" s="14" t="n">
        <x:v>2025</x:v>
      </x:c>
      <x:c r="U493" s="14" t="str">
        <x:v>Explicit source first year retained</x:v>
      </x:c>
      <x:c r="V493" s="14" t="str">
        <x:v>Earliest supplied year is 2025.</x:v>
      </x:c>
      <x:c r="W493" s="14"/>
      <x:c r="X493" s="14" t="str">
        <x:v>Included</x:v>
      </x:c>
      <x:c r="Y493" s="14"/>
      <x:c r="Z493" s="14" t="str">
        <x:v>Karen Pirie.docx</x:v>
      </x:c>
      <x:c r="AA493" s="14" t="str">
        <x:v>HYPERLINK is not implemented. linkLocation=https://www.imdb.com/title/tt11725900/fullcredits/,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ITV / ITVX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HYPERLINK("https://en.wikipedia.org/wiki/Karen_Pirie","Open source")</x:f>
        <x:v>HYPERLINK is not implemented. linkLocation=https://en.wikipedia.org/wiki/Karen_Pirie,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6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0.16666666666666666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4" t="str">
        <x:v>HYPERLINK is not implemented. linkLocation=https://www.imdb.com/title/tt11725900/fullcredits/,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tt11725900|nm12586008|tom robertson jnr</x:v>
      </x:c>
      <x:c r="B494" s="14" t="str">
        <x:v>03</x:v>
      </x:c>
      <x:c r="C494" s="14" t="str">
        <x:v>2022_IMDb_Cast_Lists_Batch_03(1).xlsx</x:v>
      </x:c>
      <x:c r="D494" s="14" t="str">
        <x:v>Karen Pirie</x:v>
      </x:c>
      <x:c r="E494" s="14" t="n">
        <x:v>66</x:v>
      </x:c>
      <x:c r="F494" s="14" t="str">
        <x:v>Karen Pirie</x:v>
      </x:c>
      <x:c r="G494" s="14" t="str">
        <x:v>tt11725900</x:v>
      </x:c>
      <x:c r="H494" s="14" t="n">
        <x:v>2022</x:v>
      </x:c>
      <x:c r="I494" s="14" t="n">
        <x:v>2025</x:v>
      </x:c>
      <x:c r="J494" s="14" t="str">
        <x:v>Earlier-Production Carry-In Cohort</x:v>
      </x:c>
      <x:c r="K494" s="14" t="n">
        <x:v>2022</x:v>
      </x:c>
      <x:c r="L494" s="14" t="str">
        <x:v>Not inherited</x:v>
      </x:c>
      <x:c r="M494" s="15" t="n">
        <x:v>59</x:v>
      </x:c>
      <x:c r="N494" s="14" t="str">
        <x:v>Calum Maclean</x:v>
      </x:c>
      <x:c r="O494" s="14" t="str">
        <x:v>nm12586008</x:v>
      </x:c>
      <x:c r="P494" s="14" t="str">
        <x:v>Tom Robertson Jnr</x:v>
      </x:c>
      <x:c r="Q494" s="15" t="n">
        <x:v>1</x:v>
      </x:c>
      <x:c r="R494" s="14" t="str">
        <x:v>2025</x:v>
      </x:c>
      <x:c r="S494" s="14" t="n">
        <x:v>2025</x:v>
      </x:c>
      <x:c r="T494" s="14" t="n">
        <x:v>2025</x:v>
      </x:c>
      <x:c r="U494" s="14" t="str">
        <x:v>Explicit source first year retained</x:v>
      </x:c>
      <x:c r="V494" s="14" t="str">
        <x:v>Earliest supplied year is 2025.</x:v>
      </x:c>
      <x:c r="W494" s="14"/>
      <x:c r="X494" s="14" t="str">
        <x:v>Included</x:v>
      </x:c>
      <x:c r="Y494" s="14"/>
      <x:c r="Z494" s="14" t="str">
        <x:v>Karen Pirie.docx</x:v>
      </x:c>
      <x:c r="AA494" s="14" t="str">
        <x:v>HYPERLINK is not implemented. linkLocation=https://www.imdb.com/title/tt11725900/fullcredits/,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ITV / ITVX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HYPERLINK("https://en.wikipedia.org/wiki/Karen_Pirie","Open source")</x:f>
        <x:v>HYPERLINK is not implemented. linkLocation=https://en.wikipedia.org/wiki/Karen_Pirie,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6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0.16666666666666666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4" t="str">
        <x:v>HYPERLINK is not implemented. linkLocation=https://www.imdb.com/title/tt11725900/fullcredits/,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tt11725900|nm11962202|susan jnr</x:v>
      </x:c>
      <x:c r="B495" s="14" t="str">
        <x:v>03</x:v>
      </x:c>
      <x:c r="C495" s="14" t="str">
        <x:v>2022_IMDb_Cast_Lists_Batch_03(1).xlsx</x:v>
      </x:c>
      <x:c r="D495" s="14" t="str">
        <x:v>Karen Pirie</x:v>
      </x:c>
      <x:c r="E495" s="14" t="n">
        <x:v>67</x:v>
      </x:c>
      <x:c r="F495" s="14" t="str">
        <x:v>Karen Pirie</x:v>
      </x:c>
      <x:c r="G495" s="14" t="str">
        <x:v>tt11725900</x:v>
      </x:c>
      <x:c r="H495" s="14" t="n">
        <x:v>2022</x:v>
      </x:c>
      <x:c r="I495" s="14" t="n">
        <x:v>2025</x:v>
      </x:c>
      <x:c r="J495" s="14" t="str">
        <x:v>Earlier-Production Carry-In Cohort</x:v>
      </x:c>
      <x:c r="K495" s="14" t="n">
        <x:v>2022</x:v>
      </x:c>
      <x:c r="L495" s="14" t="str">
        <x:v>Not inherited</x:v>
      </x:c>
      <x:c r="M495" s="15" t="n">
        <x:v>60</x:v>
      </x:c>
      <x:c r="N495" s="14" t="str">
        <x:v>Ashleigh Trainer</x:v>
      </x:c>
      <x:c r="O495" s="14" t="str">
        <x:v>nm11962202</x:v>
      </x:c>
      <x:c r="P495" s="14" t="str">
        <x:v>Susan Jnr</x:v>
      </x:c>
      <x:c r="Q495" s="15" t="n">
        <x:v>1</x:v>
      </x:c>
      <x:c r="R495" s="14" t="str">
        <x:v>2025</x:v>
      </x:c>
      <x:c r="S495" s="14" t="n">
        <x:v>2025</x:v>
      </x:c>
      <x:c r="T495" s="14" t="n">
        <x:v>2025</x:v>
      </x:c>
      <x:c r="U495" s="14" t="str">
        <x:v>Explicit source first year retained</x:v>
      </x:c>
      <x:c r="V495" s="14" t="str">
        <x:v>Earliest supplied year is 2025.</x:v>
      </x:c>
      <x:c r="W495" s="14"/>
      <x:c r="X495" s="14" t="str">
        <x:v>Included</x:v>
      </x:c>
      <x:c r="Y495" s="14"/>
      <x:c r="Z495" s="14" t="str">
        <x:v>Karen Pirie.docx</x:v>
      </x:c>
      <x:c r="AA495" s="14" t="str">
        <x:v>HYPERLINK is not implemented. linkLocation=https://www.imdb.com/title/tt11725900/fullcredits/,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ITV / ITVX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HYPERLINK("https://en.wikipedia.org/wiki/Karen_Pirie","Open source")</x:f>
        <x:v>HYPERLINK is not implemented. linkLocation=https://en.wikipedia.org/wiki/Karen_Pirie,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6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0.16666666666666666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4" t="str">
        <x:v>HYPERLINK is not implemented. linkLocation=https://www.imdb.com/title/tt11725900/fullcredits/,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tt11725900|nm0232733|jenny snr</x:v>
      </x:c>
      <x:c r="B496" s="14" t="str">
        <x:v>03</x:v>
      </x:c>
      <x:c r="C496" s="14" t="str">
        <x:v>2022_IMDb_Cast_Lists_Batch_03(1).xlsx</x:v>
      </x:c>
      <x:c r="D496" s="14" t="str">
        <x:v>Karen Pirie</x:v>
      </x:c>
      <x:c r="E496" s="14" t="n">
        <x:v>69</x:v>
      </x:c>
      <x:c r="F496" s="14" t="str">
        <x:v>Karen Pirie</x:v>
      </x:c>
      <x:c r="G496" s="14" t="str">
        <x:v>tt11725900</x:v>
      </x:c>
      <x:c r="H496" s="14" t="n">
        <x:v>2022</x:v>
      </x:c>
      <x:c r="I496" s="14" t="n">
        <x:v>2025</x:v>
      </x:c>
      <x:c r="J496" s="14" t="str">
        <x:v>Earlier-Production Carry-In Cohort</x:v>
      </x:c>
      <x:c r="K496" s="14" t="n">
        <x:v>2022</x:v>
      </x:c>
      <x:c r="L496" s="14" t="str">
        <x:v>Not inherited</x:v>
      </x:c>
      <x:c r="M496" s="15" t="n">
        <x:v>62</x:v>
      </x:c>
      <x:c r="N496" s="14" t="str">
        <x:v>Kate Donnelly</x:v>
      </x:c>
      <x:c r="O496" s="14" t="str">
        <x:v>nm0232733</x:v>
      </x:c>
      <x:c r="P496" s="14" t="str">
        <x:v>Jenny Snr</x:v>
      </x:c>
      <x:c r="Q496" s="15" t="n">
        <x:v>1</x:v>
      </x:c>
      <x:c r="R496" s="14" t="str">
        <x:v>2025</x:v>
      </x:c>
      <x:c r="S496" s="14" t="n">
        <x:v>2025</x:v>
      </x:c>
      <x:c r="T496" s="14" t="n">
        <x:v>2025</x:v>
      </x:c>
      <x:c r="U496" s="14" t="str">
        <x:v>Explicit source first year retained</x:v>
      </x:c>
      <x:c r="V496" s="14" t="str">
        <x:v>Earliest supplied year is 2025.</x:v>
      </x:c>
      <x:c r="W496" s="14"/>
      <x:c r="X496" s="14" t="str">
        <x:v>Included</x:v>
      </x:c>
      <x:c r="Y496" s="14"/>
      <x:c r="Z496" s="14" t="str">
        <x:v>Karen Pirie.docx</x:v>
      </x:c>
      <x:c r="AA496" s="14" t="str">
        <x:v>HYPERLINK is not implemented. linkLocation=https://www.imdb.com/title/tt11725900/fullcredits/,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ITV / ITVX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HYPERLINK("https://en.wikipedia.org/wiki/Karen_Pirie","Open source")</x:f>
        <x:v>HYPERLINK is not implemented. linkLocation=https://en.wikipedia.org/wiki/Karen_Pirie,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6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0.16666666666666666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4" t="str">
        <x:v>HYPERLINK is not implemented. linkLocation=https://www.imdb.com/title/tt11725900/fullcredits/,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tt11725900|nm1544249|taylor forbes</x:v>
      </x:c>
      <x:c r="B497" s="14" t="str">
        <x:v>03</x:v>
      </x:c>
      <x:c r="C497" s="14" t="str">
        <x:v>2022_IMDb_Cast_Lists_Batch_03(1).xlsx</x:v>
      </x:c>
      <x:c r="D497" s="14" t="str">
        <x:v>Karen Pirie</x:v>
      </x:c>
      <x:c r="E497" s="14" t="n">
        <x:v>70</x:v>
      </x:c>
      <x:c r="F497" s="14" t="str">
        <x:v>Karen Pirie</x:v>
      </x:c>
      <x:c r="G497" s="14" t="str">
        <x:v>tt11725900</x:v>
      </x:c>
      <x:c r="H497" s="14" t="n">
        <x:v>2022</x:v>
      </x:c>
      <x:c r="I497" s="14" t="n">
        <x:v>2025</x:v>
      </x:c>
      <x:c r="J497" s="14" t="str">
        <x:v>Earlier-Production Carry-In Cohort</x:v>
      </x:c>
      <x:c r="K497" s="14" t="n">
        <x:v>2022</x:v>
      </x:c>
      <x:c r="L497" s="14" t="str">
        <x:v>Not inherited</x:v>
      </x:c>
      <x:c r="M497" s="15" t="n">
        <x:v>63</x:v>
      </x:c>
      <x:c r="N497" s="14" t="str">
        <x:v>Joanna Harte</x:v>
      </x:c>
      <x:c r="O497" s="14" t="str">
        <x:v>nm1544249</x:v>
      </x:c>
      <x:c r="P497" s="14" t="str">
        <x:v>Taylor Forbes</x:v>
      </x:c>
      <x:c r="Q497" s="15" t="n">
        <x:v>1</x:v>
      </x:c>
      <x:c r="R497" s="14" t="str">
        <x:v>2025</x:v>
      </x:c>
      <x:c r="S497" s="14" t="n">
        <x:v>2025</x:v>
      </x:c>
      <x:c r="T497" s="14" t="n">
        <x:v>2025</x:v>
      </x:c>
      <x:c r="U497" s="14" t="str">
        <x:v>Explicit source first year retained</x:v>
      </x:c>
      <x:c r="V497" s="14" t="str">
        <x:v>Earliest supplied year is 2025.</x:v>
      </x:c>
      <x:c r="W497" s="14"/>
      <x:c r="X497" s="14" t="str">
        <x:v>Included</x:v>
      </x:c>
      <x:c r="Y497" s="14"/>
      <x:c r="Z497" s="14" t="str">
        <x:v>Karen Pirie.docx</x:v>
      </x:c>
      <x:c r="AA497" s="14" t="str">
        <x:v>HYPERLINK is not implemented. linkLocation=https://www.imdb.com/title/tt11725900/fullcredits/,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ITV / ITVX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HYPERLINK("https://en.wikipedia.org/wiki/Karen_Pirie","Open source")</x:f>
        <x:v>HYPERLINK is not implemented. linkLocation=https://en.wikipedia.org/wiki/Karen_Pirie,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6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0.16666666666666666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4" t="str">
        <x:v>HYPERLINK is not implemented. linkLocation=https://www.imdb.com/title/tt11725900/fullcredits/,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tt11725900|nm6996487|jenny jnr</x:v>
      </x:c>
      <x:c r="B498" s="14" t="str">
        <x:v>03</x:v>
      </x:c>
      <x:c r="C498" s="14" t="str">
        <x:v>2022_IMDb_Cast_Lists_Batch_03(1).xlsx</x:v>
      </x:c>
      <x:c r="D498" s="14" t="str">
        <x:v>Karen Pirie</x:v>
      </x:c>
      <x:c r="E498" s="14" t="n">
        <x:v>71</x:v>
      </x:c>
      <x:c r="F498" s="14" t="str">
        <x:v>Karen Pirie</x:v>
      </x:c>
      <x:c r="G498" s="14" t="str">
        <x:v>tt11725900</x:v>
      </x:c>
      <x:c r="H498" s="14" t="n">
        <x:v>2022</x:v>
      </x:c>
      <x:c r="I498" s="14" t="n">
        <x:v>2025</x:v>
      </x:c>
      <x:c r="J498" s="14" t="str">
        <x:v>Earlier-Production Carry-In Cohort</x:v>
      </x:c>
      <x:c r="K498" s="14" t="n">
        <x:v>2022</x:v>
      </x:c>
      <x:c r="L498" s="14" t="str">
        <x:v>Not inherited</x:v>
      </x:c>
      <x:c r="M498" s="15" t="n">
        <x:v>64</x:v>
      </x:c>
      <x:c r="N498" s="14" t="str">
        <x:v>Rachel Dick</x:v>
      </x:c>
      <x:c r="O498" s="14" t="str">
        <x:v>nm6996487</x:v>
      </x:c>
      <x:c r="P498" s="14" t="str">
        <x:v>Jenny Jnr</x:v>
      </x:c>
      <x:c r="Q498" s="15" t="n">
        <x:v>1</x:v>
      </x:c>
      <x:c r="R498" s="14" t="str">
        <x:v>2025</x:v>
      </x:c>
      <x:c r="S498" s="14" t="n">
        <x:v>2025</x:v>
      </x:c>
      <x:c r="T498" s="14" t="n">
        <x:v>2025</x:v>
      </x:c>
      <x:c r="U498" s="14" t="str">
        <x:v>Explicit source first year retained</x:v>
      </x:c>
      <x:c r="V498" s="14" t="str">
        <x:v>Earliest supplied year is 2025.</x:v>
      </x:c>
      <x:c r="W498" s="14"/>
      <x:c r="X498" s="14" t="str">
        <x:v>Included</x:v>
      </x:c>
      <x:c r="Y498" s="14"/>
      <x:c r="Z498" s="14" t="str">
        <x:v>Karen Pirie.docx</x:v>
      </x:c>
      <x:c r="AA498" s="14" t="str">
        <x:v>HYPERLINK is not implemented. linkLocation=https://www.imdb.com/title/tt11725900/fullcredits/,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ITV / ITVX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HYPERLINK("https://en.wikipedia.org/wiki/Karen_Pirie","Open source")</x:f>
        <x:v>HYPERLINK is not implemented. linkLocation=https://en.wikipedia.org/wiki/Karen_Pirie,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6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0.16666666666666666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4" t="str">
        <x:v>HYPERLINK is not implemented. linkLocation=https://www.imdb.com/title/tt11725900/fullcredits/,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tt11725900|nm0182588|tom robertson snr</x:v>
      </x:c>
      <x:c r="B499" s="14" t="str">
        <x:v>03</x:v>
      </x:c>
      <x:c r="C499" s="14" t="str">
        <x:v>2022_IMDb_Cast_Lists_Batch_03(1).xlsx</x:v>
      </x:c>
      <x:c r="D499" s="14" t="str">
        <x:v>Karen Pirie</x:v>
      </x:c>
      <x:c r="E499" s="14" t="n">
        <x:v>72</x:v>
      </x:c>
      <x:c r="F499" s="14" t="str">
        <x:v>Karen Pirie</x:v>
      </x:c>
      <x:c r="G499" s="14" t="str">
        <x:v>tt11725900</x:v>
      </x:c>
      <x:c r="H499" s="14" t="n">
        <x:v>2022</x:v>
      </x:c>
      <x:c r="I499" s="14" t="n">
        <x:v>2025</x:v>
      </x:c>
      <x:c r="J499" s="14" t="str">
        <x:v>Earlier-Production Carry-In Cohort</x:v>
      </x:c>
      <x:c r="K499" s="14" t="n">
        <x:v>2022</x:v>
      </x:c>
      <x:c r="L499" s="14" t="str">
        <x:v>Not inherited</x:v>
      </x:c>
      <x:c r="M499" s="15" t="n">
        <x:v>65</x:v>
      </x:c>
      <x:c r="N499" s="14" t="str">
        <x:v>Matt Costello</x:v>
      </x:c>
      <x:c r="O499" s="14" t="str">
        <x:v>nm0182588</x:v>
      </x:c>
      <x:c r="P499" s="14" t="str">
        <x:v>Tom Robertson Snr</x:v>
      </x:c>
      <x:c r="Q499" s="15" t="n">
        <x:v>1</x:v>
      </x:c>
      <x:c r="R499" s="14" t="str">
        <x:v>2025</x:v>
      </x:c>
      <x:c r="S499" s="14" t="n">
        <x:v>2025</x:v>
      </x:c>
      <x:c r="T499" s="14" t="n">
        <x:v>2025</x:v>
      </x:c>
      <x:c r="U499" s="14" t="str">
        <x:v>Explicit source first year retained</x:v>
      </x:c>
      <x:c r="V499" s="14" t="str">
        <x:v>Earliest supplied year is 2025.</x:v>
      </x:c>
      <x:c r="W499" s="14"/>
      <x:c r="X499" s="14" t="str">
        <x:v>Included</x:v>
      </x:c>
      <x:c r="Y499" s="14"/>
      <x:c r="Z499" s="14" t="str">
        <x:v>Karen Pirie.docx</x:v>
      </x:c>
      <x:c r="AA499" s="14" t="str">
        <x:v>HYPERLINK is not implemented. linkLocation=https://www.imdb.com/title/tt11725900/fullcredits/,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ITV / ITVX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HYPERLINK("https://en.wikipedia.org/wiki/Karen_Pirie","Open source")</x:f>
        <x:v>HYPERLINK is not implemented. linkLocation=https://en.wikipedia.org/wiki/Karen_Pirie,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6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0.16666666666666666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4" t="str">
        <x:v>HYPERLINK is not implemented. linkLocation=https://www.imdb.com/title/tt11725900/fullcredits/,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tt11725900|nm0543429|andy kerr snr / matthias johnson</x:v>
      </x:c>
      <x:c r="B500" s="14" t="str">
        <x:v>03</x:v>
      </x:c>
      <x:c r="C500" s="14" t="str">
        <x:v>2022_IMDb_Cast_Lists_Batch_03(1).xlsx</x:v>
      </x:c>
      <x:c r="D500" s="14" t="str">
        <x:v>Karen Pirie</x:v>
      </x:c>
      <x:c r="E500" s="14" t="n">
        <x:v>73</x:v>
      </x:c>
      <x:c r="F500" s="14" t="str">
        <x:v>Karen Pirie</x:v>
      </x:c>
      <x:c r="G500" s="14" t="str">
        <x:v>tt11725900</x:v>
      </x:c>
      <x:c r="H500" s="14" t="n">
        <x:v>2022</x:v>
      </x:c>
      <x:c r="I500" s="14" t="n">
        <x:v>2025</x:v>
      </x:c>
      <x:c r="J500" s="14" t="str">
        <x:v>Earlier-Production Carry-In Cohort</x:v>
      </x:c>
      <x:c r="K500" s="14" t="n">
        <x:v>2022</x:v>
      </x:c>
      <x:c r="L500" s="14" t="str">
        <x:v>Not inherited</x:v>
      </x:c>
      <x:c r="M500" s="15" t="n">
        <x:v>66</x:v>
      </x:c>
      <x:c r="N500" s="14" t="str">
        <x:v>Tom Mannion</x:v>
      </x:c>
      <x:c r="O500" s="14" t="str">
        <x:v>nm0543429</x:v>
      </x:c>
      <x:c r="P500" s="14" t="str">
        <x:v>Andy Kerr Snr / Matthias Johnson</x:v>
      </x:c>
      <x:c r="Q500" s="15" t="n">
        <x:v>1</x:v>
      </x:c>
      <x:c r="R500" s="14" t="str">
        <x:v>2025</x:v>
      </x:c>
      <x:c r="S500" s="14" t="n">
        <x:v>2025</x:v>
      </x:c>
      <x:c r="T500" s="14" t="n">
        <x:v>2025</x:v>
      </x:c>
      <x:c r="U500" s="14" t="str">
        <x:v>Explicit source first year retained</x:v>
      </x:c>
      <x:c r="V500" s="14" t="str">
        <x:v>Earliest supplied year is 2025.</x:v>
      </x:c>
      <x:c r="W500" s="14"/>
      <x:c r="X500" s="14" t="str">
        <x:v>Included</x:v>
      </x:c>
      <x:c r="Y500" s="14"/>
      <x:c r="Z500" s="14" t="str">
        <x:v>Karen Pirie.docx</x:v>
      </x:c>
      <x:c r="AA500" s="14" t="str">
        <x:v>HYPERLINK is not implemented. linkLocation=https://www.imdb.com/title/tt11725900/fullcredits/,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ITV / ITVX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HYPERLINK("https://en.wikipedia.org/wiki/Karen_Pirie","Open source")</x:f>
        <x:v>HYPERLINK is not implemented. linkLocation=https://en.wikipedia.org/wiki/Karen_Pirie,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6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0.16666666666666666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4" t="str">
        <x:v>HYPERLINK is not implemented. linkLocation=https://www.imdb.com/title/tt11725900/fullcredits/,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tt11725900|nm9318242|toby inglis</x:v>
      </x:c>
      <x:c r="B501" s="14" t="str">
        <x:v>03</x:v>
      </x:c>
      <x:c r="C501" s="14" t="str">
        <x:v>2022_IMDb_Cast_Lists_Batch_03(1).xlsx</x:v>
      </x:c>
      <x:c r="D501" s="14" t="str">
        <x:v>Karen Pirie</x:v>
      </x:c>
      <x:c r="E501" s="14" t="n">
        <x:v>75</x:v>
      </x:c>
      <x:c r="F501" s="14" t="str">
        <x:v>Karen Pirie</x:v>
      </x:c>
      <x:c r="G501" s="14" t="str">
        <x:v>tt11725900</x:v>
      </x:c>
      <x:c r="H501" s="14" t="n">
        <x:v>2022</x:v>
      </x:c>
      <x:c r="I501" s="14" t="n">
        <x:v>2025</x:v>
      </x:c>
      <x:c r="J501" s="14" t="str">
        <x:v>Earlier-Production Carry-In Cohort</x:v>
      </x:c>
      <x:c r="K501" s="14" t="n">
        <x:v>2022</x:v>
      </x:c>
      <x:c r="L501" s="14" t="str">
        <x:v>Not inherited</x:v>
      </x:c>
      <x:c r="M501" s="15" t="n">
        <x:v>68</x:v>
      </x:c>
      <x:c r="N501" s="14" t="str">
        <x:v>Adam Young</x:v>
      </x:c>
      <x:c r="O501" s="14" t="str">
        <x:v>nm9318242</x:v>
      </x:c>
      <x:c r="P501" s="14" t="str">
        <x:v>Toby Inglis</x:v>
      </x:c>
      <x:c r="Q501" s="15" t="n">
        <x:v>1</x:v>
      </x:c>
      <x:c r="R501" s="14" t="str">
        <x:v>2025</x:v>
      </x:c>
      <x:c r="S501" s="14" t="n">
        <x:v>2025</x:v>
      </x:c>
      <x:c r="T501" s="14" t="n">
        <x:v>2025</x:v>
      </x:c>
      <x:c r="U501" s="14" t="str">
        <x:v>Explicit source first year retained</x:v>
      </x:c>
      <x:c r="V501" s="14" t="str">
        <x:v>Earliest supplied year is 2025.</x:v>
      </x:c>
      <x:c r="W501" s="14"/>
      <x:c r="X501" s="14" t="str">
        <x:v>Included</x:v>
      </x:c>
      <x:c r="Y501" s="14"/>
      <x:c r="Z501" s="14" t="str">
        <x:v>Karen Pirie.docx</x:v>
      </x:c>
      <x:c r="AA501" s="14" t="str">
        <x:v>HYPERLINK is not implemented. linkLocation=https://www.imdb.com/title/tt11725900/fullcredits/,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ITV / ITVX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HYPERLINK("https://en.wikipedia.org/wiki/Karen_Pirie","Open source")</x:f>
        <x:v>HYPERLINK is not implemented. linkLocation=https://en.wikipedia.org/wiki/Karen_Pirie,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6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0.16666666666666666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4" t="str">
        <x:v>HYPERLINK is not implemented. linkLocation=https://www.imdb.com/title/tt11725900/fullcredits/,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tt11725900|nm5560243|luca</x:v>
      </x:c>
      <x:c r="B502" s="14" t="str">
        <x:v>03</x:v>
      </x:c>
      <x:c r="C502" s="14" t="str">
        <x:v>2022_IMDb_Cast_Lists_Batch_03(1).xlsx</x:v>
      </x:c>
      <x:c r="D502" s="14" t="str">
        <x:v>Karen Pirie</x:v>
      </x:c>
      <x:c r="E502" s="14" t="n">
        <x:v>76</x:v>
      </x:c>
      <x:c r="F502" s="14" t="str">
        <x:v>Karen Pirie</x:v>
      </x:c>
      <x:c r="G502" s="14" t="str">
        <x:v>tt11725900</x:v>
      </x:c>
      <x:c r="H502" s="14" t="n">
        <x:v>2022</x:v>
      </x:c>
      <x:c r="I502" s="14" t="n">
        <x:v>2025</x:v>
      </x:c>
      <x:c r="J502" s="14" t="str">
        <x:v>Earlier-Production Carry-In Cohort</x:v>
      </x:c>
      <x:c r="K502" s="14" t="n">
        <x:v>2022</x:v>
      </x:c>
      <x:c r="L502" s="14" t="str">
        <x:v>Not inherited</x:v>
      </x:c>
      <x:c r="M502" s="15" t="n">
        <x:v>69</x:v>
      </x:c>
      <x:c r="N502" s="14" t="str">
        <x:v>Jordan Mifsud</x:v>
      </x:c>
      <x:c r="O502" s="14" t="str">
        <x:v>nm5560243</x:v>
      </x:c>
      <x:c r="P502" s="14" t="str">
        <x:v>Luca</x:v>
      </x:c>
      <x:c r="Q502" s="15" t="n">
        <x:v>1</x:v>
      </x:c>
      <x:c r="R502" s="14" t="str">
        <x:v>2025</x:v>
      </x:c>
      <x:c r="S502" s="14" t="n">
        <x:v>2025</x:v>
      </x:c>
      <x:c r="T502" s="14" t="n">
        <x:v>2025</x:v>
      </x:c>
      <x:c r="U502" s="14" t="str">
        <x:v>Explicit source first year retained</x:v>
      </x:c>
      <x:c r="V502" s="14" t="str">
        <x:v>Earliest supplied year is 2025.</x:v>
      </x:c>
      <x:c r="W502" s="14"/>
      <x:c r="X502" s="14" t="str">
        <x:v>Included</x:v>
      </x:c>
      <x:c r="Y502" s="14" t="str">
        <x:v>(as Jordan Mifsúd)</x:v>
      </x:c>
      <x:c r="Z502" s="14" t="str">
        <x:v>Karen Pirie.docx</x:v>
      </x:c>
      <x:c r="AA502" s="14" t="str">
        <x:v>HYPERLINK is not implemented. linkLocation=https://www.imdb.com/title/tt11725900/fullcredits/,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ITV / ITVX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HYPERLINK("https://en.wikipedia.org/wiki/Karen_Pirie","Open source")</x:f>
        <x:v>HYPERLINK is not implemented. linkLocation=https://en.wikipedia.org/wiki/Karen_Pirie,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6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0.16666666666666666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4" t="str">
        <x:v>HYPERLINK is not implemented. linkLocation=https://www.imdb.com/title/tt11725900/fullcredits/,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tt11725900|nm1173273|jonas weber</x:v>
      </x:c>
      <x:c r="B503" s="14" t="str">
        <x:v>03</x:v>
      </x:c>
      <x:c r="C503" s="14" t="str">
        <x:v>2022_IMDb_Cast_Lists_Batch_03(1).xlsx</x:v>
      </x:c>
      <x:c r="D503" s="14" t="str">
        <x:v>Karen Pirie</x:v>
      </x:c>
      <x:c r="E503" s="14" t="n">
        <x:v>77</x:v>
      </x:c>
      <x:c r="F503" s="14" t="str">
        <x:v>Karen Pirie</x:v>
      </x:c>
      <x:c r="G503" s="14" t="str">
        <x:v>tt11725900</x:v>
      </x:c>
      <x:c r="H503" s="14" t="n">
        <x:v>2022</x:v>
      </x:c>
      <x:c r="I503" s="14" t="n">
        <x:v>2025</x:v>
      </x:c>
      <x:c r="J503" s="14" t="str">
        <x:v>Earlier-Production Carry-In Cohort</x:v>
      </x:c>
      <x:c r="K503" s="14" t="n">
        <x:v>2022</x:v>
      </x:c>
      <x:c r="L503" s="14" t="str">
        <x:v>Not inherited</x:v>
      </x:c>
      <x:c r="M503" s="15" t="n">
        <x:v>70</x:v>
      </x:c>
      <x:c r="N503" s="14" t="str">
        <x:v>Axel B. Steinmueller</x:v>
      </x:c>
      <x:c r="O503" s="14" t="str">
        <x:v>nm1173273</x:v>
      </x:c>
      <x:c r="P503" s="14" t="str">
        <x:v>Jonas Weber</x:v>
      </x:c>
      <x:c r="Q503" s="15" t="n">
        <x:v>1</x:v>
      </x:c>
      <x:c r="R503" s="14" t="str">
        <x:v>2025</x:v>
      </x:c>
      <x:c r="S503" s="14" t="n">
        <x:v>2025</x:v>
      </x:c>
      <x:c r="T503" s="14" t="n">
        <x:v>2025</x:v>
      </x:c>
      <x:c r="U503" s="14" t="str">
        <x:v>Explicit source first year retained</x:v>
      </x:c>
      <x:c r="V503" s="14" t="str">
        <x:v>Earliest supplied year is 2025.</x:v>
      </x:c>
      <x:c r="W503" s="14"/>
      <x:c r="X503" s="14" t="str">
        <x:v>Included</x:v>
      </x:c>
      <x:c r="Y503" s="14" t="str">
        <x:v>(as Axel Steinmüller)</x:v>
      </x:c>
      <x:c r="Z503" s="14" t="str">
        <x:v>Karen Pirie.docx</x:v>
      </x:c>
      <x:c r="AA503" s="14" t="str">
        <x:v>HYPERLINK is not implemented. linkLocation=https://www.imdb.com/title/tt11725900/fullcredits/,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ITV / ITVX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HYPERLINK("https://en.wikipedia.org/wiki/Karen_Pirie","Open source")</x:f>
        <x:v>HYPERLINK is not implemented. linkLocation=https://en.wikipedia.org/wiki/Karen_Pirie,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6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0.16666666666666666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4" t="str">
        <x:v>HYPERLINK is not implemented. linkLocation=https://www.imdb.com/title/tt11725900/fullcredits/,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tt11725900|nm6359236|bonnie snr</x:v>
      </x:c>
      <x:c r="B504" s="14" t="str">
        <x:v>03</x:v>
      </x:c>
      <x:c r="C504" s="14" t="str">
        <x:v>2022_IMDb_Cast_Lists_Batch_03(1).xlsx</x:v>
      </x:c>
      <x:c r="D504" s="14" t="str">
        <x:v>Karen Pirie</x:v>
      </x:c>
      <x:c r="E504" s="14" t="n">
        <x:v>78</x:v>
      </x:c>
      <x:c r="F504" s="14" t="str">
        <x:v>Karen Pirie</x:v>
      </x:c>
      <x:c r="G504" s="14" t="str">
        <x:v>tt11725900</x:v>
      </x:c>
      <x:c r="H504" s="14" t="n">
        <x:v>2022</x:v>
      </x:c>
      <x:c r="I504" s="14" t="n">
        <x:v>2025</x:v>
      </x:c>
      <x:c r="J504" s="14" t="str">
        <x:v>Earlier-Production Carry-In Cohort</x:v>
      </x:c>
      <x:c r="K504" s="14" t="n">
        <x:v>2022</x:v>
      </x:c>
      <x:c r="L504" s="14" t="str">
        <x:v>Not inherited</x:v>
      </x:c>
      <x:c r="M504" s="15" t="n">
        <x:v>71</x:v>
      </x:c>
      <x:c r="N504" s="14" t="str">
        <x:v>Seylan Baxter</x:v>
      </x:c>
      <x:c r="O504" s="14" t="str">
        <x:v>nm6359236</x:v>
      </x:c>
      <x:c r="P504" s="14" t="str">
        <x:v>Bonnie Snr</x:v>
      </x:c>
      <x:c r="Q504" s="15" t="n">
        <x:v>1</x:v>
      </x:c>
      <x:c r="R504" s="14" t="str">
        <x:v>2025</x:v>
      </x:c>
      <x:c r="S504" s="14" t="n">
        <x:v>2025</x:v>
      </x:c>
      <x:c r="T504" s="14" t="n">
        <x:v>2025</x:v>
      </x:c>
      <x:c r="U504" s="14" t="str">
        <x:v>Explicit source first year retained</x:v>
      </x:c>
      <x:c r="V504" s="14" t="str">
        <x:v>Earliest supplied year is 2025.</x:v>
      </x:c>
      <x:c r="W504" s="14"/>
      <x:c r="X504" s="14" t="str">
        <x:v>Included</x:v>
      </x:c>
      <x:c r="Y504" s="14"/>
      <x:c r="Z504" s="14" t="str">
        <x:v>Karen Pirie.docx</x:v>
      </x:c>
      <x:c r="AA504" s="14" t="str">
        <x:v>HYPERLINK is not implemented. linkLocation=https://www.imdb.com/title/tt11725900/fullcredits/,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ITV / ITVX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HYPERLINK("https://en.wikipedia.org/wiki/Karen_Pirie","Open source")</x:f>
        <x:v>HYPERLINK is not implemented. linkLocation=https://en.wikipedia.org/wiki/Karen_Pirie,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6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0.16666666666666666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4" t="str">
        <x:v>HYPERLINK is not implemented. linkLocation=https://www.imdb.com/title/tt11725900/fullcredits/,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tt11725900|nm6758611|detective spiteri</x:v>
      </x:c>
      <x:c r="B505" s="14" t="str">
        <x:v>03</x:v>
      </x:c>
      <x:c r="C505" s="14" t="str">
        <x:v>2022_IMDb_Cast_Lists_Batch_03(1).xlsx</x:v>
      </x:c>
      <x:c r="D505" s="14" t="str">
        <x:v>Karen Pirie</x:v>
      </x:c>
      <x:c r="E505" s="14" t="n">
        <x:v>79</x:v>
      </x:c>
      <x:c r="F505" s="14" t="str">
        <x:v>Karen Pirie</x:v>
      </x:c>
      <x:c r="G505" s="14" t="str">
        <x:v>tt11725900</x:v>
      </x:c>
      <x:c r="H505" s="14" t="n">
        <x:v>2022</x:v>
      </x:c>
      <x:c r="I505" s="14" t="n">
        <x:v>2025</x:v>
      </x:c>
      <x:c r="J505" s="14" t="str">
        <x:v>Earlier-Production Carry-In Cohort</x:v>
      </x:c>
      <x:c r="K505" s="14" t="n">
        <x:v>2022</x:v>
      </x:c>
      <x:c r="L505" s="14" t="str">
        <x:v>Not inherited</x:v>
      </x:c>
      <x:c r="M505" s="15" t="n">
        <x:v>72</x:v>
      </x:c>
      <x:c r="N505" s="14" t="str">
        <x:v>Edward De Gaetano</x:v>
      </x:c>
      <x:c r="O505" s="14" t="str">
        <x:v>nm6758611</x:v>
      </x:c>
      <x:c r="P505" s="14" t="str">
        <x:v>Detective Spiteri</x:v>
      </x:c>
      <x:c r="Q505" s="15" t="n">
        <x:v>1</x:v>
      </x:c>
      <x:c r="R505" s="14" t="str">
        <x:v>2025</x:v>
      </x:c>
      <x:c r="S505" s="14" t="n">
        <x:v>2025</x:v>
      </x:c>
      <x:c r="T505" s="14" t="n">
        <x:v>2025</x:v>
      </x:c>
      <x:c r="U505" s="14" t="str">
        <x:v>Explicit source first year retained</x:v>
      </x:c>
      <x:c r="V505" s="14" t="str">
        <x:v>Earliest supplied year is 2025.</x:v>
      </x:c>
      <x:c r="W505" s="14"/>
      <x:c r="X505" s="14" t="str">
        <x:v>Included</x:v>
      </x:c>
      <x:c r="Y505" s="14"/>
      <x:c r="Z505" s="14" t="str">
        <x:v>Karen Pirie.docx</x:v>
      </x:c>
      <x:c r="AA505" s="14" t="str">
        <x:v>HYPERLINK is not implemented. linkLocation=https://www.imdb.com/title/tt11725900/fullcredits/,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ITV / ITVX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HYPERLINK("https://en.wikipedia.org/wiki/Karen_Pirie","Open source")</x:f>
        <x:v>HYPERLINK is not implemented. linkLocation=https://en.wikipedia.org/wiki/Karen_Pirie,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6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0.16666666666666666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4" t="str">
        <x:v>HYPERLINK is not implemented. linkLocation=https://www.imdb.com/title/tt11725900/fullcredits/,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tt11725900|nm2942983|detective camilleri</x:v>
      </x:c>
      <x:c r="B506" s="14" t="str">
        <x:v>03</x:v>
      </x:c>
      <x:c r="C506" s="14" t="str">
        <x:v>2022_IMDb_Cast_Lists_Batch_03(1).xlsx</x:v>
      </x:c>
      <x:c r="D506" s="14" t="str">
        <x:v>Karen Pirie</x:v>
      </x:c>
      <x:c r="E506" s="14" t="n">
        <x:v>80</x:v>
      </x:c>
      <x:c r="F506" s="14" t="str">
        <x:v>Karen Pirie</x:v>
      </x:c>
      <x:c r="G506" s="14" t="str">
        <x:v>tt11725900</x:v>
      </x:c>
      <x:c r="H506" s="14" t="n">
        <x:v>2022</x:v>
      </x:c>
      <x:c r="I506" s="14" t="n">
        <x:v>2025</x:v>
      </x:c>
      <x:c r="J506" s="14" t="str">
        <x:v>Earlier-Production Carry-In Cohort</x:v>
      </x:c>
      <x:c r="K506" s="14" t="n">
        <x:v>2022</x:v>
      </x:c>
      <x:c r="L506" s="14" t="str">
        <x:v>Not inherited</x:v>
      </x:c>
      <x:c r="M506" s="15" t="n">
        <x:v>73</x:v>
      </x:c>
      <x:c r="N506" s="14" t="str">
        <x:v>Sarah Naudi</x:v>
      </x:c>
      <x:c r="O506" s="14" t="str">
        <x:v>nm2942983</x:v>
      </x:c>
      <x:c r="P506" s="14" t="str">
        <x:v>Detective Camilleri</x:v>
      </x:c>
      <x:c r="Q506" s="15" t="n">
        <x:v>1</x:v>
      </x:c>
      <x:c r="R506" s="14" t="str">
        <x:v>2025</x:v>
      </x:c>
      <x:c r="S506" s="14" t="n">
        <x:v>2025</x:v>
      </x:c>
      <x:c r="T506" s="14" t="n">
        <x:v>2025</x:v>
      </x:c>
      <x:c r="U506" s="14" t="str">
        <x:v>Explicit source first year retained</x:v>
      </x:c>
      <x:c r="V506" s="14" t="str">
        <x:v>Earliest supplied year is 2025.</x:v>
      </x:c>
      <x:c r="W506" s="14"/>
      <x:c r="X506" s="14" t="str">
        <x:v>Included</x:v>
      </x:c>
      <x:c r="Y506" s="14"/>
      <x:c r="Z506" s="14" t="str">
        <x:v>Karen Pirie.docx</x:v>
      </x:c>
      <x:c r="AA506" s="14" t="str">
        <x:v>HYPERLINK is not implemented. linkLocation=https://www.imdb.com/title/tt11725900/fullcredits/,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ITV / ITVX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HYPERLINK("https://en.wikipedia.org/wiki/Karen_Pirie","Open source")</x:f>
        <x:v>HYPERLINK is not implemented. linkLocation=https://en.wikipedia.org/wiki/Karen_Pirie,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6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0.16666666666666666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4" t="str">
        <x:v>HYPERLINK is not implemented. linkLocation=https://www.imdb.com/title/tt11725900/fullcredits/,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tt11725900|nm1830400|angie barclay snr</x:v>
      </x:c>
      <x:c r="B507" s="14" t="str">
        <x:v>03</x:v>
      </x:c>
      <x:c r="C507" s="14" t="str">
        <x:v>2022_IMDb_Cast_Lists_Batch_03(1).xlsx</x:v>
      </x:c>
      <x:c r="D507" s="14" t="str">
        <x:v>Karen Pirie</x:v>
      </x:c>
      <x:c r="E507" s="14" t="n">
        <x:v>82</x:v>
      </x:c>
      <x:c r="F507" s="14" t="str">
        <x:v>Karen Pirie</x:v>
      </x:c>
      <x:c r="G507" s="14" t="str">
        <x:v>tt11725900</x:v>
      </x:c>
      <x:c r="H507" s="14" t="n">
        <x:v>2022</x:v>
      </x:c>
      <x:c r="I507" s="14" t="n">
        <x:v>2025</x:v>
      </x:c>
      <x:c r="J507" s="14" t="str">
        <x:v>Earlier-Production Carry-In Cohort</x:v>
      </x:c>
      <x:c r="K507" s="14" t="n">
        <x:v>2022</x:v>
      </x:c>
      <x:c r="L507" s="14" t="str">
        <x:v>Not inherited</x:v>
      </x:c>
      <x:c r="M507" s="15" t="n">
        <x:v>75</x:v>
      </x:c>
      <x:c r="N507" s="14" t="str">
        <x:v>Beth Marshall</x:v>
      </x:c>
      <x:c r="O507" s="14" t="str">
        <x:v>nm1830400</x:v>
      </x:c>
      <x:c r="P507" s="14" t="str">
        <x:v>Angie Barclay Snr</x:v>
      </x:c>
      <x:c r="Q507" s="15" t="n">
        <x:v>1</x:v>
      </x:c>
      <x:c r="R507" s="14" t="str">
        <x:v>2025</x:v>
      </x:c>
      <x:c r="S507" s="14" t="n">
        <x:v>2025</x:v>
      </x:c>
      <x:c r="T507" s="14" t="n">
        <x:v>2025</x:v>
      </x:c>
      <x:c r="U507" s="14" t="str">
        <x:v>Explicit source first year retained</x:v>
      </x:c>
      <x:c r="V507" s="14" t="str">
        <x:v>Earliest supplied year is 2025.</x:v>
      </x:c>
      <x:c r="W507" s="14"/>
      <x:c r="X507" s="14" t="str">
        <x:v>Included</x:v>
      </x:c>
      <x:c r="Y507" s="14"/>
      <x:c r="Z507" s="14" t="str">
        <x:v>Karen Pirie.docx</x:v>
      </x:c>
      <x:c r="AA507" s="14" t="str">
        <x:v>HYPERLINK is not implemented. linkLocation=https://www.imdb.com/title/tt11725900/fullcredits/,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ITV / ITVX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HYPERLINK("https://en.wikipedia.org/wiki/Karen_Pirie","Open source")</x:f>
        <x:v>HYPERLINK is not implemented. linkLocation=https://en.wikipedia.org/wiki/Karen_Pirie, friendlyName=Open source</x:v>
      </x:c>
      <x:c r="AN507" s="14" t="str">
        <x:v>No qualifying BBC relationship</x:v>
      </x:c>
      <x:c r="AO507" s="14" t="str">
        <x:v>No</x:v>
      </x:c>
      <x:c r="AP507" s="14" t="str">
        <x:v>Out of scope</x:v>
      </x:c>
      <x:c r="AQ507" s="14" t="str">
        <x:v>No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6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1</x:v>
      </x:c>
      <x:c r="BS507" s="16" t="n">
        <x:v>0.16666666666666666</x:v>
      </x:c>
      <x:c r="BT507" s="14" t="str">
        <x:v>One episode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4" t="str">
        <x:v>HYPERLINK is not implemented. linkLocation=https://www.imdb.com/title/tt11725900/fullcredits/,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tt11725900|nm0878489|dcs calder</x:v>
      </x:c>
      <x:c r="B508" s="14" t="str">
        <x:v>03</x:v>
      </x:c>
      <x:c r="C508" s="14" t="str">
        <x:v>2022_IMDb_Cast_Lists_Batch_03(1).xlsx</x:v>
      </x:c>
      <x:c r="D508" s="14" t="str">
        <x:v>Karen Pirie</x:v>
      </x:c>
      <x:c r="E508" s="14" t="n">
        <x:v>83</x:v>
      </x:c>
      <x:c r="F508" s="14" t="str">
        <x:v>Karen Pirie</x:v>
      </x:c>
      <x:c r="G508" s="14" t="str">
        <x:v>tt11725900</x:v>
      </x:c>
      <x:c r="H508" s="14" t="n">
        <x:v>2022</x:v>
      </x:c>
      <x:c r="I508" s="14" t="n">
        <x:v>2025</x:v>
      </x:c>
      <x:c r="J508" s="14" t="str">
        <x:v>Earlier-Production Carry-In Cohort</x:v>
      </x:c>
      <x:c r="K508" s="14" t="n">
        <x:v>2022</x:v>
      </x:c>
      <x:c r="L508" s="14" t="str">
        <x:v>Not inherited</x:v>
      </x:c>
      <x:c r="M508" s="15" t="n">
        <x:v>76</x:v>
      </x:c>
      <x:c r="N508" s="14" t="str">
        <x:v>Jim Twaddale</x:v>
      </x:c>
      <x:c r="O508" s="14" t="str">
        <x:v>nm0878489</x:v>
      </x:c>
      <x:c r="P508" s="14" t="str">
        <x:v>DCS Calder</x:v>
      </x:c>
      <x:c r="Q508" s="15" t="n">
        <x:v>1</x:v>
      </x:c>
      <x:c r="R508" s="14" t="str">
        <x:v>2025</x:v>
      </x:c>
      <x:c r="S508" s="14" t="n">
        <x:v>2025</x:v>
      </x:c>
      <x:c r="T508" s="14" t="n">
        <x:v>2025</x:v>
      </x:c>
      <x:c r="U508" s="14" t="str">
        <x:v>Explicit source first year retained</x:v>
      </x:c>
      <x:c r="V508" s="14" t="str">
        <x:v>Earliest supplied year is 2025.</x:v>
      </x:c>
      <x:c r="W508" s="14"/>
      <x:c r="X508" s="14" t="str">
        <x:v>Included</x:v>
      </x:c>
      <x:c r="Y508" s="14"/>
      <x:c r="Z508" s="14" t="str">
        <x:v>Karen Pirie.docx</x:v>
      </x:c>
      <x:c r="AA508" s="14" t="str">
        <x:v>HYPERLINK is not implemented. linkLocation=https://www.imdb.com/title/tt11725900/fullcredits/,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ITV / ITVX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HYPERLINK("https://en.wikipedia.org/wiki/Karen_Pirie","Open source")</x:f>
        <x:v>HYPERLINK is not implemented. linkLocation=https://en.wikipedia.org/wiki/Karen_Pirie, friendlyName=Open source</x:v>
      </x:c>
      <x:c r="AN508" s="14" t="str">
        <x:v>No qualifying BBC relationship</x:v>
      </x:c>
      <x:c r="AO508" s="14" t="str">
        <x:v>No</x:v>
      </x:c>
      <x:c r="AP508" s="14" t="str">
        <x:v>Out of scope</x:v>
      </x:c>
      <x:c r="AQ508" s="14" t="str">
        <x:v>No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6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1</x:v>
      </x:c>
      <x:c r="BS508" s="16" t="n">
        <x:v>0.16666666666666666</x:v>
      </x:c>
      <x:c r="BT508" s="14" t="str">
        <x:v>One episode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4" t="str">
        <x:v>HYPERLINK is not implemented. linkLocation=https://www.imdb.com/title/tt11725900/fullcredits/,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tt11725900|nm0139796|bridget early</x:v>
      </x:c>
      <x:c r="B509" s="14" t="str">
        <x:v>03</x:v>
      </x:c>
      <x:c r="C509" s="14" t="str">
        <x:v>2022_IMDb_Cast_Lists_Batch_03(1).xlsx</x:v>
      </x:c>
      <x:c r="D509" s="14" t="str">
        <x:v>Karen Pirie</x:v>
      </x:c>
      <x:c r="E509" s="14" t="n">
        <x:v>84</x:v>
      </x:c>
      <x:c r="F509" s="14" t="str">
        <x:v>Karen Pirie</x:v>
      </x:c>
      <x:c r="G509" s="14" t="str">
        <x:v>tt11725900</x:v>
      </x:c>
      <x:c r="H509" s="14" t="n">
        <x:v>2022</x:v>
      </x:c>
      <x:c r="I509" s="14" t="n">
        <x:v>2025</x:v>
      </x:c>
      <x:c r="J509" s="14" t="str">
        <x:v>Earlier-Production Carry-In Cohort</x:v>
      </x:c>
      <x:c r="K509" s="14" t="n">
        <x:v>2022</x:v>
      </x:c>
      <x:c r="L509" s="14" t="str">
        <x:v>Not inherited</x:v>
      </x:c>
      <x:c r="M509" s="15" t="n">
        <x:v>77</x:v>
      </x:c>
      <x:c r="N509" s="14" t="str">
        <x:v>Maureen Carr</x:v>
      </x:c>
      <x:c r="O509" s="14" t="str">
        <x:v>nm0139796</x:v>
      </x:c>
      <x:c r="P509" s="14" t="str">
        <x:v>Bridget Early</x:v>
      </x:c>
      <x:c r="Q509" s="15" t="n">
        <x:v>1</x:v>
      </x:c>
      <x:c r="R509" s="14" t="str">
        <x:v>2025</x:v>
      </x:c>
      <x:c r="S509" s="14" t="n">
        <x:v>2025</x:v>
      </x:c>
      <x:c r="T509" s="14" t="n">
        <x:v>2025</x:v>
      </x:c>
      <x:c r="U509" s="14" t="str">
        <x:v>Explicit source first year retained</x:v>
      </x:c>
      <x:c r="V509" s="14" t="str">
        <x:v>Earliest supplied year is 2025.</x:v>
      </x:c>
      <x:c r="W509" s="14"/>
      <x:c r="X509" s="14" t="str">
        <x:v>Included</x:v>
      </x:c>
      <x:c r="Y509" s="14"/>
      <x:c r="Z509" s="14" t="str">
        <x:v>Karen Pirie.docx</x:v>
      </x:c>
      <x:c r="AA509" s="14" t="str">
        <x:v>HYPERLINK is not implemented. linkLocation=https://www.imdb.com/title/tt11725900/fullcredits/,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ITV / ITVX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HYPERLINK("https://en.wikipedia.org/wiki/Karen_Pirie","Open source")</x:f>
        <x:v>HYPERLINK is not implemented. linkLocation=https://en.wikipedia.org/wiki/Karen_Pirie, friendlyName=Open source</x:v>
      </x:c>
      <x:c r="AN509" s="14" t="str">
        <x:v>No qualifying BBC relationship</x:v>
      </x:c>
      <x:c r="AO509" s="14" t="str">
        <x:v>No</x:v>
      </x:c>
      <x:c r="AP509" s="14" t="str">
        <x:v>Out of scope</x:v>
      </x:c>
      <x:c r="AQ509" s="14" t="str">
        <x:v>No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6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1</x:v>
      </x:c>
      <x:c r="BS509" s="16" t="n">
        <x:v>0.16666666666666666</x:v>
      </x:c>
      <x:c r="BT509" s="14" t="str">
        <x:v>One episode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4" t="str">
        <x:v>HYPERLINK is not implemented. linkLocation=https://www.imdb.com/title/tt11725900/fullcredits/,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tt11725900|nm3040811|alessandro</x:v>
      </x:c>
      <x:c r="B510" s="14" t="str">
        <x:v>03</x:v>
      </x:c>
      <x:c r="C510" s="14" t="str">
        <x:v>2022_IMDb_Cast_Lists_Batch_03(1).xlsx</x:v>
      </x:c>
      <x:c r="D510" s="14" t="str">
        <x:v>Karen Pirie</x:v>
      </x:c>
      <x:c r="E510" s="14" t="n">
        <x:v>85</x:v>
      </x:c>
      <x:c r="F510" s="14" t="str">
        <x:v>Karen Pirie</x:v>
      </x:c>
      <x:c r="G510" s="14" t="str">
        <x:v>tt11725900</x:v>
      </x:c>
      <x:c r="H510" s="14" t="n">
        <x:v>2022</x:v>
      </x:c>
      <x:c r="I510" s="14" t="n">
        <x:v>2025</x:v>
      </x:c>
      <x:c r="J510" s="14" t="str">
        <x:v>Earlier-Production Carry-In Cohort</x:v>
      </x:c>
      <x:c r="K510" s="14" t="n">
        <x:v>2022</x:v>
      </x:c>
      <x:c r="L510" s="14" t="str">
        <x:v>Not inherited</x:v>
      </x:c>
      <x:c r="M510" s="15" t="n">
        <x:v>78</x:v>
      </x:c>
      <x:c r="N510" s="14" t="str">
        <x:v>Andrei Claude</x:v>
      </x:c>
      <x:c r="O510" s="14" t="str">
        <x:v>nm3040811</x:v>
      </x:c>
      <x:c r="P510" s="14" t="str">
        <x:v>Alessandro</x:v>
      </x:c>
      <x:c r="Q510" s="15" t="n">
        <x:v>1</x:v>
      </x:c>
      <x:c r="R510" s="14" t="str">
        <x:v>2025</x:v>
      </x:c>
      <x:c r="S510" s="14" t="n">
        <x:v>2025</x:v>
      </x:c>
      <x:c r="T510" s="14" t="n">
        <x:v>2025</x:v>
      </x:c>
      <x:c r="U510" s="14" t="str">
        <x:v>Explicit source first year retained</x:v>
      </x:c>
      <x:c r="V510" s="14" t="str">
        <x:v>Earliest supplied year is 2025.</x:v>
      </x:c>
      <x:c r="W510" s="14"/>
      <x:c r="X510" s="14" t="str">
        <x:v>Included</x:v>
      </x:c>
      <x:c r="Y510" s="14"/>
      <x:c r="Z510" s="14" t="str">
        <x:v>Karen Pirie.docx</x:v>
      </x:c>
      <x:c r="AA510" s="14" t="str">
        <x:v>HYPERLINK is not implemented. linkLocation=https://www.imdb.com/title/tt11725900/fullcredits/,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ITV / ITVX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HYPERLINK("https://en.wikipedia.org/wiki/Karen_Pirie","Open source")</x:f>
        <x:v>HYPERLINK is not implemented. linkLocation=https://en.wikipedia.org/wiki/Karen_Pirie, friendlyName=Open source</x:v>
      </x:c>
      <x:c r="AN510" s="14" t="str">
        <x:v>No qualifying BBC relationship</x:v>
      </x:c>
      <x:c r="AO510" s="14" t="str">
        <x:v>No</x:v>
      </x:c>
      <x:c r="AP510" s="14" t="str">
        <x:v>Out of scope</x:v>
      </x:c>
      <x:c r="AQ510" s="14" t="str">
        <x:v>No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6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1</x:v>
      </x:c>
      <x:c r="BS510" s="16" t="n">
        <x:v>0.16666666666666666</x:v>
      </x:c>
      <x:c r="BT510" s="14" t="str">
        <x:v>One episode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4" t="str">
        <x:v>HYPERLINK is not implemented. linkLocation=https://www.imdb.com/title/tt11725900/fullcredits/,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tt11725900|nm8557251|fiona campbell</x:v>
      </x:c>
      <x:c r="B511" s="14" t="str">
        <x:v>03</x:v>
      </x:c>
      <x:c r="C511" s="14" t="str">
        <x:v>2022_IMDb_Cast_Lists_Batch_03(1).xlsx</x:v>
      </x:c>
      <x:c r="D511" s="14" t="str">
        <x:v>Karen Pirie</x:v>
      </x:c>
      <x:c r="E511" s="14" t="n">
        <x:v>86</x:v>
      </x:c>
      <x:c r="F511" s="14" t="str">
        <x:v>Karen Pirie</x:v>
      </x:c>
      <x:c r="G511" s="14" t="str">
        <x:v>tt11725900</x:v>
      </x:c>
      <x:c r="H511" s="14" t="n">
        <x:v>2022</x:v>
      </x:c>
      <x:c r="I511" s="14" t="n">
        <x:v>2025</x:v>
      </x:c>
      <x:c r="J511" s="14" t="str">
        <x:v>Earlier-Production Carry-In Cohort</x:v>
      </x:c>
      <x:c r="K511" s="14" t="n">
        <x:v>2022</x:v>
      </x:c>
      <x:c r="L511" s="14" t="str">
        <x:v>Not inherited</x:v>
      </x:c>
      <x:c r="M511" s="15" t="n">
        <x:v>79</x:v>
      </x:c>
      <x:c r="N511" s="14" t="str">
        <x:v>Wendy Seager</x:v>
      </x:c>
      <x:c r="O511" s="14" t="str">
        <x:v>nm8557251</x:v>
      </x:c>
      <x:c r="P511" s="14" t="str">
        <x:v>Fiona Campbell</x:v>
      </x:c>
      <x:c r="Q511" s="15" t="n">
        <x:v>1</x:v>
      </x:c>
      <x:c r="R511" s="14" t="str">
        <x:v>2025</x:v>
      </x:c>
      <x:c r="S511" s="14" t="n">
        <x:v>2025</x:v>
      </x:c>
      <x:c r="T511" s="14" t="n">
        <x:v>2025</x:v>
      </x:c>
      <x:c r="U511" s="14" t="str">
        <x:v>Explicit source first year retained</x:v>
      </x:c>
      <x:c r="V511" s="14" t="str">
        <x:v>Earliest supplied year is 2025.</x:v>
      </x:c>
      <x:c r="W511" s="14"/>
      <x:c r="X511" s="14" t="str">
        <x:v>Included</x:v>
      </x:c>
      <x:c r="Y511" s="14"/>
      <x:c r="Z511" s="14" t="str">
        <x:v>Karen Pirie.docx</x:v>
      </x:c>
      <x:c r="AA511" s="14" t="str">
        <x:v>HYPERLINK is not implemented. linkLocation=https://www.imdb.com/title/tt11725900/fullcredits/,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ITV / ITVX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HYPERLINK("https://en.wikipedia.org/wiki/Karen_Pirie","Open source")</x:f>
        <x:v>HYPERLINK is not implemented. linkLocation=https://en.wikipedia.org/wiki/Karen_Pirie, friendlyName=Open source</x:v>
      </x:c>
      <x:c r="AN511" s="14" t="str">
        <x:v>No qualifying BBC relationship</x:v>
      </x:c>
      <x:c r="AO511" s="14" t="str">
        <x:v>No</x:v>
      </x:c>
      <x:c r="AP511" s="14" t="str">
        <x:v>Out of scope</x:v>
      </x:c>
      <x:c r="AQ511" s="14" t="str">
        <x:v>No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6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1</x:v>
      </x:c>
      <x:c r="BS511" s="16" t="n">
        <x:v>0.16666666666666666</x:v>
      </x:c>
      <x:c r="BT511" s="14" t="str">
        <x:v>One episode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4" t="str">
        <x:v>HYPERLINK is not implemented. linkLocation=https://www.imdb.com/title/tt11725900/fullcredits/,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tt11725900|nm2959043|airfield security guard</x:v>
      </x:c>
      <x:c r="B512" s="14" t="str">
        <x:v>03</x:v>
      </x:c>
      <x:c r="C512" s="14" t="str">
        <x:v>2022_IMDb_Cast_Lists_Batch_03(1).xlsx</x:v>
      </x:c>
      <x:c r="D512" s="14" t="str">
        <x:v>Karen Pirie</x:v>
      </x:c>
      <x:c r="E512" s="14" t="n">
        <x:v>87</x:v>
      </x:c>
      <x:c r="F512" s="14" t="str">
        <x:v>Karen Pirie</x:v>
      </x:c>
      <x:c r="G512" s="14" t="str">
        <x:v>tt11725900</x:v>
      </x:c>
      <x:c r="H512" s="14" t="n">
        <x:v>2022</x:v>
      </x:c>
      <x:c r="I512" s="14" t="n">
        <x:v>2025</x:v>
      </x:c>
      <x:c r="J512" s="14" t="str">
        <x:v>Earlier-Production Carry-In Cohort</x:v>
      </x:c>
      <x:c r="K512" s="14" t="n">
        <x:v>2022</x:v>
      </x:c>
      <x:c r="L512" s="14" t="str">
        <x:v>Not inherited</x:v>
      </x:c>
      <x:c r="M512" s="15" t="n">
        <x:v>80</x:v>
      </x:c>
      <x:c r="N512" s="14" t="str">
        <x:v>Dom Watters</x:v>
      </x:c>
      <x:c r="O512" s="14" t="str">
        <x:v>nm2959043</x:v>
      </x:c>
      <x:c r="P512" s="14" t="str">
        <x:v>Airfield Security Guard</x:v>
      </x:c>
      <x:c r="Q512" s="15" t="n">
        <x:v>1</x:v>
      </x:c>
      <x:c r="R512" s="14" t="str">
        <x:v>2025</x:v>
      </x:c>
      <x:c r="S512" s="14" t="n">
        <x:v>2025</x:v>
      </x:c>
      <x:c r="T512" s="14" t="n">
        <x:v>2025</x:v>
      </x:c>
      <x:c r="U512" s="14" t="str">
        <x:v>Explicit source first year retained</x:v>
      </x:c>
      <x:c r="V512" s="14" t="str">
        <x:v>Earliest supplied year is 2025.</x:v>
      </x:c>
      <x:c r="W512" s="14"/>
      <x:c r="X512" s="14" t="str">
        <x:v>Included</x:v>
      </x:c>
      <x:c r="Y512" s="14" t="str">
        <x:v>(as Dominic Watters)</x:v>
      </x:c>
      <x:c r="Z512" s="14" t="str">
        <x:v>Karen Pirie.docx</x:v>
      </x:c>
      <x:c r="AA512" s="14" t="str">
        <x:v>HYPERLINK is not implemented. linkLocation=https://www.imdb.com/title/tt11725900/fullcredits/,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ITV / ITVX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HYPERLINK("https://en.wikipedia.org/wiki/Karen_Pirie","Open source")</x:f>
        <x:v>HYPERLINK is not implemented. linkLocation=https://en.wikipedia.org/wiki/Karen_Pirie, friendlyName=Open source</x:v>
      </x:c>
      <x:c r="AN512" s="14" t="str">
        <x:v>No qualifying BBC relationship</x:v>
      </x:c>
      <x:c r="AO512" s="14" t="str">
        <x:v>No</x:v>
      </x:c>
      <x:c r="AP512" s="14" t="str">
        <x:v>Out of scope</x:v>
      </x:c>
      <x:c r="AQ512" s="14" t="str">
        <x:v>No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6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1</x:v>
      </x:c>
      <x:c r="BS512" s="16" t="n">
        <x:v>0.16666666666666666</x:v>
      </x:c>
      <x:c r="BT512" s="14" t="str">
        <x:v>One episode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4" t="str">
        <x:v>HYPERLINK is not implemented. linkLocation=https://www.imdb.com/title/tt11725900/fullcredits/,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tt11725900|nm2176245|neville atkins</x:v>
      </x:c>
      <x:c r="B513" s="14" t="str">
        <x:v>03</x:v>
      </x:c>
      <x:c r="C513" s="14" t="str">
        <x:v>2022_IMDb_Cast_Lists_Batch_03(1).xlsx</x:v>
      </x:c>
      <x:c r="D513" s="14" t="str">
        <x:v>Karen Pirie</x:v>
      </x:c>
      <x:c r="E513" s="14" t="n">
        <x:v>88</x:v>
      </x:c>
      <x:c r="F513" s="14" t="str">
        <x:v>Karen Pirie</x:v>
      </x:c>
      <x:c r="G513" s="14" t="str">
        <x:v>tt11725900</x:v>
      </x:c>
      <x:c r="H513" s="14" t="n">
        <x:v>2022</x:v>
      </x:c>
      <x:c r="I513" s="14" t="n">
        <x:v>2025</x:v>
      </x:c>
      <x:c r="J513" s="14" t="str">
        <x:v>Earlier-Production Carry-In Cohort</x:v>
      </x:c>
      <x:c r="K513" s="14" t="n">
        <x:v>2022</x:v>
      </x:c>
      <x:c r="L513" s="14" t="str">
        <x:v>Not inherited</x:v>
      </x:c>
      <x:c r="M513" s="15" t="n">
        <x:v>81</x:v>
      </x:c>
      <x:c r="N513" s="14" t="str">
        <x:v>Tony Cownie</x:v>
      </x:c>
      <x:c r="O513" s="14" t="str">
        <x:v>nm2176245</x:v>
      </x:c>
      <x:c r="P513" s="14" t="str">
        <x:v>Neville Atkins</x:v>
      </x:c>
      <x:c r="Q513" s="15" t="n">
        <x:v>1</x:v>
      </x:c>
      <x:c r="R513" s="14" t="str">
        <x:v>2025</x:v>
      </x:c>
      <x:c r="S513" s="14" t="n">
        <x:v>2025</x:v>
      </x:c>
      <x:c r="T513" s="14" t="n">
        <x:v>2025</x:v>
      </x:c>
      <x:c r="U513" s="14" t="str">
        <x:v>Explicit source first year retained</x:v>
      </x:c>
      <x:c r="V513" s="14" t="str">
        <x:v>Earliest supplied year is 2025.</x:v>
      </x:c>
      <x:c r="W513" s="14"/>
      <x:c r="X513" s="14" t="str">
        <x:v>Included</x:v>
      </x:c>
      <x:c r="Y513" s="14"/>
      <x:c r="Z513" s="14" t="str">
        <x:v>Karen Pirie.docx</x:v>
      </x:c>
      <x:c r="AA513" s="14" t="str">
        <x:v>HYPERLINK is not implemented. linkLocation=https://www.imdb.com/title/tt11725900/fullcredits/,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ITV / ITVX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HYPERLINK("https://en.wikipedia.org/wiki/Karen_Pirie","Open source")</x:f>
        <x:v>HYPERLINK is not implemented. linkLocation=https://en.wikipedia.org/wiki/Karen_Pirie, friendlyName=Open source</x:v>
      </x:c>
      <x:c r="AN513" s="14" t="str">
        <x:v>No qualifying BBC relationship</x:v>
      </x:c>
      <x:c r="AO513" s="14" t="str">
        <x:v>No</x:v>
      </x:c>
      <x:c r="AP513" s="14" t="str">
        <x:v>Out of scope</x:v>
      </x:c>
      <x:c r="AQ513" s="14" t="str">
        <x:v>No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6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1</x:v>
      </x:c>
      <x:c r="BS513" s="16" t="n">
        <x:v>0.16666666666666666</x:v>
      </x:c>
      <x:c r="BT513" s="14" t="str">
        <x:v>One episode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4" t="str">
        <x:v>HYPERLINK is not implemented. linkLocation=https://www.imdb.com/title/tt11725900/fullcredits/,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tt11725900|nm0692301|ryan campbell</x:v>
      </x:c>
      <x:c r="B514" s="14" t="str">
        <x:v>03</x:v>
      </x:c>
      <x:c r="C514" s="14" t="str">
        <x:v>2022_IMDb_Cast_Lists_Batch_03(1).xlsx</x:v>
      </x:c>
      <x:c r="D514" s="14" t="str">
        <x:v>Karen Pirie</x:v>
      </x:c>
      <x:c r="E514" s="14" t="n">
        <x:v>89</x:v>
      </x:c>
      <x:c r="F514" s="14" t="str">
        <x:v>Karen Pirie</x:v>
      </x:c>
      <x:c r="G514" s="14" t="str">
        <x:v>tt11725900</x:v>
      </x:c>
      <x:c r="H514" s="14" t="n">
        <x:v>2022</x:v>
      </x:c>
      <x:c r="I514" s="14" t="n">
        <x:v>2025</x:v>
      </x:c>
      <x:c r="J514" s="14" t="str">
        <x:v>Earlier-Production Carry-In Cohort</x:v>
      </x:c>
      <x:c r="K514" s="14" t="n">
        <x:v>2022</x:v>
      </x:c>
      <x:c r="L514" s="14" t="str">
        <x:v>Not inherited</x:v>
      </x:c>
      <x:c r="M514" s="15" t="n">
        <x:v>82</x:v>
      </x:c>
      <x:c r="N514" s="14" t="str">
        <x:v>Stewart Porter</x:v>
      </x:c>
      <x:c r="O514" s="14" t="str">
        <x:v>nm0692301</x:v>
      </x:c>
      <x:c r="P514" s="14" t="str">
        <x:v>Ryan Campbell</x:v>
      </x:c>
      <x:c r="Q514" s="15" t="n">
        <x:v>1</x:v>
      </x:c>
      <x:c r="R514" s="14" t="str">
        <x:v>2025</x:v>
      </x:c>
      <x:c r="S514" s="14" t="n">
        <x:v>2025</x:v>
      </x:c>
      <x:c r="T514" s="14" t="n">
        <x:v>2025</x:v>
      </x:c>
      <x:c r="U514" s="14" t="str">
        <x:v>Explicit source first year retained</x:v>
      </x:c>
      <x:c r="V514" s="14" t="str">
        <x:v>Earliest supplied year is 2025.</x:v>
      </x:c>
      <x:c r="W514" s="14"/>
      <x:c r="X514" s="14" t="str">
        <x:v>Included</x:v>
      </x:c>
      <x:c r="Y514" s="14"/>
      <x:c r="Z514" s="14" t="str">
        <x:v>Karen Pirie.docx</x:v>
      </x:c>
      <x:c r="AA514" s="14" t="str">
        <x:v>HYPERLINK is not implemented. linkLocation=https://www.imdb.com/title/tt11725900/fullcredits/,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ITV / ITVX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HYPERLINK("https://en.wikipedia.org/wiki/Karen_Pirie","Open source")</x:f>
        <x:v>HYPERLINK is not implemented. linkLocation=https://en.wikipedia.org/wiki/Karen_Pirie, friendlyName=Open source</x:v>
      </x:c>
      <x:c r="AN514" s="14" t="str">
        <x:v>No qualifying BBC relationship</x:v>
      </x:c>
      <x:c r="AO514" s="14" t="str">
        <x:v>No</x:v>
      </x:c>
      <x:c r="AP514" s="14" t="str">
        <x:v>Out of scope</x:v>
      </x:c>
      <x:c r="AQ514" s="14" t="str">
        <x:v>No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6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1</x:v>
      </x:c>
      <x:c r="BS514" s="16" t="n">
        <x:v>0.16666666666666666</x:v>
      </x:c>
      <x:c r="BT514" s="14" t="str">
        <x:v>One episode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4" t="str">
        <x:v>HYPERLINK is not implemented. linkLocation=https://www.imdb.com/title/tt11725900/fullcredits/,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tt11725900|nm5049659|cameron murdoch</x:v>
      </x:c>
      <x:c r="B515" s="14" t="str">
        <x:v>03</x:v>
      </x:c>
      <x:c r="C515" s="14" t="str">
        <x:v>2022_IMDb_Cast_Lists_Batch_03(1).xlsx</x:v>
      </x:c>
      <x:c r="D515" s="14" t="str">
        <x:v>Karen Pirie</x:v>
      </x:c>
      <x:c r="E515" s="14" t="n">
        <x:v>90</x:v>
      </x:c>
      <x:c r="F515" s="14" t="str">
        <x:v>Karen Pirie</x:v>
      </x:c>
      <x:c r="G515" s="14" t="str">
        <x:v>tt11725900</x:v>
      </x:c>
      <x:c r="H515" s="14" t="n">
        <x:v>2022</x:v>
      </x:c>
      <x:c r="I515" s="14" t="n">
        <x:v>2025</x:v>
      </x:c>
      <x:c r="J515" s="14" t="str">
        <x:v>Earlier-Production Carry-In Cohort</x:v>
      </x:c>
      <x:c r="K515" s="14" t="n">
        <x:v>2022</x:v>
      </x:c>
      <x:c r="L515" s="14" t="str">
        <x:v>Not inherited</x:v>
      </x:c>
      <x:c r="M515" s="15" t="n">
        <x:v>83</x:v>
      </x:c>
      <x:c r="N515" s="14" t="str">
        <x:v>Cameron Fulton</x:v>
      </x:c>
      <x:c r="O515" s="14" t="str">
        <x:v>nm5049659</x:v>
      </x:c>
      <x:c r="P515" s="14" t="str">
        <x:v>Cameron Murdoch</x:v>
      </x:c>
      <x:c r="Q515" s="15" t="n">
        <x:v>1</x:v>
      </x:c>
      <x:c r="R515" s="14" t="str">
        <x:v>2025</x:v>
      </x:c>
      <x:c r="S515" s="14" t="n">
        <x:v>2025</x:v>
      </x:c>
      <x:c r="T515" s="14" t="n">
        <x:v>2025</x:v>
      </x:c>
      <x:c r="U515" s="14" t="str">
        <x:v>Explicit source first year retained</x:v>
      </x:c>
      <x:c r="V515" s="14" t="str">
        <x:v>Earliest supplied year is 2025.</x:v>
      </x:c>
      <x:c r="W515" s="14"/>
      <x:c r="X515" s="14" t="str">
        <x:v>Included</x:v>
      </x:c>
      <x:c r="Y515" s="14"/>
      <x:c r="Z515" s="14" t="str">
        <x:v>Karen Pirie.docx</x:v>
      </x:c>
      <x:c r="AA515" s="14" t="str">
        <x:v>HYPERLINK is not implemented. linkLocation=https://www.imdb.com/title/tt11725900/fullcredits/,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ITV / ITVX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HYPERLINK("https://en.wikipedia.org/wiki/Karen_Pirie","Open source")</x:f>
        <x:v>HYPERLINK is not implemented. linkLocation=https://en.wikipedia.org/wiki/Karen_Pirie, friendlyName=Open source</x:v>
      </x:c>
      <x:c r="AN515" s="14" t="str">
        <x:v>No qualifying BBC relationship</x:v>
      </x:c>
      <x:c r="AO515" s="14" t="str">
        <x:v>No</x:v>
      </x:c>
      <x:c r="AP515" s="14" t="str">
        <x:v>Out of scope</x:v>
      </x:c>
      <x:c r="AQ515" s="14" t="str">
        <x:v>No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6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1</x:v>
      </x:c>
      <x:c r="BS515" s="16" t="n">
        <x:v>0.16666666666666666</x:v>
      </x:c>
      <x:c r="BT515" s="14" t="str">
        <x:v>One episode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4" t="str">
        <x:v>HYPERLINK is not implemented. linkLocation=https://www.imdb.com/title/tt11725900/fullcredits/,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tt11725900|nm16434203|angus</x:v>
      </x:c>
      <x:c r="B516" s="14" t="str">
        <x:v>03</x:v>
      </x:c>
      <x:c r="C516" s="14" t="str">
        <x:v>2022_IMDb_Cast_Lists_Batch_03(1).xlsx</x:v>
      </x:c>
      <x:c r="D516" s="14" t="str">
        <x:v>Karen Pirie</x:v>
      </x:c>
      <x:c r="E516" s="14" t="n">
        <x:v>100</x:v>
      </x:c>
      <x:c r="F516" s="14" t="str">
        <x:v>Karen Pirie</x:v>
      </x:c>
      <x:c r="G516" s="14" t="str">
        <x:v>tt11725900</x:v>
      </x:c>
      <x:c r="H516" s="14" t="n">
        <x:v>2022</x:v>
      </x:c>
      <x:c r="I516" s="14" t="n">
        <x:v>2025</x:v>
      </x:c>
      <x:c r="J516" s="14" t="str">
        <x:v>Earlier-Production Carry-In Cohort</x:v>
      </x:c>
      <x:c r="K516" s="14" t="n">
        <x:v>2022</x:v>
      </x:c>
      <x:c r="L516" s="14" t="str">
        <x:v>Not inherited</x:v>
      </x:c>
      <x:c r="M516" s="15" t="n">
        <x:v>93</x:v>
      </x:c>
      <x:c r="N516" s="14" t="str">
        <x:v>William Alexander</x:v>
      </x:c>
      <x:c r="O516" s="14" t="str">
        <x:v>nm16434203</x:v>
      </x:c>
      <x:c r="P516" s="14" t="str">
        <x:v>Angus</x:v>
      </x:c>
      <x:c r="Q516" s="15" t="n">
        <x:v>1</x:v>
      </x:c>
      <x:c r="R516" s="14" t="str">
        <x:v>2025</x:v>
      </x:c>
      <x:c r="S516" s="14" t="n">
        <x:v>2025</x:v>
      </x:c>
      <x:c r="T516" s="14" t="n">
        <x:v>2025</x:v>
      </x:c>
      <x:c r="U516" s="14" t="str">
        <x:v>Explicit source first year retained</x:v>
      </x:c>
      <x:c r="V516" s="14" t="str">
        <x:v>Earliest supplied year is 2025.</x:v>
      </x:c>
      <x:c r="W516" s="14"/>
      <x:c r="X516" s="14" t="str">
        <x:v>Included</x:v>
      </x:c>
      <x:c r="Y516" s="14"/>
      <x:c r="Z516" s="14" t="str">
        <x:v>Karen Pirie.docx</x:v>
      </x:c>
      <x:c r="AA516" s="14" t="str">
        <x:v>HYPERLINK is not implemented. linkLocation=https://www.imdb.com/title/tt11725900/fullcredits/,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ITV / ITVX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HYPERLINK("https://en.wikipedia.org/wiki/Karen_Pirie","Open source")</x:f>
        <x:v>HYPERLINK is not implemented. linkLocation=https://en.wikipedia.org/wiki/Karen_Pirie, friendlyName=Open source</x:v>
      </x:c>
      <x:c r="AN516" s="14" t="str">
        <x:v>No qualifying BBC relationship</x:v>
      </x:c>
      <x:c r="AO516" s="14" t="str">
        <x:v>No</x:v>
      </x:c>
      <x:c r="AP516" s="14" t="str">
        <x:v>Out of scope</x:v>
      </x:c>
      <x:c r="AQ516" s="14" t="str">
        <x:v>No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6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1</x:v>
      </x:c>
      <x:c r="BS516" s="16" t="n">
        <x:v>0.16666666666666666</x:v>
      </x:c>
      <x:c r="BT516" s="14" t="str">
        <x:v>One episode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4" t="str">
        <x:v>HYPERLINK is not implemented. linkLocation=https://www.imdb.com/title/tt11725900/fullcredits/,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tt11725900|nm17688830|adam grant</x:v>
      </x:c>
      <x:c r="B517" s="14" t="str">
        <x:v>03</x:v>
      </x:c>
      <x:c r="C517" s="14" t="str">
        <x:v>2022_IMDb_Cast_Lists_Batch_03(1).xlsx</x:v>
      </x:c>
      <x:c r="D517" s="14" t="str">
        <x:v>Karen Pirie</x:v>
      </x:c>
      <x:c r="E517" s="14" t="n">
        <x:v>101</x:v>
      </x:c>
      <x:c r="F517" s="14" t="str">
        <x:v>Karen Pirie</x:v>
      </x:c>
      <x:c r="G517" s="14" t="str">
        <x:v>tt11725900</x:v>
      </x:c>
      <x:c r="H517" s="14" t="n">
        <x:v>2022</x:v>
      </x:c>
      <x:c r="I517" s="14" t="n">
        <x:v>2025</x:v>
      </x:c>
      <x:c r="J517" s="14" t="str">
        <x:v>Earlier-Production Carry-In Cohort</x:v>
      </x:c>
      <x:c r="K517" s="14" t="n">
        <x:v>2022</x:v>
      </x:c>
      <x:c r="L517" s="14" t="str">
        <x:v>Not inherited</x:v>
      </x:c>
      <x:c r="M517" s="15" t="n">
        <x:v>94</x:v>
      </x:c>
      <x:c r="N517" s="14" t="str">
        <x:v>Alex Gilmour</x:v>
      </x:c>
      <x:c r="O517" s="14" t="str">
        <x:v>nm17688830</x:v>
      </x:c>
      <x:c r="P517" s="14" t="str">
        <x:v>Adam Grant</x:v>
      </x:c>
      <x:c r="Q517" s="15" t="n">
        <x:v>1</x:v>
      </x:c>
      <x:c r="R517" s="14" t="str">
        <x:v>2025</x:v>
      </x:c>
      <x:c r="S517" s="14" t="n">
        <x:v>2025</x:v>
      </x:c>
      <x:c r="T517" s="14" t="n">
        <x:v>2025</x:v>
      </x:c>
      <x:c r="U517" s="14" t="str">
        <x:v>Explicit source first year retained</x:v>
      </x:c>
      <x:c r="V517" s="14" t="str">
        <x:v>Earliest supplied year is 2025.</x:v>
      </x:c>
      <x:c r="W517" s="14"/>
      <x:c r="X517" s="14" t="str">
        <x:v>Included</x:v>
      </x:c>
      <x:c r="Y517" s="14"/>
      <x:c r="Z517" s="14" t="str">
        <x:v>Karen Pirie.docx</x:v>
      </x:c>
      <x:c r="AA517" s="14" t="str">
        <x:v>HYPERLINK is not implemented. linkLocation=https://www.imdb.com/title/tt11725900/fullcredits/,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ITV / ITVX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HYPERLINK("https://en.wikipedia.org/wiki/Karen_Pirie","Open source")</x:f>
        <x:v>HYPERLINK is not implemented. linkLocation=https://en.wikipedia.org/wiki/Karen_Pirie, friendlyName=Open source</x:v>
      </x:c>
      <x:c r="AN517" s="14" t="str">
        <x:v>No qualifying BBC relationship</x:v>
      </x:c>
      <x:c r="AO517" s="14" t="str">
        <x:v>No</x:v>
      </x:c>
      <x:c r="AP517" s="14" t="str">
        <x:v>Out of scope</x:v>
      </x:c>
      <x:c r="AQ517" s="14" t="str">
        <x:v>No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6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1</x:v>
      </x:c>
      <x:c r="BS517" s="16" t="n">
        <x:v>0.16666666666666666</x:v>
      </x:c>
      <x:c r="BT517" s="14" t="str">
        <x:v>One episode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4" t="str">
        <x:v>HYPERLINK is not implemented. linkLocation=https://www.imdb.com/title/tt11725900/fullcredits/,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tt11725900|nm17688829|adam grant</x:v>
      </x:c>
      <x:c r="B518" s="14" t="str">
        <x:v>03</x:v>
      </x:c>
      <x:c r="C518" s="14" t="str">
        <x:v>2022_IMDb_Cast_Lists_Batch_03(1).xlsx</x:v>
      </x:c>
      <x:c r="D518" s="14" t="str">
        <x:v>Karen Pirie</x:v>
      </x:c>
      <x:c r="E518" s="14" t="n">
        <x:v>102</x:v>
      </x:c>
      <x:c r="F518" s="14" t="str">
        <x:v>Karen Pirie</x:v>
      </x:c>
      <x:c r="G518" s="14" t="str">
        <x:v>tt11725900</x:v>
      </x:c>
      <x:c r="H518" s="14" t="n">
        <x:v>2022</x:v>
      </x:c>
      <x:c r="I518" s="14" t="n">
        <x:v>2025</x:v>
      </x:c>
      <x:c r="J518" s="14" t="str">
        <x:v>Earlier-Production Carry-In Cohort</x:v>
      </x:c>
      <x:c r="K518" s="14" t="n">
        <x:v>2022</x:v>
      </x:c>
      <x:c r="L518" s="14" t="str">
        <x:v>Not inherited</x:v>
      </x:c>
      <x:c r="M518" s="15" t="n">
        <x:v>95</x:v>
      </x:c>
      <x:c r="N518" s="14" t="str">
        <x:v>Andrew Gilmour</x:v>
      </x:c>
      <x:c r="O518" s="14" t="str">
        <x:v>nm17688829</x:v>
      </x:c>
      <x:c r="P518" s="14" t="str">
        <x:v>Adam Grant</x:v>
      </x:c>
      <x:c r="Q518" s="15" t="n">
        <x:v>1</x:v>
      </x:c>
      <x:c r="R518" s="14" t="str">
        <x:v>2025</x:v>
      </x:c>
      <x:c r="S518" s="14" t="n">
        <x:v>2025</x:v>
      </x:c>
      <x:c r="T518" s="14" t="n">
        <x:v>2025</x:v>
      </x:c>
      <x:c r="U518" s="14" t="str">
        <x:v>Explicit source first year retained</x:v>
      </x:c>
      <x:c r="V518" s="14" t="str">
        <x:v>Earliest supplied year is 2025.</x:v>
      </x:c>
      <x:c r="W518" s="14"/>
      <x:c r="X518" s="14" t="str">
        <x:v>Included</x:v>
      </x:c>
      <x:c r="Y518" s="14"/>
      <x:c r="Z518" s="14" t="str">
        <x:v>Karen Pirie.docx</x:v>
      </x:c>
      <x:c r="AA518" s="14" t="str">
        <x:v>HYPERLINK is not implemented. linkLocation=https://www.imdb.com/title/tt11725900/fullcredits/,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ITV / ITVX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HYPERLINK("https://en.wikipedia.org/wiki/Karen_Pirie","Open source")</x:f>
        <x:v>HYPERLINK is not implemented. linkLocation=https://en.wikipedia.org/wiki/Karen_Pirie, friendlyName=Open source</x:v>
      </x:c>
      <x:c r="AN518" s="14" t="str">
        <x:v>No qualifying BBC relationship</x:v>
      </x:c>
      <x:c r="AO518" s="14" t="str">
        <x:v>No</x:v>
      </x:c>
      <x:c r="AP518" s="14" t="str">
        <x:v>Out of scope</x:v>
      </x:c>
      <x:c r="AQ518" s="14" t="str">
        <x:v>No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6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1</x:v>
      </x:c>
      <x:c r="BS518" s="16" t="n">
        <x:v>0.16666666666666666</x:v>
      </x:c>
      <x:c r="BT518" s="14" t="str">
        <x:v>One episode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4" t="str">
        <x:v>HYPERLINK is not implemented. linkLocation=https://www.imdb.com/title/tt11725900/fullcredits/,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tt11725900|nm17688853|angus</x:v>
      </x:c>
      <x:c r="B519" s="14" t="str">
        <x:v>03</x:v>
      </x:c>
      <x:c r="C519" s="14" t="str">
        <x:v>2022_IMDb_Cast_Lists_Batch_03(1).xlsx</x:v>
      </x:c>
      <x:c r="D519" s="14" t="str">
        <x:v>Karen Pirie</x:v>
      </x:c>
      <x:c r="E519" s="14" t="n">
        <x:v>103</x:v>
      </x:c>
      <x:c r="F519" s="14" t="str">
        <x:v>Karen Pirie</x:v>
      </x:c>
      <x:c r="G519" s="14" t="str">
        <x:v>tt11725900</x:v>
      </x:c>
      <x:c r="H519" s="14" t="n">
        <x:v>2022</x:v>
      </x:c>
      <x:c r="I519" s="14" t="n">
        <x:v>2025</x:v>
      </x:c>
      <x:c r="J519" s="14" t="str">
        <x:v>Earlier-Production Carry-In Cohort</x:v>
      </x:c>
      <x:c r="K519" s="14" t="n">
        <x:v>2022</x:v>
      </x:c>
      <x:c r="L519" s="14" t="str">
        <x:v>Not inherited</x:v>
      </x:c>
      <x:c r="M519" s="15" t="n">
        <x:v>96</x:v>
      </x:c>
      <x:c r="N519" s="14" t="str">
        <x:v>William Alexander</x:v>
      </x:c>
      <x:c r="O519" s="14" t="str">
        <x:v>nm17688853</x:v>
      </x:c>
      <x:c r="P519" s="14" t="str">
        <x:v>Angus</x:v>
      </x:c>
      <x:c r="Q519" s="15" t="n">
        <x:v>1</x:v>
      </x:c>
      <x:c r="R519" s="14" t="str">
        <x:v>2025</x:v>
      </x:c>
      <x:c r="S519" s="14" t="n">
        <x:v>2025</x:v>
      </x:c>
      <x:c r="T519" s="14" t="n">
        <x:v>2025</x:v>
      </x:c>
      <x:c r="U519" s="14" t="str">
        <x:v>Explicit source first year retained</x:v>
      </x:c>
      <x:c r="V519" s="14" t="str">
        <x:v>Earliest supplied year is 2025.</x:v>
      </x:c>
      <x:c r="W519" s="14"/>
      <x:c r="X519" s="14" t="str">
        <x:v>Included</x:v>
      </x:c>
      <x:c r="Y519" s="14"/>
      <x:c r="Z519" s="14" t="str">
        <x:v>Karen Pirie.docx</x:v>
      </x:c>
      <x:c r="AA519" s="14" t="str">
        <x:v>HYPERLINK is not implemented. linkLocation=https://www.imdb.com/title/tt11725900/fullcredits/,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ITV / ITVX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HYPERLINK("https://en.wikipedia.org/wiki/Karen_Pirie","Open source")</x:f>
        <x:v>HYPERLINK is not implemented. linkLocation=https://en.wikipedia.org/wiki/Karen_Pirie, friendlyName=Open source</x:v>
      </x:c>
      <x:c r="AN519" s="14" t="str">
        <x:v>No qualifying BBC relationship</x:v>
      </x:c>
      <x:c r="AO519" s="14" t="str">
        <x:v>No</x:v>
      </x:c>
      <x:c r="AP519" s="14" t="str">
        <x:v>Out of scope</x:v>
      </x:c>
      <x:c r="AQ519" s="14" t="str">
        <x:v>No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6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1</x:v>
      </x:c>
      <x:c r="BS519" s="16" t="n">
        <x:v>0.16666666666666666</x:v>
      </x:c>
      <x:c r="BT519" s="14" t="str">
        <x:v>One episode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4" t="str">
        <x:v>HYPERLINK is not implemented. linkLocation=https://www.imdb.com/title/tt11725900/fullcredits/,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tt11725900|nm17688854|girl in queue</x:v>
      </x:c>
      <x:c r="B520" s="14" t="str">
        <x:v>03</x:v>
      </x:c>
      <x:c r="C520" s="14" t="str">
        <x:v>2022_IMDb_Cast_Lists_Batch_03(1).xlsx</x:v>
      </x:c>
      <x:c r="D520" s="14" t="str">
        <x:v>Karen Pirie</x:v>
      </x:c>
      <x:c r="E520" s="14" t="n">
        <x:v>104</x:v>
      </x:c>
      <x:c r="F520" s="14" t="str">
        <x:v>Karen Pirie</x:v>
      </x:c>
      <x:c r="G520" s="14" t="str">
        <x:v>tt11725900</x:v>
      </x:c>
      <x:c r="H520" s="14" t="n">
        <x:v>2022</x:v>
      </x:c>
      <x:c r="I520" s="14" t="n">
        <x:v>2025</x:v>
      </x:c>
      <x:c r="J520" s="14" t="str">
        <x:v>Earlier-Production Carry-In Cohort</x:v>
      </x:c>
      <x:c r="K520" s="14" t="n">
        <x:v>2022</x:v>
      </x:c>
      <x:c r="L520" s="14" t="str">
        <x:v>Not inherited</x:v>
      </x:c>
      <x:c r="M520" s="15" t="n">
        <x:v>97</x:v>
      </x:c>
      <x:c r="N520" s="14" t="str">
        <x:v>Emma Bell</x:v>
      </x:c>
      <x:c r="O520" s="14" t="str">
        <x:v>nm17688854</x:v>
      </x:c>
      <x:c r="P520" s="14" t="str">
        <x:v>Girl In Queue</x:v>
      </x:c>
      <x:c r="Q520" s="15" t="n">
        <x:v>1</x:v>
      </x:c>
      <x:c r="R520" s="14" t="str">
        <x:v>2025</x:v>
      </x:c>
      <x:c r="S520" s="14" t="n">
        <x:v>2025</x:v>
      </x:c>
      <x:c r="T520" s="14" t="n">
        <x:v>2025</x:v>
      </x:c>
      <x:c r="U520" s="14" t="str">
        <x:v>Explicit source first year retained</x:v>
      </x:c>
      <x:c r="V520" s="14" t="str">
        <x:v>Earliest supplied year is 2025.</x:v>
      </x:c>
      <x:c r="W520" s="14"/>
      <x:c r="X520" s="14" t="str">
        <x:v>Included</x:v>
      </x:c>
      <x:c r="Y520" s="14"/>
      <x:c r="Z520" s="14" t="str">
        <x:v>Karen Pirie.docx</x:v>
      </x:c>
      <x:c r="AA520" s="14" t="str">
        <x:v>HYPERLINK is not implemented. linkLocation=https://www.imdb.com/title/tt11725900/fullcredits/,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ITV / ITVX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HYPERLINK("https://en.wikipedia.org/wiki/Karen_Pirie","Open source")</x:f>
        <x:v>HYPERLINK is not implemented. linkLocation=https://en.wikipedia.org/wiki/Karen_Pirie, friendlyName=Open source</x:v>
      </x:c>
      <x:c r="AN520" s="14" t="str">
        <x:v>No qualifying BBC relationship</x:v>
      </x:c>
      <x:c r="AO520" s="14" t="str">
        <x:v>No</x:v>
      </x:c>
      <x:c r="AP520" s="14" t="str">
        <x:v>Out of scope</x:v>
      </x:c>
      <x:c r="AQ520" s="14" t="str">
        <x:v>No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6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1</x:v>
      </x:c>
      <x:c r="BS520" s="16" t="n">
        <x:v>0.16666666666666666</x:v>
      </x:c>
      <x:c r="BT520" s="14" t="str">
        <x:v>One episode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4" t="str">
        <x:v>HYPERLINK is not implemented. linkLocation=https://www.imdb.com/title/tt11725900/fullcredits/,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tt10405370|nm10354428|john tonkin</x:v>
      </x:c>
      <x:c r="B521" s="14" t="str">
        <x:v>04</x:v>
      </x:c>
      <x:c r="C521" s="14" t="str">
        <x:v>2022_IMDb_Cast_Lists_Batch_04(1).xlsx</x:v>
      </x:c>
      <x:c r="D521" s="14" t="str">
        <x:v>Rogue Heroes</x:v>
      </x:c>
      <x:c r="E521" s="14" t="n">
        <x:v>20</x:v>
      </x:c>
      <x:c r="F521" s="14" t="str">
        <x:v>Rogue Heroes</x:v>
      </x:c>
      <x:c r="G521" s="14" t="str">
        <x:v>tt10405370</x:v>
      </x:c>
      <x:c r="H521" s="14" t="n">
        <x:v>2022</x:v>
      </x:c>
      <x:c r="I521" s="14" t="n">
        <x:v>2025</x:v>
      </x:c>
      <x:c r="J521" s="14" t="str">
        <x:v>Earlier-Production Carry-In Cohort</x:v>
      </x:c>
      <x:c r="K521" s="14" t="n">
        <x:v>2022</x:v>
      </x:c>
      <x:c r="L521" s="14" t="str">
        <x:v>Not inherited</x:v>
      </x:c>
      <x:c r="M521" s="15" t="n">
        <x:v>13</x:v>
      </x:c>
      <x:c r="N521" s="14" t="str">
        <x:v>Jack Barton</x:v>
      </x:c>
      <x:c r="O521" s="14" t="str">
        <x:v>nm10354428</x:v>
      </x:c>
      <x:c r="P521" s="14" t="str">
        <x:v>John Tonkin</x:v>
      </x:c>
      <x:c r="Q521" s="15" t="n">
        <x:v>7</x:v>
      </x:c>
      <x:c r="R521" s="14" t="str">
        <x:v>2025</x:v>
      </x:c>
      <x:c r="S521" s="14" t="n">
        <x:v>2025</x:v>
      </x:c>
      <x:c r="T521" s="14" t="n">
        <x:v>2025</x:v>
      </x:c>
      <x:c r="U521" s="14" t="str">
        <x:v>Explicit source first year retained</x:v>
      </x:c>
      <x:c r="V521" s="14" t="str">
        <x:v>Earliest supplied year is 2025.</x:v>
      </x:c>
      <x:c r="W521" s="14"/>
      <x:c r="X521" s="14" t="str">
        <x:v>Included</x:v>
      </x:c>
      <x:c r="Y521" s="14"/>
      <x:c r="Z521" s="14" t="str">
        <x:v>Rogue Heroes.docx</x:v>
      </x:c>
      <x:c r="AA521" s="14" t="str">
        <x:v>HYPERLINK is not implemented. linkLocation=https://www.imdb.com/title/tt10405370/fullcredits/,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HYPERLINK("https://en.wikipedia.org/wiki/Rogue_Heroes","Open source")</x:f>
        <x:v>HYPERLINK is not implemented. linkLocation=https://en.wikipedia.org/wiki/Rogue_Heroes,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13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7</x:v>
      </x:c>
      <x:c r="BS521" s="16" t="n">
        <x:v>0.5384615384615384</x:v>
      </x:c>
      <x:c r="BT521" s="14" t="str">
        <x:v>Majority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4" t="str">
        <x:v>HYPERLINK is not implemented. linkLocation=https://www.imdb.com/title/tt10405370/fullcredits/,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tt10405370|nm4495529|jock mcdiarmid</x:v>
      </x:c>
      <x:c r="B522" s="14" t="str">
        <x:v>04</x:v>
      </x:c>
      <x:c r="C522" s="14" t="str">
        <x:v>2022_IMDb_Cast_Lists_Batch_04(1).xlsx</x:v>
      </x:c>
      <x:c r="D522" s="14" t="str">
        <x:v>Rogue Heroes</x:v>
      </x:c>
      <x:c r="E522" s="14" t="n">
        <x:v>23</x:v>
      </x:c>
      <x:c r="F522" s="14" t="str">
        <x:v>Rogue Heroes</x:v>
      </x:c>
      <x:c r="G522" s="14" t="str">
        <x:v>tt10405370</x:v>
      </x:c>
      <x:c r="H522" s="14" t="n">
        <x:v>2022</x:v>
      </x:c>
      <x:c r="I522" s="14" t="n">
        <x:v>2025</x:v>
      </x:c>
      <x:c r="J522" s="14" t="str">
        <x:v>Earlier-Production Carry-In Cohort</x:v>
      </x:c>
      <x:c r="K522" s="14" t="n">
        <x:v>2022</x:v>
      </x:c>
      <x:c r="L522" s="14" t="str">
        <x:v>Not inherited</x:v>
      </x:c>
      <x:c r="M522" s="15" t="n">
        <x:v>16</x:v>
      </x:c>
      <x:c r="N522" s="14" t="str">
        <x:v>Mark Rowley</x:v>
      </x:c>
      <x:c r="O522" s="14" t="str">
        <x:v>nm4495529</x:v>
      </x:c>
      <x:c r="P522" s="14" t="str">
        <x:v>Jock McDiarmid</x:v>
      </x:c>
      <x:c r="Q522" s="15" t="n">
        <x:v>6</x:v>
      </x:c>
      <x:c r="R522" s="14" t="str">
        <x:v>2025</x:v>
      </x:c>
      <x:c r="S522" s="14" t="n">
        <x:v>2025</x:v>
      </x:c>
      <x:c r="T522" s="14" t="n">
        <x:v>2025</x:v>
      </x:c>
      <x:c r="U522" s="14" t="str">
        <x:v>Explicit source first year retained</x:v>
      </x:c>
      <x:c r="V522" s="14" t="str">
        <x:v>Earliest supplied year is 2025.</x:v>
      </x:c>
      <x:c r="W522" s="14"/>
      <x:c r="X522" s="14" t="str">
        <x:v>Included</x:v>
      </x:c>
      <x:c r="Y522" s="14"/>
      <x:c r="Z522" s="14" t="str">
        <x:v>Rogue Heroes.docx</x:v>
      </x:c>
      <x:c r="AA522" s="14" t="str">
        <x:v>HYPERLINK is not implemented. linkLocation=https://www.imdb.com/title/tt10405370/fullcredits/,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HYPERLINK("https://en.wikipedia.org/wiki/Rogue_Heroes","Open source")</x:f>
        <x:v>HYPERLINK is not implemented. linkLocation=https://en.wikipedia.org/wiki/Rogue_Heroes,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13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6</x:v>
      </x:c>
      <x:c r="BS522" s="16" t="n">
        <x:v>0.46153846153846156</x:v>
      </x:c>
      <x:c r="BT522" s="14" t="str">
        <x:v>Minority of episodes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4" t="str">
        <x:v>HYPERLINK is not implemented. linkLocation=https://www.imdb.com/title/tt10405370/fullcredits/,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tt10405370|nm3152605|bill stirling</x:v>
      </x:c>
      <x:c r="B523" s="14" t="str">
        <x:v>04</x:v>
      </x:c>
      <x:c r="C523" s="14" t="str">
        <x:v>2022_IMDb_Cast_Lists_Batch_04(1).xlsx</x:v>
      </x:c>
      <x:c r="D523" s="14" t="str">
        <x:v>Rogue Heroes</x:v>
      </x:c>
      <x:c r="E523" s="14" t="n">
        <x:v>24</x:v>
      </x:c>
      <x:c r="F523" s="14" t="str">
        <x:v>Rogue Heroes</x:v>
      </x:c>
      <x:c r="G523" s="14" t="str">
        <x:v>tt10405370</x:v>
      </x:c>
      <x:c r="H523" s="14" t="n">
        <x:v>2022</x:v>
      </x:c>
      <x:c r="I523" s="14" t="n">
        <x:v>2025</x:v>
      </x:c>
      <x:c r="J523" s="14" t="str">
        <x:v>Earlier-Production Carry-In Cohort</x:v>
      </x:c>
      <x:c r="K523" s="14" t="n">
        <x:v>2022</x:v>
      </x:c>
      <x:c r="L523" s="14" t="str">
        <x:v>Not inherited</x:v>
      </x:c>
      <x:c r="M523" s="15" t="n">
        <x:v>17</x:v>
      </x:c>
      <x:c r="N523" s="14" t="str">
        <x:v>Gwilym Lee</x:v>
      </x:c>
      <x:c r="O523" s="14" t="str">
        <x:v>nm3152605</x:v>
      </x:c>
      <x:c r="P523" s="14" t="str">
        <x:v>Bill Stirling</x:v>
      </x:c>
      <x:c r="Q523" s="15" t="n">
        <x:v>6</x:v>
      </x:c>
      <x:c r="R523" s="14" t="str">
        <x:v>2025</x:v>
      </x:c>
      <x:c r="S523" s="14" t="n">
        <x:v>2025</x:v>
      </x:c>
      <x:c r="T523" s="14" t="n">
        <x:v>2025</x:v>
      </x:c>
      <x:c r="U523" s="14" t="str">
        <x:v>Explicit source first year retained</x:v>
      </x:c>
      <x:c r="V523" s="14" t="str">
        <x:v>Earliest supplied year is 2025.</x:v>
      </x:c>
      <x:c r="W523" s="14"/>
      <x:c r="X523" s="14" t="str">
        <x:v>Included</x:v>
      </x:c>
      <x:c r="Y523" s="14"/>
      <x:c r="Z523" s="14" t="str">
        <x:v>Rogue Heroes.docx</x:v>
      </x:c>
      <x:c r="AA523" s="14" t="str">
        <x:v>HYPERLINK is not implemented. linkLocation=https://www.imdb.com/title/tt10405370/fullcredits/,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HYPERLINK("https://en.wikipedia.org/wiki/Rogue_Heroes","Open source")</x:f>
        <x:v>HYPERLINK is not implemented. linkLocation=https://en.wikipedia.org/wiki/Rogue_Heroes,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13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6</x:v>
      </x:c>
      <x:c r="BS523" s="16" t="n">
        <x:v>0.46153846153846156</x:v>
      </x:c>
      <x:c r="BT523" s="14" t="str">
        <x:v>Minority of episodes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4" t="str">
        <x:v>HYPERLINK is not implemented. linkLocation=https://www.imdb.com/title/tt10405370/fullcredits/,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tt10405370|nm9057632|alessia biondi</x:v>
      </x:c>
      <x:c r="B524" s="14" t="str">
        <x:v>04</x:v>
      </x:c>
      <x:c r="C524" s="14" t="str">
        <x:v>2022_IMDb_Cast_Lists_Batch_04(1).xlsx</x:v>
      </x:c>
      <x:c r="D524" s="14" t="str">
        <x:v>Rogue Heroes</x:v>
      </x:c>
      <x:c r="E524" s="14" t="n">
        <x:v>36</x:v>
      </x:c>
      <x:c r="F524" s="14" t="str">
        <x:v>Rogue Heroes</x:v>
      </x:c>
      <x:c r="G524" s="14" t="str">
        <x:v>tt10405370</x:v>
      </x:c>
      <x:c r="H524" s="14" t="n">
        <x:v>2022</x:v>
      </x:c>
      <x:c r="I524" s="14" t="n">
        <x:v>2025</x:v>
      </x:c>
      <x:c r="J524" s="14" t="str">
        <x:v>Earlier-Production Carry-In Cohort</x:v>
      </x:c>
      <x:c r="K524" s="14" t="n">
        <x:v>2022</x:v>
      </x:c>
      <x:c r="L524" s="14" t="str">
        <x:v>Not inherited</x:v>
      </x:c>
      <x:c r="M524" s="15" t="n">
        <x:v>29</x:v>
      </x:c>
      <x:c r="N524" s="14" t="str">
        <x:v>Anna Manuelli</x:v>
      </x:c>
      <x:c r="O524" s="14" t="str">
        <x:v>nm9057632</x:v>
      </x:c>
      <x:c r="P524" s="14" t="str">
        <x:v>Alessia Biondi</x:v>
      </x:c>
      <x:c r="Q524" s="15" t="n">
        <x:v>4</x:v>
      </x:c>
      <x:c r="R524" s="14" t="str">
        <x:v>2025</x:v>
      </x:c>
      <x:c r="S524" s="14" t="n">
        <x:v>2025</x:v>
      </x:c>
      <x:c r="T524" s="14" t="n">
        <x:v>2025</x:v>
      </x:c>
      <x:c r="U524" s="14" t="str">
        <x:v>Explicit source first year retained</x:v>
      </x:c>
      <x:c r="V524" s="14" t="str">
        <x:v>Earliest supplied year is 2025.</x:v>
      </x:c>
      <x:c r="W524" s="14"/>
      <x:c r="X524" s="14" t="str">
        <x:v>Included</x:v>
      </x:c>
      <x:c r="Y524" s="14"/>
      <x:c r="Z524" s="14" t="str">
        <x:v>Rogue Heroes.docx</x:v>
      </x:c>
      <x:c r="AA524" s="14" t="str">
        <x:v>HYPERLINK is not implemented. linkLocation=https://www.imdb.com/title/tt10405370/fullcredits/,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HYPERLINK("https://en.wikipedia.org/wiki/Rogue_Heroes","Open source")</x:f>
        <x:v>HYPERLINK is not implemented. linkLocation=https://en.wikipedia.org/wiki/Rogue_Heroes,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13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4</x:v>
      </x:c>
      <x:c r="BS524" s="16" t="n">
        <x:v>0.3076923076923077</x:v>
      </x:c>
      <x:c r="BT524" s="14" t="str">
        <x:v>Minority of episodes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4" t="str">
        <x:v>HYPERLINK is not implemented. linkLocation=https://www.imdb.com/title/tt10405370/fullcredits/,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tt10405370|nm10953730|alfredo</x:v>
      </x:c>
      <x:c r="B525" s="14" t="str">
        <x:v>04</x:v>
      </x:c>
      <x:c r="C525" s="14" t="str">
        <x:v>2022_IMDb_Cast_Lists_Batch_04(1).xlsx</x:v>
      </x:c>
      <x:c r="D525" s="14" t="str">
        <x:v>Rogue Heroes</x:v>
      </x:c>
      <x:c r="E525" s="14" t="n">
        <x:v>37</x:v>
      </x:c>
      <x:c r="F525" s="14" t="str">
        <x:v>Rogue Heroes</x:v>
      </x:c>
      <x:c r="G525" s="14" t="str">
        <x:v>tt10405370</x:v>
      </x:c>
      <x:c r="H525" s="14" t="n">
        <x:v>2022</x:v>
      </x:c>
      <x:c r="I525" s="14" t="n">
        <x:v>2025</x:v>
      </x:c>
      <x:c r="J525" s="14" t="str">
        <x:v>Earlier-Production Carry-In Cohort</x:v>
      </x:c>
      <x:c r="K525" s="14" t="n">
        <x:v>2022</x:v>
      </x:c>
      <x:c r="L525" s="14" t="str">
        <x:v>Not inherited</x:v>
      </x:c>
      <x:c r="M525" s="15" t="n">
        <x:v>30</x:v>
      </x:c>
      <x:c r="N525" s="14" t="str">
        <x:v>Matteo Franco</x:v>
      </x:c>
      <x:c r="O525" s="14" t="str">
        <x:v>nm10953730</x:v>
      </x:c>
      <x:c r="P525" s="14" t="str">
        <x:v>Alfredo</x:v>
      </x:c>
      <x:c r="Q525" s="15" t="n">
        <x:v>4</x:v>
      </x:c>
      <x:c r="R525" s="14" t="str">
        <x:v>2025</x:v>
      </x:c>
      <x:c r="S525" s="14" t="n">
        <x:v>2025</x:v>
      </x:c>
      <x:c r="T525" s="14" t="n">
        <x:v>2025</x:v>
      </x:c>
      <x:c r="U525" s="14" t="str">
        <x:v>Explicit source first year retained</x:v>
      </x:c>
      <x:c r="V525" s="14" t="str">
        <x:v>Earliest supplied year is 2025.</x:v>
      </x:c>
      <x:c r="W525" s="14"/>
      <x:c r="X525" s="14" t="str">
        <x:v>Included</x:v>
      </x:c>
      <x:c r="Y525" s="14"/>
      <x:c r="Z525" s="14" t="str">
        <x:v>Rogue Heroes.docx</x:v>
      </x:c>
      <x:c r="AA525" s="14" t="str">
        <x:v>HYPERLINK is not implemented. linkLocation=https://www.imdb.com/title/tt10405370/fullcredits/,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HYPERLINK("https://en.wikipedia.org/wiki/Rogue_Heroes","Open source")</x:f>
        <x:v>HYPERLINK is not implemented. linkLocation=https://en.wikipedia.org/wiki/Rogue_Heroes,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13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4</x:v>
      </x:c>
      <x:c r="BS525" s="16" t="n">
        <x:v>0.3076923076923077</x:v>
      </x:c>
      <x:c r="BT525" s="14" t="str">
        <x:v>Minority of episodes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4" t="str">
        <x:v>HYPERLINK is not implemented. linkLocation=https://www.imdb.com/title/tt10405370/fullcredits/,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tt10405370|nm6067112|anthony greville-bell</x:v>
      </x:c>
      <x:c r="B526" s="14" t="str">
        <x:v>04</x:v>
      </x:c>
      <x:c r="C526" s="14" t="str">
        <x:v>2022_IMDb_Cast_Lists_Batch_04(1).xlsx</x:v>
      </x:c>
      <x:c r="D526" s="14" t="str">
        <x:v>Rogue Heroes</x:v>
      </x:c>
      <x:c r="E526" s="14" t="n">
        <x:v>38</x:v>
      </x:c>
      <x:c r="F526" s="14" t="str">
        <x:v>Rogue Heroes</x:v>
      </x:c>
      <x:c r="G526" s="14" t="str">
        <x:v>tt10405370</x:v>
      </x:c>
      <x:c r="H526" s="14" t="n">
        <x:v>2022</x:v>
      </x:c>
      <x:c r="I526" s="14" t="n">
        <x:v>2025</x:v>
      </x:c>
      <x:c r="J526" s="14" t="str">
        <x:v>Earlier-Production Carry-In Cohort</x:v>
      </x:c>
      <x:c r="K526" s="14" t="n">
        <x:v>2022</x:v>
      </x:c>
      <x:c r="L526" s="14" t="str">
        <x:v>Not inherited</x:v>
      </x:c>
      <x:c r="M526" s="15" t="n">
        <x:v>31</x:v>
      </x:c>
      <x:c r="N526" s="14" t="str">
        <x:v>Stuart Thompson</x:v>
      </x:c>
      <x:c r="O526" s="14" t="str">
        <x:v>nm6067112</x:v>
      </x:c>
      <x:c r="P526" s="14" t="str">
        <x:v>Anthony Greville-Bell</x:v>
      </x:c>
      <x:c r="Q526" s="15" t="n">
        <x:v>4</x:v>
      </x:c>
      <x:c r="R526" s="14" t="str">
        <x:v>2025</x:v>
      </x:c>
      <x:c r="S526" s="14" t="n">
        <x:v>2025</x:v>
      </x:c>
      <x:c r="T526" s="14" t="n">
        <x:v>2025</x:v>
      </x:c>
      <x:c r="U526" s="14" t="str">
        <x:v>Explicit source first year retained</x:v>
      </x:c>
      <x:c r="V526" s="14" t="str">
        <x:v>Earliest supplied year is 2025.</x:v>
      </x:c>
      <x:c r="W526" s="14"/>
      <x:c r="X526" s="14" t="str">
        <x:v>Included</x:v>
      </x:c>
      <x:c r="Y526" s="14"/>
      <x:c r="Z526" s="14" t="str">
        <x:v>Rogue Heroes.docx</x:v>
      </x:c>
      <x:c r="AA526" s="14" t="str">
        <x:v>HYPERLINK is not implemented. linkLocation=https://www.imdb.com/title/tt10405370/fullcredits/,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7" t="e">
        <x:f>HYPERLINK("https://en.wikipedia.org/wiki/Rogue_Heroes","Open source")</x:f>
        <x:v>HYPERLINK is not implemented. linkLocation=https://en.wikipedia.org/wiki/Rogue_Heroes, friendlyName=Open source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13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4</x:v>
      </x:c>
      <x:c r="BS526" s="16" t="n">
        <x:v>0.3076923076923077</x:v>
      </x:c>
      <x:c r="BT526" s="14" t="str">
        <x:v>Minority of episodes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4" t="str">
        <x:v>HYPERLINK is not implemented. linkLocation=https://www.imdb.com/title/tt10405370/fullcredits/,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tt10405370|nm3313605|cram</x:v>
      </x:c>
      <x:c r="B527" s="14" t="str">
        <x:v>04</x:v>
      </x:c>
      <x:c r="C527" s="14" t="str">
        <x:v>2022_IMDb_Cast_Lists_Batch_04(1).xlsx</x:v>
      </x:c>
      <x:c r="D527" s="14" t="str">
        <x:v>Rogue Heroes</x:v>
      </x:c>
      <x:c r="E527" s="14" t="n">
        <x:v>39</x:v>
      </x:c>
      <x:c r="F527" s="14" t="str">
        <x:v>Rogue Heroes</x:v>
      </x:c>
      <x:c r="G527" s="14" t="str">
        <x:v>tt10405370</x:v>
      </x:c>
      <x:c r="H527" s="14" t="n">
        <x:v>2022</x:v>
      </x:c>
      <x:c r="I527" s="14" t="n">
        <x:v>2025</x:v>
      </x:c>
      <x:c r="J527" s="14" t="str">
        <x:v>Earlier-Production Carry-In Cohort</x:v>
      </x:c>
      <x:c r="K527" s="14" t="n">
        <x:v>2022</x:v>
      </x:c>
      <x:c r="L527" s="14" t="str">
        <x:v>Not inherited</x:v>
      </x:c>
      <x:c r="M527" s="15" t="n">
        <x:v>32</x:v>
      </x:c>
      <x:c r="N527" s="14" t="str">
        <x:v>Sandy Batchelor</x:v>
      </x:c>
      <x:c r="O527" s="14" t="str">
        <x:v>nm3313605</x:v>
      </x:c>
      <x:c r="P527" s="14" t="str">
        <x:v>Cram</x:v>
      </x:c>
      <x:c r="Q527" s="15" t="n">
        <x:v>3</x:v>
      </x:c>
      <x:c r="R527" s="14" t="str">
        <x:v>2025</x:v>
      </x:c>
      <x:c r="S527" s="14" t="n">
        <x:v>2025</x:v>
      </x:c>
      <x:c r="T527" s="14" t="n">
        <x:v>2025</x:v>
      </x:c>
      <x:c r="U527" s="14" t="str">
        <x:v>Explicit source first year retained</x:v>
      </x:c>
      <x:c r="V527" s="14" t="str">
        <x:v>Earliest supplied year is 2025.</x:v>
      </x:c>
      <x:c r="W527" s="14"/>
      <x:c r="X527" s="14" t="str">
        <x:v>Included</x:v>
      </x:c>
      <x:c r="Y527" s="14"/>
      <x:c r="Z527" s="14" t="str">
        <x:v>Rogue Heroes.docx</x:v>
      </x:c>
      <x:c r="AA527" s="14" t="str">
        <x:v>HYPERLINK is not implemented. linkLocation=https://www.imdb.com/title/tt10405370/fullcredits/,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7" t="e">
        <x:f>HYPERLINK("https://en.wikipedia.org/wiki/Rogue_Heroes","Open source")</x:f>
        <x:v>HYPERLINK is not implemented. linkLocation=https://en.wikipedia.org/wiki/Rogue_Heroes, friendlyName=Open source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13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3</x:v>
      </x:c>
      <x:c r="BS527" s="16" t="n">
        <x:v>0.23076923076923078</x:v>
      </x:c>
      <x:c r="BT527" s="14" t="str">
        <x:v>Minority of episodes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4" t="str">
        <x:v>HYPERLINK is not implemented. linkLocation=https://www.imdb.com/title/tt10405370/fullcredits/,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tt10405370|nm11472709|matteo amato</x:v>
      </x:c>
      <x:c r="B528" s="14" t="str">
        <x:v>04</x:v>
      </x:c>
      <x:c r="C528" s="14" t="str">
        <x:v>2022_IMDb_Cast_Lists_Batch_04(1).xlsx</x:v>
      </x:c>
      <x:c r="D528" s="14" t="str">
        <x:v>Rogue Heroes</x:v>
      </x:c>
      <x:c r="E528" s="14" t="n">
        <x:v>47</x:v>
      </x:c>
      <x:c r="F528" s="14" t="str">
        <x:v>Rogue Heroes</x:v>
      </x:c>
      <x:c r="G528" s="14" t="str">
        <x:v>tt10405370</x:v>
      </x:c>
      <x:c r="H528" s="14" t="n">
        <x:v>2022</x:v>
      </x:c>
      <x:c r="I528" s="14" t="n">
        <x:v>2025</x:v>
      </x:c>
      <x:c r="J528" s="14" t="str">
        <x:v>Earlier-Production Carry-In Cohort</x:v>
      </x:c>
      <x:c r="K528" s="14" t="n">
        <x:v>2022</x:v>
      </x:c>
      <x:c r="L528" s="14" t="str">
        <x:v>Not inherited</x:v>
      </x:c>
      <x:c r="M528" s="15" t="n">
        <x:v>40</x:v>
      </x:c>
      <x:c r="N528" s="14" t="str">
        <x:v>Luca Morello</x:v>
      </x:c>
      <x:c r="O528" s="14" t="str">
        <x:v>nm11472709</x:v>
      </x:c>
      <x:c r="P528" s="14" t="str">
        <x:v>Matteo Amato</x:v>
      </x:c>
      <x:c r="Q528" s="15" t="n">
        <x:v>2</x:v>
      </x:c>
      <x:c r="R528" s="14" t="str">
        <x:v>2025</x:v>
      </x:c>
      <x:c r="S528" s="14" t="n">
        <x:v>2025</x:v>
      </x:c>
      <x:c r="T528" s="14" t="n">
        <x:v>2025</x:v>
      </x:c>
      <x:c r="U528" s="14" t="str">
        <x:v>Explicit source first year retained</x:v>
      </x:c>
      <x:c r="V528" s="14" t="str">
        <x:v>Earliest supplied year is 2025.</x:v>
      </x:c>
      <x:c r="W528" s="14"/>
      <x:c r="X528" s="14" t="str">
        <x:v>Included</x:v>
      </x:c>
      <x:c r="Y528" s="14"/>
      <x:c r="Z528" s="14" t="str">
        <x:v>Rogue Heroes.docx</x:v>
      </x:c>
      <x:c r="AA528" s="14" t="str">
        <x:v>HYPERLINK is not implemented. linkLocation=https://www.imdb.com/title/tt10405370/fullcredits/,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7" t="e">
        <x:f>HYPERLINK("https://en.wikipedia.org/wiki/Rogue_Heroes","Open source")</x:f>
        <x:v>HYPERLINK is not implemented. linkLocation=https://en.wikipedia.org/wiki/Rogue_Heroes, friendlyName=Open source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13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2</x:v>
      </x:c>
      <x:c r="BS528" s="16" t="n">
        <x:v>0.15384615384615385</x:v>
      </x:c>
      <x:c r="BT528" s="14" t="str">
        <x:v>Minority of episodes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4" t="str">
        <x:v>HYPERLINK is not implemented. linkLocation=https://www.imdb.com/title/tt10405370/fullcredits/,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tt10405370|nm0642126|general montgomery</x:v>
      </x:c>
      <x:c r="B529" s="14" t="str">
        <x:v>04</x:v>
      </x:c>
      <x:c r="C529" s="14" t="str">
        <x:v>2022_IMDb_Cast_Lists_Batch_04(1).xlsx</x:v>
      </x:c>
      <x:c r="D529" s="14" t="str">
        <x:v>Rogue Heroes</x:v>
      </x:c>
      <x:c r="E529" s="14" t="n">
        <x:v>51</x:v>
      </x:c>
      <x:c r="F529" s="14" t="str">
        <x:v>Rogue Heroes</x:v>
      </x:c>
      <x:c r="G529" s="14" t="str">
        <x:v>tt10405370</x:v>
      </x:c>
      <x:c r="H529" s="14" t="n">
        <x:v>2022</x:v>
      </x:c>
      <x:c r="I529" s="14" t="n">
        <x:v>2025</x:v>
      </x:c>
      <x:c r="J529" s="14" t="str">
        <x:v>Earlier-Production Carry-In Cohort</x:v>
      </x:c>
      <x:c r="K529" s="14" t="n">
        <x:v>2022</x:v>
      </x:c>
      <x:c r="L529" s="14" t="str">
        <x:v>Not inherited</x:v>
      </x:c>
      <x:c r="M529" s="15" t="n">
        <x:v>44</x:v>
      </x:c>
      <x:c r="N529" s="14" t="str">
        <x:v>Con O'Neill</x:v>
      </x:c>
      <x:c r="O529" s="14" t="str">
        <x:v>nm0642126</x:v>
      </x:c>
      <x:c r="P529" s="14" t="str">
        <x:v>General Montgomery</x:v>
      </x:c>
      <x:c r="Q529" s="15" t="n">
        <x:v>2</x:v>
      </x:c>
      <x:c r="R529" s="14" t="str">
        <x:v>2025</x:v>
      </x:c>
      <x:c r="S529" s="14" t="n">
        <x:v>2025</x:v>
      </x:c>
      <x:c r="T529" s="14" t="n">
        <x:v>2025</x:v>
      </x:c>
      <x:c r="U529" s="14" t="str">
        <x:v>Explicit source first year retained</x:v>
      </x:c>
      <x:c r="V529" s="14" t="str">
        <x:v>Earliest supplied year is 2025.</x:v>
      </x:c>
      <x:c r="W529" s="14"/>
      <x:c r="X529" s="14" t="str">
        <x:v>Included</x:v>
      </x:c>
      <x:c r="Y529" s="14"/>
      <x:c r="Z529" s="14" t="str">
        <x:v>Rogue Heroes.docx</x:v>
      </x:c>
      <x:c r="AA529" s="14" t="str">
        <x:v>HYPERLINK is not implemented. linkLocation=https://www.imdb.com/title/tt10405370/fullcredits/,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7" t="e">
        <x:f>HYPERLINK("https://en.wikipedia.org/wiki/Rogue_Heroes","Open source")</x:f>
        <x:v>HYPERLINK is not implemented. linkLocation=https://en.wikipedia.org/wiki/Rogue_Heroes, friendlyName=Open source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13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2</x:v>
      </x:c>
      <x:c r="BS529" s="16" t="n">
        <x:v>0.15384615384615385</x:v>
      </x:c>
      <x:c r="BT529" s="14" t="str">
        <x:v>Minority of episodes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4" t="str">
        <x:v>HYPERLINK is not implemented. linkLocation=https://www.imdb.com/title/tt10405370/fullcredits/,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tt10405370|nm4586910|jack pringle</x:v>
      </x:c>
      <x:c r="B530" s="14" t="str">
        <x:v>04</x:v>
      </x:c>
      <x:c r="C530" s="14" t="str">
        <x:v>2022_IMDb_Cast_Lists_Batch_04(1).xlsx</x:v>
      </x:c>
      <x:c r="D530" s="14" t="str">
        <x:v>Rogue Heroes</x:v>
      </x:c>
      <x:c r="E530" s="14" t="n">
        <x:v>52</x:v>
      </x:c>
      <x:c r="F530" s="14" t="str">
        <x:v>Rogue Heroes</x:v>
      </x:c>
      <x:c r="G530" s="14" t="str">
        <x:v>tt10405370</x:v>
      </x:c>
      <x:c r="H530" s="14" t="n">
        <x:v>2022</x:v>
      </x:c>
      <x:c r="I530" s="14" t="n">
        <x:v>2025</x:v>
      </x:c>
      <x:c r="J530" s="14" t="str">
        <x:v>Earlier-Production Carry-In Cohort</x:v>
      </x:c>
      <x:c r="K530" s="14" t="n">
        <x:v>2022</x:v>
      </x:c>
      <x:c r="L530" s="14" t="str">
        <x:v>Not inherited</x:v>
      </x:c>
      <x:c r="M530" s="15" t="n">
        <x:v>45</x:v>
      </x:c>
      <x:c r="N530" s="14" t="str">
        <x:v>Oliver Bennett</x:v>
      </x:c>
      <x:c r="O530" s="14" t="str">
        <x:v>nm4586910</x:v>
      </x:c>
      <x:c r="P530" s="14" t="str">
        <x:v>Jack Pringle</x:v>
      </x:c>
      <x:c r="Q530" s="15" t="n">
        <x:v>2</x:v>
      </x:c>
      <x:c r="R530" s="14" t="str">
        <x:v>2025</x:v>
      </x:c>
      <x:c r="S530" s="14" t="n">
        <x:v>2025</x:v>
      </x:c>
      <x:c r="T530" s="14" t="n">
        <x:v>2025</x:v>
      </x:c>
      <x:c r="U530" s="14" t="str">
        <x:v>Explicit source first year retained</x:v>
      </x:c>
      <x:c r="V530" s="14" t="str">
        <x:v>Earliest supplied year is 2025.</x:v>
      </x:c>
      <x:c r="W530" s="14"/>
      <x:c r="X530" s="14" t="str">
        <x:v>Included</x:v>
      </x:c>
      <x:c r="Y530" s="14"/>
      <x:c r="Z530" s="14" t="str">
        <x:v>Rogue Heroes.docx</x:v>
      </x:c>
      <x:c r="AA530" s="14" t="str">
        <x:v>HYPERLINK is not implemented. linkLocation=https://www.imdb.com/title/tt10405370/fullcredits/,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7" t="e">
        <x:f>HYPERLINK("https://en.wikipedia.org/wiki/Rogue_Heroes","Open source")</x:f>
        <x:v>HYPERLINK is not implemented. linkLocation=https://en.wikipedia.org/wiki/Rogue_Heroes, friendlyName=Open source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13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2</x:v>
      </x:c>
      <x:c r="BS530" s="16" t="n">
        <x:v>0.15384615384615385</x:v>
      </x:c>
      <x:c r="BT530" s="14" t="str">
        <x:v>Minority of episodes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4" t="str">
        <x:v>HYPERLINK is not implemented. linkLocation=https://www.imdb.com/title/tt10405370/fullcredits/,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tt10405370|nm2527209|lt. general dempsey</x:v>
      </x:c>
      <x:c r="B531" s="14" t="str">
        <x:v>04</x:v>
      </x:c>
      <x:c r="C531" s="14" t="str">
        <x:v>2022_IMDb_Cast_Lists_Batch_04(1).xlsx</x:v>
      </x:c>
      <x:c r="D531" s="14" t="str">
        <x:v>Rogue Heroes</x:v>
      </x:c>
      <x:c r="E531" s="14" t="n">
        <x:v>53</x:v>
      </x:c>
      <x:c r="F531" s="14" t="str">
        <x:v>Rogue Heroes</x:v>
      </x:c>
      <x:c r="G531" s="14" t="str">
        <x:v>tt10405370</x:v>
      </x:c>
      <x:c r="H531" s="14" t="n">
        <x:v>2022</x:v>
      </x:c>
      <x:c r="I531" s="14" t="n">
        <x:v>2025</x:v>
      </x:c>
      <x:c r="J531" s="14" t="str">
        <x:v>Earlier-Production Carry-In Cohort</x:v>
      </x:c>
      <x:c r="K531" s="14" t="n">
        <x:v>2022</x:v>
      </x:c>
      <x:c r="L531" s="14" t="str">
        <x:v>Not inherited</x:v>
      </x:c>
      <x:c r="M531" s="15" t="n">
        <x:v>46</x:v>
      </x:c>
      <x:c r="N531" s="14" t="str">
        <x:v>Edward Bennett</x:v>
      </x:c>
      <x:c r="O531" s="14" t="str">
        <x:v>nm2527209</x:v>
      </x:c>
      <x:c r="P531" s="14" t="str">
        <x:v>Lt. General Dempsey</x:v>
      </x:c>
      <x:c r="Q531" s="15" t="n">
        <x:v>2</x:v>
      </x:c>
      <x:c r="R531" s="14" t="str">
        <x:v>2025</x:v>
      </x:c>
      <x:c r="S531" s="14" t="n">
        <x:v>2025</x:v>
      </x:c>
      <x:c r="T531" s="14" t="n">
        <x:v>2025</x:v>
      </x:c>
      <x:c r="U531" s="14" t="str">
        <x:v>Explicit source first year retained</x:v>
      </x:c>
      <x:c r="V531" s="14" t="str">
        <x:v>Earliest supplied year is 2025.</x:v>
      </x:c>
      <x:c r="W531" s="14"/>
      <x:c r="X531" s="14" t="str">
        <x:v>Included</x:v>
      </x:c>
      <x:c r="Y531" s="14"/>
      <x:c r="Z531" s="14" t="str">
        <x:v>Rogue Heroes.docx</x:v>
      </x:c>
      <x:c r="AA531" s="14" t="str">
        <x:v>HYPERLINK is not implemented. linkLocation=https://www.imdb.com/title/tt10405370/fullcredits/,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7" t="e">
        <x:f>HYPERLINK("https://en.wikipedia.org/wiki/Rogue_Heroes","Open source")</x:f>
        <x:v>HYPERLINK is not implemented. linkLocation=https://en.wikipedia.org/wiki/Rogue_Heroes, friendlyName=Open source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13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2</x:v>
      </x:c>
      <x:c r="BS531" s="16" t="n">
        <x:v>0.15384615384615385</x:v>
      </x:c>
      <x:c r="BT531" s="14" t="str">
        <x:v>Minority of episodes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4" t="str">
        <x:v>HYPERLINK is not implemented. linkLocation=https://www.imdb.com/title/tt10405370/fullcredits/,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tt10405370|nm7717620|reich chancellery secretary</x:v>
      </x:c>
      <x:c r="B532" s="14" t="str">
        <x:v>04</x:v>
      </x:c>
      <x:c r="C532" s="14" t="str">
        <x:v>2022_IMDb_Cast_Lists_Batch_04(1).xlsx</x:v>
      </x:c>
      <x:c r="D532" s="14" t="str">
        <x:v>Rogue Heroes</x:v>
      </x:c>
      <x:c r="E532" s="14" t="n">
        <x:v>54</x:v>
      </x:c>
      <x:c r="F532" s="14" t="str">
        <x:v>Rogue Heroes</x:v>
      </x:c>
      <x:c r="G532" s="14" t="str">
        <x:v>tt10405370</x:v>
      </x:c>
      <x:c r="H532" s="14" t="n">
        <x:v>2022</x:v>
      </x:c>
      <x:c r="I532" s="14" t="n">
        <x:v>2025</x:v>
      </x:c>
      <x:c r="J532" s="14" t="str">
        <x:v>Earlier-Production Carry-In Cohort</x:v>
      </x:c>
      <x:c r="K532" s="14" t="n">
        <x:v>2022</x:v>
      </x:c>
      <x:c r="L532" s="14" t="str">
        <x:v>Not inherited</x:v>
      </x:c>
      <x:c r="M532" s="15" t="n">
        <x:v>47</x:v>
      </x:c>
      <x:c r="N532" s="14" t="str">
        <x:v>Rebecca Dyson-Smith</x:v>
      </x:c>
      <x:c r="O532" s="14" t="str">
        <x:v>nm7717620</x:v>
      </x:c>
      <x:c r="P532" s="14" t="str">
        <x:v>Reich Chancellery Secretary</x:v>
      </x:c>
      <x:c r="Q532" s="15" t="n">
        <x:v>1</x:v>
      </x:c>
      <x:c r="R532" s="14" t="str">
        <x:v>2025</x:v>
      </x:c>
      <x:c r="S532" s="14" t="n">
        <x:v>2025</x:v>
      </x:c>
      <x:c r="T532" s="14" t="n">
        <x:v>2025</x:v>
      </x:c>
      <x:c r="U532" s="14" t="str">
        <x:v>Explicit source first year retained</x:v>
      </x:c>
      <x:c r="V532" s="14" t="str">
        <x:v>Earliest supplied year is 2025.</x:v>
      </x:c>
      <x:c r="W532" s="14"/>
      <x:c r="X532" s="14" t="str">
        <x:v>Included</x:v>
      </x:c>
      <x:c r="Y532" s="14"/>
      <x:c r="Z532" s="14" t="str">
        <x:v>Rogue Heroes.docx</x:v>
      </x:c>
      <x:c r="AA532" s="14" t="str">
        <x:v>HYPERLINK is not implemented. linkLocation=https://www.imdb.com/title/tt10405370/fullcredits/,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7" t="e">
        <x:f>HYPERLINK("https://en.wikipedia.org/wiki/Rogue_Heroes","Open source")</x:f>
        <x:v>HYPERLINK is not implemented. linkLocation=https://en.wikipedia.org/wiki/Rogue_Heroes, friendlyName=Open source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13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0.07692307692307693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4" t="str">
        <x:v>HYPERLINK is not implemented. linkLocation=https://www.imdb.com/title/tt10405370/fullcredits/,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tt10405370|nm10431507|reich chancellery officer</x:v>
      </x:c>
      <x:c r="B533" s="14" t="str">
        <x:v>04</x:v>
      </x:c>
      <x:c r="C533" s="14" t="str">
        <x:v>2022_IMDb_Cast_Lists_Batch_04(1).xlsx</x:v>
      </x:c>
      <x:c r="D533" s="14" t="str">
        <x:v>Rogue Heroes</x:v>
      </x:c>
      <x:c r="E533" s="14" t="n">
        <x:v>56</x:v>
      </x:c>
      <x:c r="F533" s="14" t="str">
        <x:v>Rogue Heroes</x:v>
      </x:c>
      <x:c r="G533" s="14" t="str">
        <x:v>tt10405370</x:v>
      </x:c>
      <x:c r="H533" s="14" t="n">
        <x:v>2022</x:v>
      </x:c>
      <x:c r="I533" s="14" t="n">
        <x:v>2025</x:v>
      </x:c>
      <x:c r="J533" s="14" t="str">
        <x:v>Earlier-Production Carry-In Cohort</x:v>
      </x:c>
      <x:c r="K533" s="14" t="n">
        <x:v>2022</x:v>
      </x:c>
      <x:c r="L533" s="14" t="str">
        <x:v>Not inherited</x:v>
      </x:c>
      <x:c r="M533" s="15" t="n">
        <x:v>49</x:v>
      </x:c>
      <x:c r="N533" s="14" t="str">
        <x:v>Max Themak</x:v>
      </x:c>
      <x:c r="O533" s="14" t="str">
        <x:v>nm10431507</x:v>
      </x:c>
      <x:c r="P533" s="14" t="str">
        <x:v>Reich Chancellery Officer</x:v>
      </x:c>
      <x:c r="Q533" s="15" t="n">
        <x:v>1</x:v>
      </x:c>
      <x:c r="R533" s="14" t="str">
        <x:v>2025</x:v>
      </x:c>
      <x:c r="S533" s="14" t="n">
        <x:v>2025</x:v>
      </x:c>
      <x:c r="T533" s="14" t="n">
        <x:v>2025</x:v>
      </x:c>
      <x:c r="U533" s="14" t="str">
        <x:v>Explicit source first year retained</x:v>
      </x:c>
      <x:c r="V533" s="14" t="str">
        <x:v>Earliest supplied year is 2025.</x:v>
      </x:c>
      <x:c r="W533" s="14"/>
      <x:c r="X533" s="14" t="str">
        <x:v>Included</x:v>
      </x:c>
      <x:c r="Y533" s="14"/>
      <x:c r="Z533" s="14" t="str">
        <x:v>Rogue Heroes.docx</x:v>
      </x:c>
      <x:c r="AA533" s="14" t="str">
        <x:v>HYPERLINK is not implemented. linkLocation=https://www.imdb.com/title/tt10405370/fullcredits/,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7" t="e">
        <x:f>HYPERLINK("https://en.wikipedia.org/wiki/Rogue_Heroes","Open source")</x:f>
        <x:v>HYPERLINK is not implemented. linkLocation=https://en.wikipedia.org/wiki/Rogue_Heroes, friendlyName=Open source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13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0.07692307692307693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4" t="str">
        <x:v>HYPERLINK is not implemented. linkLocation=https://www.imdb.com/title/tt10405370/fullcredits/,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tt10405370|nm8284947|anxious german soldier</x:v>
      </x:c>
      <x:c r="B534" s="14" t="str">
        <x:v>04</x:v>
      </x:c>
      <x:c r="C534" s="14" t="str">
        <x:v>2022_IMDb_Cast_Lists_Batch_04(1).xlsx</x:v>
      </x:c>
      <x:c r="D534" s="14" t="str">
        <x:v>Rogue Heroes</x:v>
      </x:c>
      <x:c r="E534" s="14" t="n">
        <x:v>57</x:v>
      </x:c>
      <x:c r="F534" s="14" t="str">
        <x:v>Rogue Heroes</x:v>
      </x:c>
      <x:c r="G534" s="14" t="str">
        <x:v>tt10405370</x:v>
      </x:c>
      <x:c r="H534" s="14" t="n">
        <x:v>2022</x:v>
      </x:c>
      <x:c r="I534" s="14" t="n">
        <x:v>2025</x:v>
      </x:c>
      <x:c r="J534" s="14" t="str">
        <x:v>Earlier-Production Carry-In Cohort</x:v>
      </x:c>
      <x:c r="K534" s="14" t="n">
        <x:v>2022</x:v>
      </x:c>
      <x:c r="L534" s="14" t="str">
        <x:v>Not inherited</x:v>
      </x:c>
      <x:c r="M534" s="15" t="n">
        <x:v>50</x:v>
      </x:c>
      <x:c r="N534" s="14" t="str">
        <x:v>Moritz Bäckerling</x:v>
      </x:c>
      <x:c r="O534" s="14" t="str">
        <x:v>nm8284947</x:v>
      </x:c>
      <x:c r="P534" s="14" t="str">
        <x:v>Anxious German Soldier</x:v>
      </x:c>
      <x:c r="Q534" s="15" t="n">
        <x:v>1</x:v>
      </x:c>
      <x:c r="R534" s="14" t="str">
        <x:v>2025</x:v>
      </x:c>
      <x:c r="S534" s="14" t="n">
        <x:v>2025</x:v>
      </x:c>
      <x:c r="T534" s="14" t="n">
        <x:v>2025</x:v>
      </x:c>
      <x:c r="U534" s="14" t="str">
        <x:v>Explicit source first year retained</x:v>
      </x:c>
      <x:c r="V534" s="14" t="str">
        <x:v>Earliest supplied year is 2025.</x:v>
      </x:c>
      <x:c r="W534" s="14"/>
      <x:c r="X534" s="14" t="str">
        <x:v>Included</x:v>
      </x:c>
      <x:c r="Y534" s="14"/>
      <x:c r="Z534" s="14" t="str">
        <x:v>Rogue Heroes.docx</x:v>
      </x:c>
      <x:c r="AA534" s="14" t="str">
        <x:v>HYPERLINK is not implemented. linkLocation=https://www.imdb.com/title/tt10405370/fullcredits/,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7" t="e">
        <x:f>HYPERLINK("https://en.wikipedia.org/wiki/Rogue_Heroes","Open source")</x:f>
        <x:v>HYPERLINK is not implemented. linkLocation=https://en.wikipedia.org/wiki/Rogue_Heroes, friendlyName=Open source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13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0.07692307692307693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4" t="str">
        <x:v>HYPERLINK is not implemented. linkLocation=https://www.imdb.com/title/tt10405370/fullcredits/,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tt10405370|nm4858070|firing squad officer</x:v>
      </x:c>
      <x:c r="B535" s="14" t="str">
        <x:v>04</x:v>
      </x:c>
      <x:c r="C535" s="14" t="str">
        <x:v>2022_IMDb_Cast_Lists_Batch_04(1).xlsx</x:v>
      </x:c>
      <x:c r="D535" s="14" t="str">
        <x:v>Rogue Heroes</x:v>
      </x:c>
      <x:c r="E535" s="14" t="n">
        <x:v>61</x:v>
      </x:c>
      <x:c r="F535" s="14" t="str">
        <x:v>Rogue Heroes</x:v>
      </x:c>
      <x:c r="G535" s="14" t="str">
        <x:v>tt10405370</x:v>
      </x:c>
      <x:c r="H535" s="14" t="n">
        <x:v>2022</x:v>
      </x:c>
      <x:c r="I535" s="14" t="n">
        <x:v>2025</x:v>
      </x:c>
      <x:c r="J535" s="14" t="str">
        <x:v>Earlier-Production Carry-In Cohort</x:v>
      </x:c>
      <x:c r="K535" s="14" t="n">
        <x:v>2022</x:v>
      </x:c>
      <x:c r="L535" s="14" t="str">
        <x:v>Not inherited</x:v>
      </x:c>
      <x:c r="M535" s="15" t="n">
        <x:v>54</x:v>
      </x:c>
      <x:c r="N535" s="14" t="str">
        <x:v>Igor Pecenjev</x:v>
      </x:c>
      <x:c r="O535" s="14" t="str">
        <x:v>nm4858070</x:v>
      </x:c>
      <x:c r="P535" s="14" t="str">
        <x:v>Firing Squad Officer</x:v>
      </x:c>
      <x:c r="Q535" s="15" t="n">
        <x:v>1</x:v>
      </x:c>
      <x:c r="R535" s="14" t="str">
        <x:v>2025</x:v>
      </x:c>
      <x:c r="S535" s="14" t="n">
        <x:v>2025</x:v>
      </x:c>
      <x:c r="T535" s="14" t="n">
        <x:v>2025</x:v>
      </x:c>
      <x:c r="U535" s="14" t="str">
        <x:v>Explicit source first year retained</x:v>
      </x:c>
      <x:c r="V535" s="14" t="str">
        <x:v>Earliest supplied year is 2025.</x:v>
      </x:c>
      <x:c r="W535" s="14"/>
      <x:c r="X535" s="14" t="str">
        <x:v>Included</x:v>
      </x:c>
      <x:c r="Y535" s="14" t="str">
        <x:v>(as Igor Pečenjev)</x:v>
      </x:c>
      <x:c r="Z535" s="14" t="str">
        <x:v>Rogue Heroes.docx</x:v>
      </x:c>
      <x:c r="AA535" s="14" t="str">
        <x:v>HYPERLINK is not implemented. linkLocation=https://www.imdb.com/title/tt10405370/fullcredits/,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7" t="e">
        <x:f>HYPERLINK("https://en.wikipedia.org/wiki/Rogue_Heroes","Open source")</x:f>
        <x:v>HYPERLINK is not implemented. linkLocation=https://en.wikipedia.org/wiki/Rogue_Heroes, friendlyName=Open source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13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0.07692307692307693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4" t="str">
        <x:v>HYPERLINK is not implemented. linkLocation=https://www.imdb.com/title/tt10405370/fullcredits/,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tt10405370|nm16914430|jetty officer</x:v>
      </x:c>
      <x:c r="B536" s="14" t="str">
        <x:v>04</x:v>
      </x:c>
      <x:c r="C536" s="14" t="str">
        <x:v>2022_IMDb_Cast_Lists_Batch_04(1).xlsx</x:v>
      </x:c>
      <x:c r="D536" s="14" t="str">
        <x:v>Rogue Heroes</x:v>
      </x:c>
      <x:c r="E536" s="14" t="n">
        <x:v>62</x:v>
      </x:c>
      <x:c r="F536" s="14" t="str">
        <x:v>Rogue Heroes</x:v>
      </x:c>
      <x:c r="G536" s="14" t="str">
        <x:v>tt10405370</x:v>
      </x:c>
      <x:c r="H536" s="14" t="n">
        <x:v>2022</x:v>
      </x:c>
      <x:c r="I536" s="14" t="n">
        <x:v>2025</x:v>
      </x:c>
      <x:c r="J536" s="14" t="str">
        <x:v>Earlier-Production Carry-In Cohort</x:v>
      </x:c>
      <x:c r="K536" s="14" t="n">
        <x:v>2022</x:v>
      </x:c>
      <x:c r="L536" s="14" t="str">
        <x:v>Not inherited</x:v>
      </x:c>
      <x:c r="M536" s="15" t="n">
        <x:v>55</x:v>
      </x:c>
      <x:c r="N536" s="14" t="str">
        <x:v>Jan Novosel</x:v>
      </x:c>
      <x:c r="O536" s="14" t="str">
        <x:v>nm16914430</x:v>
      </x:c>
      <x:c r="P536" s="14" t="str">
        <x:v>Jetty Officer</x:v>
      </x:c>
      <x:c r="Q536" s="15" t="n">
        <x:v>1</x:v>
      </x:c>
      <x:c r="R536" s="14" t="str">
        <x:v>2025</x:v>
      </x:c>
      <x:c r="S536" s="14" t="n">
        <x:v>2025</x:v>
      </x:c>
      <x:c r="T536" s="14" t="n">
        <x:v>2025</x:v>
      </x:c>
      <x:c r="U536" s="14" t="str">
        <x:v>Explicit source first year retained</x:v>
      </x:c>
      <x:c r="V536" s="14" t="str">
        <x:v>Earliest supplied year is 2025.</x:v>
      </x:c>
      <x:c r="W536" s="14"/>
      <x:c r="X536" s="14" t="str">
        <x:v>Included</x:v>
      </x:c>
      <x:c r="Y536" s="14"/>
      <x:c r="Z536" s="14" t="str">
        <x:v>Rogue Heroes.docx</x:v>
      </x:c>
      <x:c r="AA536" s="14" t="str">
        <x:v>HYPERLINK is not implemented. linkLocation=https://www.imdb.com/title/tt10405370/fullcredits/,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7" t="e">
        <x:f>HYPERLINK("https://en.wikipedia.org/wiki/Rogue_Heroes","Open source")</x:f>
        <x:v>HYPERLINK is not implemented. linkLocation=https://en.wikipedia.org/wiki/Rogue_Heroes, friendlyName=Open source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13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0.07692307692307693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4" t="str">
        <x:v>HYPERLINK is not implemented. linkLocation=https://www.imdb.com/title/tt10405370/fullcredits/,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tt10405370|nm11259848|pow</x:v>
      </x:c>
      <x:c r="B537" s="14" t="str">
        <x:v>04</x:v>
      </x:c>
      <x:c r="C537" s="14" t="str">
        <x:v>2022_IMDb_Cast_Lists_Batch_04(1).xlsx</x:v>
      </x:c>
      <x:c r="D537" s="14" t="str">
        <x:v>Rogue Heroes</x:v>
      </x:c>
      <x:c r="E537" s="14" t="n">
        <x:v>63</x:v>
      </x:c>
      <x:c r="F537" s="14" t="str">
        <x:v>Rogue Heroes</x:v>
      </x:c>
      <x:c r="G537" s="14" t="str">
        <x:v>tt10405370</x:v>
      </x:c>
      <x:c r="H537" s="14" t="n">
        <x:v>2022</x:v>
      </x:c>
      <x:c r="I537" s="14" t="n">
        <x:v>2025</x:v>
      </x:c>
      <x:c r="J537" s="14" t="str">
        <x:v>Earlier-Production Carry-In Cohort</x:v>
      </x:c>
      <x:c r="K537" s="14" t="n">
        <x:v>2022</x:v>
      </x:c>
      <x:c r="L537" s="14" t="str">
        <x:v>Not inherited</x:v>
      </x:c>
      <x:c r="M537" s="15" t="n">
        <x:v>56</x:v>
      </x:c>
      <x:c r="N537" s="14" t="str">
        <x:v>Isaac Beechey</x:v>
      </x:c>
      <x:c r="O537" s="14" t="str">
        <x:v>nm11259848</x:v>
      </x:c>
      <x:c r="P537" s="14" t="str">
        <x:v>POW</x:v>
      </x:c>
      <x:c r="Q537" s="15" t="n">
        <x:v>1</x:v>
      </x:c>
      <x:c r="R537" s="14" t="str">
        <x:v>2025</x:v>
      </x:c>
      <x:c r="S537" s="14" t="n">
        <x:v>2025</x:v>
      </x:c>
      <x:c r="T537" s="14" t="n">
        <x:v>2025</x:v>
      </x:c>
      <x:c r="U537" s="14" t="str">
        <x:v>Explicit source first year retained</x:v>
      </x:c>
      <x:c r="V537" s="14" t="str">
        <x:v>Earliest supplied year is 2025.</x:v>
      </x:c>
      <x:c r="W537" s="14"/>
      <x:c r="X537" s="14" t="str">
        <x:v>Included</x:v>
      </x:c>
      <x:c r="Y537" s="14"/>
      <x:c r="Z537" s="14" t="str">
        <x:v>Rogue Heroes.docx</x:v>
      </x:c>
      <x:c r="AA537" s="14" t="str">
        <x:v>HYPERLINK is not implemented. linkLocation=https://www.imdb.com/title/tt10405370/fullcredits/,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7" t="e">
        <x:f>HYPERLINK("https://en.wikipedia.org/wiki/Rogue_Heroes","Open source")</x:f>
        <x:v>HYPERLINK is not implemented. linkLocation=https://en.wikipedia.org/wiki/Rogue_Heroes, friendlyName=Open source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13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0.07692307692307693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4" t="str">
        <x:v>HYPERLINK is not implemented. linkLocation=https://www.imdb.com/title/tt10405370/fullcredits/,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tt10405370|nm8704244|chef</x:v>
      </x:c>
      <x:c r="B538" s="14" t="str">
        <x:v>04</x:v>
      </x:c>
      <x:c r="C538" s="14" t="str">
        <x:v>2022_IMDb_Cast_Lists_Batch_04(1).xlsx</x:v>
      </x:c>
      <x:c r="D538" s="14" t="str">
        <x:v>Rogue Heroes</x:v>
      </x:c>
      <x:c r="E538" s="14" t="n">
        <x:v>68</x:v>
      </x:c>
      <x:c r="F538" s="14" t="str">
        <x:v>Rogue Heroes</x:v>
      </x:c>
      <x:c r="G538" s="14" t="str">
        <x:v>tt10405370</x:v>
      </x:c>
      <x:c r="H538" s="14" t="n">
        <x:v>2022</x:v>
      </x:c>
      <x:c r="I538" s="14" t="n">
        <x:v>2025</x:v>
      </x:c>
      <x:c r="J538" s="14" t="str">
        <x:v>Earlier-Production Carry-In Cohort</x:v>
      </x:c>
      <x:c r="K538" s="14" t="n">
        <x:v>2022</x:v>
      </x:c>
      <x:c r="L538" s="14" t="str">
        <x:v>Not inherited</x:v>
      </x:c>
      <x:c r="M538" s="15" t="n">
        <x:v>61</x:v>
      </x:c>
      <x:c r="N538" s="14" t="str">
        <x:v>Morgan Bailey</x:v>
      </x:c>
      <x:c r="O538" s="14" t="str">
        <x:v>nm8704244</x:v>
      </x:c>
      <x:c r="P538" s="14" t="str">
        <x:v>Chef</x:v>
      </x:c>
      <x:c r="Q538" s="15" t="n">
        <x:v>1</x:v>
      </x:c>
      <x:c r="R538" s="14" t="str">
        <x:v>2025</x:v>
      </x:c>
      <x:c r="S538" s="14" t="n">
        <x:v>2025</x:v>
      </x:c>
      <x:c r="T538" s="14" t="n">
        <x:v>2025</x:v>
      </x:c>
      <x:c r="U538" s="14" t="str">
        <x:v>Explicit source first year retained</x:v>
      </x:c>
      <x:c r="V538" s="14" t="str">
        <x:v>Earliest supplied year is 2025.</x:v>
      </x:c>
      <x:c r="W538" s="14"/>
      <x:c r="X538" s="14" t="str">
        <x:v>Included</x:v>
      </x:c>
      <x:c r="Y538" s="14"/>
      <x:c r="Z538" s="14" t="str">
        <x:v>Rogue Heroes.docx</x:v>
      </x:c>
      <x:c r="AA538" s="14" t="str">
        <x:v>HYPERLINK is not implemented. linkLocation=https://www.imdb.com/title/tt10405370/fullcredits/,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7" t="e">
        <x:f>HYPERLINK("https://en.wikipedia.org/wiki/Rogue_Heroes","Open source")</x:f>
        <x:v>HYPERLINK is not implemented. linkLocation=https://en.wikipedia.org/wiki/Rogue_Heroes, friendlyName=Open source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13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0.07692307692307693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4" t="str">
        <x:v>HYPERLINK is not implemented. linkLocation=https://www.imdb.com/title/tt10405370/fullcredits/,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tt10405370|nm0212204|father cavalli</x:v>
      </x:c>
      <x:c r="B539" s="14" t="str">
        <x:v>04</x:v>
      </x:c>
      <x:c r="C539" s="14" t="str">
        <x:v>2022_IMDb_Cast_Lists_Batch_04(1).xlsx</x:v>
      </x:c>
      <x:c r="D539" s="14" t="str">
        <x:v>Rogue Heroes</x:v>
      </x:c>
      <x:c r="E539" s="14" t="n">
        <x:v>72</x:v>
      </x:c>
      <x:c r="F539" s="14" t="str">
        <x:v>Rogue Heroes</x:v>
      </x:c>
      <x:c r="G539" s="14" t="str">
        <x:v>tt10405370</x:v>
      </x:c>
      <x:c r="H539" s="14" t="n">
        <x:v>2022</x:v>
      </x:c>
      <x:c r="I539" s="14" t="n">
        <x:v>2025</x:v>
      </x:c>
      <x:c r="J539" s="14" t="str">
        <x:v>Earlier-Production Carry-In Cohort</x:v>
      </x:c>
      <x:c r="K539" s="14" t="n">
        <x:v>2022</x:v>
      </x:c>
      <x:c r="L539" s="14" t="str">
        <x:v>Not inherited</x:v>
      </x:c>
      <x:c r="M539" s="15" t="n">
        <x:v>65</x:v>
      </x:c>
      <x:c r="N539" s="14" t="str">
        <x:v>Paolo De Vita</x:v>
      </x:c>
      <x:c r="O539" s="14" t="str">
        <x:v>nm0212204</x:v>
      </x:c>
      <x:c r="P539" s="14" t="str">
        <x:v>Father Cavalli</x:v>
      </x:c>
      <x:c r="Q539" s="15" t="n">
        <x:v>1</x:v>
      </x:c>
      <x:c r="R539" s="14" t="str">
        <x:v>2025</x:v>
      </x:c>
      <x:c r="S539" s="14" t="n">
        <x:v>2025</x:v>
      </x:c>
      <x:c r="T539" s="14" t="n">
        <x:v>2025</x:v>
      </x:c>
      <x:c r="U539" s="14" t="str">
        <x:v>Explicit source first year retained</x:v>
      </x:c>
      <x:c r="V539" s="14" t="str">
        <x:v>Earliest supplied year is 2025.</x:v>
      </x:c>
      <x:c r="W539" s="14"/>
      <x:c r="X539" s="14" t="str">
        <x:v>Included</x:v>
      </x:c>
      <x:c r="Y539" s="14" t="str">
        <x:v>(as Paolo De Vite)</x:v>
      </x:c>
      <x:c r="Z539" s="14" t="str">
        <x:v>Rogue Heroes.docx</x:v>
      </x:c>
      <x:c r="AA539" s="14" t="str">
        <x:v>HYPERLINK is not implemented. linkLocation=https://www.imdb.com/title/tt10405370/fullcredits/,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7" t="e">
        <x:f>HYPERLINK("https://en.wikipedia.org/wiki/Rogue_Heroes","Open source")</x:f>
        <x:v>HYPERLINK is not implemented. linkLocation=https://en.wikipedia.org/wiki/Rogue_Heroes, friendlyName=Open source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13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0.07692307692307693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4" t="str">
        <x:v>HYPERLINK is not implemented. linkLocation=https://www.imdb.com/title/tt10405370/fullcredits/,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tt10405370|nm11531498|sofia amato</x:v>
      </x:c>
      <x:c r="B540" s="14" t="str">
        <x:v>04</x:v>
      </x:c>
      <x:c r="C540" s="14" t="str">
        <x:v>2022_IMDb_Cast_Lists_Batch_04(1).xlsx</x:v>
      </x:c>
      <x:c r="D540" s="14" t="str">
        <x:v>Rogue Heroes</x:v>
      </x:c>
      <x:c r="E540" s="14" t="n">
        <x:v>79</x:v>
      </x:c>
      <x:c r="F540" s="14" t="str">
        <x:v>Rogue Heroes</x:v>
      </x:c>
      <x:c r="G540" s="14" t="str">
        <x:v>tt10405370</x:v>
      </x:c>
      <x:c r="H540" s="14" t="n">
        <x:v>2022</x:v>
      </x:c>
      <x:c r="I540" s="14" t="n">
        <x:v>2025</x:v>
      </x:c>
      <x:c r="J540" s="14" t="str">
        <x:v>Earlier-Production Carry-In Cohort</x:v>
      </x:c>
      <x:c r="K540" s="14" t="n">
        <x:v>2022</x:v>
      </x:c>
      <x:c r="L540" s="14" t="str">
        <x:v>Not inherited</x:v>
      </x:c>
      <x:c r="M540" s="15" t="n">
        <x:v>72</x:v>
      </x:c>
      <x:c r="N540" s="14" t="str">
        <x:v>Lea Gavino</x:v>
      </x:c>
      <x:c r="O540" s="14" t="str">
        <x:v>nm11531498</x:v>
      </x:c>
      <x:c r="P540" s="14" t="str">
        <x:v>Sofia Amato</x:v>
      </x:c>
      <x:c r="Q540" s="15" t="n">
        <x:v>1</x:v>
      </x:c>
      <x:c r="R540" s="14" t="str">
        <x:v>2025</x:v>
      </x:c>
      <x:c r="S540" s="14" t="n">
        <x:v>2025</x:v>
      </x:c>
      <x:c r="T540" s="14" t="n">
        <x:v>2025</x:v>
      </x:c>
      <x:c r="U540" s="14" t="str">
        <x:v>Explicit source first year retained</x:v>
      </x:c>
      <x:c r="V540" s="14" t="str">
        <x:v>Earliest supplied year is 2025.</x:v>
      </x:c>
      <x:c r="W540" s="14"/>
      <x:c r="X540" s="14" t="str">
        <x:v>Included</x:v>
      </x:c>
      <x:c r="Y540" s="14"/>
      <x:c r="Z540" s="14" t="str">
        <x:v>Rogue Heroes.docx</x:v>
      </x:c>
      <x:c r="AA540" s="14" t="str">
        <x:v>HYPERLINK is not implemented. linkLocation=https://www.imdb.com/title/tt10405370/fullcredits/,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7" t="e">
        <x:f>HYPERLINK("https://en.wikipedia.org/wiki/Rogue_Heroes","Open source")</x:f>
        <x:v>HYPERLINK is not implemented. linkLocation=https://en.wikipedia.org/wiki/Rogue_Heroes, friendlyName=Open source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13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0.07692307692307693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4" t="str">
        <x:v>HYPERLINK is not implemented. linkLocation=https://www.imdb.com/title/tt10405370/fullcredits/,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tt10405370|nm0884141|barber</x:v>
      </x:c>
      <x:c r="B541" s="14" t="str">
        <x:v>04</x:v>
      </x:c>
      <x:c r="C541" s="14" t="str">
        <x:v>2022_IMDb_Cast_Lists_Batch_04(1).xlsx</x:v>
      </x:c>
      <x:c r="D541" s="14" t="str">
        <x:v>Rogue Heroes</x:v>
      </x:c>
      <x:c r="E541" s="14" t="n">
        <x:v>80</x:v>
      </x:c>
      <x:c r="F541" s="14" t="str">
        <x:v>Rogue Heroes</x:v>
      </x:c>
      <x:c r="G541" s="14" t="str">
        <x:v>tt10405370</x:v>
      </x:c>
      <x:c r="H541" s="14" t="n">
        <x:v>2022</x:v>
      </x:c>
      <x:c r="I541" s="14" t="n">
        <x:v>2025</x:v>
      </x:c>
      <x:c r="J541" s="14" t="str">
        <x:v>Earlier-Production Carry-In Cohort</x:v>
      </x:c>
      <x:c r="K541" s="14" t="n">
        <x:v>2022</x:v>
      </x:c>
      <x:c r="L541" s="14" t="str">
        <x:v>Not inherited</x:v>
      </x:c>
      <x:c r="M541" s="15" t="n">
        <x:v>73</x:v>
      </x:c>
      <x:c r="N541" s="14" t="str">
        <x:v>Dusko Valentic</x:v>
      </x:c>
      <x:c r="O541" s="14" t="str">
        <x:v>nm0884141</x:v>
      </x:c>
      <x:c r="P541" s="14" t="str">
        <x:v>Barber</x:v>
      </x:c>
      <x:c r="Q541" s="15" t="n">
        <x:v>1</x:v>
      </x:c>
      <x:c r="R541" s="14" t="str">
        <x:v>2025</x:v>
      </x:c>
      <x:c r="S541" s="14" t="n">
        <x:v>2025</x:v>
      </x:c>
      <x:c r="T541" s="14" t="n">
        <x:v>2025</x:v>
      </x:c>
      <x:c r="U541" s="14" t="str">
        <x:v>Explicit source first year retained</x:v>
      </x:c>
      <x:c r="V541" s="14" t="str">
        <x:v>Earliest supplied year is 2025.</x:v>
      </x:c>
      <x:c r="W541" s="14"/>
      <x:c r="X541" s="14" t="str">
        <x:v>Included</x:v>
      </x:c>
      <x:c r="Y541" s="14" t="str">
        <x:v>(as Duško Valentić)</x:v>
      </x:c>
      <x:c r="Z541" s="14" t="str">
        <x:v>Rogue Heroes.docx</x:v>
      </x:c>
      <x:c r="AA541" s="14" t="str">
        <x:v>HYPERLINK is not implemented. linkLocation=https://www.imdb.com/title/tt10405370/fullcredits/,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7" t="e">
        <x:f>HYPERLINK("https://en.wikipedia.org/wiki/Rogue_Heroes","Open source")</x:f>
        <x:v>HYPERLINK is not implemented. linkLocation=https://en.wikipedia.org/wiki/Rogue_Heroes, friendlyName=Open source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13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0.07692307692307693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4" t="str">
        <x:v>HYPERLINK is not implemented. linkLocation=https://www.imdb.com/title/tt10405370/fullcredits/,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tt10405370|nm10717786|private winston best</x:v>
      </x:c>
      <x:c r="B542" s="14" t="str">
        <x:v>04</x:v>
      </x:c>
      <x:c r="C542" s="14" t="str">
        <x:v>2022_IMDb_Cast_Lists_Batch_04(1).xlsx</x:v>
      </x:c>
      <x:c r="D542" s="14" t="str">
        <x:v>Rogue Heroes</x:v>
      </x:c>
      <x:c r="E542" s="14" t="n">
        <x:v>81</x:v>
      </x:c>
      <x:c r="F542" s="14" t="str">
        <x:v>Rogue Heroes</x:v>
      </x:c>
      <x:c r="G542" s="14" t="str">
        <x:v>tt10405370</x:v>
      </x:c>
      <x:c r="H542" s="14" t="n">
        <x:v>2022</x:v>
      </x:c>
      <x:c r="I542" s="14" t="n">
        <x:v>2025</x:v>
      </x:c>
      <x:c r="J542" s="14" t="str">
        <x:v>Earlier-Production Carry-In Cohort</x:v>
      </x:c>
      <x:c r="K542" s="14" t="n">
        <x:v>2022</x:v>
      </x:c>
      <x:c r="L542" s="14" t="str">
        <x:v>Not inherited</x:v>
      </x:c>
      <x:c r="M542" s="15" t="n">
        <x:v>74</x:v>
      </x:c>
      <x:c r="N542" s="14" t="str">
        <x:v>Christopher J. Gordon</x:v>
      </x:c>
      <x:c r="O542" s="14" t="str">
        <x:v>nm10717786</x:v>
      </x:c>
      <x:c r="P542" s="14" t="str">
        <x:v>Private Winston Best</x:v>
      </x:c>
      <x:c r="Q542" s="15" t="n">
        <x:v>1</x:v>
      </x:c>
      <x:c r="R542" s="14" t="str">
        <x:v>2025</x:v>
      </x:c>
      <x:c r="S542" s="14" t="n">
        <x:v>2025</x:v>
      </x:c>
      <x:c r="T542" s="14" t="n">
        <x:v>2025</x:v>
      </x:c>
      <x:c r="U542" s="14" t="str">
        <x:v>Explicit source first year retained</x:v>
      </x:c>
      <x:c r="V542" s="14" t="str">
        <x:v>Earliest supplied year is 2025.</x:v>
      </x:c>
      <x:c r="W542" s="14"/>
      <x:c r="X542" s="14" t="str">
        <x:v>Included</x:v>
      </x:c>
      <x:c r="Y542" s="14" t="str">
        <x:v>(as Chris James-Gordon)</x:v>
      </x:c>
      <x:c r="Z542" s="14" t="str">
        <x:v>Rogue Heroes.docx</x:v>
      </x:c>
      <x:c r="AA542" s="14" t="str">
        <x:v>HYPERLINK is not implemented. linkLocation=https://www.imdb.com/title/tt10405370/fullcredits/,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7" t="e">
        <x:f>HYPERLINK("https://en.wikipedia.org/wiki/Rogue_Heroes","Open source")</x:f>
        <x:v>HYPERLINK is not implemented. linkLocation=https://en.wikipedia.org/wiki/Rogue_Heroes, friendlyName=Open source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13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0.07692307692307693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4" t="str">
        <x:v>HYPERLINK is not implemented. linkLocation=https://www.imdb.com/title/tt10405370/fullcredits/,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tt10405370|nm14651844|drowning soldier 1</x:v>
      </x:c>
      <x:c r="B543" s="14" t="str">
        <x:v>04</x:v>
      </x:c>
      <x:c r="C543" s="14" t="str">
        <x:v>2022_IMDb_Cast_Lists_Batch_04(1).xlsx</x:v>
      </x:c>
      <x:c r="D543" s="14" t="str">
        <x:v>Rogue Heroes</x:v>
      </x:c>
      <x:c r="E543" s="14" t="n">
        <x:v>84</x:v>
      </x:c>
      <x:c r="F543" s="14" t="str">
        <x:v>Rogue Heroes</x:v>
      </x:c>
      <x:c r="G543" s="14" t="str">
        <x:v>tt10405370</x:v>
      </x:c>
      <x:c r="H543" s="14" t="n">
        <x:v>2022</x:v>
      </x:c>
      <x:c r="I543" s="14" t="n">
        <x:v>2025</x:v>
      </x:c>
      <x:c r="J543" s="14" t="str">
        <x:v>Earlier-Production Carry-In Cohort</x:v>
      </x:c>
      <x:c r="K543" s="14" t="n">
        <x:v>2022</x:v>
      </x:c>
      <x:c r="L543" s="14" t="str">
        <x:v>Not inherited</x:v>
      </x:c>
      <x:c r="M543" s="15" t="n">
        <x:v>77</x:v>
      </x:c>
      <x:c r="N543" s="14" t="str">
        <x:v>Tyler-Jo Richardson</x:v>
      </x:c>
      <x:c r="O543" s="14" t="str">
        <x:v>nm14651844</x:v>
      </x:c>
      <x:c r="P543" s="14" t="str">
        <x:v>Drowning Soldier 1</x:v>
      </x:c>
      <x:c r="Q543" s="15" t="n">
        <x:v>1</x:v>
      </x:c>
      <x:c r="R543" s="14" t="str">
        <x:v>2025</x:v>
      </x:c>
      <x:c r="S543" s="14" t="n">
        <x:v>2025</x:v>
      </x:c>
      <x:c r="T543" s="14" t="n">
        <x:v>2025</x:v>
      </x:c>
      <x:c r="U543" s="14" t="str">
        <x:v>Explicit source first year retained</x:v>
      </x:c>
      <x:c r="V543" s="14" t="str">
        <x:v>Earliest supplied year is 2025.</x:v>
      </x:c>
      <x:c r="W543" s="14"/>
      <x:c r="X543" s="14" t="str">
        <x:v>Included</x:v>
      </x:c>
      <x:c r="Y543" s="14"/>
      <x:c r="Z543" s="14" t="str">
        <x:v>Rogue Heroes.docx</x:v>
      </x:c>
      <x:c r="AA543" s="14" t="str">
        <x:v>HYPERLINK is not implemented. linkLocation=https://www.imdb.com/title/tt10405370/fullcredits/,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7" t="e">
        <x:f>HYPERLINK("https://en.wikipedia.org/wiki/Rogue_Heroes","Open source")</x:f>
        <x:v>HYPERLINK is not implemented. linkLocation=https://en.wikipedia.org/wiki/Rogue_Heroes, friendlyName=Open source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13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0.07692307692307693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4" t="str">
        <x:v>HYPERLINK is not implemented. linkLocation=https://www.imdb.com/title/tt10405370/fullcredits/,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tt10405370|nm12219953|lorenzo amato</x:v>
      </x:c>
      <x:c r="B544" s="14" t="str">
        <x:v>04</x:v>
      </x:c>
      <x:c r="C544" s="14" t="str">
        <x:v>2022_IMDb_Cast_Lists_Batch_04(1).xlsx</x:v>
      </x:c>
      <x:c r="D544" s="14" t="str">
        <x:v>Rogue Heroes</x:v>
      </x:c>
      <x:c r="E544" s="14" t="n">
        <x:v>85</x:v>
      </x:c>
      <x:c r="F544" s="14" t="str">
        <x:v>Rogue Heroes</x:v>
      </x:c>
      <x:c r="G544" s="14" t="str">
        <x:v>tt10405370</x:v>
      </x:c>
      <x:c r="H544" s="14" t="n">
        <x:v>2022</x:v>
      </x:c>
      <x:c r="I544" s="14" t="n">
        <x:v>2025</x:v>
      </x:c>
      <x:c r="J544" s="14" t="str">
        <x:v>Earlier-Production Carry-In Cohort</x:v>
      </x:c>
      <x:c r="K544" s="14" t="n">
        <x:v>2022</x:v>
      </x:c>
      <x:c r="L544" s="14" t="str">
        <x:v>Not inherited</x:v>
      </x:c>
      <x:c r="M544" s="15" t="n">
        <x:v>78</x:v>
      </x:c>
      <x:c r="N544" s="14" t="str">
        <x:v>Gabriele Linari</x:v>
      </x:c>
      <x:c r="O544" s="14" t="str">
        <x:v>nm12219953</x:v>
      </x:c>
      <x:c r="P544" s="14" t="str">
        <x:v>Lorenzo Amato</x:v>
      </x:c>
      <x:c r="Q544" s="15" t="n">
        <x:v>1</x:v>
      </x:c>
      <x:c r="R544" s="14" t="str">
        <x:v>2025</x:v>
      </x:c>
      <x:c r="S544" s="14" t="n">
        <x:v>2025</x:v>
      </x:c>
      <x:c r="T544" s="14" t="n">
        <x:v>2025</x:v>
      </x:c>
      <x:c r="U544" s="14" t="str">
        <x:v>Explicit source first year retained</x:v>
      </x:c>
      <x:c r="V544" s="14" t="str">
        <x:v>Earliest supplied year is 2025.</x:v>
      </x:c>
      <x:c r="W544" s="14"/>
      <x:c r="X544" s="14" t="str">
        <x:v>Included</x:v>
      </x:c>
      <x:c r="Y544" s="14"/>
      <x:c r="Z544" s="14" t="str">
        <x:v>Rogue Heroes.docx</x:v>
      </x:c>
      <x:c r="AA544" s="14" t="str">
        <x:v>HYPERLINK is not implemented. linkLocation=https://www.imdb.com/title/tt10405370/fullcredits/,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7" t="e">
        <x:f>HYPERLINK("https://en.wikipedia.org/wiki/Rogue_Heroes","Open source")</x:f>
        <x:v>HYPERLINK is not implemented. linkLocation=https://en.wikipedia.org/wiki/Rogue_Heroes, friendlyName=Open source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13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0.07692307692307693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4" t="str">
        <x:v>HYPERLINK is not implemented. linkLocation=https://www.imdb.com/title/tt10405370/fullcredits/,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tt10405370|nm6403697|drowning soldier 2</x:v>
      </x:c>
      <x:c r="B545" s="14" t="str">
        <x:v>04</x:v>
      </x:c>
      <x:c r="C545" s="14" t="str">
        <x:v>2022_IMDb_Cast_Lists_Batch_04(1).xlsx</x:v>
      </x:c>
      <x:c r="D545" s="14" t="str">
        <x:v>Rogue Heroes</x:v>
      </x:c>
      <x:c r="E545" s="14" t="n">
        <x:v>87</x:v>
      </x:c>
      <x:c r="F545" s="14" t="str">
        <x:v>Rogue Heroes</x:v>
      </x:c>
      <x:c r="G545" s="14" t="str">
        <x:v>tt10405370</x:v>
      </x:c>
      <x:c r="H545" s="14" t="n">
        <x:v>2022</x:v>
      </x:c>
      <x:c r="I545" s="14" t="n">
        <x:v>2025</x:v>
      </x:c>
      <x:c r="J545" s="14" t="str">
        <x:v>Earlier-Production Carry-In Cohort</x:v>
      </x:c>
      <x:c r="K545" s="14" t="n">
        <x:v>2022</x:v>
      </x:c>
      <x:c r="L545" s="14" t="str">
        <x:v>Not inherited</x:v>
      </x:c>
      <x:c r="M545" s="15" t="n">
        <x:v>80</x:v>
      </x:c>
      <x:c r="N545" s="14" t="str">
        <x:v>James Craze</x:v>
      </x:c>
      <x:c r="O545" s="14" t="str">
        <x:v>nm6403697</x:v>
      </x:c>
      <x:c r="P545" s="14" t="str">
        <x:v>Drowning Soldier 2</x:v>
      </x:c>
      <x:c r="Q545" s="15" t="n">
        <x:v>1</x:v>
      </x:c>
      <x:c r="R545" s="14" t="str">
        <x:v>2025</x:v>
      </x:c>
      <x:c r="S545" s="14" t="n">
        <x:v>2025</x:v>
      </x:c>
      <x:c r="T545" s="14" t="n">
        <x:v>2025</x:v>
      </x:c>
      <x:c r="U545" s="14" t="str">
        <x:v>Explicit source first year retained</x:v>
      </x:c>
      <x:c r="V545" s="14" t="str">
        <x:v>Earliest supplied year is 2025.</x:v>
      </x:c>
      <x:c r="W545" s="14"/>
      <x:c r="X545" s="14" t="str">
        <x:v>Included</x:v>
      </x:c>
      <x:c r="Y545" s="14"/>
      <x:c r="Z545" s="14" t="str">
        <x:v>Rogue Heroes.docx</x:v>
      </x:c>
      <x:c r="AA545" s="14" t="str">
        <x:v>HYPERLINK is not implemented. linkLocation=https://www.imdb.com/title/tt10405370/fullcredits/,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HYPERLINK("https://en.wikipedia.org/wiki/Rogue_Heroes","Open source")</x:f>
        <x:v>HYPERLINK is not implemented. linkLocation=https://en.wikipedia.org/wiki/Rogue_Heroes, friendlyName=Open source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13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1</x:v>
      </x:c>
      <x:c r="BS545" s="16" t="n">
        <x:v>0.07692307692307693</x:v>
      </x:c>
      <x:c r="BT545" s="14" t="str">
        <x:v>One episode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4" t="str">
        <x:v>HYPERLINK is not implemented. linkLocation=https://www.imdb.com/title/tt10405370/fullcredits/,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tt10405370|nm9112758|francesca amato</x:v>
      </x:c>
      <x:c r="B546" s="14" t="str">
        <x:v>04</x:v>
      </x:c>
      <x:c r="C546" s="14" t="str">
        <x:v>2022_IMDb_Cast_Lists_Batch_04(1).xlsx</x:v>
      </x:c>
      <x:c r="D546" s="14" t="str">
        <x:v>Rogue Heroes</x:v>
      </x:c>
      <x:c r="E546" s="14" t="n">
        <x:v>88</x:v>
      </x:c>
      <x:c r="F546" s="14" t="str">
        <x:v>Rogue Heroes</x:v>
      </x:c>
      <x:c r="G546" s="14" t="str">
        <x:v>tt10405370</x:v>
      </x:c>
      <x:c r="H546" s="14" t="n">
        <x:v>2022</x:v>
      </x:c>
      <x:c r="I546" s="14" t="n">
        <x:v>2025</x:v>
      </x:c>
      <x:c r="J546" s="14" t="str">
        <x:v>Earlier-Production Carry-In Cohort</x:v>
      </x:c>
      <x:c r="K546" s="14" t="n">
        <x:v>2022</x:v>
      </x:c>
      <x:c r="L546" s="14" t="str">
        <x:v>Not inherited</x:v>
      </x:c>
      <x:c r="M546" s="15" t="n">
        <x:v>81</x:v>
      </x:c>
      <x:c r="N546" s="14" t="str">
        <x:v>Valeria Panepinto</x:v>
      </x:c>
      <x:c r="O546" s="14" t="str">
        <x:v>nm9112758</x:v>
      </x:c>
      <x:c r="P546" s="14" t="str">
        <x:v>Francesca Amato</x:v>
      </x:c>
      <x:c r="Q546" s="15" t="n">
        <x:v>1</x:v>
      </x:c>
      <x:c r="R546" s="14" t="str">
        <x:v>2025</x:v>
      </x:c>
      <x:c r="S546" s="14" t="n">
        <x:v>2025</x:v>
      </x:c>
      <x:c r="T546" s="14" t="n">
        <x:v>2025</x:v>
      </x:c>
      <x:c r="U546" s="14" t="str">
        <x:v>Explicit source first year retained</x:v>
      </x:c>
      <x:c r="V546" s="14" t="str">
        <x:v>Earliest supplied year is 2025.</x:v>
      </x:c>
      <x:c r="W546" s="14"/>
      <x:c r="X546" s="14" t="str">
        <x:v>Included</x:v>
      </x:c>
      <x:c r="Y546" s="14"/>
      <x:c r="Z546" s="14" t="str">
        <x:v>Rogue Heroes.docx</x:v>
      </x:c>
      <x:c r="AA546" s="14" t="str">
        <x:v>HYPERLINK is not implemented. linkLocation=https://www.imdb.com/title/tt10405370/fullcredits/,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HYPERLINK("https://en.wikipedia.org/wiki/Rogue_Heroes","Open source")</x:f>
        <x:v>HYPERLINK is not implemented. linkLocation=https://en.wikipedia.org/wiki/Rogue_Heroes, friendlyName=Open source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13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1</x:v>
      </x:c>
      <x:c r="BS546" s="16" t="n">
        <x:v>0.07692307692307693</x:v>
      </x:c>
      <x:c r="BT546" s="14" t="str">
        <x:v>One episode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4" t="str">
        <x:v>HYPERLINK is not implemented. linkLocation=https://www.imdb.com/title/tt10405370/fullcredits/,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tt10405370|nm14782566|drowning soldier 3</x:v>
      </x:c>
      <x:c r="B547" s="14" t="str">
        <x:v>04</x:v>
      </x:c>
      <x:c r="C547" s="14" t="str">
        <x:v>2022_IMDb_Cast_Lists_Batch_04(1).xlsx</x:v>
      </x:c>
      <x:c r="D547" s="14" t="str">
        <x:v>Rogue Heroes</x:v>
      </x:c>
      <x:c r="E547" s="14" t="n">
        <x:v>89</x:v>
      </x:c>
      <x:c r="F547" s="14" t="str">
        <x:v>Rogue Heroes</x:v>
      </x:c>
      <x:c r="G547" s="14" t="str">
        <x:v>tt10405370</x:v>
      </x:c>
      <x:c r="H547" s="14" t="n">
        <x:v>2022</x:v>
      </x:c>
      <x:c r="I547" s="14" t="n">
        <x:v>2025</x:v>
      </x:c>
      <x:c r="J547" s="14" t="str">
        <x:v>Earlier-Production Carry-In Cohort</x:v>
      </x:c>
      <x:c r="K547" s="14" t="n">
        <x:v>2022</x:v>
      </x:c>
      <x:c r="L547" s="14" t="str">
        <x:v>Not inherited</x:v>
      </x:c>
      <x:c r="M547" s="15" t="n">
        <x:v>82</x:v>
      </x:c>
      <x:c r="N547" s="14" t="str">
        <x:v>James Ó'Quinn</x:v>
      </x:c>
      <x:c r="O547" s="14" t="str">
        <x:v>nm14782566</x:v>
      </x:c>
      <x:c r="P547" s="14" t="str">
        <x:v>Drowning Soldier 3</x:v>
      </x:c>
      <x:c r="Q547" s="15" t="n">
        <x:v>1</x:v>
      </x:c>
      <x:c r="R547" s="14" t="str">
        <x:v>2025</x:v>
      </x:c>
      <x:c r="S547" s="14" t="n">
        <x:v>2025</x:v>
      </x:c>
      <x:c r="T547" s="14" t="n">
        <x:v>2025</x:v>
      </x:c>
      <x:c r="U547" s="14" t="str">
        <x:v>Explicit source first year retained</x:v>
      </x:c>
      <x:c r="V547" s="14" t="str">
        <x:v>Earliest supplied year is 2025.</x:v>
      </x:c>
      <x:c r="W547" s="14"/>
      <x:c r="X547" s="14" t="str">
        <x:v>Included</x:v>
      </x:c>
      <x:c r="Y547" s="14"/>
      <x:c r="Z547" s="14" t="str">
        <x:v>Rogue Heroes.docx</x:v>
      </x:c>
      <x:c r="AA547" s="14" t="str">
        <x:v>HYPERLINK is not implemented. linkLocation=https://www.imdb.com/title/tt10405370/fullcredits/,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HYPERLINK("https://en.wikipedia.org/wiki/Rogue_Heroes","Open source")</x:f>
        <x:v>HYPERLINK is not implemented. linkLocation=https://en.wikipedia.org/wiki/Rogue_Heroes, friendlyName=Open source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13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1</x:v>
      </x:c>
      <x:c r="BS547" s="16" t="n">
        <x:v>0.07692307692307693</x:v>
      </x:c>
      <x:c r="BT547" s="14" t="str">
        <x:v>One episode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4" t="str">
        <x:v>HYPERLINK is not implemented. linkLocation=https://www.imdb.com/title/tt10405370/fullcredits/,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tt10405370|nm15233908|supporting artist</x:v>
      </x:c>
      <x:c r="B548" s="14" t="str">
        <x:v>04</x:v>
      </x:c>
      <x:c r="C548" s="14" t="str">
        <x:v>2022_IMDb_Cast_Lists_Batch_04(1).xlsx</x:v>
      </x:c>
      <x:c r="D548" s="14" t="str">
        <x:v>Rogue Heroes</x:v>
      </x:c>
      <x:c r="E548" s="14" t="n">
        <x:v>95</x:v>
      </x:c>
      <x:c r="F548" s="14" t="str">
        <x:v>Rogue Heroes</x:v>
      </x:c>
      <x:c r="G548" s="14" t="str">
        <x:v>tt10405370</x:v>
      </x:c>
      <x:c r="H548" s="14" t="n">
        <x:v>2022</x:v>
      </x:c>
      <x:c r="I548" s="14" t="n">
        <x:v>2025</x:v>
      </x:c>
      <x:c r="J548" s="14" t="str">
        <x:v>Earlier-Production Carry-In Cohort</x:v>
      </x:c>
      <x:c r="K548" s="14" t="n">
        <x:v>2022</x:v>
      </x:c>
      <x:c r="L548" s="14" t="str">
        <x:v>Not inherited</x:v>
      </x:c>
      <x:c r="M548" s="15" t="n">
        <x:v>88</x:v>
      </x:c>
      <x:c r="N548" s="14" t="str">
        <x:v>Evan Hartnett</x:v>
      </x:c>
      <x:c r="O548" s="14" t="str">
        <x:v>nm15233908</x:v>
      </x:c>
      <x:c r="P548" s="14" t="str">
        <x:v>Supporting Artist</x:v>
      </x:c>
      <x:c r="Q548" s="15" t="n">
        <x:v>1</x:v>
      </x:c>
      <x:c r="R548" s="14" t="str">
        <x:v>2025</x:v>
      </x:c>
      <x:c r="S548" s="14" t="n">
        <x:v>2025</x:v>
      </x:c>
      <x:c r="T548" s="14" t="n">
        <x:v>2025</x:v>
      </x:c>
      <x:c r="U548" s="14" t="str">
        <x:v>Explicit source first year retained</x:v>
      </x:c>
      <x:c r="V548" s="14" t="str">
        <x:v>Earliest supplied year is 2025.</x:v>
      </x:c>
      <x:c r="W548" s="14"/>
      <x:c r="X548" s="14" t="str">
        <x:v>Included</x:v>
      </x:c>
      <x:c r="Y548" s="14"/>
      <x:c r="Z548" s="14" t="str">
        <x:v>Rogue Heroes.docx</x:v>
      </x:c>
      <x:c r="AA548" s="14" t="str">
        <x:v>HYPERLINK is not implemented. linkLocation=https://www.imdb.com/title/tt10405370/fullcredits/, friendlyName=Open source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HYPERLINK("https://en.wikipedia.org/wiki/Rogue_Heroes","Open source")</x:f>
        <x:v>HYPERLINK is not implemented. linkLocation=https://en.wikipedia.org/wiki/Rogue_Heroes, friendlyName=Open source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 t="str">
        <x:v>No established-register match</x:v>
      </x:c>
      <x:c r="AT548" s="14"/>
      <x:c r="AU548" s="14"/>
      <x:c r="AV548" s="14" t="str">
        <x:v>No established apparent-disability match</x:v>
      </x:c>
      <x:c r="AW548" s="14"/>
      <x:c r="AX548" s="14" t="str">
        <x:v>No</x:v>
      </x:c>
      <x:c r="AY548" s="14" t="str">
        <x:v>Unmatched</x:v>
      </x:c>
      <x:c r="AZ548" s="14" t="str">
        <x:v>Final supplied register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13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1</x:v>
      </x:c>
      <x:c r="BS548" s="16" t="n">
        <x:v>0.07692307692307693</x:v>
      </x:c>
      <x:c r="BT548" s="14" t="str">
        <x:v>One episode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4" t="str">
        <x:v>HYPERLINK is not implemented. linkLocation=https://www.imdb.com/title/tt10405370/fullcredits/,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tt10405370|nm2196406|police officer</x:v>
      </x:c>
      <x:c r="B549" s="14" t="str">
        <x:v>04</x:v>
      </x:c>
      <x:c r="C549" s="14" t="str">
        <x:v>2022_IMDb_Cast_Lists_Batch_04(1).xlsx</x:v>
      </x:c>
      <x:c r="D549" s="14" t="str">
        <x:v>Rogue Heroes</x:v>
      </x:c>
      <x:c r="E549" s="14" t="n">
        <x:v>97</x:v>
      </x:c>
      <x:c r="F549" s="14" t="str">
        <x:v>Rogue Heroes</x:v>
      </x:c>
      <x:c r="G549" s="14" t="str">
        <x:v>tt10405370</x:v>
      </x:c>
      <x:c r="H549" s="14" t="n">
        <x:v>2022</x:v>
      </x:c>
      <x:c r="I549" s="14" t="n">
        <x:v>2025</x:v>
      </x:c>
      <x:c r="J549" s="14" t="str">
        <x:v>Earlier-Production Carry-In Cohort</x:v>
      </x:c>
      <x:c r="K549" s="14" t="n">
        <x:v>2022</x:v>
      </x:c>
      <x:c r="L549" s="14" t="str">
        <x:v>Not inherited</x:v>
      </x:c>
      <x:c r="M549" s="15" t="n">
        <x:v>90</x:v>
      </x:c>
      <x:c r="N549" s="14" t="str">
        <x:v>Nigel Boyle</x:v>
      </x:c>
      <x:c r="O549" s="14" t="str">
        <x:v>nm2196406</x:v>
      </x:c>
      <x:c r="P549" s="14" t="str">
        <x:v>Police Officer</x:v>
      </x:c>
      <x:c r="Q549" s="15" t="n">
        <x:v>1</x:v>
      </x:c>
      <x:c r="R549" s="14" t="str">
        <x:v>2025</x:v>
      </x:c>
      <x:c r="S549" s="14" t="n">
        <x:v>2025</x:v>
      </x:c>
      <x:c r="T549" s="14" t="n">
        <x:v>2025</x:v>
      </x:c>
      <x:c r="U549" s="14" t="str">
        <x:v>Explicit source first year retained</x:v>
      </x:c>
      <x:c r="V549" s="14" t="str">
        <x:v>Earliest supplied year is 2025.</x:v>
      </x:c>
      <x:c r="W549" s="14"/>
      <x:c r="X549" s="14" t="str">
        <x:v>Included</x:v>
      </x:c>
      <x:c r="Y549" s="14"/>
      <x:c r="Z549" s="14" t="str">
        <x:v>Rogue Heroes.docx</x:v>
      </x:c>
      <x:c r="AA549" s="14" t="str">
        <x:v>HYPERLINK is not implemented. linkLocation=https://www.imdb.com/title/tt10405370/fullcredits/,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HYPERLINK("https://en.wikipedia.org/wiki/Rogue_Heroes","Open source")</x:f>
        <x:v>HYPERLINK is not implemented. linkLocation=https://en.wikipedia.org/wiki/Rogue_Heroes, friendlyName=Open source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13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1</x:v>
      </x:c>
      <x:c r="BS549" s="16" t="n">
        <x:v>0.07692307692307693</x:v>
      </x:c>
      <x:c r="BT549" s="14" t="str">
        <x:v>One episode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4" t="str">
        <x:v>HYPERLINK is not implemented. linkLocation=https://www.imdb.com/title/tt10405370/fullcredits/,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tt10405370|nm9193972|supporting artist</x:v>
      </x:c>
      <x:c r="B550" s="14" t="str">
        <x:v>04</x:v>
      </x:c>
      <x:c r="C550" s="14" t="str">
        <x:v>2022_IMDb_Cast_Lists_Batch_04(1).xlsx</x:v>
      </x:c>
      <x:c r="D550" s="14" t="str">
        <x:v>Rogue Heroes</x:v>
      </x:c>
      <x:c r="E550" s="14" t="n">
        <x:v>98</x:v>
      </x:c>
      <x:c r="F550" s="14" t="str">
        <x:v>Rogue Heroes</x:v>
      </x:c>
      <x:c r="G550" s="14" t="str">
        <x:v>tt10405370</x:v>
      </x:c>
      <x:c r="H550" s="14" t="n">
        <x:v>2022</x:v>
      </x:c>
      <x:c r="I550" s="14" t="n">
        <x:v>2025</x:v>
      </x:c>
      <x:c r="J550" s="14" t="str">
        <x:v>Earlier-Production Carry-In Cohort</x:v>
      </x:c>
      <x:c r="K550" s="14" t="n">
        <x:v>2022</x:v>
      </x:c>
      <x:c r="L550" s="14" t="str">
        <x:v>Not inherited</x:v>
      </x:c>
      <x:c r="M550" s="15" t="n">
        <x:v>91</x:v>
      </x:c>
      <x:c r="N550" s="14" t="str">
        <x:v>Matthew Hegarty</x:v>
      </x:c>
      <x:c r="O550" s="14" t="str">
        <x:v>nm9193972</x:v>
      </x:c>
      <x:c r="P550" s="14" t="str">
        <x:v>Supporting Artist</x:v>
      </x:c>
      <x:c r="Q550" s="15" t="n">
        <x:v>1</x:v>
      </x:c>
      <x:c r="R550" s="14" t="str">
        <x:v>2025</x:v>
      </x:c>
      <x:c r="S550" s="14" t="n">
        <x:v>2025</x:v>
      </x:c>
      <x:c r="T550" s="14" t="n">
        <x:v>2025</x:v>
      </x:c>
      <x:c r="U550" s="14" t="str">
        <x:v>Explicit source first year retained</x:v>
      </x:c>
      <x:c r="V550" s="14" t="str">
        <x:v>Earliest supplied year is 2025.</x:v>
      </x:c>
      <x:c r="W550" s="14"/>
      <x:c r="X550" s="14" t="str">
        <x:v>Included</x:v>
      </x:c>
      <x:c r="Y550" s="14"/>
      <x:c r="Z550" s="14" t="str">
        <x:v>Rogue Heroes.docx</x:v>
      </x:c>
      <x:c r="AA550" s="14" t="str">
        <x:v>HYPERLINK is not implemented. linkLocation=https://www.imdb.com/title/tt10405370/fullcredits/,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HYPERLINK("https://en.wikipedia.org/wiki/Rogue_Heroes","Open source")</x:f>
        <x:v>HYPERLINK is not implemented. linkLocation=https://en.wikipedia.org/wiki/Rogue_Heroes, friendlyName=Open source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13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1</x:v>
      </x:c>
      <x:c r="BS550" s="16" t="n">
        <x:v>0.07692307692307693</x:v>
      </x:c>
      <x:c r="BT550" s="14" t="str">
        <x:v>One episode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4" t="str">
        <x:v>HYPERLINK is not implemented. linkLocation=https://www.imdb.com/title/tt10405370/fullcredits/,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tt10405370|nm3537262|italian guard</x:v>
      </x:c>
      <x:c r="B551" s="14" t="str">
        <x:v>04</x:v>
      </x:c>
      <x:c r="C551" s="14" t="str">
        <x:v>2022_IMDb_Cast_Lists_Batch_04(1).xlsx</x:v>
      </x:c>
      <x:c r="D551" s="14" t="str">
        <x:v>Rogue Heroes</x:v>
      </x:c>
      <x:c r="E551" s="14" t="n">
        <x:v>99</x:v>
      </x:c>
      <x:c r="F551" s="14" t="str">
        <x:v>Rogue Heroes</x:v>
      </x:c>
      <x:c r="G551" s="14" t="str">
        <x:v>tt10405370</x:v>
      </x:c>
      <x:c r="H551" s="14" t="n">
        <x:v>2022</x:v>
      </x:c>
      <x:c r="I551" s="14" t="n">
        <x:v>2025</x:v>
      </x:c>
      <x:c r="J551" s="14" t="str">
        <x:v>Earlier-Production Carry-In Cohort</x:v>
      </x:c>
      <x:c r="K551" s="14" t="n">
        <x:v>2022</x:v>
      </x:c>
      <x:c r="L551" s="14" t="str">
        <x:v>Not inherited</x:v>
      </x:c>
      <x:c r="M551" s="15" t="n">
        <x:v>92</x:v>
      </x:c>
      <x:c r="N551" s="14" t="str">
        <x:v>Giulio Mezza</x:v>
      </x:c>
      <x:c r="O551" s="14" t="str">
        <x:v>nm3537262</x:v>
      </x:c>
      <x:c r="P551" s="14" t="str">
        <x:v>Italian Guard</x:v>
      </x:c>
      <x:c r="Q551" s="15" t="n">
        <x:v>1</x:v>
      </x:c>
      <x:c r="R551" s="14" t="str">
        <x:v>2025</x:v>
      </x:c>
      <x:c r="S551" s="14" t="n">
        <x:v>2025</x:v>
      </x:c>
      <x:c r="T551" s="14" t="n">
        <x:v>2025</x:v>
      </x:c>
      <x:c r="U551" s="14" t="str">
        <x:v>Explicit source first year retained</x:v>
      </x:c>
      <x:c r="V551" s="14" t="str">
        <x:v>Earliest supplied year is 2025.</x:v>
      </x:c>
      <x:c r="W551" s="14"/>
      <x:c r="X551" s="14" t="str">
        <x:v>Included</x:v>
      </x:c>
      <x:c r="Y551" s="14"/>
      <x:c r="Z551" s="14" t="str">
        <x:v>Rogue Heroes.docx</x:v>
      </x:c>
      <x:c r="AA551" s="14" t="str">
        <x:v>HYPERLINK is not implemented. linkLocation=https://www.imdb.com/title/tt10405370/fullcredits/,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HYPERLINK("https://en.wikipedia.org/wiki/Rogue_Heroes","Open source")</x:f>
        <x:v>HYPERLINK is not implemented. linkLocation=https://en.wikipedia.org/wiki/Rogue_Heroes, friendlyName=Open source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13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1</x:v>
      </x:c>
      <x:c r="BS551" s="16" t="n">
        <x:v>0.07692307692307693</x:v>
      </x:c>
      <x:c r="BT551" s="14" t="str">
        <x:v>One episode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4" t="str">
        <x:v>HYPERLINK is not implemented. linkLocation=https://www.imdb.com/title/tt10405370/fullcredits/,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tt10405370|nm0458883|spotter in tower</x:v>
      </x:c>
      <x:c r="B552" s="14" t="str">
        <x:v>04</x:v>
      </x:c>
      <x:c r="C552" s="14" t="str">
        <x:v>2022_IMDb_Cast_Lists_Batch_04(1).xlsx</x:v>
      </x:c>
      <x:c r="D552" s="14" t="str">
        <x:v>Rogue Heroes</x:v>
      </x:c>
      <x:c r="E552" s="14" t="n">
        <x:v>101</x:v>
      </x:c>
      <x:c r="F552" s="14" t="str">
        <x:v>Rogue Heroes</x:v>
      </x:c>
      <x:c r="G552" s="14" t="str">
        <x:v>tt10405370</x:v>
      </x:c>
      <x:c r="H552" s="14" t="n">
        <x:v>2022</x:v>
      </x:c>
      <x:c r="I552" s="14" t="n">
        <x:v>2025</x:v>
      </x:c>
      <x:c r="J552" s="14" t="str">
        <x:v>Earlier-Production Carry-In Cohort</x:v>
      </x:c>
      <x:c r="K552" s="14" t="n">
        <x:v>2022</x:v>
      </x:c>
      <x:c r="L552" s="14" t="str">
        <x:v>Not inherited</x:v>
      </x:c>
      <x:c r="M552" s="15" t="n">
        <x:v>94</x:v>
      </x:c>
      <x:c r="N552" s="14" t="str">
        <x:v>Manuel Klein</x:v>
      </x:c>
      <x:c r="O552" s="14" t="str">
        <x:v>nm0458883</x:v>
      </x:c>
      <x:c r="P552" s="14" t="str">
        <x:v>Spotter in Tower</x:v>
      </x:c>
      <x:c r="Q552" s="15" t="n">
        <x:v>1</x:v>
      </x:c>
      <x:c r="R552" s="14" t="str">
        <x:v>2025</x:v>
      </x:c>
      <x:c r="S552" s="14" t="n">
        <x:v>2025</x:v>
      </x:c>
      <x:c r="T552" s="14" t="n">
        <x:v>2025</x:v>
      </x:c>
      <x:c r="U552" s="14" t="str">
        <x:v>Explicit source first year retained</x:v>
      </x:c>
      <x:c r="V552" s="14" t="str">
        <x:v>Earliest supplied year is 2025.</x:v>
      </x:c>
      <x:c r="W552" s="14"/>
      <x:c r="X552" s="14" t="str">
        <x:v>Included</x:v>
      </x:c>
      <x:c r="Y552" s="14"/>
      <x:c r="Z552" s="14" t="str">
        <x:v>Rogue Heroes.docx</x:v>
      </x:c>
      <x:c r="AA552" s="14" t="str">
        <x:v>HYPERLINK is not implemented. linkLocation=https://www.imdb.com/title/tt10405370/fullcredits/,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HYPERLINK("https://en.wikipedia.org/wiki/Rogue_Heroes","Open source")</x:f>
        <x:v>HYPERLINK is not implemented. linkLocation=https://en.wikipedia.org/wiki/Rogue_Heroes, friendlyName=Open source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13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1</x:v>
      </x:c>
      <x:c r="BS552" s="16" t="n">
        <x:v>0.07692307692307693</x:v>
      </x:c>
      <x:c r="BT552" s="14" t="str">
        <x:v>One episode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4" t="str">
        <x:v>HYPERLINK is not implemented. linkLocation=https://www.imdb.com/title/tt10405370/fullcredits/,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tt10405370|nm13641790|supporting artist</x:v>
      </x:c>
      <x:c r="B553" s="14" t="str">
        <x:v>04</x:v>
      </x:c>
      <x:c r="C553" s="14" t="str">
        <x:v>2022_IMDb_Cast_Lists_Batch_04(1).xlsx</x:v>
      </x:c>
      <x:c r="D553" s="14" t="str">
        <x:v>Rogue Heroes</x:v>
      </x:c>
      <x:c r="E553" s="14" t="n">
        <x:v>102</x:v>
      </x:c>
      <x:c r="F553" s="14" t="str">
        <x:v>Rogue Heroes</x:v>
      </x:c>
      <x:c r="G553" s="14" t="str">
        <x:v>tt10405370</x:v>
      </x:c>
      <x:c r="H553" s="14" t="n">
        <x:v>2022</x:v>
      </x:c>
      <x:c r="I553" s="14" t="n">
        <x:v>2025</x:v>
      </x:c>
      <x:c r="J553" s="14" t="str">
        <x:v>Earlier-Production Carry-In Cohort</x:v>
      </x:c>
      <x:c r="K553" s="14" t="n">
        <x:v>2022</x:v>
      </x:c>
      <x:c r="L553" s="14" t="str">
        <x:v>Not inherited</x:v>
      </x:c>
      <x:c r="M553" s="15" t="n">
        <x:v>95</x:v>
      </x:c>
      <x:c r="N553" s="14" t="str">
        <x:v>Joshua de Marcos</x:v>
      </x:c>
      <x:c r="O553" s="14" t="str">
        <x:v>nm13641790</x:v>
      </x:c>
      <x:c r="P553" s="14" t="str">
        <x:v>Supporting Artist</x:v>
      </x:c>
      <x:c r="Q553" s="15" t="n">
        <x:v>1</x:v>
      </x:c>
      <x:c r="R553" s="14" t="str">
        <x:v>2025</x:v>
      </x:c>
      <x:c r="S553" s="14" t="n">
        <x:v>2025</x:v>
      </x:c>
      <x:c r="T553" s="14" t="n">
        <x:v>2025</x:v>
      </x:c>
      <x:c r="U553" s="14" t="str">
        <x:v>Explicit source first year retained</x:v>
      </x:c>
      <x:c r="V553" s="14" t="str">
        <x:v>Earliest supplied year is 2025.</x:v>
      </x:c>
      <x:c r="W553" s="14"/>
      <x:c r="X553" s="14" t="str">
        <x:v>Included</x:v>
      </x:c>
      <x:c r="Y553" s="14"/>
      <x:c r="Z553" s="14" t="str">
        <x:v>Rogue Heroes.docx</x:v>
      </x:c>
      <x:c r="AA553" s="14" t="str">
        <x:v>HYPERLINK is not implemented. linkLocation=https://www.imdb.com/title/tt10405370/fullcredits/,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HYPERLINK("https://en.wikipedia.org/wiki/Rogue_Heroes","Open source")</x:f>
        <x:v>HYPERLINK is not implemented. linkLocation=https://en.wikipedia.org/wiki/Rogue_Heroes, friendlyName=Open source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13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1</x:v>
      </x:c>
      <x:c r="BS553" s="16" t="n">
        <x:v>0.07692307692307693</x:v>
      </x:c>
      <x:c r="BT553" s="14" t="str">
        <x:v>One episode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4" t="str">
        <x:v>HYPERLINK is not implemented. linkLocation=https://www.imdb.com/title/tt10405370/fullcredits/,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tt10405370|nm5273954|italian farmer</x:v>
      </x:c>
      <x:c r="B554" s="14" t="str">
        <x:v>04</x:v>
      </x:c>
      <x:c r="C554" s="14" t="str">
        <x:v>2022_IMDb_Cast_Lists_Batch_04(1).xlsx</x:v>
      </x:c>
      <x:c r="D554" s="14" t="str">
        <x:v>Rogue Heroes</x:v>
      </x:c>
      <x:c r="E554" s="14" t="n">
        <x:v>103</x:v>
      </x:c>
      <x:c r="F554" s="14" t="str">
        <x:v>Rogue Heroes</x:v>
      </x:c>
      <x:c r="G554" s="14" t="str">
        <x:v>tt10405370</x:v>
      </x:c>
      <x:c r="H554" s="14" t="n">
        <x:v>2022</x:v>
      </x:c>
      <x:c r="I554" s="14" t="n">
        <x:v>2025</x:v>
      </x:c>
      <x:c r="J554" s="14" t="str">
        <x:v>Earlier-Production Carry-In Cohort</x:v>
      </x:c>
      <x:c r="K554" s="14" t="n">
        <x:v>2022</x:v>
      </x:c>
      <x:c r="L554" s="14" t="str">
        <x:v>Not inherited</x:v>
      </x:c>
      <x:c r="M554" s="15" t="n">
        <x:v>96</x:v>
      </x:c>
      <x:c r="N554" s="14" t="str">
        <x:v>Thomas Tinker</x:v>
      </x:c>
      <x:c r="O554" s="14" t="str">
        <x:v>nm5273954</x:v>
      </x:c>
      <x:c r="P554" s="14" t="str">
        <x:v>Italian Farmer</x:v>
      </x:c>
      <x:c r="Q554" s="15" t="n">
        <x:v>1</x:v>
      </x:c>
      <x:c r="R554" s="14" t="str">
        <x:v>2025</x:v>
      </x:c>
      <x:c r="S554" s="14" t="n">
        <x:v>2025</x:v>
      </x:c>
      <x:c r="T554" s="14" t="n">
        <x:v>2025</x:v>
      </x:c>
      <x:c r="U554" s="14" t="str">
        <x:v>Explicit source first year retained</x:v>
      </x:c>
      <x:c r="V554" s="14" t="str">
        <x:v>Earliest supplied year is 2025.</x:v>
      </x:c>
      <x:c r="W554" s="14"/>
      <x:c r="X554" s="14" t="str">
        <x:v>Included</x:v>
      </x:c>
      <x:c r="Y554" s="14"/>
      <x:c r="Z554" s="14" t="str">
        <x:v>Rogue Heroes.docx</x:v>
      </x:c>
      <x:c r="AA554" s="14" t="str">
        <x:v>HYPERLINK is not implemented. linkLocation=https://www.imdb.com/title/tt10405370/fullcredits/,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HYPERLINK("https://en.wikipedia.org/wiki/Rogue_Heroes","Open source")</x:f>
        <x:v>HYPERLINK is not implemented. linkLocation=https://en.wikipedia.org/wiki/Rogue_Heroes, friendlyName=Open source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13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0.07692307692307693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4" t="str">
        <x:v>HYPERLINK is not implemented. linkLocation=https://www.imdb.com/title/tt10405370/fullcredits/,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tt10405370|nm16974198|messenger</x:v>
      </x:c>
      <x:c r="B555" s="14" t="str">
        <x:v>04</x:v>
      </x:c>
      <x:c r="C555" s="14" t="str">
        <x:v>2022_IMDb_Cast_Lists_Batch_04(1).xlsx</x:v>
      </x:c>
      <x:c r="D555" s="14" t="str">
        <x:v>Rogue Heroes</x:v>
      </x:c>
      <x:c r="E555" s="14" t="n">
        <x:v>104</x:v>
      </x:c>
      <x:c r="F555" s="14" t="str">
        <x:v>Rogue Heroes</x:v>
      </x:c>
      <x:c r="G555" s="14" t="str">
        <x:v>tt10405370</x:v>
      </x:c>
      <x:c r="H555" s="14" t="n">
        <x:v>2022</x:v>
      </x:c>
      <x:c r="I555" s="14" t="n">
        <x:v>2025</x:v>
      </x:c>
      <x:c r="J555" s="14" t="str">
        <x:v>Earlier-Production Carry-In Cohort</x:v>
      </x:c>
      <x:c r="K555" s="14" t="n">
        <x:v>2022</x:v>
      </x:c>
      <x:c r="L555" s="14" t="str">
        <x:v>Not inherited</x:v>
      </x:c>
      <x:c r="M555" s="15" t="n">
        <x:v>97</x:v>
      </x:c>
      <x:c r="N555" s="14" t="str">
        <x:v>Benedict Wishart</x:v>
      </x:c>
      <x:c r="O555" s="14" t="str">
        <x:v>nm16974198</x:v>
      </x:c>
      <x:c r="P555" s="14" t="str">
        <x:v>Messenger</x:v>
      </x:c>
      <x:c r="Q555" s="15" t="n">
        <x:v>1</x:v>
      </x:c>
      <x:c r="R555" s="14" t="str">
        <x:v>2025</x:v>
      </x:c>
      <x:c r="S555" s="14" t="n">
        <x:v>2025</x:v>
      </x:c>
      <x:c r="T555" s="14" t="n">
        <x:v>2025</x:v>
      </x:c>
      <x:c r="U555" s="14" t="str">
        <x:v>Explicit source first year retained</x:v>
      </x:c>
      <x:c r="V555" s="14" t="str">
        <x:v>Earliest supplied year is 2025.</x:v>
      </x:c>
      <x:c r="W555" s="14"/>
      <x:c r="X555" s="14" t="str">
        <x:v>Included</x:v>
      </x:c>
      <x:c r="Y555" s="14"/>
      <x:c r="Z555" s="14" t="str">
        <x:v>Rogue Heroes.docx</x:v>
      </x:c>
      <x:c r="AA555" s="14" t="str">
        <x:v>HYPERLINK is not implemented. linkLocation=https://www.imdb.com/title/tt10405370/fullcredits/,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HYPERLINK("https://en.wikipedia.org/wiki/Rogue_Heroes","Open source")</x:f>
        <x:v>HYPERLINK is not implemented. linkLocation=https://en.wikipedia.org/wiki/Rogue_Heroes, friendlyName=Open source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13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0.07692307692307693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4" t="str">
        <x:v>HYPERLINK is not implemented. linkLocation=https://www.imdb.com/title/tt10405370/fullcredits/,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tt10405370|nm1259108|ritz waiter</x:v>
      </x:c>
      <x:c r="B556" s="14" t="str">
        <x:v>04</x:v>
      </x:c>
      <x:c r="C556" s="14" t="str">
        <x:v>2022_IMDb_Cast_Lists_Batch_04(1).xlsx</x:v>
      </x:c>
      <x:c r="D556" s="14" t="str">
        <x:v>Rogue Heroes</x:v>
      </x:c>
      <x:c r="E556" s="14" t="n">
        <x:v>105</x:v>
      </x:c>
      <x:c r="F556" s="14" t="str">
        <x:v>Rogue Heroes</x:v>
      </x:c>
      <x:c r="G556" s="14" t="str">
        <x:v>tt10405370</x:v>
      </x:c>
      <x:c r="H556" s="14" t="n">
        <x:v>2022</x:v>
      </x:c>
      <x:c r="I556" s="14" t="n">
        <x:v>2025</x:v>
      </x:c>
      <x:c r="J556" s="14" t="str">
        <x:v>Earlier-Production Carry-In Cohort</x:v>
      </x:c>
      <x:c r="K556" s="14" t="n">
        <x:v>2022</x:v>
      </x:c>
      <x:c r="L556" s="14" t="str">
        <x:v>Not inherited</x:v>
      </x:c>
      <x:c r="M556" s="15" t="n">
        <x:v>98</x:v>
      </x:c>
      <x:c r="N556" s="14" t="str">
        <x:v>David Langham</x:v>
      </x:c>
      <x:c r="O556" s="14" t="str">
        <x:v>nm1259108</x:v>
      </x:c>
      <x:c r="P556" s="14" t="str">
        <x:v>Ritz Waiter</x:v>
      </x:c>
      <x:c r="Q556" s="15" t="n">
        <x:v>1</x:v>
      </x:c>
      <x:c r="R556" s="14" t="str">
        <x:v>2025</x:v>
      </x:c>
      <x:c r="S556" s="14" t="n">
        <x:v>2025</x:v>
      </x:c>
      <x:c r="T556" s="14" t="n">
        <x:v>2025</x:v>
      </x:c>
      <x:c r="U556" s="14" t="str">
        <x:v>Explicit source first year retained</x:v>
      </x:c>
      <x:c r="V556" s="14" t="str">
        <x:v>Earliest supplied year is 2025.</x:v>
      </x:c>
      <x:c r="W556" s="14"/>
      <x:c r="X556" s="14" t="str">
        <x:v>Included</x:v>
      </x:c>
      <x:c r="Y556" s="14"/>
      <x:c r="Z556" s="14" t="str">
        <x:v>Rogue Heroes.docx</x:v>
      </x:c>
      <x:c r="AA556" s="14" t="str">
        <x:v>HYPERLINK is not implemented. linkLocation=https://www.imdb.com/title/tt10405370/fullcredits/,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HYPERLINK("https://en.wikipedia.org/wiki/Rogue_Heroes","Open source")</x:f>
        <x:v>HYPERLINK is not implemented. linkLocation=https://en.wikipedia.org/wiki/Rogue_Heroes, friendlyName=Open source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13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0.07692307692307693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4" t="str">
        <x:v>HYPERLINK is not implemented. linkLocation=https://www.imdb.com/title/tt10405370/fullcredits/,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tt10405370|nm8753224|italian driver</x:v>
      </x:c>
      <x:c r="B557" s="14" t="str">
        <x:v>04</x:v>
      </x:c>
      <x:c r="C557" s="14" t="str">
        <x:v>2022_IMDb_Cast_Lists_Batch_04(1).xlsx</x:v>
      </x:c>
      <x:c r="D557" s="14" t="str">
        <x:v>Rogue Heroes</x:v>
      </x:c>
      <x:c r="E557" s="14" t="n">
        <x:v>106</x:v>
      </x:c>
      <x:c r="F557" s="14" t="str">
        <x:v>Rogue Heroes</x:v>
      </x:c>
      <x:c r="G557" s="14" t="str">
        <x:v>tt10405370</x:v>
      </x:c>
      <x:c r="H557" s="14" t="n">
        <x:v>2022</x:v>
      </x:c>
      <x:c r="I557" s="14" t="n">
        <x:v>2025</x:v>
      </x:c>
      <x:c r="J557" s="14" t="str">
        <x:v>Earlier-Production Carry-In Cohort</x:v>
      </x:c>
      <x:c r="K557" s="14" t="n">
        <x:v>2022</x:v>
      </x:c>
      <x:c r="L557" s="14" t="str">
        <x:v>Not inherited</x:v>
      </x:c>
      <x:c r="M557" s="15" t="n">
        <x:v>99</x:v>
      </x:c>
      <x:c r="N557" s="14" t="str">
        <x:v>Amedeo Bianchimano</x:v>
      </x:c>
      <x:c r="O557" s="14" t="str">
        <x:v>nm8753224</x:v>
      </x:c>
      <x:c r="P557" s="14" t="str">
        <x:v>Italian Driver</x:v>
      </x:c>
      <x:c r="Q557" s="15" t="n">
        <x:v>1</x:v>
      </x:c>
      <x:c r="R557" s="14" t="str">
        <x:v>2025</x:v>
      </x:c>
      <x:c r="S557" s="14" t="n">
        <x:v>2025</x:v>
      </x:c>
      <x:c r="T557" s="14" t="n">
        <x:v>2025</x:v>
      </x:c>
      <x:c r="U557" s="14" t="str">
        <x:v>Explicit source first year retained</x:v>
      </x:c>
      <x:c r="V557" s="14" t="str">
        <x:v>Earliest supplied year is 2025.</x:v>
      </x:c>
      <x:c r="W557" s="14"/>
      <x:c r="X557" s="14" t="str">
        <x:v>Included</x:v>
      </x:c>
      <x:c r="Y557" s="14"/>
      <x:c r="Z557" s="14" t="str">
        <x:v>Rogue Heroes.docx</x:v>
      </x:c>
      <x:c r="AA557" s="14" t="str">
        <x:v>HYPERLINK is not implemented. linkLocation=https://www.imdb.com/title/tt10405370/fullcredits/,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HYPERLINK("https://en.wikipedia.org/wiki/Rogue_Heroes","Open source")</x:f>
        <x:v>HYPERLINK is not implemented. linkLocation=https://en.wikipedia.org/wiki/Rogue_Heroes, friendlyName=Open source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13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0.07692307692307693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4" t="str">
        <x:v>HYPERLINK is not implemented. linkLocation=https://www.imdb.com/title/tt10405370/fullcredits/,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tt10405370|nm1601096|general heidrich</x:v>
      </x:c>
      <x:c r="B558" s="14" t="str">
        <x:v>04</x:v>
      </x:c>
      <x:c r="C558" s="14" t="str">
        <x:v>2022_IMDb_Cast_Lists_Batch_04(1).xlsx</x:v>
      </x:c>
      <x:c r="D558" s="14" t="str">
        <x:v>Rogue Heroes</x:v>
      </x:c>
      <x:c r="E558" s="14" t="n">
        <x:v>108</x:v>
      </x:c>
      <x:c r="F558" s="14" t="str">
        <x:v>Rogue Heroes</x:v>
      </x:c>
      <x:c r="G558" s="14" t="str">
        <x:v>tt10405370</x:v>
      </x:c>
      <x:c r="H558" s="14" t="n">
        <x:v>2022</x:v>
      </x:c>
      <x:c r="I558" s="14" t="n">
        <x:v>2025</x:v>
      </x:c>
      <x:c r="J558" s="14" t="str">
        <x:v>Earlier-Production Carry-In Cohort</x:v>
      </x:c>
      <x:c r="K558" s="14" t="n">
        <x:v>2022</x:v>
      </x:c>
      <x:c r="L558" s="14" t="str">
        <x:v>Not inherited</x:v>
      </x:c>
      <x:c r="M558" s="15" t="n">
        <x:v>101</x:v>
      </x:c>
      <x:c r="N558" s="14" t="str">
        <x:v>Robert Dölle</x:v>
      </x:c>
      <x:c r="O558" s="14" t="str">
        <x:v>nm1601096</x:v>
      </x:c>
      <x:c r="P558" s="14" t="str">
        <x:v>General Heidrich</x:v>
      </x:c>
      <x:c r="Q558" s="15" t="n">
        <x:v>1</x:v>
      </x:c>
      <x:c r="R558" s="14" t="str">
        <x:v>2025</x:v>
      </x:c>
      <x:c r="S558" s="14" t="n">
        <x:v>2025</x:v>
      </x:c>
      <x:c r="T558" s="14" t="n">
        <x:v>2025</x:v>
      </x:c>
      <x:c r="U558" s="14" t="str">
        <x:v>Explicit source first year retained</x:v>
      </x:c>
      <x:c r="V558" s="14" t="str">
        <x:v>Earliest supplied year is 2025.</x:v>
      </x:c>
      <x:c r="W558" s="14"/>
      <x:c r="X558" s="14" t="str">
        <x:v>Included</x:v>
      </x:c>
      <x:c r="Y558" s="14"/>
      <x:c r="Z558" s="14" t="str">
        <x:v>Rogue Heroes.docx</x:v>
      </x:c>
      <x:c r="AA558" s="14" t="str">
        <x:v>HYPERLINK is not implemented. linkLocation=https://www.imdb.com/title/tt10405370/fullcredits/,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HYPERLINK("https://en.wikipedia.org/wiki/Rogue_Heroes","Open source")</x:f>
        <x:v>HYPERLINK is not implemented. linkLocation=https://en.wikipedia.org/wiki/Rogue_Heroes, friendlyName=Open source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13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0.07692307692307693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4" t="str">
        <x:v>HYPERLINK is not implemented. linkLocation=https://www.imdb.com/title/tt10405370/fullcredits/,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tt10405370|nm12267448|american soldier</x:v>
      </x:c>
      <x:c r="B559" s="14" t="str">
        <x:v>04</x:v>
      </x:c>
      <x:c r="C559" s="14" t="str">
        <x:v>2022_IMDb_Cast_Lists_Batch_04(1).xlsx</x:v>
      </x:c>
      <x:c r="D559" s="14" t="str">
        <x:v>Rogue Heroes</x:v>
      </x:c>
      <x:c r="E559" s="14" t="n">
        <x:v>109</x:v>
      </x:c>
      <x:c r="F559" s="14" t="str">
        <x:v>Rogue Heroes</x:v>
      </x:c>
      <x:c r="G559" s="14" t="str">
        <x:v>tt10405370</x:v>
      </x:c>
      <x:c r="H559" s="14" t="n">
        <x:v>2022</x:v>
      </x:c>
      <x:c r="I559" s="14" t="n">
        <x:v>2025</x:v>
      </x:c>
      <x:c r="J559" s="14" t="str">
        <x:v>Earlier-Production Carry-In Cohort</x:v>
      </x:c>
      <x:c r="K559" s="14" t="n">
        <x:v>2022</x:v>
      </x:c>
      <x:c r="L559" s="14" t="str">
        <x:v>Not inherited</x:v>
      </x:c>
      <x:c r="M559" s="15" t="n">
        <x:v>102</x:v>
      </x:c>
      <x:c r="N559" s="14" t="str">
        <x:v>Kelvin Ade</x:v>
      </x:c>
      <x:c r="O559" s="14" t="str">
        <x:v>nm12267448</x:v>
      </x:c>
      <x:c r="P559" s="14" t="str">
        <x:v>American Soldier</x:v>
      </x:c>
      <x:c r="Q559" s="15" t="n">
        <x:v>1</x:v>
      </x:c>
      <x:c r="R559" s="14" t="str">
        <x:v>2025</x:v>
      </x:c>
      <x:c r="S559" s="14" t="n">
        <x:v>2025</x:v>
      </x:c>
      <x:c r="T559" s="14" t="n">
        <x:v>2025</x:v>
      </x:c>
      <x:c r="U559" s="14" t="str">
        <x:v>Explicit source first year retained</x:v>
      </x:c>
      <x:c r="V559" s="14" t="str">
        <x:v>Earliest supplied year is 2025.</x:v>
      </x:c>
      <x:c r="W559" s="14"/>
      <x:c r="X559" s="14" t="str">
        <x:v>Included</x:v>
      </x:c>
      <x:c r="Y559" s="14"/>
      <x:c r="Z559" s="14" t="str">
        <x:v>Rogue Heroes.docx</x:v>
      </x:c>
      <x:c r="AA559" s="14" t="str">
        <x:v>HYPERLINK is not implemented. linkLocation=https://www.imdb.com/title/tt10405370/fullcredits/,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HYPERLINK("https://en.wikipedia.org/wiki/Rogue_Heroes","Open source")</x:f>
        <x:v>HYPERLINK is not implemented. linkLocation=https://en.wikipedia.org/wiki/Rogue_Heroes, friendlyName=Open source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13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0.07692307692307693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4" t="str">
        <x:v>HYPERLINK is not implemented. linkLocation=https://www.imdb.com/title/tt10405370/fullcredits/,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tt10405370|nm8464631|italian collaborator</x:v>
      </x:c>
      <x:c r="B560" s="14" t="str">
        <x:v>04</x:v>
      </x:c>
      <x:c r="C560" s="14" t="str">
        <x:v>2022_IMDb_Cast_Lists_Batch_04(1).xlsx</x:v>
      </x:c>
      <x:c r="D560" s="14" t="str">
        <x:v>Rogue Heroes</x:v>
      </x:c>
      <x:c r="E560" s="14" t="n">
        <x:v>110</x:v>
      </x:c>
      <x:c r="F560" s="14" t="str">
        <x:v>Rogue Heroes</x:v>
      </x:c>
      <x:c r="G560" s="14" t="str">
        <x:v>tt10405370</x:v>
      </x:c>
      <x:c r="H560" s="14" t="n">
        <x:v>2022</x:v>
      </x:c>
      <x:c r="I560" s="14" t="n">
        <x:v>2025</x:v>
      </x:c>
      <x:c r="J560" s="14" t="str">
        <x:v>Earlier-Production Carry-In Cohort</x:v>
      </x:c>
      <x:c r="K560" s="14" t="n">
        <x:v>2022</x:v>
      </x:c>
      <x:c r="L560" s="14" t="str">
        <x:v>Not inherited</x:v>
      </x:c>
      <x:c r="M560" s="15" t="n">
        <x:v>103</x:v>
      </x:c>
      <x:c r="N560" s="14" t="str">
        <x:v>Alessio Montagnani</x:v>
      </x:c>
      <x:c r="O560" s="14" t="str">
        <x:v>nm8464631</x:v>
      </x:c>
      <x:c r="P560" s="14" t="str">
        <x:v>Italian Collaborator</x:v>
      </x:c>
      <x:c r="Q560" s="15" t="n">
        <x:v>1</x:v>
      </x:c>
      <x:c r="R560" s="14" t="str">
        <x:v>2025</x:v>
      </x:c>
      <x:c r="S560" s="14" t="n">
        <x:v>2025</x:v>
      </x:c>
      <x:c r="T560" s="14" t="n">
        <x:v>2025</x:v>
      </x:c>
      <x:c r="U560" s="14" t="str">
        <x:v>Explicit source first year retained</x:v>
      </x:c>
      <x:c r="V560" s="14" t="str">
        <x:v>Earliest supplied year is 2025.</x:v>
      </x:c>
      <x:c r="W560" s="14"/>
      <x:c r="X560" s="14" t="str">
        <x:v>Included</x:v>
      </x:c>
      <x:c r="Y560" s="14"/>
      <x:c r="Z560" s="14" t="str">
        <x:v>Rogue Heroes.docx</x:v>
      </x:c>
      <x:c r="AA560" s="14" t="str">
        <x:v>HYPERLINK is not implemented. linkLocation=https://www.imdb.com/title/tt10405370/fullcredits/,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HYPERLINK("https://en.wikipedia.org/wiki/Rogue_Heroes","Open source")</x:f>
        <x:v>HYPERLINK is not implemented. linkLocation=https://en.wikipedia.org/wiki/Rogue_Heroes, friendlyName=Open source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13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0.07692307692307693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4" t="str">
        <x:v>HYPERLINK is not implemented. linkLocation=https://www.imdb.com/title/tt10405370/fullcredits/,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tt10405370|nm16889999|supporting artist</x:v>
      </x:c>
      <x:c r="B561" s="14" t="str">
        <x:v>04</x:v>
      </x:c>
      <x:c r="C561" s="14" t="str">
        <x:v>2022_IMDb_Cast_Lists_Batch_04(1).xlsx</x:v>
      </x:c>
      <x:c r="D561" s="14" t="str">
        <x:v>Rogue Heroes</x:v>
      </x:c>
      <x:c r="E561" s="14" t="n">
        <x:v>111</x:v>
      </x:c>
      <x:c r="F561" s="14" t="str">
        <x:v>Rogue Heroes</x:v>
      </x:c>
      <x:c r="G561" s="14" t="str">
        <x:v>tt10405370</x:v>
      </x:c>
      <x:c r="H561" s="14" t="n">
        <x:v>2022</x:v>
      </x:c>
      <x:c r="I561" s="14" t="n">
        <x:v>2025</x:v>
      </x:c>
      <x:c r="J561" s="14" t="str">
        <x:v>Earlier-Production Carry-In Cohort</x:v>
      </x:c>
      <x:c r="K561" s="14" t="n">
        <x:v>2022</x:v>
      </x:c>
      <x:c r="L561" s="14" t="str">
        <x:v>Not inherited</x:v>
      </x:c>
      <x:c r="M561" s="15" t="n">
        <x:v>104</x:v>
      </x:c>
      <x:c r="N561" s="14" t="str">
        <x:v>Luke Mazzamuto</x:v>
      </x:c>
      <x:c r="O561" s="14" t="str">
        <x:v>nm16889999</x:v>
      </x:c>
      <x:c r="P561" s="14" t="str">
        <x:v>Supporting Artist</x:v>
      </x:c>
      <x:c r="Q561" s="15" t="n">
        <x:v>1</x:v>
      </x:c>
      <x:c r="R561" s="14" t="str">
        <x:v>2025</x:v>
      </x:c>
      <x:c r="S561" s="14" t="n">
        <x:v>2025</x:v>
      </x:c>
      <x:c r="T561" s="14" t="n">
        <x:v>2025</x:v>
      </x:c>
      <x:c r="U561" s="14" t="str">
        <x:v>Explicit source first year retained</x:v>
      </x:c>
      <x:c r="V561" s="14" t="str">
        <x:v>Earliest supplied year is 2025.</x:v>
      </x:c>
      <x:c r="W561" s="14"/>
      <x:c r="X561" s="14" t="str">
        <x:v>Included</x:v>
      </x:c>
      <x:c r="Y561" s="14"/>
      <x:c r="Z561" s="14" t="str">
        <x:v>Rogue Heroes.docx</x:v>
      </x:c>
      <x:c r="AA561" s="14" t="str">
        <x:v>HYPERLINK is not implemented. linkLocation=https://www.imdb.com/title/tt10405370/fullcredits/,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HYPERLINK("https://en.wikipedia.org/wiki/Rogue_Heroes","Open source")</x:f>
        <x:v>HYPERLINK is not implemented. linkLocation=https://en.wikipedia.org/wiki/Rogue_Heroes, friendlyName=Open source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13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0.07692307692307693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4" t="str">
        <x:v>HYPERLINK is not implemented. linkLocation=https://www.imdb.com/title/tt10405370/fullcredits/,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tt10405370|nm11123420|daphne reece williams</x:v>
      </x:c>
      <x:c r="B562" s="14" t="str">
        <x:v>04</x:v>
      </x:c>
      <x:c r="C562" s="14" t="str">
        <x:v>2022_IMDb_Cast_Lists_Batch_04(1).xlsx</x:v>
      </x:c>
      <x:c r="D562" s="14" t="str">
        <x:v>Rogue Heroes</x:v>
      </x:c>
      <x:c r="E562" s="14" t="n">
        <x:v>113</x:v>
      </x:c>
      <x:c r="F562" s="14" t="str">
        <x:v>Rogue Heroes</x:v>
      </x:c>
      <x:c r="G562" s="14" t="str">
        <x:v>tt10405370</x:v>
      </x:c>
      <x:c r="H562" s="14" t="n">
        <x:v>2022</x:v>
      </x:c>
      <x:c r="I562" s="14" t="n">
        <x:v>2025</x:v>
      </x:c>
      <x:c r="J562" s="14" t="str">
        <x:v>Earlier-Production Carry-In Cohort</x:v>
      </x:c>
      <x:c r="K562" s="14" t="n">
        <x:v>2022</x:v>
      </x:c>
      <x:c r="L562" s="14" t="str">
        <x:v>Not inherited</x:v>
      </x:c>
      <x:c r="M562" s="15" t="n">
        <x:v>106</x:v>
      </x:c>
      <x:c r="N562" s="14" t="str">
        <x:v>Bianca Bardoe</x:v>
      </x:c>
      <x:c r="O562" s="14" t="str">
        <x:v>nm11123420</x:v>
      </x:c>
      <x:c r="P562" s="14" t="str">
        <x:v>Daphne Reece Williams</x:v>
      </x:c>
      <x:c r="Q562" s="15" t="n">
        <x:v>1</x:v>
      </x:c>
      <x:c r="R562" s="14" t="str">
        <x:v>2025</x:v>
      </x:c>
      <x:c r="S562" s="14" t="n">
        <x:v>2025</x:v>
      </x:c>
      <x:c r="T562" s="14" t="n">
        <x:v>2025</x:v>
      </x:c>
      <x:c r="U562" s="14" t="str">
        <x:v>Explicit source first year retained</x:v>
      </x:c>
      <x:c r="V562" s="14" t="str">
        <x:v>Earliest supplied year is 2025.</x:v>
      </x:c>
      <x:c r="W562" s="14"/>
      <x:c r="X562" s="14" t="str">
        <x:v>Included</x:v>
      </x:c>
      <x:c r="Y562" s="14"/>
      <x:c r="Z562" s="14" t="str">
        <x:v>Rogue Heroes.docx</x:v>
      </x:c>
      <x:c r="AA562" s="14" t="str">
        <x:v>HYPERLINK is not implemented. linkLocation=https://www.imdb.com/title/tt10405370/fullcredits/,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HYPERLINK("https://en.wikipedia.org/wiki/Rogue_Heroes","Open source")</x:f>
        <x:v>HYPERLINK is not implemented. linkLocation=https://en.wikipedia.org/wiki/Rogue_Heroes, friendlyName=Open source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13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0.07692307692307693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4" t="str">
        <x:v>HYPERLINK is not implemented. linkLocation=https://www.imdb.com/title/tt10405370/fullcredits/,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tt10405370|nm4857085|german road block officer</x:v>
      </x:c>
      <x:c r="B563" s="14" t="str">
        <x:v>04</x:v>
      </x:c>
      <x:c r="C563" s="14" t="str">
        <x:v>2022_IMDb_Cast_Lists_Batch_04(1).xlsx</x:v>
      </x:c>
      <x:c r="D563" s="14" t="str">
        <x:v>Rogue Heroes</x:v>
      </x:c>
      <x:c r="E563" s="14" t="n">
        <x:v>114</x:v>
      </x:c>
      <x:c r="F563" s="14" t="str">
        <x:v>Rogue Heroes</x:v>
      </x:c>
      <x:c r="G563" s="14" t="str">
        <x:v>tt10405370</x:v>
      </x:c>
      <x:c r="H563" s="14" t="n">
        <x:v>2022</x:v>
      </x:c>
      <x:c r="I563" s="14" t="n">
        <x:v>2025</x:v>
      </x:c>
      <x:c r="J563" s="14" t="str">
        <x:v>Earlier-Production Carry-In Cohort</x:v>
      </x:c>
      <x:c r="K563" s="14" t="n">
        <x:v>2022</x:v>
      </x:c>
      <x:c r="L563" s="14" t="str">
        <x:v>Not inherited</x:v>
      </x:c>
      <x:c r="M563" s="15" t="n">
        <x:v>107</x:v>
      </x:c>
      <x:c r="N563" s="14" t="str">
        <x:v>Vibor Krekovic</x:v>
      </x:c>
      <x:c r="O563" s="14" t="str">
        <x:v>nm4857085</x:v>
      </x:c>
      <x:c r="P563" s="14" t="str">
        <x:v>German Road Block Officer</x:v>
      </x:c>
      <x:c r="Q563" s="15" t="n">
        <x:v>1</x:v>
      </x:c>
      <x:c r="R563" s="14" t="str">
        <x:v>2025</x:v>
      </x:c>
      <x:c r="S563" s="14" t="n">
        <x:v>2025</x:v>
      </x:c>
      <x:c r="T563" s="14" t="n">
        <x:v>2025</x:v>
      </x:c>
      <x:c r="U563" s="14" t="str">
        <x:v>Explicit source first year retained</x:v>
      </x:c>
      <x:c r="V563" s="14" t="str">
        <x:v>Earliest supplied year is 2025.</x:v>
      </x:c>
      <x:c r="W563" s="14"/>
      <x:c r="X563" s="14" t="str">
        <x:v>Included</x:v>
      </x:c>
      <x:c r="Y563" s="14"/>
      <x:c r="Z563" s="14" t="str">
        <x:v>Rogue Heroes.docx</x:v>
      </x:c>
      <x:c r="AA563" s="14" t="str">
        <x:v>HYPERLINK is not implemented. linkLocation=https://www.imdb.com/title/tt10405370/fullcredits/, friendlyName=Open source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7" t="e">
        <x:f>HYPERLINK("https://en.wikipedia.org/wiki/Rogue_Heroes","Open source")</x:f>
        <x:v>HYPERLINK is not implemented. linkLocation=https://en.wikipedia.org/wiki/Rogue_Heroes, friendlyName=Open source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 t="str">
        <x:v>No established-register match</x:v>
      </x:c>
      <x:c r="AT563" s="14"/>
      <x:c r="AU563" s="14"/>
      <x:c r="AV563" s="14" t="str">
        <x:v>No established apparent-disability match</x:v>
      </x:c>
      <x:c r="AW563" s="14"/>
      <x:c r="AX563" s="14" t="str">
        <x:v>No</x:v>
      </x:c>
      <x:c r="AY563" s="14" t="str">
        <x:v>Unmatched</x:v>
      </x:c>
      <x:c r="AZ563" s="14" t="str">
        <x:v>Final supplied register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13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0.07692307692307693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4" t="str">
        <x:v>HYPERLINK is not implemented. linkLocation=https://www.imdb.com/title/tt10405370/fullcredits/, friendlyName=Open source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tt10405370|nm16914429|supporting artist</x:v>
      </x:c>
      <x:c r="B564" s="14" t="str">
        <x:v>04</x:v>
      </x:c>
      <x:c r="C564" s="14" t="str">
        <x:v>2022_IMDb_Cast_Lists_Batch_04(1).xlsx</x:v>
      </x:c>
      <x:c r="D564" s="14" t="str">
        <x:v>Rogue Heroes</x:v>
      </x:c>
      <x:c r="E564" s="14" t="n">
        <x:v>115</x:v>
      </x:c>
      <x:c r="F564" s="14" t="str">
        <x:v>Rogue Heroes</x:v>
      </x:c>
      <x:c r="G564" s="14" t="str">
        <x:v>tt10405370</x:v>
      </x:c>
      <x:c r="H564" s="14" t="n">
        <x:v>2022</x:v>
      </x:c>
      <x:c r="I564" s="14" t="n">
        <x:v>2025</x:v>
      </x:c>
      <x:c r="J564" s="14" t="str">
        <x:v>Earlier-Production Carry-In Cohort</x:v>
      </x:c>
      <x:c r="K564" s="14" t="n">
        <x:v>2022</x:v>
      </x:c>
      <x:c r="L564" s="14" t="str">
        <x:v>Not inherited</x:v>
      </x:c>
      <x:c r="M564" s="15" t="n">
        <x:v>108</x:v>
      </x:c>
      <x:c r="N564" s="14" t="str">
        <x:v>Dominic Pearcy</x:v>
      </x:c>
      <x:c r="O564" s="14" t="str">
        <x:v>nm16914429</x:v>
      </x:c>
      <x:c r="P564" s="14" t="str">
        <x:v>Supporting Artist</x:v>
      </x:c>
      <x:c r="Q564" s="15" t="n">
        <x:v>1</x:v>
      </x:c>
      <x:c r="R564" s="14" t="str">
        <x:v>2025</x:v>
      </x:c>
      <x:c r="S564" s="14" t="n">
        <x:v>2025</x:v>
      </x:c>
      <x:c r="T564" s="14" t="n">
        <x:v>2025</x:v>
      </x:c>
      <x:c r="U564" s="14" t="str">
        <x:v>Explicit source first year retained</x:v>
      </x:c>
      <x:c r="V564" s="14" t="str">
        <x:v>Earliest supplied year is 2025.</x:v>
      </x:c>
      <x:c r="W564" s="14"/>
      <x:c r="X564" s="14" t="str">
        <x:v>Included</x:v>
      </x:c>
      <x:c r="Y564" s="14"/>
      <x:c r="Z564" s="14" t="str">
        <x:v>Rogue Heroes.docx</x:v>
      </x:c>
      <x:c r="AA564" s="14" t="str">
        <x:v>HYPERLINK is not implemented. linkLocation=https://www.imdb.com/title/tt10405370/fullcredits/, friendlyName=Open source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7" t="e">
        <x:f>HYPERLINK("https://en.wikipedia.org/wiki/Rogue_Heroes","Open source")</x:f>
        <x:v>HYPERLINK is not implemented. linkLocation=https://en.wikipedia.org/wiki/Rogue_Heroes, friendlyName=Open source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 t="str">
        <x:v>No established-register match</x:v>
      </x:c>
      <x:c r="AT564" s="14"/>
      <x:c r="AU564" s="14"/>
      <x:c r="AV564" s="14" t="str">
        <x:v>No established apparent-disability match</x:v>
      </x:c>
      <x:c r="AW564" s="14"/>
      <x:c r="AX564" s="14" t="str">
        <x:v>No</x:v>
      </x:c>
      <x:c r="AY564" s="14" t="str">
        <x:v>Unmatched</x:v>
      </x:c>
      <x:c r="AZ564" s="14" t="str">
        <x:v>Final supplied register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13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0.07692307692307693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4" t="str">
        <x:v>HYPERLINK is not implemented. linkLocation=https://www.imdb.com/title/tt10405370/fullcredits/, friendlyName=Open source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tt10405370|nm4122118|german prison guard</x:v>
      </x:c>
      <x:c r="B565" s="14" t="str">
        <x:v>04</x:v>
      </x:c>
      <x:c r="C565" s="14" t="str">
        <x:v>2022_IMDb_Cast_Lists_Batch_04(1).xlsx</x:v>
      </x:c>
      <x:c r="D565" s="14" t="str">
        <x:v>Rogue Heroes</x:v>
      </x:c>
      <x:c r="E565" s="14" t="n">
        <x:v>116</x:v>
      </x:c>
      <x:c r="F565" s="14" t="str">
        <x:v>Rogue Heroes</x:v>
      </x:c>
      <x:c r="G565" s="14" t="str">
        <x:v>tt10405370</x:v>
      </x:c>
      <x:c r="H565" s="14" t="n">
        <x:v>2022</x:v>
      </x:c>
      <x:c r="I565" s="14" t="n">
        <x:v>2025</x:v>
      </x:c>
      <x:c r="J565" s="14" t="str">
        <x:v>Earlier-Production Carry-In Cohort</x:v>
      </x:c>
      <x:c r="K565" s="14" t="n">
        <x:v>2022</x:v>
      </x:c>
      <x:c r="L565" s="14" t="str">
        <x:v>Not inherited</x:v>
      </x:c>
      <x:c r="M565" s="15" t="n">
        <x:v>109</x:v>
      </x:c>
      <x:c r="N565" s="14" t="str">
        <x:v>George Taylor</x:v>
      </x:c>
      <x:c r="O565" s="14" t="str">
        <x:v>nm4122118</x:v>
      </x:c>
      <x:c r="P565" s="14" t="str">
        <x:v>German Prison Guard</x:v>
      </x:c>
      <x:c r="Q565" s="15" t="n">
        <x:v>1</x:v>
      </x:c>
      <x:c r="R565" s="14" t="str">
        <x:v>2025</x:v>
      </x:c>
      <x:c r="S565" s="14" t="n">
        <x:v>2025</x:v>
      </x:c>
      <x:c r="T565" s="14" t="n">
        <x:v>2025</x:v>
      </x:c>
      <x:c r="U565" s="14" t="str">
        <x:v>Explicit source first year retained</x:v>
      </x:c>
      <x:c r="V565" s="14" t="str">
        <x:v>Earliest supplied year is 2025.</x:v>
      </x:c>
      <x:c r="W565" s="14"/>
      <x:c r="X565" s="14" t="str">
        <x:v>Included</x:v>
      </x:c>
      <x:c r="Y565" s="14"/>
      <x:c r="Z565" s="14" t="str">
        <x:v>Rogue Heroes.docx</x:v>
      </x:c>
      <x:c r="AA565" s="14" t="str">
        <x:v>HYPERLINK is not implemented. linkLocation=https://www.imdb.com/title/tt10405370/fullcredits/, friendlyName=Open source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7" t="e">
        <x:f>HYPERLINK("https://en.wikipedia.org/wiki/Rogue_Heroes","Open source")</x:f>
        <x:v>HYPERLINK is not implemented. linkLocation=https://en.wikipedia.org/wiki/Rogue_Heroes, friendlyName=Open source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 t="str">
        <x:v>No established-register match</x:v>
      </x:c>
      <x:c r="AT565" s="14"/>
      <x:c r="AU565" s="14"/>
      <x:c r="AV565" s="14" t="str">
        <x:v>No established apparent-disability match</x:v>
      </x:c>
      <x:c r="AW565" s="14"/>
      <x:c r="AX565" s="14" t="str">
        <x:v>No</x:v>
      </x:c>
      <x:c r="AY565" s="14" t="str">
        <x:v>Unmatched</x:v>
      </x:c>
      <x:c r="AZ565" s="14" t="str">
        <x:v>Final supplied register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13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0.07692307692307693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4" t="str">
        <x:v>HYPERLINK is not implemented. linkLocation=https://www.imdb.com/title/tt10405370/fullcredits/, friendlyName=Open source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tt10405370|nm0194128|giulio colombo</x:v>
      </x:c>
      <x:c r="B566" s="14" t="str">
        <x:v>04</x:v>
      </x:c>
      <x:c r="C566" s="14" t="str">
        <x:v>2022_IMDb_Cast_Lists_Batch_04(1).xlsx</x:v>
      </x:c>
      <x:c r="D566" s="14" t="str">
        <x:v>Rogue Heroes</x:v>
      </x:c>
      <x:c r="E566" s="14" t="n">
        <x:v>117</x:v>
      </x:c>
      <x:c r="F566" s="14" t="str">
        <x:v>Rogue Heroes</x:v>
      </x:c>
      <x:c r="G566" s="14" t="str">
        <x:v>tt10405370</x:v>
      </x:c>
      <x:c r="H566" s="14" t="n">
        <x:v>2022</x:v>
      </x:c>
      <x:c r="I566" s="14" t="n">
        <x:v>2025</x:v>
      </x:c>
      <x:c r="J566" s="14" t="str">
        <x:v>Earlier-Production Carry-In Cohort</x:v>
      </x:c>
      <x:c r="K566" s="14" t="n">
        <x:v>2022</x:v>
      </x:c>
      <x:c r="L566" s="14" t="str">
        <x:v>Not inherited</x:v>
      </x:c>
      <x:c r="M566" s="15" t="n">
        <x:v>110</x:v>
      </x:c>
      <x:c r="N566" s="14" t="str">
        <x:v>Rok Cvetkov</x:v>
      </x:c>
      <x:c r="O566" s="14" t="str">
        <x:v>nm0194128</x:v>
      </x:c>
      <x:c r="P566" s="14" t="str">
        <x:v>Giulio Colombo</x:v>
      </x:c>
      <x:c r="Q566" s="15" t="n">
        <x:v>1</x:v>
      </x:c>
      <x:c r="R566" s="14" t="str">
        <x:v>2025</x:v>
      </x:c>
      <x:c r="S566" s="14" t="n">
        <x:v>2025</x:v>
      </x:c>
      <x:c r="T566" s="14" t="n">
        <x:v>2025</x:v>
      </x:c>
      <x:c r="U566" s="14" t="str">
        <x:v>Explicit source first year retained</x:v>
      </x:c>
      <x:c r="V566" s="14" t="str">
        <x:v>Earliest supplied year is 2025.</x:v>
      </x:c>
      <x:c r="W566" s="14"/>
      <x:c r="X566" s="14" t="str">
        <x:v>Included</x:v>
      </x:c>
      <x:c r="Y566" s="14"/>
      <x:c r="Z566" s="14" t="str">
        <x:v>Rogue Heroes.docx</x:v>
      </x:c>
      <x:c r="AA566" s="14" t="str">
        <x:v>HYPERLINK is not implemented. linkLocation=https://www.imdb.com/title/tt10405370/fullcredits/, friendlyName=Open source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7" t="e">
        <x:f>HYPERLINK("https://en.wikipedia.org/wiki/Rogue_Heroes","Open source")</x:f>
        <x:v>HYPERLINK is not implemented. linkLocation=https://en.wikipedia.org/wiki/Rogue_Heroes, friendlyName=Open source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 t="str">
        <x:v>No established-register match</x:v>
      </x:c>
      <x:c r="AT566" s="14"/>
      <x:c r="AU566" s="14"/>
      <x:c r="AV566" s="14" t="str">
        <x:v>No established apparent-disability match</x:v>
      </x:c>
      <x:c r="AW566" s="14"/>
      <x:c r="AX566" s="14" t="str">
        <x:v>No</x:v>
      </x:c>
      <x:c r="AY566" s="14" t="str">
        <x:v>Unmatched</x:v>
      </x:c>
      <x:c r="AZ566" s="14" t="str">
        <x:v>Final supplied register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13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0.07692307692307693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4" t="str">
        <x:v>HYPERLINK is not implemented. linkLocation=https://www.imdb.com/title/tt10405370/fullcredits/, friendlyName=Open source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tt10405370|nm7447543|german surrendering officer</x:v>
      </x:c>
      <x:c r="B567" s="14" t="str">
        <x:v>04</x:v>
      </x:c>
      <x:c r="C567" s="14" t="str">
        <x:v>2022_IMDb_Cast_Lists_Batch_04(1).xlsx</x:v>
      </x:c>
      <x:c r="D567" s="14" t="str">
        <x:v>Rogue Heroes</x:v>
      </x:c>
      <x:c r="E567" s="14" t="n">
        <x:v>118</x:v>
      </x:c>
      <x:c r="F567" s="14" t="str">
        <x:v>Rogue Heroes</x:v>
      </x:c>
      <x:c r="G567" s="14" t="str">
        <x:v>tt10405370</x:v>
      </x:c>
      <x:c r="H567" s="14" t="n">
        <x:v>2022</x:v>
      </x:c>
      <x:c r="I567" s="14" t="n">
        <x:v>2025</x:v>
      </x:c>
      <x:c r="J567" s="14" t="str">
        <x:v>Earlier-Production Carry-In Cohort</x:v>
      </x:c>
      <x:c r="K567" s="14" t="n">
        <x:v>2022</x:v>
      </x:c>
      <x:c r="L567" s="14" t="str">
        <x:v>Not inherited</x:v>
      </x:c>
      <x:c r="M567" s="15" t="n">
        <x:v>111</x:v>
      </x:c>
      <x:c r="N567" s="14" t="str">
        <x:v>Terence Schweizer</x:v>
      </x:c>
      <x:c r="O567" s="14" t="str">
        <x:v>nm7447543</x:v>
      </x:c>
      <x:c r="P567" s="14" t="str">
        <x:v>German Surrendering Officer</x:v>
      </x:c>
      <x:c r="Q567" s="15" t="n">
        <x:v>1</x:v>
      </x:c>
      <x:c r="R567" s="14" t="str">
        <x:v>2025</x:v>
      </x:c>
      <x:c r="S567" s="14" t="n">
        <x:v>2025</x:v>
      </x:c>
      <x:c r="T567" s="14" t="n">
        <x:v>2025</x:v>
      </x:c>
      <x:c r="U567" s="14" t="str">
        <x:v>Explicit source first year retained</x:v>
      </x:c>
      <x:c r="V567" s="14" t="str">
        <x:v>Earliest supplied year is 2025.</x:v>
      </x:c>
      <x:c r="W567" s="14"/>
      <x:c r="X567" s="14" t="str">
        <x:v>Included</x:v>
      </x:c>
      <x:c r="Y567" s="14"/>
      <x:c r="Z567" s="14" t="str">
        <x:v>Rogue Heroes.docx</x:v>
      </x:c>
      <x:c r="AA567" s="14" t="str">
        <x:v>HYPERLINK is not implemented. linkLocation=https://www.imdb.com/title/tt10405370/fullcredits/, friendlyName=Open source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7" t="e">
        <x:f>HYPERLINK("https://en.wikipedia.org/wiki/Rogue_Heroes","Open source")</x:f>
        <x:v>HYPERLINK is not implemented. linkLocation=https://en.wikipedia.org/wiki/Rogue_Heroes, friendlyName=Open source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 t="str">
        <x:v>No established-register match</x:v>
      </x:c>
      <x:c r="AT567" s="14"/>
      <x:c r="AU567" s="14"/>
      <x:c r="AV567" s="14" t="str">
        <x:v>No established apparent-disability match</x:v>
      </x:c>
      <x:c r="AW567" s="14"/>
      <x:c r="AX567" s="14" t="str">
        <x:v>No</x:v>
      </x:c>
      <x:c r="AY567" s="14" t="str">
        <x:v>Unmatched</x:v>
      </x:c>
      <x:c r="AZ567" s="14" t="str">
        <x:v>Final supplied register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13</x:v>
      </x:c>
      <x:c r="BP567" s="14" t="str">
        <x:v>Maximum supplied eligible IMDb cast-credit total; annual episode total not independently verified.</x:v>
      </x:c>
      <x:c r="BQ567" s="14" t="str">
        <x:v>Medium</x:v>
      </x:c>
      <x:c r="BR567" s="15" t="n">
        <x:v>1</x:v>
      </x:c>
      <x:c r="BS567" s="16" t="n">
        <x:v>0.07692307692307693</x:v>
      </x:c>
      <x:c r="BT567" s="14" t="str">
        <x:v>One episode</x:v>
      </x:c>
      <x:c r="BU567" s="14" t="str">
        <x:v>Medium</x:v>
      </x:c>
      <x:c r="BV567" s="14" t="str">
        <x:v>Derived from the supplied IMDb episode count and documented production-total proxy.</x:v>
      </x:c>
      <x:c r="BW567" s="14" t="str">
        <x:v>Unable to determine</x:v>
      </x:c>
      <x:c r="BX567" s="14" t="str">
        <x:v>Cast-list and episode data do not establish narrative prominence.</x:v>
      </x:c>
      <x:c r="BY567" s="14" t="str">
        <x:v>Supplied IMDb cast-list workbook</x:v>
      </x:c>
      <x:c r="BZ567" s="14" t="str">
        <x:v>HYPERLINK is not implemented. linkLocation=https://www.imdb.com/title/tt10405370/fullcredits/, friendlyName=Open source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tt10405370|nm6773218|german officer on bridge</x:v>
      </x:c>
      <x:c r="B568" s="14" t="str">
        <x:v>04</x:v>
      </x:c>
      <x:c r="C568" s="14" t="str">
        <x:v>2022_IMDb_Cast_Lists_Batch_04(1).xlsx</x:v>
      </x:c>
      <x:c r="D568" s="14" t="str">
        <x:v>Rogue Heroes</x:v>
      </x:c>
      <x:c r="E568" s="14" t="n">
        <x:v>120</x:v>
      </x:c>
      <x:c r="F568" s="14" t="str">
        <x:v>Rogue Heroes</x:v>
      </x:c>
      <x:c r="G568" s="14" t="str">
        <x:v>tt10405370</x:v>
      </x:c>
      <x:c r="H568" s="14" t="n">
        <x:v>2022</x:v>
      </x:c>
      <x:c r="I568" s="14" t="n">
        <x:v>2025</x:v>
      </x:c>
      <x:c r="J568" s="14" t="str">
        <x:v>Earlier-Production Carry-In Cohort</x:v>
      </x:c>
      <x:c r="K568" s="14" t="n">
        <x:v>2022</x:v>
      </x:c>
      <x:c r="L568" s="14" t="str">
        <x:v>Not inherited</x:v>
      </x:c>
      <x:c r="M568" s="15" t="n">
        <x:v>113</x:v>
      </x:c>
      <x:c r="N568" s="14" t="str">
        <x:v>Robin Leo Hoffmann</x:v>
      </x:c>
      <x:c r="O568" s="14" t="str">
        <x:v>nm6773218</x:v>
      </x:c>
      <x:c r="P568" s="14" t="str">
        <x:v>German Officer on Bridge</x:v>
      </x:c>
      <x:c r="Q568" s="15" t="n">
        <x:v>1</x:v>
      </x:c>
      <x:c r="R568" s="14" t="str">
        <x:v>2025</x:v>
      </x:c>
      <x:c r="S568" s="14" t="n">
        <x:v>2025</x:v>
      </x:c>
      <x:c r="T568" s="14" t="n">
        <x:v>2025</x:v>
      </x:c>
      <x:c r="U568" s="14" t="str">
        <x:v>Explicit source first year retained</x:v>
      </x:c>
      <x:c r="V568" s="14" t="str">
        <x:v>Earliest supplied year is 2025.</x:v>
      </x:c>
      <x:c r="W568" s="14"/>
      <x:c r="X568" s="14" t="str">
        <x:v>Included</x:v>
      </x:c>
      <x:c r="Y568" s="14"/>
      <x:c r="Z568" s="14" t="str">
        <x:v>Rogue Heroes.docx</x:v>
      </x:c>
      <x:c r="AA568" s="14" t="str">
        <x:v>HYPERLINK is not implemented. linkLocation=https://www.imdb.com/title/tt10405370/fullcredits/, friendlyName=Open source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7" t="e">
        <x:f>HYPERLINK("https://en.wikipedia.org/wiki/Rogue_Heroes","Open source")</x:f>
        <x:v>HYPERLINK is not implemented. linkLocation=https://en.wikipedia.org/wiki/Rogue_Heroes, friendlyName=Open source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 t="str">
        <x:v>No established-register match</x:v>
      </x:c>
      <x:c r="AT568" s="14"/>
      <x:c r="AU568" s="14"/>
      <x:c r="AV568" s="14" t="str">
        <x:v>No established apparent-disability match</x:v>
      </x:c>
      <x:c r="AW568" s="14"/>
      <x:c r="AX568" s="14" t="str">
        <x:v>No</x:v>
      </x:c>
      <x:c r="AY568" s="14" t="str">
        <x:v>Unmatched</x:v>
      </x:c>
      <x:c r="AZ568" s="14" t="str">
        <x:v>Final supplied register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13</x:v>
      </x:c>
      <x:c r="BP568" s="14" t="str">
        <x:v>Maximum supplied eligible IMDb cast-credit total; annual episode total not independently verified.</x:v>
      </x:c>
      <x:c r="BQ568" s="14" t="str">
        <x:v>Medium</x:v>
      </x:c>
      <x:c r="BR568" s="15" t="n">
        <x:v>1</x:v>
      </x:c>
      <x:c r="BS568" s="16" t="n">
        <x:v>0.07692307692307693</x:v>
      </x:c>
      <x:c r="BT568" s="14" t="str">
        <x:v>One episode</x:v>
      </x:c>
      <x:c r="BU568" s="14" t="str">
        <x:v>Medium</x:v>
      </x:c>
      <x:c r="BV568" s="14" t="str">
        <x:v>Derived from the supplied IMDb episode count and documented production-total proxy.</x:v>
      </x:c>
      <x:c r="BW568" s="14" t="str">
        <x:v>Unable to determine</x:v>
      </x:c>
      <x:c r="BX568" s="14" t="str">
        <x:v>Cast-list and episode data do not establish narrative prominence.</x:v>
      </x:c>
      <x:c r="BY568" s="14" t="str">
        <x:v>Supplied IMDb cast-list workbook</x:v>
      </x:c>
      <x:c r="BZ568" s="14" t="str">
        <x:v>HYPERLINK is not implemented. linkLocation=https://www.imdb.com/title/tt10405370/fullcredits/, friendlyName=Open source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tt15407098|nm0018723|lord matthew sedgewick</x:v>
      </x:c>
      <x:c r="B569" s="14" t="str">
        <x:v>05</x:v>
      </x:c>
      <x:c r="C569" s="14" t="str">
        <x:v>2022_IMDb_Cast_Lists_Batch_05(1).xlsx</x:v>
      </x:c>
      <x:c r="D569" s="14" t="str">
        <x:v>Sister Boniface Mysteries</x:v>
      </x:c>
      <x:c r="E569" s="14" t="n">
        <x:v>28</x:v>
      </x:c>
      <x:c r="F569" s="14" t="str">
        <x:v>Sister Boniface Mysteries</x:v>
      </x:c>
      <x:c r="G569" s="14" t="str">
        <x:v>tt15407098</x:v>
      </x:c>
      <x:c r="H569" s="14" t="n">
        <x:v>2022</x:v>
      </x:c>
      <x:c r="I569" s="14" t="n">
        <x:v>2025</x:v>
      </x:c>
      <x:c r="J569" s="14" t="str">
        <x:v>Earlier-Production Carry-In Cohort</x:v>
      </x:c>
      <x:c r="K569" s="14" t="n">
        <x:v>2022</x:v>
      </x:c>
      <x:c r="L569" s="14" t="str">
        <x:v>Not inherited</x:v>
      </x:c>
      <x:c r="M569" s="15" t="n">
        <x:v>21</x:v>
      </x:c>
      <x:c r="N569" s="14" t="str">
        <x:v>Sam Alexander</x:v>
      </x:c>
      <x:c r="O569" s="14" t="str">
        <x:v>nm0018723</x:v>
      </x:c>
      <x:c r="P569" s="14" t="str">
        <x:v>Lord Matthew Sedgewick</x:v>
      </x:c>
      <x:c r="Q569" s="15" t="n">
        <x:v>2</x:v>
      </x:c>
      <x:c r="R569" s="14" t="str">
        <x:v>2025</x:v>
      </x:c>
      <x:c r="S569" s="14" t="n">
        <x:v>2025</x:v>
      </x:c>
      <x:c r="T569" s="14" t="n">
        <x:v>2025</x:v>
      </x:c>
      <x:c r="U569" s="14" t="str">
        <x:v>Explicit source first year retained</x:v>
      </x:c>
      <x:c r="V569" s="14" t="str">
        <x:v>Earliest supplied year is 2025.</x:v>
      </x:c>
      <x:c r="W569" s="14"/>
      <x:c r="X569" s="14" t="str">
        <x:v>Included</x:v>
      </x:c>
      <x:c r="Y569" s="14"/>
      <x:c r="Z569" s="14" t="str">
        <x:v>Sister Boniface Mysteries.docx</x:v>
      </x:c>
      <x:c r="AA569" s="14" t="str">
        <x:v>HYPERLINK is not implemented. linkLocation=https://www.imdb.com/title/tt15407098/fullcredits/, friendlyName=Open source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BritBox UK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69" s="14" t="str">
        <x:v>No qualifying BBC relationship</x:v>
      </x:c>
      <x:c r="AO569" s="14" t="str">
        <x:v>No</x:v>
      </x:c>
      <x:c r="AP569" s="14" t="str">
        <x:v>Out of scope</x:v>
      </x:c>
      <x:c r="AQ569" s="14" t="str">
        <x:v>No</x:v>
      </x:c>
      <x:c r="AR569" s="14" t="str">
        <x:v>Resolved from master register</x:v>
      </x:c>
      <x:c r="AS569" s="14" t="str">
        <x:v>No established-register match</x:v>
      </x:c>
      <x:c r="AT569" s="14"/>
      <x:c r="AU569" s="14"/>
      <x:c r="AV569" s="14" t="str">
        <x:v>No established apparent-disability match</x:v>
      </x:c>
      <x:c r="AW569" s="14"/>
      <x:c r="AX569" s="14" t="str">
        <x:v>No</x:v>
      </x:c>
      <x:c r="AY569" s="14" t="str">
        <x:v>Unmatched</x:v>
      </x:c>
      <x:c r="AZ569" s="14" t="str">
        <x:v>Final supplied register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38</x:v>
      </x:c>
      <x:c r="BP569" s="14" t="str">
        <x:v>Maximum supplied eligible IMDb cast-credit total; annual episode total not independently verified.</x:v>
      </x:c>
      <x:c r="BQ569" s="14" t="str">
        <x:v>Medium</x:v>
      </x:c>
      <x:c r="BR569" s="15" t="n">
        <x:v>2</x:v>
      </x:c>
      <x:c r="BS569" s="16" t="n">
        <x:v>0.05263157894736842</x:v>
      </x:c>
      <x:c r="BT569" s="14" t="str">
        <x:v>Minority of episodes</x:v>
      </x:c>
      <x:c r="BU569" s="14" t="str">
        <x:v>Medium</x:v>
      </x:c>
      <x:c r="BV569" s="14" t="str">
        <x:v>Derived from the supplied IMDb episode count and documented production-total proxy.</x:v>
      </x:c>
      <x:c r="BW569" s="14" t="str">
        <x:v>Unable to determine</x:v>
      </x:c>
      <x:c r="BX569" s="14" t="str">
        <x:v>Cast-list and episode data do not establish narrative prominence.</x:v>
      </x:c>
      <x:c r="BY569" s="14" t="str">
        <x:v>Supplied IMDb cast-list workbook</x:v>
      </x:c>
      <x:c r="BZ569" s="14" t="str">
        <x:v>HYPERLINK is not implemented. linkLocation=https://www.imdb.com/title/tt15407098/fullcredits/, friendlyName=Open source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tt15407098|nm2952645|freddie fuller</x:v>
      </x:c>
      <x:c r="B570" s="14" t="str">
        <x:v>05</x:v>
      </x:c>
      <x:c r="C570" s="14" t="str">
        <x:v>2022_IMDb_Cast_Lists_Batch_05(1).xlsx</x:v>
      </x:c>
      <x:c r="D570" s="14" t="str">
        <x:v>Sister Boniface Mysteries</x:v>
      </x:c>
      <x:c r="E570" s="14" t="n">
        <x:v>50</x:v>
      </x:c>
      <x:c r="F570" s="14" t="str">
        <x:v>Sister Boniface Mysteries</x:v>
      </x:c>
      <x:c r="G570" s="14" t="str">
        <x:v>tt15407098</x:v>
      </x:c>
      <x:c r="H570" s="14" t="n">
        <x:v>2022</x:v>
      </x:c>
      <x:c r="I570" s="14" t="n">
        <x:v>2025</x:v>
      </x:c>
      <x:c r="J570" s="14" t="str">
        <x:v>Earlier-Production Carry-In Cohort</x:v>
      </x:c>
      <x:c r="K570" s="14" t="n">
        <x:v>2022</x:v>
      </x:c>
      <x:c r="L570" s="14" t="str">
        <x:v>Not inherited</x:v>
      </x:c>
      <x:c r="M570" s="15" t="n">
        <x:v>43</x:v>
      </x:c>
      <x:c r="N570" s="14" t="str">
        <x:v>Jonny Weldon</x:v>
      </x:c>
      <x:c r="O570" s="14" t="str">
        <x:v>nm2952645</x:v>
      </x:c>
      <x:c r="P570" s="14" t="str">
        <x:v>Freddie Fuller</x:v>
      </x:c>
      <x:c r="Q570" s="15" t="n">
        <x:v>1</x:v>
      </x:c>
      <x:c r="R570" s="14" t="str">
        <x:v>2025</x:v>
      </x:c>
      <x:c r="S570" s="14" t="n">
        <x:v>2025</x:v>
      </x:c>
      <x:c r="T570" s="14" t="n">
        <x:v>2025</x:v>
      </x:c>
      <x:c r="U570" s="14" t="str">
        <x:v>Explicit source first year retained</x:v>
      </x:c>
      <x:c r="V570" s="14" t="str">
        <x:v>Earliest supplied year is 2025.</x:v>
      </x:c>
      <x:c r="W570" s="14"/>
      <x:c r="X570" s="14" t="str">
        <x:v>Included</x:v>
      </x:c>
      <x:c r="Y570" s="14"/>
      <x:c r="Z570" s="14" t="str">
        <x:v>Sister Boniface Mysteries.docx</x:v>
      </x:c>
      <x:c r="AA570" s="14" t="str">
        <x:v>HYPERLINK is not implemented. linkLocation=https://www.imdb.com/title/tt15407098/fullcredits/, friendlyName=Open source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BritBox UK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0" s="14" t="str">
        <x:v>No qualifying BBC relationship</x:v>
      </x:c>
      <x:c r="AO570" s="14" t="str">
        <x:v>No</x:v>
      </x:c>
      <x:c r="AP570" s="14" t="str">
        <x:v>Out of scope</x:v>
      </x:c>
      <x:c r="AQ570" s="14" t="str">
        <x:v>No</x:v>
      </x:c>
      <x:c r="AR570" s="14" t="str">
        <x:v>Resolved from master register</x:v>
      </x:c>
      <x:c r="AS570" s="14" t="str">
        <x:v>No established-register match</x:v>
      </x:c>
      <x:c r="AT570" s="14"/>
      <x:c r="AU570" s="14"/>
      <x:c r="AV570" s="14" t="str">
        <x:v>No established apparent-disability match</x:v>
      </x:c>
      <x:c r="AW570" s="14"/>
      <x:c r="AX570" s="14" t="str">
        <x:v>No</x:v>
      </x:c>
      <x:c r="AY570" s="14" t="str">
        <x:v>Unmatched</x:v>
      </x:c>
      <x:c r="AZ570" s="14" t="str">
        <x:v>Final supplied register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38</x:v>
      </x:c>
      <x:c r="BP570" s="14" t="str">
        <x:v>Maximum supplied eligible IMDb cast-credit total; annual episode total not independently verified.</x:v>
      </x:c>
      <x:c r="BQ570" s="14" t="str">
        <x:v>Medium</x:v>
      </x:c>
      <x:c r="BR570" s="15" t="n">
        <x:v>1</x:v>
      </x:c>
      <x:c r="BS570" s="16" t="n">
        <x:v>0.02631578947368421</x:v>
      </x:c>
      <x:c r="BT570" s="14" t="str">
        <x:v>One episode</x:v>
      </x:c>
      <x:c r="BU570" s="14" t="str">
        <x:v>Medium</x:v>
      </x:c>
      <x:c r="BV570" s="14" t="str">
        <x:v>Derived from the supplied IMDb episode count and documented production-total proxy.</x:v>
      </x:c>
      <x:c r="BW570" s="14" t="str">
        <x:v>Unable to determine</x:v>
      </x:c>
      <x:c r="BX570" s="14" t="str">
        <x:v>Cast-list and episode data do not establish narrative prominence.</x:v>
      </x:c>
      <x:c r="BY570" s="14" t="str">
        <x:v>Supplied IMDb cast-list workbook</x:v>
      </x:c>
      <x:c r="BZ570" s="14" t="str">
        <x:v>HYPERLINK is not implemented. linkLocation=https://www.imdb.com/title/tt15407098/fullcredits/, friendlyName=Open source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tt15407098|nm0927835|arthur millington</x:v>
      </x:c>
      <x:c r="B571" s="14" t="str">
        <x:v>05</x:v>
      </x:c>
      <x:c r="C571" s="14" t="str">
        <x:v>2022_IMDb_Cast_Lists_Batch_05(1).xlsx</x:v>
      </x:c>
      <x:c r="D571" s="14" t="str">
        <x:v>Sister Boniface Mysteries</x:v>
      </x:c>
      <x:c r="E571" s="14" t="n">
        <x:v>51</x:v>
      </x:c>
      <x:c r="F571" s="14" t="str">
        <x:v>Sister Boniface Mysteries</x:v>
      </x:c>
      <x:c r="G571" s="14" t="str">
        <x:v>tt15407098</x:v>
      </x:c>
      <x:c r="H571" s="14" t="n">
        <x:v>2022</x:v>
      </x:c>
      <x:c r="I571" s="14" t="n">
        <x:v>2025</x:v>
      </x:c>
      <x:c r="J571" s="14" t="str">
        <x:v>Earlier-Production Carry-In Cohort</x:v>
      </x:c>
      <x:c r="K571" s="14" t="n">
        <x:v>2022</x:v>
      </x:c>
      <x:c r="L571" s="14" t="str">
        <x:v>Not inherited</x:v>
      </x:c>
      <x:c r="M571" s="15" t="n">
        <x:v>44</x:v>
      </x:c>
      <x:c r="N571" s="14" t="str">
        <x:v>Peter Wight</x:v>
      </x:c>
      <x:c r="O571" s="14" t="str">
        <x:v>nm0927835</x:v>
      </x:c>
      <x:c r="P571" s="14" t="str">
        <x:v>Arthur Millington</x:v>
      </x:c>
      <x:c r="Q571" s="15" t="n">
        <x:v>1</x:v>
      </x:c>
      <x:c r="R571" s="14" t="str">
        <x:v>2025</x:v>
      </x:c>
      <x:c r="S571" s="14" t="n">
        <x:v>2025</x:v>
      </x:c>
      <x:c r="T571" s="14" t="n">
        <x:v>2025</x:v>
      </x:c>
      <x:c r="U571" s="14" t="str">
        <x:v>Explicit source first year retained</x:v>
      </x:c>
      <x:c r="V571" s="14" t="str">
        <x:v>Earliest supplied year is 2025.</x:v>
      </x:c>
      <x:c r="W571" s="14"/>
      <x:c r="X571" s="14" t="str">
        <x:v>Included</x:v>
      </x:c>
      <x:c r="Y571" s="14"/>
      <x:c r="Z571" s="14" t="str">
        <x:v>Sister Boniface Mysteries.docx</x:v>
      </x:c>
      <x:c r="AA571" s="14" t="str">
        <x:v>HYPERLINK is not implemented. linkLocation=https://www.imdb.com/title/tt15407098/fullcredits/, friendlyName=Open source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BritBox UK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1" s="14" t="str">
        <x:v>No qualifying BBC relationship</x:v>
      </x:c>
      <x:c r="AO571" s="14" t="str">
        <x:v>No</x:v>
      </x:c>
      <x:c r="AP571" s="14" t="str">
        <x:v>Out of scope</x:v>
      </x:c>
      <x:c r="AQ571" s="14" t="str">
        <x:v>No</x:v>
      </x:c>
      <x:c r="AR571" s="14" t="str">
        <x:v>Resolved from master register</x:v>
      </x:c>
      <x:c r="AS571" s="14" t="str">
        <x:v>No established-register match</x:v>
      </x:c>
      <x:c r="AT571" s="14"/>
      <x:c r="AU571" s="14"/>
      <x:c r="AV571" s="14" t="str">
        <x:v>No established apparent-disability match</x:v>
      </x:c>
      <x:c r="AW571" s="14"/>
      <x:c r="AX571" s="14" t="str">
        <x:v>No</x:v>
      </x:c>
      <x:c r="AY571" s="14" t="str">
        <x:v>Unmatched</x:v>
      </x:c>
      <x:c r="AZ571" s="14" t="str">
        <x:v>Final supplied register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38</x:v>
      </x:c>
      <x:c r="BP571" s="14" t="str">
        <x:v>Maximum supplied eligible IMDb cast-credit total; annual episode total not independently verified.</x:v>
      </x:c>
      <x:c r="BQ571" s="14" t="str">
        <x:v>Medium</x:v>
      </x:c>
      <x:c r="BR571" s="15" t="n">
        <x:v>1</x:v>
      </x:c>
      <x:c r="BS571" s="16" t="n">
        <x:v>0.02631578947368421</x:v>
      </x:c>
      <x:c r="BT571" s="14" t="str">
        <x:v>One episode</x:v>
      </x:c>
      <x:c r="BU571" s="14" t="str">
        <x:v>Medium</x:v>
      </x:c>
      <x:c r="BV571" s="14" t="str">
        <x:v>Derived from the supplied IMDb episode count and documented production-total proxy.</x:v>
      </x:c>
      <x:c r="BW571" s="14" t="str">
        <x:v>Unable to determine</x:v>
      </x:c>
      <x:c r="BX571" s="14" t="str">
        <x:v>Cast-list and episode data do not establish narrative prominence.</x:v>
      </x:c>
      <x:c r="BY571" s="14" t="str">
        <x:v>Supplied IMDb cast-list workbook</x:v>
      </x:c>
      <x:c r="BZ571" s="14" t="str">
        <x:v>HYPERLINK is not implemented. linkLocation=https://www.imdb.com/title/tt15407098/fullcredits/, friendlyName=Open source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tt15407098|nm1525717|hank sawyer / narrator</x:v>
      </x:c>
      <x:c r="B572" s="14" t="str">
        <x:v>05</x:v>
      </x:c>
      <x:c r="C572" s="14" t="str">
        <x:v>2022_IMDb_Cast_Lists_Batch_05(1).xlsx</x:v>
      </x:c>
      <x:c r="D572" s="14" t="str">
        <x:v>Sister Boniface Mysteries</x:v>
      </x:c>
      <x:c r="E572" s="14" t="n">
        <x:v>52</x:v>
      </x:c>
      <x:c r="F572" s="14" t="str">
        <x:v>Sister Boniface Mysteries</x:v>
      </x:c>
      <x:c r="G572" s="14" t="str">
        <x:v>tt15407098</x:v>
      </x:c>
      <x:c r="H572" s="14" t="n">
        <x:v>2022</x:v>
      </x:c>
      <x:c r="I572" s="14" t="n">
        <x:v>2025</x:v>
      </x:c>
      <x:c r="J572" s="14" t="str">
        <x:v>Earlier-Production Carry-In Cohort</x:v>
      </x:c>
      <x:c r="K572" s="14" t="n">
        <x:v>2022</x:v>
      </x:c>
      <x:c r="L572" s="14" t="str">
        <x:v>Not inherited</x:v>
      </x:c>
      <x:c r="M572" s="15" t="n">
        <x:v>45</x:v>
      </x:c>
      <x:c r="N572" s="14" t="str">
        <x:v>David Bedella</x:v>
      </x:c>
      <x:c r="O572" s="14" t="str">
        <x:v>nm1525717</x:v>
      </x:c>
      <x:c r="P572" s="14" t="str">
        <x:v>Hank Sawyer / Narrator</x:v>
      </x:c>
      <x:c r="Q572" s="15" t="n">
        <x:v>1</x:v>
      </x:c>
      <x:c r="R572" s="14" t="str">
        <x:v>2025</x:v>
      </x:c>
      <x:c r="S572" s="14" t="n">
        <x:v>2025</x:v>
      </x:c>
      <x:c r="T572" s="14" t="n">
        <x:v>2025</x:v>
      </x:c>
      <x:c r="U572" s="14" t="str">
        <x:v>Explicit source first year retained</x:v>
      </x:c>
      <x:c r="V572" s="14" t="str">
        <x:v>Earliest supplied year is 2025.</x:v>
      </x:c>
      <x:c r="W572" s="14"/>
      <x:c r="X572" s="14" t="str">
        <x:v>Included</x:v>
      </x:c>
      <x:c r="Y572" s="14"/>
      <x:c r="Z572" s="14" t="str">
        <x:v>Sister Boniface Mysteries.docx</x:v>
      </x:c>
      <x:c r="AA572" s="14" t="str">
        <x:v>HYPERLINK is not implemented. linkLocation=https://www.imdb.com/title/tt15407098/fullcredits/, friendlyName=Open source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BritBox UK</x:v>
      </x:c>
      <x:c r="AI572" s="14" t="str">
        <x:v>UK original 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uk original commission.</x:v>
      </x:c>
      <x:c r="AM57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2" s="14" t="str">
        <x:v>No qualifying BBC relationship</x:v>
      </x:c>
      <x:c r="AO572" s="14" t="str">
        <x:v>No</x:v>
      </x:c>
      <x:c r="AP572" s="14" t="str">
        <x:v>Out of scope</x:v>
      </x:c>
      <x:c r="AQ572" s="14" t="str">
        <x:v>No</x:v>
      </x:c>
      <x:c r="AR572" s="14" t="str">
        <x:v>Resolved from master register</x:v>
      </x:c>
      <x:c r="AS572" s="14" t="str">
        <x:v>No established-register match</x:v>
      </x:c>
      <x:c r="AT572" s="14"/>
      <x:c r="AU572" s="14"/>
      <x:c r="AV572" s="14" t="str">
        <x:v>No established apparent-disability match</x:v>
      </x:c>
      <x:c r="AW572" s="14"/>
      <x:c r="AX572" s="14" t="str">
        <x:v>No</x:v>
      </x:c>
      <x:c r="AY572" s="14" t="str">
        <x:v>Unmatched</x:v>
      </x:c>
      <x:c r="AZ572" s="14" t="str">
        <x:v>Final supplied register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38</x:v>
      </x:c>
      <x:c r="BP572" s="14" t="str">
        <x:v>Maximum supplied eligible IMDb cast-credit total; annual episode total not independently verified.</x:v>
      </x:c>
      <x:c r="BQ572" s="14" t="str">
        <x:v>Medium</x:v>
      </x:c>
      <x:c r="BR572" s="15" t="n">
        <x:v>1</x:v>
      </x:c>
      <x:c r="BS572" s="16" t="n">
        <x:v>0.02631578947368421</x:v>
      </x:c>
      <x:c r="BT572" s="14" t="str">
        <x:v>One episode</x:v>
      </x:c>
      <x:c r="BU572" s="14" t="str">
        <x:v>Medium</x:v>
      </x:c>
      <x:c r="BV572" s="14" t="str">
        <x:v>Derived from the supplied IMDb episode count and documented production-total proxy.</x:v>
      </x:c>
      <x:c r="BW572" s="14" t="str">
        <x:v>Unable to determine</x:v>
      </x:c>
      <x:c r="BX572" s="14" t="str">
        <x:v>Cast-list and episode data do not establish narrative prominence.</x:v>
      </x:c>
      <x:c r="BY572" s="14" t="str">
        <x:v>Supplied IMDb cast-list workbook</x:v>
      </x:c>
      <x:c r="BZ572" s="14" t="str">
        <x:v>HYPERLINK is not implemented. linkLocation=https://www.imdb.com/title/tt15407098/fullcredits/, friendlyName=Open source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tt15407098|nm1746538|alan yarrow</x:v>
      </x:c>
      <x:c r="B573" s="14" t="str">
        <x:v>05</x:v>
      </x:c>
      <x:c r="C573" s="14" t="str">
        <x:v>2022_IMDb_Cast_Lists_Batch_05(1).xlsx</x:v>
      </x:c>
      <x:c r="D573" s="14" t="str">
        <x:v>Sister Boniface Mysteries</x:v>
      </x:c>
      <x:c r="E573" s="14" t="n">
        <x:v>53</x:v>
      </x:c>
      <x:c r="F573" s="14" t="str">
        <x:v>Sister Boniface Mysteries</x:v>
      </x:c>
      <x:c r="G573" s="14" t="str">
        <x:v>tt15407098</x:v>
      </x:c>
      <x:c r="H573" s="14" t="n">
        <x:v>2022</x:v>
      </x:c>
      <x:c r="I573" s="14" t="n">
        <x:v>2025</x:v>
      </x:c>
      <x:c r="J573" s="14" t="str">
        <x:v>Earlier-Production Carry-In Cohort</x:v>
      </x:c>
      <x:c r="K573" s="14" t="n">
        <x:v>2022</x:v>
      </x:c>
      <x:c r="L573" s="14" t="str">
        <x:v>Not inherited</x:v>
      </x:c>
      <x:c r="M573" s="15" t="n">
        <x:v>46</x:v>
      </x:c>
      <x:c r="N573" s="14" t="str">
        <x:v>Ben Rufus Green</x:v>
      </x:c>
      <x:c r="O573" s="14" t="str">
        <x:v>nm1746538</x:v>
      </x:c>
      <x:c r="P573" s="14" t="str">
        <x:v>Alan Yarrow</x:v>
      </x:c>
      <x:c r="Q573" s="15" t="n">
        <x:v>1</x:v>
      </x:c>
      <x:c r="R573" s="14" t="str">
        <x:v>2025</x:v>
      </x:c>
      <x:c r="S573" s="14" t="n">
        <x:v>2025</x:v>
      </x:c>
      <x:c r="T573" s="14" t="n">
        <x:v>2025</x:v>
      </x:c>
      <x:c r="U573" s="14" t="str">
        <x:v>Explicit source first year retained</x:v>
      </x:c>
      <x:c r="V573" s="14" t="str">
        <x:v>Earliest supplied year is 2025.</x:v>
      </x:c>
      <x:c r="W573" s="14"/>
      <x:c r="X573" s="14" t="str">
        <x:v>Included</x:v>
      </x:c>
      <x:c r="Y573" s="14"/>
      <x:c r="Z573" s="14" t="str">
        <x:v>Sister Boniface Mysteries.docx</x:v>
      </x:c>
      <x:c r="AA573" s="14" t="str">
        <x:v>HYPERLINK is not implemented. linkLocation=https://www.imdb.com/title/tt15407098/fullcredits/, friendlyName=Open source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BritBox UK</x:v>
      </x:c>
      <x:c r="AI573" s="14" t="str">
        <x:v>UK original 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uk original commission.</x:v>
      </x:c>
      <x:c r="AM57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3" s="14" t="str">
        <x:v>No qualifying BBC relationship</x:v>
      </x:c>
      <x:c r="AO573" s="14" t="str">
        <x:v>No</x:v>
      </x:c>
      <x:c r="AP573" s="14" t="str">
        <x:v>Out of scope</x:v>
      </x:c>
      <x:c r="AQ573" s="14" t="str">
        <x:v>No</x:v>
      </x:c>
      <x:c r="AR573" s="14" t="str">
        <x:v>Resolved from master register</x:v>
      </x:c>
      <x:c r="AS573" s="14" t="str">
        <x:v>No established-register match</x:v>
      </x:c>
      <x:c r="AT573" s="14"/>
      <x:c r="AU573" s="14"/>
      <x:c r="AV573" s="14" t="str">
        <x:v>No established apparent-disability match</x:v>
      </x:c>
      <x:c r="AW573" s="14"/>
      <x:c r="AX573" s="14" t="str">
        <x:v>No</x:v>
      </x:c>
      <x:c r="AY573" s="14" t="str">
        <x:v>Unmatched</x:v>
      </x:c>
      <x:c r="AZ573" s="14" t="str">
        <x:v>Final supplied register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38</x:v>
      </x:c>
      <x:c r="BP573" s="14" t="str">
        <x:v>Maximum supplied eligible IMDb cast-credit total; annual episode total not independently verified.</x:v>
      </x:c>
      <x:c r="BQ573" s="14" t="str">
        <x:v>Medium</x:v>
      </x:c>
      <x:c r="BR573" s="15" t="n">
        <x:v>1</x:v>
      </x:c>
      <x:c r="BS573" s="16" t="n">
        <x:v>0.02631578947368421</x:v>
      </x:c>
      <x:c r="BT573" s="14" t="str">
        <x:v>One episode</x:v>
      </x:c>
      <x:c r="BU573" s="14" t="str">
        <x:v>Medium</x:v>
      </x:c>
      <x:c r="BV573" s="14" t="str">
        <x:v>Derived from the supplied IMDb episode count and documented production-total proxy.</x:v>
      </x:c>
      <x:c r="BW573" s="14" t="str">
        <x:v>Unable to determine</x:v>
      </x:c>
      <x:c r="BX573" s="14" t="str">
        <x:v>Cast-list and episode data do not establish narrative prominence.</x:v>
      </x:c>
      <x:c r="BY573" s="14" t="str">
        <x:v>Supplied IMDb cast-list workbook</x:v>
      </x:c>
      <x:c r="BZ573" s="14" t="str">
        <x:v>HYPERLINK is not implemented. linkLocation=https://www.imdb.com/title/tt15407098/fullcredits/, friendlyName=Open source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tt15407098|nm1360837|walt north / foxman</x:v>
      </x:c>
      <x:c r="B574" s="14" t="str">
        <x:v>05</x:v>
      </x:c>
      <x:c r="C574" s="14" t="str">
        <x:v>2022_IMDb_Cast_Lists_Batch_05(1).xlsx</x:v>
      </x:c>
      <x:c r="D574" s="14" t="str">
        <x:v>Sister Boniface Mysteries</x:v>
      </x:c>
      <x:c r="E574" s="14" t="n">
        <x:v>67</x:v>
      </x:c>
      <x:c r="F574" s="14" t="str">
        <x:v>Sister Boniface Mysteries</x:v>
      </x:c>
      <x:c r="G574" s="14" t="str">
        <x:v>tt15407098</x:v>
      </x:c>
      <x:c r="H574" s="14" t="n">
        <x:v>2022</x:v>
      </x:c>
      <x:c r="I574" s="14" t="n">
        <x:v>2025</x:v>
      </x:c>
      <x:c r="J574" s="14" t="str">
        <x:v>Earlier-Production Carry-In Cohort</x:v>
      </x:c>
      <x:c r="K574" s="14" t="n">
        <x:v>2022</x:v>
      </x:c>
      <x:c r="L574" s="14" t="str">
        <x:v>Not inherited</x:v>
      </x:c>
      <x:c r="M574" s="15" t="n">
        <x:v>60</x:v>
      </x:c>
      <x:c r="N574" s="14" t="str">
        <x:v>Dan Renton Skinner</x:v>
      </x:c>
      <x:c r="O574" s="14" t="str">
        <x:v>nm1360837</x:v>
      </x:c>
      <x:c r="P574" s="14" t="str">
        <x:v>Walt North / Foxman</x:v>
      </x:c>
      <x:c r="Q574" s="15" t="n">
        <x:v>1</x:v>
      </x:c>
      <x:c r="R574" s="14" t="str">
        <x:v>2025</x:v>
      </x:c>
      <x:c r="S574" s="14" t="n">
        <x:v>2025</x:v>
      </x:c>
      <x:c r="T574" s="14" t="n">
        <x:v>2025</x:v>
      </x:c>
      <x:c r="U574" s="14" t="str">
        <x:v>Explicit source first year retained</x:v>
      </x:c>
      <x:c r="V574" s="14" t="str">
        <x:v>Earliest supplied year is 2025.</x:v>
      </x:c>
      <x:c r="W574" s="14"/>
      <x:c r="X574" s="14" t="str">
        <x:v>Included</x:v>
      </x:c>
      <x:c r="Y574" s="14"/>
      <x:c r="Z574" s="14" t="str">
        <x:v>Sister Boniface Mysteries.docx</x:v>
      </x:c>
      <x:c r="AA574" s="14" t="str">
        <x:v>HYPERLINK is not implemented. linkLocation=https://www.imdb.com/title/tt15407098/fullcredits/, friendlyName=Open source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BritBox UK</x:v>
      </x:c>
      <x:c r="AI574" s="14" t="str">
        <x:v>UK original 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uk original commission.</x:v>
      </x:c>
      <x:c r="AM57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4" s="14" t="str">
        <x:v>No qualifying BBC relationship</x:v>
      </x:c>
      <x:c r="AO574" s="14" t="str">
        <x:v>No</x:v>
      </x:c>
      <x:c r="AP574" s="14" t="str">
        <x:v>Out of scope</x:v>
      </x:c>
      <x:c r="AQ574" s="14" t="str">
        <x:v>No</x:v>
      </x:c>
      <x:c r="AR574" s="14" t="str">
        <x:v>Resolved from master register</x:v>
      </x:c>
      <x:c r="AS574" s="14" t="str">
        <x:v>No established-register match</x:v>
      </x:c>
      <x:c r="AT574" s="14"/>
      <x:c r="AU574" s="14"/>
      <x:c r="AV574" s="14" t="str">
        <x:v>No established apparent-disability match</x:v>
      </x:c>
      <x:c r="AW574" s="14"/>
      <x:c r="AX574" s="14" t="str">
        <x:v>No</x:v>
      </x:c>
      <x:c r="AY574" s="14" t="str">
        <x:v>Unmatched</x:v>
      </x:c>
      <x:c r="AZ574" s="14" t="str">
        <x:v>Final supplied register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38</x:v>
      </x:c>
      <x:c r="BP574" s="14" t="str">
        <x:v>Maximum supplied eligible IMDb cast-credit total; annual episode total not independently verified.</x:v>
      </x:c>
      <x:c r="BQ574" s="14" t="str">
        <x:v>Medium</x:v>
      </x:c>
      <x:c r="BR574" s="15" t="n">
        <x:v>1</x:v>
      </x:c>
      <x:c r="BS574" s="16" t="n">
        <x:v>0.02631578947368421</x:v>
      </x:c>
      <x:c r="BT574" s="14" t="str">
        <x:v>One episode</x:v>
      </x:c>
      <x:c r="BU574" s="14" t="str">
        <x:v>Medium</x:v>
      </x:c>
      <x:c r="BV574" s="14" t="str">
        <x:v>Derived from the supplied IMDb episode count and documented production-total proxy.</x:v>
      </x:c>
      <x:c r="BW574" s="14" t="str">
        <x:v>Unable to determine</x:v>
      </x:c>
      <x:c r="BX574" s="14" t="str">
        <x:v>Cast-list and episode data do not establish narrative prominence.</x:v>
      </x:c>
      <x:c r="BY574" s="14" t="str">
        <x:v>Supplied IMDb cast-list workbook</x:v>
      </x:c>
      <x:c r="BZ574" s="14" t="str">
        <x:v>HYPERLINK is not implemented. linkLocation=https://www.imdb.com/title/tt15407098/fullcredits/, friendlyName=Open source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tt15407098|nm0808110|jeanie mcintyre</x:v>
      </x:c>
      <x:c r="B575" s="14" t="str">
        <x:v>05</x:v>
      </x:c>
      <x:c r="C575" s="14" t="str">
        <x:v>2022_IMDb_Cast_Lists_Batch_05(1).xlsx</x:v>
      </x:c>
      <x:c r="D575" s="14" t="str">
        <x:v>Sister Boniface Mysteries</x:v>
      </x:c>
      <x:c r="E575" s="14" t="n">
        <x:v>68</x:v>
      </x:c>
      <x:c r="F575" s="14" t="str">
        <x:v>Sister Boniface Mysteries</x:v>
      </x:c>
      <x:c r="G575" s="14" t="str">
        <x:v>tt15407098</x:v>
      </x:c>
      <x:c r="H575" s="14" t="n">
        <x:v>2022</x:v>
      </x:c>
      <x:c r="I575" s="14" t="n">
        <x:v>2025</x:v>
      </x:c>
      <x:c r="J575" s="14" t="str">
        <x:v>Earlier-Production Carry-In Cohort</x:v>
      </x:c>
      <x:c r="K575" s="14" t="n">
        <x:v>2022</x:v>
      </x:c>
      <x:c r="L575" s="14" t="str">
        <x:v>Not inherited</x:v>
      </x:c>
      <x:c r="M575" s="15" t="n">
        <x:v>61</x:v>
      </x:c>
      <x:c r="N575" s="14" t="str">
        <x:v>Elaine C. Smith</x:v>
      </x:c>
      <x:c r="O575" s="14" t="str">
        <x:v>nm0808110</x:v>
      </x:c>
      <x:c r="P575" s="14" t="str">
        <x:v>Jeanie McIntyre</x:v>
      </x:c>
      <x:c r="Q575" s="15" t="n">
        <x:v>1</x:v>
      </x:c>
      <x:c r="R575" s="14" t="str">
        <x:v>2025</x:v>
      </x:c>
      <x:c r="S575" s="14" t="n">
        <x:v>2025</x:v>
      </x:c>
      <x:c r="T575" s="14" t="n">
        <x:v>2025</x:v>
      </x:c>
      <x:c r="U575" s="14" t="str">
        <x:v>Explicit source first year retained</x:v>
      </x:c>
      <x:c r="V575" s="14" t="str">
        <x:v>Earliest supplied year is 2025.</x:v>
      </x:c>
      <x:c r="W575" s="14"/>
      <x:c r="X575" s="14" t="str">
        <x:v>Included</x:v>
      </x:c>
      <x:c r="Y575" s="14" t="str">
        <x:v>(as Elaine C Smith)</x:v>
      </x:c>
      <x:c r="Z575" s="14" t="str">
        <x:v>Sister Boniface Mysteries.docx</x:v>
      </x:c>
      <x:c r="AA575" s="14" t="str">
        <x:v>HYPERLINK is not implemented. linkLocation=https://www.imdb.com/title/tt15407098/fullcredits/, friendlyName=Open source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BritBox UK</x:v>
      </x:c>
      <x:c r="AI575" s="14" t="str">
        <x:v>UK original 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uk original commission.</x:v>
      </x:c>
      <x:c r="AM57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5" s="14" t="str">
        <x:v>No qualifying BBC relationship</x:v>
      </x:c>
      <x:c r="AO575" s="14" t="str">
        <x:v>No</x:v>
      </x:c>
      <x:c r="AP575" s="14" t="str">
        <x:v>Out of scope</x:v>
      </x:c>
      <x:c r="AQ575" s="14" t="str">
        <x:v>No</x:v>
      </x:c>
      <x:c r="AR575" s="14" t="str">
        <x:v>Resolved from master register</x:v>
      </x:c>
      <x:c r="AS575" s="14" t="str">
        <x:v>No established-register match</x:v>
      </x:c>
      <x:c r="AT575" s="14"/>
      <x:c r="AU575" s="14"/>
      <x:c r="AV575" s="14" t="str">
        <x:v>No established apparent-disability match</x:v>
      </x:c>
      <x:c r="AW575" s="14"/>
      <x:c r="AX575" s="14" t="str">
        <x:v>No</x:v>
      </x:c>
      <x:c r="AY575" s="14" t="str">
        <x:v>Unmatched</x:v>
      </x:c>
      <x:c r="AZ575" s="14" t="str">
        <x:v>Final supplied register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38</x:v>
      </x:c>
      <x:c r="BP575" s="14" t="str">
        <x:v>Maximum supplied eligible IMDb cast-credit total; annual episode total not independently verified.</x:v>
      </x:c>
      <x:c r="BQ575" s="14" t="str">
        <x:v>Medium</x:v>
      </x:c>
      <x:c r="BR575" s="15" t="n">
        <x:v>1</x:v>
      </x:c>
      <x:c r="BS575" s="16" t="n">
        <x:v>0.02631578947368421</x:v>
      </x:c>
      <x:c r="BT575" s="14" t="str">
        <x:v>One episode</x:v>
      </x:c>
      <x:c r="BU575" s="14" t="str">
        <x:v>Medium</x:v>
      </x:c>
      <x:c r="BV575" s="14" t="str">
        <x:v>Derived from the supplied IMDb episode count and documented production-total proxy.</x:v>
      </x:c>
      <x:c r="BW575" s="14" t="str">
        <x:v>Unable to determine</x:v>
      </x:c>
      <x:c r="BX575" s="14" t="str">
        <x:v>Cast-list and episode data do not establish narrative prominence.</x:v>
      </x:c>
      <x:c r="BY575" s="14" t="str">
        <x:v>Supplied IMDb cast-list workbook</x:v>
      </x:c>
      <x:c r="BZ575" s="14" t="str">
        <x:v>HYPERLINK is not implemented. linkLocation=https://www.imdb.com/title/tt15407098/fullcredits/, friendlyName=Open source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tt15407098|nm17691751|angela ainsworth</x:v>
      </x:c>
      <x:c r="B576" s="14" t="str">
        <x:v>05</x:v>
      </x:c>
      <x:c r="C576" s="14" t="str">
        <x:v>2022_IMDb_Cast_Lists_Batch_05(1).xlsx</x:v>
      </x:c>
      <x:c r="D576" s="14" t="str">
        <x:v>Sister Boniface Mysteries</x:v>
      </x:c>
      <x:c r="E576" s="14" t="n">
        <x:v>69</x:v>
      </x:c>
      <x:c r="F576" s="14" t="str">
        <x:v>Sister Boniface Mysteries</x:v>
      </x:c>
      <x:c r="G576" s="14" t="str">
        <x:v>tt15407098</x:v>
      </x:c>
      <x:c r="H576" s="14" t="n">
        <x:v>2022</x:v>
      </x:c>
      <x:c r="I576" s="14" t="n">
        <x:v>2025</x:v>
      </x:c>
      <x:c r="J576" s="14" t="str">
        <x:v>Earlier-Production Carry-In Cohort</x:v>
      </x:c>
      <x:c r="K576" s="14" t="n">
        <x:v>2022</x:v>
      </x:c>
      <x:c r="L576" s="14" t="str">
        <x:v>Not inherited</x:v>
      </x:c>
      <x:c r="M576" s="15" t="n">
        <x:v>62</x:v>
      </x:c>
      <x:c r="N576" s="14" t="str">
        <x:v>Hayley Johnston</x:v>
      </x:c>
      <x:c r="O576" s="14" t="str">
        <x:v>nm17691751</x:v>
      </x:c>
      <x:c r="P576" s="14" t="str">
        <x:v>Angela Ainsworth</x:v>
      </x:c>
      <x:c r="Q576" s="15" t="n">
        <x:v>1</x:v>
      </x:c>
      <x:c r="R576" s="14" t="str">
        <x:v>2025</x:v>
      </x:c>
      <x:c r="S576" s="14" t="n">
        <x:v>2025</x:v>
      </x:c>
      <x:c r="T576" s="14" t="n">
        <x:v>2025</x:v>
      </x:c>
      <x:c r="U576" s="14" t="str">
        <x:v>Explicit source first year retained</x:v>
      </x:c>
      <x:c r="V576" s="14" t="str">
        <x:v>Earliest supplied year is 2025.</x:v>
      </x:c>
      <x:c r="W576" s="14"/>
      <x:c r="X576" s="14" t="str">
        <x:v>Included</x:v>
      </x:c>
      <x:c r="Y576" s="14"/>
      <x:c r="Z576" s="14" t="str">
        <x:v>Sister Boniface Mysteries.docx</x:v>
      </x:c>
      <x:c r="AA576" s="14" t="str">
        <x:v>HYPERLINK is not implemented. linkLocation=https://www.imdb.com/title/tt15407098/fullcredits/, friendlyName=Open source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BritBox UK</x:v>
      </x:c>
      <x:c r="AI576" s="14" t="str">
        <x:v>UK original 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uk original commission.</x:v>
      </x:c>
      <x:c r="AM57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6" s="14" t="str">
        <x:v>No qualifying BBC relationship</x:v>
      </x:c>
      <x:c r="AO576" s="14" t="str">
        <x:v>No</x:v>
      </x:c>
      <x:c r="AP576" s="14" t="str">
        <x:v>Out of scope</x:v>
      </x:c>
      <x:c r="AQ576" s="14" t="str">
        <x:v>No</x:v>
      </x:c>
      <x:c r="AR576" s="14" t="str">
        <x:v>Resolved from master register</x:v>
      </x:c>
      <x:c r="AS576" s="14" t="str">
        <x:v>No established-register match</x:v>
      </x:c>
      <x:c r="AT576" s="14"/>
      <x:c r="AU576" s="14"/>
      <x:c r="AV576" s="14" t="str">
        <x:v>No established apparent-disability match</x:v>
      </x:c>
      <x:c r="AW576" s="14"/>
      <x:c r="AX576" s="14" t="str">
        <x:v>No</x:v>
      </x:c>
      <x:c r="AY576" s="14" t="str">
        <x:v>Unmatched</x:v>
      </x:c>
      <x:c r="AZ576" s="14" t="str">
        <x:v>Final supplied register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38</x:v>
      </x:c>
      <x:c r="BP576" s="14" t="str">
        <x:v>Maximum supplied eligible IMDb cast-credit total; annual episode total not independently verified.</x:v>
      </x:c>
      <x:c r="BQ576" s="14" t="str">
        <x:v>Medium</x:v>
      </x:c>
      <x:c r="BR576" s="15" t="n">
        <x:v>1</x:v>
      </x:c>
      <x:c r="BS576" s="16" t="n">
        <x:v>0.02631578947368421</x:v>
      </x:c>
      <x:c r="BT576" s="14" t="str">
        <x:v>One episode</x:v>
      </x:c>
      <x:c r="BU576" s="14" t="str">
        <x:v>Medium</x:v>
      </x:c>
      <x:c r="BV576" s="14" t="str">
        <x:v>Derived from the supplied IMDb episode count and documented production-total proxy.</x:v>
      </x:c>
      <x:c r="BW576" s="14" t="str">
        <x:v>Unable to determine</x:v>
      </x:c>
      <x:c r="BX576" s="14" t="str">
        <x:v>Cast-list and episode data do not establish narrative prominence.</x:v>
      </x:c>
      <x:c r="BY576" s="14" t="str">
        <x:v>Supplied IMDb cast-list workbook</x:v>
      </x:c>
      <x:c r="BZ576" s="14" t="str">
        <x:v>HYPERLINK is not implemented. linkLocation=https://www.imdb.com/title/tt15407098/fullcredits/, friendlyName=Open source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tt15407098|nm4044551|brett hyde / beaver</x:v>
      </x:c>
      <x:c r="B577" s="14" t="str">
        <x:v>05</x:v>
      </x:c>
      <x:c r="C577" s="14" t="str">
        <x:v>2022_IMDb_Cast_Lists_Batch_05(1).xlsx</x:v>
      </x:c>
      <x:c r="D577" s="14" t="str">
        <x:v>Sister Boniface Mysteries</x:v>
      </x:c>
      <x:c r="E577" s="14" t="n">
        <x:v>85</x:v>
      </x:c>
      <x:c r="F577" s="14" t="str">
        <x:v>Sister Boniface Mysteries</x:v>
      </x:c>
      <x:c r="G577" s="14" t="str">
        <x:v>tt15407098</x:v>
      </x:c>
      <x:c r="H577" s="14" t="n">
        <x:v>2022</x:v>
      </x:c>
      <x:c r="I577" s="14" t="n">
        <x:v>2025</x:v>
      </x:c>
      <x:c r="J577" s="14" t="str">
        <x:v>Earlier-Production Carry-In Cohort</x:v>
      </x:c>
      <x:c r="K577" s="14" t="n">
        <x:v>2022</x:v>
      </x:c>
      <x:c r="L577" s="14" t="str">
        <x:v>Not inherited</x:v>
      </x:c>
      <x:c r="M577" s="15" t="n">
        <x:v>78</x:v>
      </x:c>
      <x:c r="N577" s="14" t="str">
        <x:v>Nathan McMullen</x:v>
      </x:c>
      <x:c r="O577" s="14" t="str">
        <x:v>nm4044551</x:v>
      </x:c>
      <x:c r="P577" s="14" t="str">
        <x:v>Brett Hyde / Beaver</x:v>
      </x:c>
      <x:c r="Q577" s="15" t="n">
        <x:v>1</x:v>
      </x:c>
      <x:c r="R577" s="14" t="str">
        <x:v>2025</x:v>
      </x:c>
      <x:c r="S577" s="14" t="n">
        <x:v>2025</x:v>
      </x:c>
      <x:c r="T577" s="14" t="n">
        <x:v>2025</x:v>
      </x:c>
      <x:c r="U577" s="14" t="str">
        <x:v>Explicit source first year retained</x:v>
      </x:c>
      <x:c r="V577" s="14" t="str">
        <x:v>Earliest supplied year is 2025.</x:v>
      </x:c>
      <x:c r="W577" s="14"/>
      <x:c r="X577" s="14" t="str">
        <x:v>Included</x:v>
      </x:c>
      <x:c r="Y577" s="14"/>
      <x:c r="Z577" s="14" t="str">
        <x:v>Sister Boniface Mysteries.docx</x:v>
      </x:c>
      <x:c r="AA577" s="14" t="str">
        <x:v>HYPERLINK is not implemented. linkLocation=https://www.imdb.com/title/tt15407098/fullcredits/, friendlyName=Open source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BritBox UK</x:v>
      </x:c>
      <x:c r="AI577" s="14" t="str">
        <x:v>UK original 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uk original commission.</x:v>
      </x:c>
      <x:c r="AM57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7" s="14" t="str">
        <x:v>No qualifying BBC relationship</x:v>
      </x:c>
      <x:c r="AO577" s="14" t="str">
        <x:v>No</x:v>
      </x:c>
      <x:c r="AP577" s="14" t="str">
        <x:v>Out of scope</x:v>
      </x:c>
      <x:c r="AQ577" s="14" t="str">
        <x:v>No</x:v>
      </x:c>
      <x:c r="AR577" s="14" t="str">
        <x:v>Resolved from master register</x:v>
      </x:c>
      <x:c r="AS577" s="14" t="str">
        <x:v>No established-register match</x:v>
      </x:c>
      <x:c r="AT577" s="14"/>
      <x:c r="AU577" s="14"/>
      <x:c r="AV577" s="14" t="str">
        <x:v>No established apparent-disability match</x:v>
      </x:c>
      <x:c r="AW577" s="14"/>
      <x:c r="AX577" s="14" t="str">
        <x:v>No</x:v>
      </x:c>
      <x:c r="AY577" s="14" t="str">
        <x:v>Unmatched</x:v>
      </x:c>
      <x:c r="AZ577" s="14" t="str">
        <x:v>Final supplied register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38</x:v>
      </x:c>
      <x:c r="BP577" s="14" t="str">
        <x:v>Maximum supplied eligible IMDb cast-credit total; annual episode total not independently verified.</x:v>
      </x:c>
      <x:c r="BQ577" s="14" t="str">
        <x:v>Medium</x:v>
      </x:c>
      <x:c r="BR577" s="15" t="n">
        <x:v>1</x:v>
      </x:c>
      <x:c r="BS577" s="16" t="n">
        <x:v>0.02631578947368421</x:v>
      </x:c>
      <x:c r="BT577" s="14" t="str">
        <x:v>One episode</x:v>
      </x:c>
      <x:c r="BU577" s="14" t="str">
        <x:v>Medium</x:v>
      </x:c>
      <x:c r="BV577" s="14" t="str">
        <x:v>Derived from the supplied IMDb episode count and documented production-total proxy.</x:v>
      </x:c>
      <x:c r="BW577" s="14" t="str">
        <x:v>Unable to determine</x:v>
      </x:c>
      <x:c r="BX577" s="14" t="str">
        <x:v>Cast-list and episode data do not establish narrative prominence.</x:v>
      </x:c>
      <x:c r="BY577" s="14" t="str">
        <x:v>Supplied IMDb cast-list workbook</x:v>
      </x:c>
      <x:c r="BZ577" s="14" t="str">
        <x:v>HYPERLINK is not implemented. linkLocation=https://www.imdb.com/title/tt15407098/fullcredits/, friendlyName=Open source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tt15407098|nm3544818|bernice mcdowell</x:v>
      </x:c>
      <x:c r="B578" s="14" t="str">
        <x:v>05</x:v>
      </x:c>
      <x:c r="C578" s="14" t="str">
        <x:v>2022_IMDb_Cast_Lists_Batch_05(1).xlsx</x:v>
      </x:c>
      <x:c r="D578" s="14" t="str">
        <x:v>Sister Boniface Mysteries</x:v>
      </x:c>
      <x:c r="E578" s="14" t="n">
        <x:v>86</x:v>
      </x:c>
      <x:c r="F578" s="14" t="str">
        <x:v>Sister Boniface Mysteries</x:v>
      </x:c>
      <x:c r="G578" s="14" t="str">
        <x:v>tt15407098</x:v>
      </x:c>
      <x:c r="H578" s="14" t="n">
        <x:v>2022</x:v>
      </x:c>
      <x:c r="I578" s="14" t="n">
        <x:v>2025</x:v>
      </x:c>
      <x:c r="J578" s="14" t="str">
        <x:v>Earlier-Production Carry-In Cohort</x:v>
      </x:c>
      <x:c r="K578" s="14" t="n">
        <x:v>2022</x:v>
      </x:c>
      <x:c r="L578" s="14" t="str">
        <x:v>Not inherited</x:v>
      </x:c>
      <x:c r="M578" s="15" t="n">
        <x:v>79</x:v>
      </x:c>
      <x:c r="N578" s="14" t="str">
        <x:v>Dani Moseley</x:v>
      </x:c>
      <x:c r="O578" s="14" t="str">
        <x:v>nm3544818</x:v>
      </x:c>
      <x:c r="P578" s="14" t="str">
        <x:v>Bernice McDowell</x:v>
      </x:c>
      <x:c r="Q578" s="15" t="n">
        <x:v>1</x:v>
      </x:c>
      <x:c r="R578" s="14" t="str">
        <x:v>2025</x:v>
      </x:c>
      <x:c r="S578" s="14" t="n">
        <x:v>2025</x:v>
      </x:c>
      <x:c r="T578" s="14" t="n">
        <x:v>2025</x:v>
      </x:c>
      <x:c r="U578" s="14" t="str">
        <x:v>Explicit source first year retained</x:v>
      </x:c>
      <x:c r="V578" s="14" t="str">
        <x:v>Earliest supplied year is 2025.</x:v>
      </x:c>
      <x:c r="W578" s="14"/>
      <x:c r="X578" s="14" t="str">
        <x:v>Included</x:v>
      </x:c>
      <x:c r="Y578" s="14"/>
      <x:c r="Z578" s="14" t="str">
        <x:v>Sister Boniface Mysteries.docx</x:v>
      </x:c>
      <x:c r="AA578" s="14" t="str">
        <x:v>HYPERLINK is not implemented. linkLocation=https://www.imdb.com/title/tt15407098/fullcredits/, friendlyName=Open source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BritBox UK</x:v>
      </x:c>
      <x:c r="AI578" s="14" t="str">
        <x:v>UK original 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uk original commission.</x:v>
      </x:c>
      <x:c r="AM57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8" s="14" t="str">
        <x:v>No qualifying BBC relationship</x:v>
      </x:c>
      <x:c r="AO578" s="14" t="str">
        <x:v>No</x:v>
      </x:c>
      <x:c r="AP578" s="14" t="str">
        <x:v>Out of scope</x:v>
      </x:c>
      <x:c r="AQ578" s="14" t="str">
        <x:v>No</x:v>
      </x:c>
      <x:c r="AR578" s="14" t="str">
        <x:v>Resolved from master register</x:v>
      </x:c>
      <x:c r="AS578" s="14" t="str">
        <x:v>No established-register match</x:v>
      </x:c>
      <x:c r="AT578" s="14"/>
      <x:c r="AU578" s="14"/>
      <x:c r="AV578" s="14" t="str">
        <x:v>No established apparent-disability match</x:v>
      </x:c>
      <x:c r="AW578" s="14"/>
      <x:c r="AX578" s="14" t="str">
        <x:v>No</x:v>
      </x:c>
      <x:c r="AY578" s="14" t="str">
        <x:v>Unmatched</x:v>
      </x:c>
      <x:c r="AZ578" s="14" t="str">
        <x:v>Final supplied register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38</x:v>
      </x:c>
      <x:c r="BP578" s="14" t="str">
        <x:v>Maximum supplied eligible IMDb cast-credit total; annual episode total not independently verified.</x:v>
      </x:c>
      <x:c r="BQ578" s="14" t="str">
        <x:v>Medium</x:v>
      </x:c>
      <x:c r="BR578" s="15" t="n">
        <x:v>1</x:v>
      </x:c>
      <x:c r="BS578" s="16" t="n">
        <x:v>0.02631578947368421</x:v>
      </x:c>
      <x:c r="BT578" s="14" t="str">
        <x:v>One episode</x:v>
      </x:c>
      <x:c r="BU578" s="14" t="str">
        <x:v>Medium</x:v>
      </x:c>
      <x:c r="BV578" s="14" t="str">
        <x:v>Derived from the supplied IMDb episode count and documented production-total proxy.</x:v>
      </x:c>
      <x:c r="BW578" s="14" t="str">
        <x:v>Unable to determine</x:v>
      </x:c>
      <x:c r="BX578" s="14" t="str">
        <x:v>Cast-list and episode data do not establish narrative prominence.</x:v>
      </x:c>
      <x:c r="BY578" s="14" t="str">
        <x:v>Supplied IMDb cast-list workbook</x:v>
      </x:c>
      <x:c r="BZ578" s="14" t="str">
        <x:v>HYPERLINK is not implemented. linkLocation=https://www.imdb.com/title/tt15407098/fullcredits/, friendlyName=Open source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tt15407098|nm0057073|giles penistone</x:v>
      </x:c>
      <x:c r="B579" s="14" t="str">
        <x:v>05</x:v>
      </x:c>
      <x:c r="C579" s="14" t="str">
        <x:v>2022_IMDb_Cast_Lists_Batch_05(1).xlsx</x:v>
      </x:c>
      <x:c r="D579" s="14" t="str">
        <x:v>Sister Boniface Mysteries</x:v>
      </x:c>
      <x:c r="E579" s="14" t="n">
        <x:v>87</x:v>
      </x:c>
      <x:c r="F579" s="14" t="str">
        <x:v>Sister Boniface Mysteries</x:v>
      </x:c>
      <x:c r="G579" s="14" t="str">
        <x:v>tt15407098</x:v>
      </x:c>
      <x:c r="H579" s="14" t="n">
        <x:v>2022</x:v>
      </x:c>
      <x:c r="I579" s="14" t="n">
        <x:v>2025</x:v>
      </x:c>
      <x:c r="J579" s="14" t="str">
        <x:v>Earlier-Production Carry-In Cohort</x:v>
      </x:c>
      <x:c r="K579" s="14" t="n">
        <x:v>2022</x:v>
      </x:c>
      <x:c r="L579" s="14" t="str">
        <x:v>Not inherited</x:v>
      </x:c>
      <x:c r="M579" s="15" t="n">
        <x:v>80</x:v>
      </x:c>
      <x:c r="N579" s="14" t="str">
        <x:v>Bob Barrett</x:v>
      </x:c>
      <x:c r="O579" s="14" t="str">
        <x:v>nm0057073</x:v>
      </x:c>
      <x:c r="P579" s="14" t="str">
        <x:v>Giles Penistone</x:v>
      </x:c>
      <x:c r="Q579" s="15" t="n">
        <x:v>1</x:v>
      </x:c>
      <x:c r="R579" s="14" t="str">
        <x:v>2025</x:v>
      </x:c>
      <x:c r="S579" s="14" t="n">
        <x:v>2025</x:v>
      </x:c>
      <x:c r="T579" s="14" t="n">
        <x:v>2025</x:v>
      </x:c>
      <x:c r="U579" s="14" t="str">
        <x:v>Explicit source first year retained</x:v>
      </x:c>
      <x:c r="V579" s="14" t="str">
        <x:v>Earliest supplied year is 2025.</x:v>
      </x:c>
      <x:c r="W579" s="14"/>
      <x:c r="X579" s="14" t="str">
        <x:v>Included</x:v>
      </x:c>
      <x:c r="Y579" s="14"/>
      <x:c r="Z579" s="14" t="str">
        <x:v>Sister Boniface Mysteries.docx</x:v>
      </x:c>
      <x:c r="AA579" s="14" t="str">
        <x:v>HYPERLINK is not implemented. linkLocation=https://www.imdb.com/title/tt15407098/fullcredits/, friendlyName=Open source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BritBox UK</x:v>
      </x:c>
      <x:c r="AI579" s="14" t="str">
        <x:v>UK original 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uk original commission.</x:v>
      </x:c>
      <x:c r="AM57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79" s="14" t="str">
        <x:v>No qualifying BBC relationship</x:v>
      </x:c>
      <x:c r="AO579" s="14" t="str">
        <x:v>No</x:v>
      </x:c>
      <x:c r="AP579" s="14" t="str">
        <x:v>Out of scope</x:v>
      </x:c>
      <x:c r="AQ579" s="14" t="str">
        <x:v>No</x:v>
      </x:c>
      <x:c r="AR579" s="14" t="str">
        <x:v>Resolved from master register</x:v>
      </x:c>
      <x:c r="AS579" s="14" t="str">
        <x:v>No established-register match</x:v>
      </x:c>
      <x:c r="AT579" s="14"/>
      <x:c r="AU579" s="14"/>
      <x:c r="AV579" s="14" t="str">
        <x:v>No established apparent-disability match</x:v>
      </x:c>
      <x:c r="AW579" s="14"/>
      <x:c r="AX579" s="14" t="str">
        <x:v>No</x:v>
      </x:c>
      <x:c r="AY579" s="14" t="str">
        <x:v>Unmatched</x:v>
      </x:c>
      <x:c r="AZ579" s="14" t="str">
        <x:v>Final supplied register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38</x:v>
      </x:c>
      <x:c r="BP579" s="14" t="str">
        <x:v>Maximum supplied eligible IMDb cast-credit total; annual episode total not independently verified.</x:v>
      </x:c>
      <x:c r="BQ579" s="14" t="str">
        <x:v>Medium</x:v>
      </x:c>
      <x:c r="BR579" s="15" t="n">
        <x:v>1</x:v>
      </x:c>
      <x:c r="BS579" s="16" t="n">
        <x:v>0.02631578947368421</x:v>
      </x:c>
      <x:c r="BT579" s="14" t="str">
        <x:v>One episode</x:v>
      </x:c>
      <x:c r="BU579" s="14" t="str">
        <x:v>Medium</x:v>
      </x:c>
      <x:c r="BV579" s="14" t="str">
        <x:v>Derived from the supplied IMDb episode count and documented production-total proxy.</x:v>
      </x:c>
      <x:c r="BW579" s="14" t="str">
        <x:v>Unable to determine</x:v>
      </x:c>
      <x:c r="BX579" s="14" t="str">
        <x:v>Cast-list and episode data do not establish narrative prominence.</x:v>
      </x:c>
      <x:c r="BY579" s="14" t="str">
        <x:v>Supplied IMDb cast-list workbook</x:v>
      </x:c>
      <x:c r="BZ579" s="14" t="str">
        <x:v>HYPERLINK is not implemented. linkLocation=https://www.imdb.com/title/tt15407098/fullcredits/, friendlyName=Open source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tt15407098|nm0730394|sister laurence</x:v>
      </x:c>
      <x:c r="B580" s="14" t="str">
        <x:v>05</x:v>
      </x:c>
      <x:c r="C580" s="14" t="str">
        <x:v>2022_IMDb_Cast_Lists_Batch_05(1).xlsx</x:v>
      </x:c>
      <x:c r="D580" s="14" t="str">
        <x:v>Sister Boniface Mysteries</x:v>
      </x:c>
      <x:c r="E580" s="14" t="n">
        <x:v>104</x:v>
      </x:c>
      <x:c r="F580" s="14" t="str">
        <x:v>Sister Boniface Mysteries</x:v>
      </x:c>
      <x:c r="G580" s="14" t="str">
        <x:v>tt15407098</x:v>
      </x:c>
      <x:c r="H580" s="14" t="n">
        <x:v>2022</x:v>
      </x:c>
      <x:c r="I580" s="14" t="n">
        <x:v>2025</x:v>
      </x:c>
      <x:c r="J580" s="14" t="str">
        <x:v>Earlier-Production Carry-In Cohort</x:v>
      </x:c>
      <x:c r="K580" s="14" t="n">
        <x:v>2022</x:v>
      </x:c>
      <x:c r="L580" s="14" t="str">
        <x:v>Not inherited</x:v>
      </x:c>
      <x:c r="M580" s="15" t="n">
        <x:v>97</x:v>
      </x:c>
      <x:c r="N580" s="14" t="str">
        <x:v>Kate Robbins</x:v>
      </x:c>
      <x:c r="O580" s="14" t="str">
        <x:v>nm0730394</x:v>
      </x:c>
      <x:c r="P580" s="14" t="str">
        <x:v>Sister Laurence</x:v>
      </x:c>
      <x:c r="Q580" s="15" t="n">
        <x:v>1</x:v>
      </x:c>
      <x:c r="R580" s="14" t="str">
        <x:v>2025</x:v>
      </x:c>
      <x:c r="S580" s="14" t="n">
        <x:v>2025</x:v>
      </x:c>
      <x:c r="T580" s="14" t="n">
        <x:v>2025</x:v>
      </x:c>
      <x:c r="U580" s="14" t="str">
        <x:v>Explicit source first year retained</x:v>
      </x:c>
      <x:c r="V580" s="14" t="str">
        <x:v>Earliest supplied year is 2025.</x:v>
      </x:c>
      <x:c r="W580" s="14"/>
      <x:c r="X580" s="14" t="str">
        <x:v>Included</x:v>
      </x:c>
      <x:c r="Y580" s="14"/>
      <x:c r="Z580" s="14" t="str">
        <x:v>Sister Boniface Mysteries.docx</x:v>
      </x:c>
      <x:c r="AA580" s="14" t="str">
        <x:v>HYPERLINK is not implemented. linkLocation=https://www.imdb.com/title/tt15407098/fullcredits/, friendlyName=Open source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BritBox UK</x:v>
      </x:c>
      <x:c r="AI580" s="14" t="str">
        <x:v>UK original 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uk original commission.</x:v>
      </x:c>
      <x:c r="AM58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0" s="14" t="str">
        <x:v>No qualifying BBC relationship</x:v>
      </x:c>
      <x:c r="AO580" s="14" t="str">
        <x:v>No</x:v>
      </x:c>
      <x:c r="AP580" s="14" t="str">
        <x:v>Out of scope</x:v>
      </x:c>
      <x:c r="AQ580" s="14" t="str">
        <x:v>No</x:v>
      </x:c>
      <x:c r="AR580" s="14" t="str">
        <x:v>Resolved from master register</x:v>
      </x:c>
      <x:c r="AS580" s="14" t="str">
        <x:v>No established-register match</x:v>
      </x:c>
      <x:c r="AT580" s="14"/>
      <x:c r="AU580" s="14"/>
      <x:c r="AV580" s="14" t="str">
        <x:v>No established apparent-disability match</x:v>
      </x:c>
      <x:c r="AW580" s="14"/>
      <x:c r="AX580" s="14" t="str">
        <x:v>No</x:v>
      </x:c>
      <x:c r="AY580" s="14" t="str">
        <x:v>Unmatched</x:v>
      </x:c>
      <x:c r="AZ580" s="14" t="str">
        <x:v>Final supplied register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38</x:v>
      </x:c>
      <x:c r="BP580" s="14" t="str">
        <x:v>Maximum supplied eligible IMDb cast-credit total; annual episode total not independently verified.</x:v>
      </x:c>
      <x:c r="BQ580" s="14" t="str">
        <x:v>Medium</x:v>
      </x:c>
      <x:c r="BR580" s="15" t="n">
        <x:v>1</x:v>
      </x:c>
      <x:c r="BS580" s="16" t="n">
        <x:v>0.02631578947368421</x:v>
      </x:c>
      <x:c r="BT580" s="14" t="str">
        <x:v>One episode</x:v>
      </x:c>
      <x:c r="BU580" s="14" t="str">
        <x:v>Medium</x:v>
      </x:c>
      <x:c r="BV580" s="14" t="str">
        <x:v>Derived from the supplied IMDb episode count and documented production-total proxy.</x:v>
      </x:c>
      <x:c r="BW580" s="14" t="str">
        <x:v>Unable to determine</x:v>
      </x:c>
      <x:c r="BX580" s="14" t="str">
        <x:v>Cast-list and episode data do not establish narrative prominence.</x:v>
      </x:c>
      <x:c r="BY580" s="14" t="str">
        <x:v>Supplied IMDb cast-list workbook</x:v>
      </x:c>
      <x:c r="BZ580" s="14" t="str">
        <x:v>HYPERLINK is not implemented. linkLocation=https://www.imdb.com/title/tt15407098/fullcredits/, friendlyName=Open source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tt15407098|nm2678436|malcolm everett</x:v>
      </x:c>
      <x:c r="B581" s="14" t="str">
        <x:v>05</x:v>
      </x:c>
      <x:c r="C581" s="14" t="str">
        <x:v>2022_IMDb_Cast_Lists_Batch_05(1).xlsx</x:v>
      </x:c>
      <x:c r="D581" s="14" t="str">
        <x:v>Sister Boniface Mysteries</x:v>
      </x:c>
      <x:c r="E581" s="14" t="n">
        <x:v>105</x:v>
      </x:c>
      <x:c r="F581" s="14" t="str">
        <x:v>Sister Boniface Mysteries</x:v>
      </x:c>
      <x:c r="G581" s="14" t="str">
        <x:v>tt15407098</x:v>
      </x:c>
      <x:c r="H581" s="14" t="n">
        <x:v>2022</x:v>
      </x:c>
      <x:c r="I581" s="14" t="n">
        <x:v>2025</x:v>
      </x:c>
      <x:c r="J581" s="14" t="str">
        <x:v>Earlier-Production Carry-In Cohort</x:v>
      </x:c>
      <x:c r="K581" s="14" t="n">
        <x:v>2022</x:v>
      </x:c>
      <x:c r="L581" s="14" t="str">
        <x:v>Not inherited</x:v>
      </x:c>
      <x:c r="M581" s="15" t="n">
        <x:v>98</x:v>
      </x:c>
      <x:c r="N581" s="14" t="str">
        <x:v>Joe Tracini</x:v>
      </x:c>
      <x:c r="O581" s="14" t="str">
        <x:v>nm2678436</x:v>
      </x:c>
      <x:c r="P581" s="14" t="str">
        <x:v>Malcolm Everett</x:v>
      </x:c>
      <x:c r="Q581" s="15" t="n">
        <x:v>1</x:v>
      </x:c>
      <x:c r="R581" s="14" t="str">
        <x:v>2025</x:v>
      </x:c>
      <x:c r="S581" s="14" t="n">
        <x:v>2025</x:v>
      </x:c>
      <x:c r="T581" s="14" t="n">
        <x:v>2025</x:v>
      </x:c>
      <x:c r="U581" s="14" t="str">
        <x:v>Explicit source first year retained</x:v>
      </x:c>
      <x:c r="V581" s="14" t="str">
        <x:v>Earliest supplied year is 2025.</x:v>
      </x:c>
      <x:c r="W581" s="14"/>
      <x:c r="X581" s="14" t="str">
        <x:v>Included</x:v>
      </x:c>
      <x:c r="Y581" s="14"/>
      <x:c r="Z581" s="14" t="str">
        <x:v>Sister Boniface Mysteries.docx</x:v>
      </x:c>
      <x:c r="AA581" s="14" t="str">
        <x:v>HYPERLINK is not implemented. linkLocation=https://www.imdb.com/title/tt15407098/fullcredits/, friendlyName=Open source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BritBox UK</x:v>
      </x:c>
      <x:c r="AI581" s="14" t="str">
        <x:v>UK original 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uk original commission.</x:v>
      </x:c>
      <x:c r="AM58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1" s="14" t="str">
        <x:v>No qualifying BBC relationship</x:v>
      </x:c>
      <x:c r="AO581" s="14" t="str">
        <x:v>No</x:v>
      </x:c>
      <x:c r="AP581" s="14" t="str">
        <x:v>Out of scope</x:v>
      </x:c>
      <x:c r="AQ581" s="14" t="str">
        <x:v>No</x:v>
      </x:c>
      <x:c r="AR581" s="14" t="str">
        <x:v>Resolved from master register</x:v>
      </x:c>
      <x:c r="AS581" s="14" t="str">
        <x:v>No established-register match</x:v>
      </x:c>
      <x:c r="AT581" s="14"/>
      <x:c r="AU581" s="14"/>
      <x:c r="AV581" s="14" t="str">
        <x:v>No established apparent-disability match</x:v>
      </x:c>
      <x:c r="AW581" s="14"/>
      <x:c r="AX581" s="14" t="str">
        <x:v>No</x:v>
      </x:c>
      <x:c r="AY581" s="14" t="str">
        <x:v>Unmatched</x:v>
      </x:c>
      <x:c r="AZ581" s="14" t="str">
        <x:v>Final supplied register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38</x:v>
      </x:c>
      <x:c r="BP581" s="14" t="str">
        <x:v>Maximum supplied eligible IMDb cast-credit total; annual episode total not independently verified.</x:v>
      </x:c>
      <x:c r="BQ581" s="14" t="str">
        <x:v>Medium</x:v>
      </x:c>
      <x:c r="BR581" s="15" t="n">
        <x:v>1</x:v>
      </x:c>
      <x:c r="BS581" s="16" t="n">
        <x:v>0.02631578947368421</x:v>
      </x:c>
      <x:c r="BT581" s="14" t="str">
        <x:v>One episode</x:v>
      </x:c>
      <x:c r="BU581" s="14" t="str">
        <x:v>Medium</x:v>
      </x:c>
      <x:c r="BV581" s="14" t="str">
        <x:v>Derived from the supplied IMDb episode count and documented production-total proxy.</x:v>
      </x:c>
      <x:c r="BW581" s="14" t="str">
        <x:v>Unable to determine</x:v>
      </x:c>
      <x:c r="BX581" s="14" t="str">
        <x:v>Cast-list and episode data do not establish narrative prominence.</x:v>
      </x:c>
      <x:c r="BY581" s="14" t="str">
        <x:v>Supplied IMDb cast-list workbook</x:v>
      </x:c>
      <x:c r="BZ581" s="14" t="str">
        <x:v>HYPERLINK is not implemented. linkLocation=https://www.imdb.com/title/tt15407098/fullcredits/, friendlyName=Open source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tt15407098|nm1721608|daisy dunn</x:v>
      </x:c>
      <x:c r="B582" s="14" t="str">
        <x:v>05</x:v>
      </x:c>
      <x:c r="C582" s="14" t="str">
        <x:v>2022_IMDb_Cast_Lists_Batch_05(1).xlsx</x:v>
      </x:c>
      <x:c r="D582" s="14" t="str">
        <x:v>Sister Boniface Mysteries</x:v>
      </x:c>
      <x:c r="E582" s="14" t="n">
        <x:v>106</x:v>
      </x:c>
      <x:c r="F582" s="14" t="str">
        <x:v>Sister Boniface Mysteries</x:v>
      </x:c>
      <x:c r="G582" s="14" t="str">
        <x:v>tt15407098</x:v>
      </x:c>
      <x:c r="H582" s="14" t="n">
        <x:v>2022</x:v>
      </x:c>
      <x:c r="I582" s="14" t="n">
        <x:v>2025</x:v>
      </x:c>
      <x:c r="J582" s="14" t="str">
        <x:v>Earlier-Production Carry-In Cohort</x:v>
      </x:c>
      <x:c r="K582" s="14" t="n">
        <x:v>2022</x:v>
      </x:c>
      <x:c r="L582" s="14" t="str">
        <x:v>Not inherited</x:v>
      </x:c>
      <x:c r="M582" s="15" t="n">
        <x:v>99</x:v>
      </x:c>
      <x:c r="N582" s="14" t="str">
        <x:v>Amy Murphy</x:v>
      </x:c>
      <x:c r="O582" s="14" t="str">
        <x:v>nm1721608</x:v>
      </x:c>
      <x:c r="P582" s="14" t="str">
        <x:v>Daisy Dunn</x:v>
      </x:c>
      <x:c r="Q582" s="15" t="n">
        <x:v>1</x:v>
      </x:c>
      <x:c r="R582" s="14" t="str">
        <x:v>2025</x:v>
      </x:c>
      <x:c r="S582" s="14" t="n">
        <x:v>2025</x:v>
      </x:c>
      <x:c r="T582" s="14" t="n">
        <x:v>2025</x:v>
      </x:c>
      <x:c r="U582" s="14" t="str">
        <x:v>Explicit source first year retained</x:v>
      </x:c>
      <x:c r="V582" s="14" t="str">
        <x:v>Earliest supplied year is 2025.</x:v>
      </x:c>
      <x:c r="W582" s="14"/>
      <x:c r="X582" s="14" t="str">
        <x:v>Included</x:v>
      </x:c>
      <x:c r="Y582" s="14"/>
      <x:c r="Z582" s="14" t="str">
        <x:v>Sister Boniface Mysteries.docx</x:v>
      </x:c>
      <x:c r="AA582" s="14" t="str">
        <x:v>HYPERLINK is not implemented. linkLocation=https://www.imdb.com/title/tt15407098/fullcredits/, friendlyName=Open source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BritBox UK</x:v>
      </x:c>
      <x:c r="AI582" s="14" t="str">
        <x:v>UK original 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uk original commission.</x:v>
      </x:c>
      <x:c r="AM58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2" s="14" t="str">
        <x:v>No qualifying BBC relationship</x:v>
      </x:c>
      <x:c r="AO582" s="14" t="str">
        <x:v>No</x:v>
      </x:c>
      <x:c r="AP582" s="14" t="str">
        <x:v>Out of scope</x:v>
      </x:c>
      <x:c r="AQ582" s="14" t="str">
        <x:v>No</x:v>
      </x:c>
      <x:c r="AR582" s="14" t="str">
        <x:v>Resolved from master register</x:v>
      </x:c>
      <x:c r="AS582" s="14" t="str">
        <x:v>No established-register match</x:v>
      </x:c>
      <x:c r="AT582" s="14"/>
      <x:c r="AU582" s="14"/>
      <x:c r="AV582" s="14" t="str">
        <x:v>No established apparent-disability match</x:v>
      </x:c>
      <x:c r="AW582" s="14"/>
      <x:c r="AX582" s="14" t="str">
        <x:v>No</x:v>
      </x:c>
      <x:c r="AY582" s="14" t="str">
        <x:v>Unmatched</x:v>
      </x:c>
      <x:c r="AZ582" s="14" t="str">
        <x:v>Final supplied register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38</x:v>
      </x:c>
      <x:c r="BP582" s="14" t="str">
        <x:v>Maximum supplied eligible IMDb cast-credit total; annual episode total not independently verified.</x:v>
      </x:c>
      <x:c r="BQ582" s="14" t="str">
        <x:v>Medium</x:v>
      </x:c>
      <x:c r="BR582" s="15" t="n">
        <x:v>1</x:v>
      </x:c>
      <x:c r="BS582" s="16" t="n">
        <x:v>0.02631578947368421</x:v>
      </x:c>
      <x:c r="BT582" s="14" t="str">
        <x:v>One episode</x:v>
      </x:c>
      <x:c r="BU582" s="14" t="str">
        <x:v>Medium</x:v>
      </x:c>
      <x:c r="BV582" s="14" t="str">
        <x:v>Derived from the supplied IMDb episode count and documented production-total proxy.</x:v>
      </x:c>
      <x:c r="BW582" s="14" t="str">
        <x:v>Unable to determine</x:v>
      </x:c>
      <x:c r="BX582" s="14" t="str">
        <x:v>Cast-list and episode data do not establish narrative prominence.</x:v>
      </x:c>
      <x:c r="BY582" s="14" t="str">
        <x:v>Supplied IMDb cast-list workbook</x:v>
      </x:c>
      <x:c r="BZ582" s="14" t="str">
        <x:v>HYPERLINK is not implemented. linkLocation=https://www.imdb.com/title/tt15407098/fullcredits/, friendlyName=Open source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tt15407098|nm0448053|angus mcintyre</x:v>
      </x:c>
      <x:c r="B583" s="14" t="str">
        <x:v>05</x:v>
      </x:c>
      <x:c r="C583" s="14" t="str">
        <x:v>2022_IMDb_Cast_Lists_Batch_05(1).xlsx</x:v>
      </x:c>
      <x:c r="D583" s="14" t="str">
        <x:v>Sister Boniface Mysteries</x:v>
      </x:c>
      <x:c r="E583" s="14" t="n">
        <x:v>126</x:v>
      </x:c>
      <x:c r="F583" s="14" t="str">
        <x:v>Sister Boniface Mysteries</x:v>
      </x:c>
      <x:c r="G583" s="14" t="str">
        <x:v>tt15407098</x:v>
      </x:c>
      <x:c r="H583" s="14" t="n">
        <x:v>2022</x:v>
      </x:c>
      <x:c r="I583" s="14" t="n">
        <x:v>2025</x:v>
      </x:c>
      <x:c r="J583" s="14" t="str">
        <x:v>Earlier-Production Carry-In Cohort</x:v>
      </x:c>
      <x:c r="K583" s="14" t="n">
        <x:v>2022</x:v>
      </x:c>
      <x:c r="L583" s="14" t="str">
        <x:v>Not inherited</x:v>
      </x:c>
      <x:c r="M583" s="15" t="n">
        <x:v>119</x:v>
      </x:c>
      <x:c r="N583" s="14" t="str">
        <x:v>Gordon Kennedy</x:v>
      </x:c>
      <x:c r="O583" s="14" t="str">
        <x:v>nm0448053</x:v>
      </x:c>
      <x:c r="P583" s="14" t="str">
        <x:v>Angus McIntyre</x:v>
      </x:c>
      <x:c r="Q583" s="15" t="n">
        <x:v>1</x:v>
      </x:c>
      <x:c r="R583" s="14" t="str">
        <x:v>2025</x:v>
      </x:c>
      <x:c r="S583" s="14" t="n">
        <x:v>2025</x:v>
      </x:c>
      <x:c r="T583" s="14" t="n">
        <x:v>2025</x:v>
      </x:c>
      <x:c r="U583" s="14" t="str">
        <x:v>Explicit source first year retained</x:v>
      </x:c>
      <x:c r="V583" s="14" t="str">
        <x:v>Earliest supplied year is 2025.</x:v>
      </x:c>
      <x:c r="W583" s="14"/>
      <x:c r="X583" s="14" t="str">
        <x:v>Included</x:v>
      </x:c>
      <x:c r="Y583" s="14"/>
      <x:c r="Z583" s="14" t="str">
        <x:v>Sister Boniface Mysteries.docx</x:v>
      </x:c>
      <x:c r="AA583" s="14" t="str">
        <x:v>HYPERLINK is not implemented. linkLocation=https://www.imdb.com/title/tt15407098/fullcredits/, friendlyName=Open source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BritBox UK</x:v>
      </x:c>
      <x:c r="AI583" s="14" t="str">
        <x:v>UK original 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uk original commission.</x:v>
      </x:c>
      <x:c r="AM58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3" s="14" t="str">
        <x:v>No qualifying BBC relationship</x:v>
      </x:c>
      <x:c r="AO583" s="14" t="str">
        <x:v>No</x:v>
      </x:c>
      <x:c r="AP583" s="14" t="str">
        <x:v>Out of scope</x:v>
      </x:c>
      <x:c r="AQ583" s="14" t="str">
        <x:v>No</x:v>
      </x:c>
      <x:c r="AR583" s="14" t="str">
        <x:v>Resolved from master register</x:v>
      </x:c>
      <x:c r="AS583" s="14" t="str">
        <x:v>No established-register match</x:v>
      </x:c>
      <x:c r="AT583" s="14"/>
      <x:c r="AU583" s="14"/>
      <x:c r="AV583" s="14" t="str">
        <x:v>No established apparent-disability match</x:v>
      </x:c>
      <x:c r="AW583" s="14"/>
      <x:c r="AX583" s="14" t="str">
        <x:v>No</x:v>
      </x:c>
      <x:c r="AY583" s="14" t="str">
        <x:v>Unmatched</x:v>
      </x:c>
      <x:c r="AZ583" s="14" t="str">
        <x:v>Final supplied register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38</x:v>
      </x:c>
      <x:c r="BP583" s="14" t="str">
        <x:v>Maximum supplied eligible IMDb cast-credit total; annual episode total not independently verified.</x:v>
      </x:c>
      <x:c r="BQ583" s="14" t="str">
        <x:v>Medium</x:v>
      </x:c>
      <x:c r="BR583" s="15" t="n">
        <x:v>1</x:v>
      </x:c>
      <x:c r="BS583" s="16" t="n">
        <x:v>0.02631578947368421</x:v>
      </x:c>
      <x:c r="BT583" s="14" t="str">
        <x:v>One episode</x:v>
      </x:c>
      <x:c r="BU583" s="14" t="str">
        <x:v>Medium</x:v>
      </x:c>
      <x:c r="BV583" s="14" t="str">
        <x:v>Derived from the supplied IMDb episode count and documented production-total proxy.</x:v>
      </x:c>
      <x:c r="BW583" s="14" t="str">
        <x:v>Unable to determine</x:v>
      </x:c>
      <x:c r="BX583" s="14" t="str">
        <x:v>Cast-list and episode data do not establish narrative prominence.</x:v>
      </x:c>
      <x:c r="BY583" s="14" t="str">
        <x:v>Supplied IMDb cast-list workbook</x:v>
      </x:c>
      <x:c r="BZ583" s="14" t="str">
        <x:v>HYPERLINK is not implemented. linkLocation=https://www.imdb.com/title/tt15407098/fullcredits/, friendlyName=Open source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tt15407098|nm0180504|len shepherd</x:v>
      </x:c>
      <x:c r="B584" s="14" t="str">
        <x:v>05</x:v>
      </x:c>
      <x:c r="C584" s="14" t="str">
        <x:v>2022_IMDb_Cast_Lists_Batch_05(1).xlsx</x:v>
      </x:c>
      <x:c r="D584" s="14" t="str">
        <x:v>Sister Boniface Mysteries</x:v>
      </x:c>
      <x:c r="E584" s="14" t="n">
        <x:v>127</x:v>
      </x:c>
      <x:c r="F584" s="14" t="str">
        <x:v>Sister Boniface Mysteries</x:v>
      </x:c>
      <x:c r="G584" s="14" t="str">
        <x:v>tt15407098</x:v>
      </x:c>
      <x:c r="H584" s="14" t="n">
        <x:v>2022</x:v>
      </x:c>
      <x:c r="I584" s="14" t="n">
        <x:v>2025</x:v>
      </x:c>
      <x:c r="J584" s="14" t="str">
        <x:v>Earlier-Production Carry-In Cohort</x:v>
      </x:c>
      <x:c r="K584" s="14" t="n">
        <x:v>2022</x:v>
      </x:c>
      <x:c r="L584" s="14" t="str">
        <x:v>Not inherited</x:v>
      </x:c>
      <x:c r="M584" s="15" t="n">
        <x:v>120</x:v>
      </x:c>
      <x:c r="N584" s="14" t="str">
        <x:v>Phil Cornwell</x:v>
      </x:c>
      <x:c r="O584" s="14" t="str">
        <x:v>nm0180504</x:v>
      </x:c>
      <x:c r="P584" s="14" t="str">
        <x:v>Len Shepherd</x:v>
      </x:c>
      <x:c r="Q584" s="15" t="n">
        <x:v>1</x:v>
      </x:c>
      <x:c r="R584" s="14" t="str">
        <x:v>2025</x:v>
      </x:c>
      <x:c r="S584" s="14" t="n">
        <x:v>2025</x:v>
      </x:c>
      <x:c r="T584" s="14" t="n">
        <x:v>2025</x:v>
      </x:c>
      <x:c r="U584" s="14" t="str">
        <x:v>Explicit source first year retained</x:v>
      </x:c>
      <x:c r="V584" s="14" t="str">
        <x:v>Earliest supplied year is 2025.</x:v>
      </x:c>
      <x:c r="W584" s="14"/>
      <x:c r="X584" s="14" t="str">
        <x:v>Included</x:v>
      </x:c>
      <x:c r="Y584" s="14"/>
      <x:c r="Z584" s="14" t="str">
        <x:v>Sister Boniface Mysteries.docx</x:v>
      </x:c>
      <x:c r="AA584" s="14" t="str">
        <x:v>HYPERLINK is not implemented. linkLocation=https://www.imdb.com/title/tt15407098/fullcredits/, friendlyName=Open source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BritBox UK</x:v>
      </x:c>
      <x:c r="AI584" s="14" t="str">
        <x:v>UK original 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uk original commission.</x:v>
      </x:c>
      <x:c r="AM58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4" s="14" t="str">
        <x:v>No qualifying BBC relationship</x:v>
      </x:c>
      <x:c r="AO584" s="14" t="str">
        <x:v>No</x:v>
      </x:c>
      <x:c r="AP584" s="14" t="str">
        <x:v>Out of scope</x:v>
      </x:c>
      <x:c r="AQ584" s="14" t="str">
        <x:v>No</x:v>
      </x:c>
      <x:c r="AR584" s="14" t="str">
        <x:v>Resolved from master register</x:v>
      </x:c>
      <x:c r="AS584" s="14" t="str">
        <x:v>No established-register match</x:v>
      </x:c>
      <x:c r="AT584" s="14"/>
      <x:c r="AU584" s="14"/>
      <x:c r="AV584" s="14" t="str">
        <x:v>No established apparent-disability match</x:v>
      </x:c>
      <x:c r="AW584" s="14"/>
      <x:c r="AX584" s="14" t="str">
        <x:v>No</x:v>
      </x:c>
      <x:c r="AY584" s="14" t="str">
        <x:v>Unmatched</x:v>
      </x:c>
      <x:c r="AZ584" s="14" t="str">
        <x:v>Final supplied register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38</x:v>
      </x:c>
      <x:c r="BP584" s="14" t="str">
        <x:v>Maximum supplied eligible IMDb cast-credit total; annual episode total not independently verified.</x:v>
      </x:c>
      <x:c r="BQ584" s="14" t="str">
        <x:v>Medium</x:v>
      </x:c>
      <x:c r="BR584" s="15" t="n">
        <x:v>1</x:v>
      </x:c>
      <x:c r="BS584" s="16" t="n">
        <x:v>0.02631578947368421</x:v>
      </x:c>
      <x:c r="BT584" s="14" t="str">
        <x:v>One episode</x:v>
      </x:c>
      <x:c r="BU584" s="14" t="str">
        <x:v>Medium</x:v>
      </x:c>
      <x:c r="BV584" s="14" t="str">
        <x:v>Derived from the supplied IMDb episode count and documented production-total proxy.</x:v>
      </x:c>
      <x:c r="BW584" s="14" t="str">
        <x:v>Unable to determine</x:v>
      </x:c>
      <x:c r="BX584" s="14" t="str">
        <x:v>Cast-list and episode data do not establish narrative prominence.</x:v>
      </x:c>
      <x:c r="BY584" s="14" t="str">
        <x:v>Supplied IMDb cast-list workbook</x:v>
      </x:c>
      <x:c r="BZ584" s="14" t="str">
        <x:v>HYPERLINK is not implemented. linkLocation=https://www.imdb.com/title/tt15407098/fullcredits/, friendlyName=Open source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tt15407098|nm3162285|dr. saatvik bose</x:v>
      </x:c>
      <x:c r="B585" s="14" t="str">
        <x:v>05</x:v>
      </x:c>
      <x:c r="C585" s="14" t="str">
        <x:v>2022_IMDb_Cast_Lists_Batch_05(1).xlsx</x:v>
      </x:c>
      <x:c r="D585" s="14" t="str">
        <x:v>Sister Boniface Mysteries</x:v>
      </x:c>
      <x:c r="E585" s="14" t="n">
        <x:v>139</x:v>
      </x:c>
      <x:c r="F585" s="14" t="str">
        <x:v>Sister Boniface Mysteries</x:v>
      </x:c>
      <x:c r="G585" s="14" t="str">
        <x:v>tt15407098</x:v>
      </x:c>
      <x:c r="H585" s="14" t="n">
        <x:v>2022</x:v>
      </x:c>
      <x:c r="I585" s="14" t="n">
        <x:v>2025</x:v>
      </x:c>
      <x:c r="J585" s="14" t="str">
        <x:v>Earlier-Production Carry-In Cohort</x:v>
      </x:c>
      <x:c r="K585" s="14" t="n">
        <x:v>2022</x:v>
      </x:c>
      <x:c r="L585" s="14" t="str">
        <x:v>Not inherited</x:v>
      </x:c>
      <x:c r="M585" s="15" t="n">
        <x:v>132</x:v>
      </x:c>
      <x:c r="N585" s="14" t="str">
        <x:v>Jaz Singh Deol</x:v>
      </x:c>
      <x:c r="O585" s="14" t="str">
        <x:v>nm3162285</x:v>
      </x:c>
      <x:c r="P585" s="14" t="str">
        <x:v>Dr. Saatvik Bose</x:v>
      </x:c>
      <x:c r="Q585" s="15" t="n">
        <x:v>1</x:v>
      </x:c>
      <x:c r="R585" s="14" t="str">
        <x:v>2025</x:v>
      </x:c>
      <x:c r="S585" s="14" t="n">
        <x:v>2025</x:v>
      </x:c>
      <x:c r="T585" s="14" t="n">
        <x:v>2025</x:v>
      </x:c>
      <x:c r="U585" s="14" t="str">
        <x:v>Explicit source first year retained</x:v>
      </x:c>
      <x:c r="V585" s="14" t="str">
        <x:v>Earliest supplied year is 2025.</x:v>
      </x:c>
      <x:c r="W585" s="14"/>
      <x:c r="X585" s="14" t="str">
        <x:v>Included</x:v>
      </x:c>
      <x:c r="Y585" s="14"/>
      <x:c r="Z585" s="14" t="str">
        <x:v>Sister Boniface Mysteries.docx</x:v>
      </x:c>
      <x:c r="AA585" s="14" t="str">
        <x:v>HYPERLINK is not implemented. linkLocation=https://www.imdb.com/title/tt15407098/fullcredits/, friendlyName=Open source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BritBox UK</x:v>
      </x:c>
      <x:c r="AI585" s="14" t="str">
        <x:v>UK original 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uk original commission.</x:v>
      </x:c>
      <x:c r="AM58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5" s="14" t="str">
        <x:v>No qualifying BBC relationship</x:v>
      </x:c>
      <x:c r="AO585" s="14" t="str">
        <x:v>No</x:v>
      </x:c>
      <x:c r="AP585" s="14" t="str">
        <x:v>Out of scope</x:v>
      </x:c>
      <x:c r="AQ585" s="14" t="str">
        <x:v>No</x:v>
      </x:c>
      <x:c r="AR585" s="14" t="str">
        <x:v>Resolved from master register</x:v>
      </x:c>
      <x:c r="AS585" s="14" t="str">
        <x:v>No established-register match</x:v>
      </x:c>
      <x:c r="AT585" s="14"/>
      <x:c r="AU585" s="14"/>
      <x:c r="AV585" s="14" t="str">
        <x:v>No established apparent-disability match</x:v>
      </x:c>
      <x:c r="AW585" s="14"/>
      <x:c r="AX585" s="14" t="str">
        <x:v>No</x:v>
      </x:c>
      <x:c r="AY585" s="14" t="str">
        <x:v>Unmatched</x:v>
      </x:c>
      <x:c r="AZ585" s="14" t="str">
        <x:v>Final supplied register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38</x:v>
      </x:c>
      <x:c r="BP585" s="14" t="str">
        <x:v>Maximum supplied eligible IMDb cast-credit total; annual episode total not independently verified.</x:v>
      </x:c>
      <x:c r="BQ585" s="14" t="str">
        <x:v>Medium</x:v>
      </x:c>
      <x:c r="BR585" s="15" t="n">
        <x:v>1</x:v>
      </x:c>
      <x:c r="BS585" s="16" t="n">
        <x:v>0.02631578947368421</x:v>
      </x:c>
      <x:c r="BT585" s="14" t="str">
        <x:v>One episode</x:v>
      </x:c>
      <x:c r="BU585" s="14" t="str">
        <x:v>Medium</x:v>
      </x:c>
      <x:c r="BV585" s="14" t="str">
        <x:v>Derived from the supplied IMDb episode count and documented production-total proxy.</x:v>
      </x:c>
      <x:c r="BW585" s="14" t="str">
        <x:v>Unable to determine</x:v>
      </x:c>
      <x:c r="BX585" s="14" t="str">
        <x:v>Cast-list and episode data do not establish narrative prominence.</x:v>
      </x:c>
      <x:c r="BY585" s="14" t="str">
        <x:v>Supplied IMDb cast-list workbook</x:v>
      </x:c>
      <x:c r="BZ585" s="14" t="str">
        <x:v>HYPERLINK is not implemented. linkLocation=https://www.imdb.com/title/tt15407098/fullcredits/, friendlyName=Open source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tt15407098|nm0568118|cc horace winthorp</x:v>
      </x:c>
      <x:c r="B586" s="14" t="str">
        <x:v>05</x:v>
      </x:c>
      <x:c r="C586" s="14" t="str">
        <x:v>2022_IMDb_Cast_Lists_Batch_05(1).xlsx</x:v>
      </x:c>
      <x:c r="D586" s="14" t="str">
        <x:v>Sister Boniface Mysteries</x:v>
      </x:c>
      <x:c r="E586" s="14" t="n">
        <x:v>140</x:v>
      </x:c>
      <x:c r="F586" s="14" t="str">
        <x:v>Sister Boniface Mysteries</x:v>
      </x:c>
      <x:c r="G586" s="14" t="str">
        <x:v>tt15407098</x:v>
      </x:c>
      <x:c r="H586" s="14" t="n">
        <x:v>2022</x:v>
      </x:c>
      <x:c r="I586" s="14" t="n">
        <x:v>2025</x:v>
      </x:c>
      <x:c r="J586" s="14" t="str">
        <x:v>Earlier-Production Carry-In Cohort</x:v>
      </x:c>
      <x:c r="K586" s="14" t="n">
        <x:v>2022</x:v>
      </x:c>
      <x:c r="L586" s="14" t="str">
        <x:v>Not inherited</x:v>
      </x:c>
      <x:c r="M586" s="15" t="n">
        <x:v>133</x:v>
      </x:c>
      <x:c r="N586" s="14" t="str">
        <x:v>Mark McDonnell</x:v>
      </x:c>
      <x:c r="O586" s="14" t="str">
        <x:v>nm0568118</x:v>
      </x:c>
      <x:c r="P586" s="14" t="str">
        <x:v>CC Horace Winthorp</x:v>
      </x:c>
      <x:c r="Q586" s="15" t="n">
        <x:v>1</x:v>
      </x:c>
      <x:c r="R586" s="14" t="str">
        <x:v>2025</x:v>
      </x:c>
      <x:c r="S586" s="14" t="n">
        <x:v>2025</x:v>
      </x:c>
      <x:c r="T586" s="14" t="n">
        <x:v>2025</x:v>
      </x:c>
      <x:c r="U586" s="14" t="str">
        <x:v>Explicit source first year retained</x:v>
      </x:c>
      <x:c r="V586" s="14" t="str">
        <x:v>Earliest supplied year is 2025.</x:v>
      </x:c>
      <x:c r="W586" s="14"/>
      <x:c r="X586" s="14" t="str">
        <x:v>Included</x:v>
      </x:c>
      <x:c r="Y586" s="14"/>
      <x:c r="Z586" s="14" t="str">
        <x:v>Sister Boniface Mysteries.docx</x:v>
      </x:c>
      <x:c r="AA586" s="14" t="str">
        <x:v>HYPERLINK is not implemented. linkLocation=https://www.imdb.com/title/tt15407098/fullcredits/, friendlyName=Open source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BritBox UK</x:v>
      </x:c>
      <x:c r="AI586" s="14" t="str">
        <x:v>UK original 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uk original commission.</x:v>
      </x:c>
      <x:c r="AM58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6" s="14" t="str">
        <x:v>No qualifying BBC relationship</x:v>
      </x:c>
      <x:c r="AO586" s="14" t="str">
        <x:v>No</x:v>
      </x:c>
      <x:c r="AP586" s="14" t="str">
        <x:v>Out of scope</x:v>
      </x:c>
      <x:c r="AQ586" s="14" t="str">
        <x:v>No</x:v>
      </x:c>
      <x:c r="AR586" s="14" t="str">
        <x:v>Resolved from master register</x:v>
      </x:c>
      <x:c r="AS586" s="14" t="str">
        <x:v>No established-register match</x:v>
      </x:c>
      <x:c r="AT586" s="14"/>
      <x:c r="AU586" s="14"/>
      <x:c r="AV586" s="14" t="str">
        <x:v>No established apparent-disability match</x:v>
      </x:c>
      <x:c r="AW586" s="14"/>
      <x:c r="AX586" s="14" t="str">
        <x:v>No</x:v>
      </x:c>
      <x:c r="AY586" s="14" t="str">
        <x:v>Unmatched</x:v>
      </x:c>
      <x:c r="AZ586" s="14" t="str">
        <x:v>Final supplied register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38</x:v>
      </x:c>
      <x:c r="BP586" s="14" t="str">
        <x:v>Maximum supplied eligible IMDb cast-credit total; annual episode total not independently verified.</x:v>
      </x:c>
      <x:c r="BQ586" s="14" t="str">
        <x:v>Medium</x:v>
      </x:c>
      <x:c r="BR586" s="15" t="n">
        <x:v>1</x:v>
      </x:c>
      <x:c r="BS586" s="16" t="n">
        <x:v>0.02631578947368421</x:v>
      </x:c>
      <x:c r="BT586" s="14" t="str">
        <x:v>One episode</x:v>
      </x:c>
      <x:c r="BU586" s="14" t="str">
        <x:v>Medium</x:v>
      </x:c>
      <x:c r="BV586" s="14" t="str">
        <x:v>Derived from the supplied IMDb episode count and documented production-total proxy.</x:v>
      </x:c>
      <x:c r="BW586" s="14" t="str">
        <x:v>Unable to determine</x:v>
      </x:c>
      <x:c r="BX586" s="14" t="str">
        <x:v>Cast-list and episode data do not establish narrative prominence.</x:v>
      </x:c>
      <x:c r="BY586" s="14" t="str">
        <x:v>Supplied IMDb cast-list workbook</x:v>
      </x:c>
      <x:c r="BZ586" s="14" t="str">
        <x:v>HYPERLINK is not implemented. linkLocation=https://www.imdb.com/title/tt15407098/fullcredits/, friendlyName=Open source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tt15407098|nm5751327|miles fletcher</x:v>
      </x:c>
      <x:c r="B587" s="14" t="str">
        <x:v>05</x:v>
      </x:c>
      <x:c r="C587" s="14" t="str">
        <x:v>2022_IMDb_Cast_Lists_Batch_05(1).xlsx</x:v>
      </x:c>
      <x:c r="D587" s="14" t="str">
        <x:v>Sister Boniface Mysteries</x:v>
      </x:c>
      <x:c r="E587" s="14" t="n">
        <x:v>154</x:v>
      </x:c>
      <x:c r="F587" s="14" t="str">
        <x:v>Sister Boniface Mysteries</x:v>
      </x:c>
      <x:c r="G587" s="14" t="str">
        <x:v>tt15407098</x:v>
      </x:c>
      <x:c r="H587" s="14" t="n">
        <x:v>2022</x:v>
      </x:c>
      <x:c r="I587" s="14" t="n">
        <x:v>2025</x:v>
      </x:c>
      <x:c r="J587" s="14" t="str">
        <x:v>Earlier-Production Carry-In Cohort</x:v>
      </x:c>
      <x:c r="K587" s="14" t="n">
        <x:v>2022</x:v>
      </x:c>
      <x:c r="L587" s="14" t="str">
        <x:v>Not inherited</x:v>
      </x:c>
      <x:c r="M587" s="15" t="n">
        <x:v>147</x:v>
      </x:c>
      <x:c r="N587" s="14" t="str">
        <x:v>Oliver Dench</x:v>
      </x:c>
      <x:c r="O587" s="14" t="str">
        <x:v>nm5751327</x:v>
      </x:c>
      <x:c r="P587" s="14" t="str">
        <x:v>Miles Fletcher</x:v>
      </x:c>
      <x:c r="Q587" s="15" t="n">
        <x:v>1</x:v>
      </x:c>
      <x:c r="R587" s="14" t="str">
        <x:v>2025</x:v>
      </x:c>
      <x:c r="S587" s="14" t="n">
        <x:v>2025</x:v>
      </x:c>
      <x:c r="T587" s="14" t="n">
        <x:v>2025</x:v>
      </x:c>
      <x:c r="U587" s="14" t="str">
        <x:v>Explicit source first year retained</x:v>
      </x:c>
      <x:c r="V587" s="14" t="str">
        <x:v>Earliest supplied year is 2025.</x:v>
      </x:c>
      <x:c r="W587" s="14"/>
      <x:c r="X587" s="14" t="str">
        <x:v>Included</x:v>
      </x:c>
      <x:c r="Y587" s="14"/>
      <x:c r="Z587" s="14" t="str">
        <x:v>Sister Boniface Mysteries.docx</x:v>
      </x:c>
      <x:c r="AA587" s="14" t="str">
        <x:v>HYPERLINK is not implemented. linkLocation=https://www.imdb.com/title/tt15407098/fullcredits/, friendlyName=Open source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BritBox UK</x:v>
      </x:c>
      <x:c r="AI587" s="14" t="str">
        <x:v>UK original 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uk original commission.</x:v>
      </x:c>
      <x:c r="AM58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7" s="14" t="str">
        <x:v>No qualifying BBC relationship</x:v>
      </x:c>
      <x:c r="AO587" s="14" t="str">
        <x:v>No</x:v>
      </x:c>
      <x:c r="AP587" s="14" t="str">
        <x:v>Out of scope</x:v>
      </x:c>
      <x:c r="AQ587" s="14" t="str">
        <x:v>No</x:v>
      </x:c>
      <x:c r="AR587" s="14" t="str">
        <x:v>Resolved from master register</x:v>
      </x:c>
      <x:c r="AS587" s="14" t="str">
        <x:v>No established-register match</x:v>
      </x:c>
      <x:c r="AT587" s="14"/>
      <x:c r="AU587" s="14"/>
      <x:c r="AV587" s="14" t="str">
        <x:v>No established apparent-disability match</x:v>
      </x:c>
      <x:c r="AW587" s="14"/>
      <x:c r="AX587" s="14" t="str">
        <x:v>No</x:v>
      </x:c>
      <x:c r="AY587" s="14" t="str">
        <x:v>Unmatched</x:v>
      </x:c>
      <x:c r="AZ587" s="14" t="str">
        <x:v>Final supplied register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38</x:v>
      </x:c>
      <x:c r="BP587" s="14" t="str">
        <x:v>Maximum supplied eligible IMDb cast-credit total; annual episode total not independently verified.</x:v>
      </x:c>
      <x:c r="BQ587" s="14" t="str">
        <x:v>Medium</x:v>
      </x:c>
      <x:c r="BR587" s="15" t="n">
        <x:v>1</x:v>
      </x:c>
      <x:c r="BS587" s="16" t="n">
        <x:v>0.02631578947368421</x:v>
      </x:c>
      <x:c r="BT587" s="14" t="str">
        <x:v>One episode</x:v>
      </x:c>
      <x:c r="BU587" s="14" t="str">
        <x:v>Medium</x:v>
      </x:c>
      <x:c r="BV587" s="14" t="str">
        <x:v>Derived from the supplied IMDb episode count and documented production-total proxy.</x:v>
      </x:c>
      <x:c r="BW587" s="14" t="str">
        <x:v>Unable to determine</x:v>
      </x:c>
      <x:c r="BX587" s="14" t="str">
        <x:v>Cast-list and episode data do not establish narrative prominence.</x:v>
      </x:c>
      <x:c r="BY587" s="14" t="str">
        <x:v>Supplied IMDb cast-list workbook</x:v>
      </x:c>
      <x:c r="BZ587" s="14" t="str">
        <x:v>HYPERLINK is not implemented. linkLocation=https://www.imdb.com/title/tt15407098/fullcredits/, friendlyName=Open source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tt15407098|nm2497266|di jack stagg</x:v>
      </x:c>
      <x:c r="B588" s="14" t="str">
        <x:v>05</x:v>
      </x:c>
      <x:c r="C588" s="14" t="str">
        <x:v>2022_IMDb_Cast_Lists_Batch_05(1).xlsx</x:v>
      </x:c>
      <x:c r="D588" s="14" t="str">
        <x:v>Sister Boniface Mysteries</x:v>
      </x:c>
      <x:c r="E588" s="14" t="n">
        <x:v>155</x:v>
      </x:c>
      <x:c r="F588" s="14" t="str">
        <x:v>Sister Boniface Mysteries</x:v>
      </x:c>
      <x:c r="G588" s="14" t="str">
        <x:v>tt15407098</x:v>
      </x:c>
      <x:c r="H588" s="14" t="n">
        <x:v>2022</x:v>
      </x:c>
      <x:c r="I588" s="14" t="n">
        <x:v>2025</x:v>
      </x:c>
      <x:c r="J588" s="14" t="str">
        <x:v>Earlier-Production Carry-In Cohort</x:v>
      </x:c>
      <x:c r="K588" s="14" t="n">
        <x:v>2022</x:v>
      </x:c>
      <x:c r="L588" s="14" t="str">
        <x:v>Not inherited</x:v>
      </x:c>
      <x:c r="M588" s="15" t="n">
        <x:v>148</x:v>
      </x:c>
      <x:c r="N588" s="14" t="str">
        <x:v>Jay Taylor</x:v>
      </x:c>
      <x:c r="O588" s="14" t="str">
        <x:v>nm2497266</x:v>
      </x:c>
      <x:c r="P588" s="14" t="str">
        <x:v>DI Jack Stagg</x:v>
      </x:c>
      <x:c r="Q588" s="15" t="n">
        <x:v>1</x:v>
      </x:c>
      <x:c r="R588" s="14" t="str">
        <x:v>2025</x:v>
      </x:c>
      <x:c r="S588" s="14" t="n">
        <x:v>2025</x:v>
      </x:c>
      <x:c r="T588" s="14" t="n">
        <x:v>2025</x:v>
      </x:c>
      <x:c r="U588" s="14" t="str">
        <x:v>Explicit source first year retained</x:v>
      </x:c>
      <x:c r="V588" s="14" t="str">
        <x:v>Earliest supplied year is 2025.</x:v>
      </x:c>
      <x:c r="W588" s="14"/>
      <x:c r="X588" s="14" t="str">
        <x:v>Included</x:v>
      </x:c>
      <x:c r="Y588" s="14"/>
      <x:c r="Z588" s="14" t="str">
        <x:v>Sister Boniface Mysteries.docx</x:v>
      </x:c>
      <x:c r="AA588" s="14" t="str">
        <x:v>HYPERLINK is not implemented. linkLocation=https://www.imdb.com/title/tt15407098/fullcredits/, friendlyName=Open source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BritBox UK</x:v>
      </x:c>
      <x:c r="AI588" s="14" t="str">
        <x:v>UK original 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uk original commission.</x:v>
      </x:c>
      <x:c r="AM58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8" s="14" t="str">
        <x:v>No qualifying BBC relationship</x:v>
      </x:c>
      <x:c r="AO588" s="14" t="str">
        <x:v>No</x:v>
      </x:c>
      <x:c r="AP588" s="14" t="str">
        <x:v>Out of scope</x:v>
      </x:c>
      <x:c r="AQ588" s="14" t="str">
        <x:v>No</x:v>
      </x:c>
      <x:c r="AR588" s="14" t="str">
        <x:v>Resolved from master register</x:v>
      </x:c>
      <x:c r="AS588" s="14" t="str">
        <x:v>No established-register match</x:v>
      </x:c>
      <x:c r="AT588" s="14"/>
      <x:c r="AU588" s="14"/>
      <x:c r="AV588" s="14" t="str">
        <x:v>No established apparent-disability match</x:v>
      </x:c>
      <x:c r="AW588" s="14"/>
      <x:c r="AX588" s="14" t="str">
        <x:v>No</x:v>
      </x:c>
      <x:c r="AY588" s="14" t="str">
        <x:v>Unmatched</x:v>
      </x:c>
      <x:c r="AZ588" s="14" t="str">
        <x:v>Final supplied register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38</x:v>
      </x:c>
      <x:c r="BP588" s="14" t="str">
        <x:v>Maximum supplied eligible IMDb cast-credit total; annual episode total not independently verified.</x:v>
      </x:c>
      <x:c r="BQ588" s="14" t="str">
        <x:v>Medium</x:v>
      </x:c>
      <x:c r="BR588" s="15" t="n">
        <x:v>1</x:v>
      </x:c>
      <x:c r="BS588" s="16" t="n">
        <x:v>0.02631578947368421</x:v>
      </x:c>
      <x:c r="BT588" s="14" t="str">
        <x:v>One episode</x:v>
      </x:c>
      <x:c r="BU588" s="14" t="str">
        <x:v>Medium</x:v>
      </x:c>
      <x:c r="BV588" s="14" t="str">
        <x:v>Derived from the supplied IMDb episode count and documented production-total proxy.</x:v>
      </x:c>
      <x:c r="BW588" s="14" t="str">
        <x:v>Unable to determine</x:v>
      </x:c>
      <x:c r="BX588" s="14" t="str">
        <x:v>Cast-list and episode data do not establish narrative prominence.</x:v>
      </x:c>
      <x:c r="BY588" s="14" t="str">
        <x:v>Supplied IMDb cast-list workbook</x:v>
      </x:c>
      <x:c r="BZ588" s="14" t="str">
        <x:v>HYPERLINK is not implemented. linkLocation=https://www.imdb.com/title/tt15407098/fullcredits/, friendlyName=Open source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tt15407098|nm4309809|dc heather thorne</x:v>
      </x:c>
      <x:c r="B589" s="14" t="str">
        <x:v>05</x:v>
      </x:c>
      <x:c r="C589" s="14" t="str">
        <x:v>2022_IMDb_Cast_Lists_Batch_05(1).xlsx</x:v>
      </x:c>
      <x:c r="D589" s="14" t="str">
        <x:v>Sister Boniface Mysteries</x:v>
      </x:c>
      <x:c r="E589" s="14" t="n">
        <x:v>165</x:v>
      </x:c>
      <x:c r="F589" s="14" t="str">
        <x:v>Sister Boniface Mysteries</x:v>
      </x:c>
      <x:c r="G589" s="14" t="str">
        <x:v>tt15407098</x:v>
      </x:c>
      <x:c r="H589" s="14" t="n">
        <x:v>2022</x:v>
      </x:c>
      <x:c r="I589" s="14" t="n">
        <x:v>2025</x:v>
      </x:c>
      <x:c r="J589" s="14" t="str">
        <x:v>Earlier-Production Carry-In Cohort</x:v>
      </x:c>
      <x:c r="K589" s="14" t="n">
        <x:v>2022</x:v>
      </x:c>
      <x:c r="L589" s="14" t="str">
        <x:v>Not inherited</x:v>
      </x:c>
      <x:c r="M589" s="15" t="n">
        <x:v>158</x:v>
      </x:c>
      <x:c r="N589" s="14" t="str">
        <x:v>Tamla Kari</x:v>
      </x:c>
      <x:c r="O589" s="14" t="str">
        <x:v>nm4309809</x:v>
      </x:c>
      <x:c r="P589" s="14" t="str">
        <x:v>DC Heather Thorne</x:v>
      </x:c>
      <x:c r="Q589" s="15" t="n">
        <x:v>1</x:v>
      </x:c>
      <x:c r="R589" s="14" t="str">
        <x:v>2025</x:v>
      </x:c>
      <x:c r="S589" s="14" t="n">
        <x:v>2025</x:v>
      </x:c>
      <x:c r="T589" s="14" t="n">
        <x:v>2025</x:v>
      </x:c>
      <x:c r="U589" s="14" t="str">
        <x:v>Explicit source first year retained</x:v>
      </x:c>
      <x:c r="V589" s="14" t="str">
        <x:v>Earliest supplied year is 2025.</x:v>
      </x:c>
      <x:c r="W589" s="14"/>
      <x:c r="X589" s="14" t="str">
        <x:v>Included</x:v>
      </x:c>
      <x:c r="Y589" s="14"/>
      <x:c r="Z589" s="14" t="str">
        <x:v>Sister Boniface Mysteries.docx</x:v>
      </x:c>
      <x:c r="AA589" s="14" t="str">
        <x:v>HYPERLINK is not implemented. linkLocation=https://www.imdb.com/title/tt15407098/fullcredits/, friendlyName=Open source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BritBox UK</x:v>
      </x:c>
      <x:c r="AI589" s="14" t="str">
        <x:v>UK original 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uk original commission.</x:v>
      </x:c>
      <x:c r="AM58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89" s="14" t="str">
        <x:v>No qualifying BBC relationship</x:v>
      </x:c>
      <x:c r="AO589" s="14" t="str">
        <x:v>No</x:v>
      </x:c>
      <x:c r="AP589" s="14" t="str">
        <x:v>Out of scope</x:v>
      </x:c>
      <x:c r="AQ589" s="14" t="str">
        <x:v>No</x:v>
      </x:c>
      <x:c r="AR589" s="14" t="str">
        <x:v>Resolved from master register</x:v>
      </x:c>
      <x:c r="AS589" s="14" t="str">
        <x:v>No established-register match</x:v>
      </x:c>
      <x:c r="AT589" s="14"/>
      <x:c r="AU589" s="14"/>
      <x:c r="AV589" s="14" t="str">
        <x:v>No established apparent-disability match</x:v>
      </x:c>
      <x:c r="AW589" s="14"/>
      <x:c r="AX589" s="14" t="str">
        <x:v>No</x:v>
      </x:c>
      <x:c r="AY589" s="14" t="str">
        <x:v>Unmatched</x:v>
      </x:c>
      <x:c r="AZ589" s="14" t="str">
        <x:v>Final supplied register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38</x:v>
      </x:c>
      <x:c r="BP589" s="14" t="str">
        <x:v>Maximum supplied eligible IMDb cast-credit total; annual episode total not independently verified.</x:v>
      </x:c>
      <x:c r="BQ589" s="14" t="str">
        <x:v>Medium</x:v>
      </x:c>
      <x:c r="BR589" s="15" t="n">
        <x:v>1</x:v>
      </x:c>
      <x:c r="BS589" s="16" t="n">
        <x:v>0.02631578947368421</x:v>
      </x:c>
      <x:c r="BT589" s="14" t="str">
        <x:v>One episode</x:v>
      </x:c>
      <x:c r="BU589" s="14" t="str">
        <x:v>Medium</x:v>
      </x:c>
      <x:c r="BV589" s="14" t="str">
        <x:v>Derived from the supplied IMDb episode count and documented production-total proxy.</x:v>
      </x:c>
      <x:c r="BW589" s="14" t="str">
        <x:v>Unable to determine</x:v>
      </x:c>
      <x:c r="BX589" s="14" t="str">
        <x:v>Cast-list and episode data do not establish narrative prominence.</x:v>
      </x:c>
      <x:c r="BY589" s="14" t="str">
        <x:v>Supplied IMDb cast-list workbook</x:v>
      </x:c>
      <x:c r="BZ589" s="14" t="str">
        <x:v>HYPERLINK is not implemented. linkLocation=https://www.imdb.com/title/tt15407098/fullcredits/, friendlyName=Open source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tt15407098|nm8013437|vivian ashbrook</x:v>
      </x:c>
      <x:c r="B590" s="14" t="str">
        <x:v>05</x:v>
      </x:c>
      <x:c r="C590" s="14" t="str">
        <x:v>2022_IMDb_Cast_Lists_Batch_05(1).xlsx</x:v>
      </x:c>
      <x:c r="D590" s="14" t="str">
        <x:v>Sister Boniface Mysteries</x:v>
      </x:c>
      <x:c r="E590" s="14" t="n">
        <x:v>166</x:v>
      </x:c>
      <x:c r="F590" s="14" t="str">
        <x:v>Sister Boniface Mysteries</x:v>
      </x:c>
      <x:c r="G590" s="14" t="str">
        <x:v>tt15407098</x:v>
      </x:c>
      <x:c r="H590" s="14" t="n">
        <x:v>2022</x:v>
      </x:c>
      <x:c r="I590" s="14" t="n">
        <x:v>2025</x:v>
      </x:c>
      <x:c r="J590" s="14" t="str">
        <x:v>Earlier-Production Carry-In Cohort</x:v>
      </x:c>
      <x:c r="K590" s="14" t="n">
        <x:v>2022</x:v>
      </x:c>
      <x:c r="L590" s="14" t="str">
        <x:v>Not inherited</x:v>
      </x:c>
      <x:c r="M590" s="15" t="n">
        <x:v>159</x:v>
      </x:c>
      <x:c r="N590" s="14" t="str">
        <x:v>Sophie Ablett</x:v>
      </x:c>
      <x:c r="O590" s="14" t="str">
        <x:v>nm8013437</x:v>
      </x:c>
      <x:c r="P590" s="14" t="str">
        <x:v>Vivian Ashbrook</x:v>
      </x:c>
      <x:c r="Q590" s="15" t="n">
        <x:v>1</x:v>
      </x:c>
      <x:c r="R590" s="14" t="str">
        <x:v>2025</x:v>
      </x:c>
      <x:c r="S590" s="14" t="n">
        <x:v>2025</x:v>
      </x:c>
      <x:c r="T590" s="14" t="n">
        <x:v>2025</x:v>
      </x:c>
      <x:c r="U590" s="14" t="str">
        <x:v>Explicit source first year retained</x:v>
      </x:c>
      <x:c r="V590" s="14" t="str">
        <x:v>Earliest supplied year is 2025.</x:v>
      </x:c>
      <x:c r="W590" s="14"/>
      <x:c r="X590" s="14" t="str">
        <x:v>Included</x:v>
      </x:c>
      <x:c r="Y590" s="14"/>
      <x:c r="Z590" s="14" t="str">
        <x:v>Sister Boniface Mysteries.docx</x:v>
      </x:c>
      <x:c r="AA590" s="14" t="str">
        <x:v>HYPERLINK is not implemented. linkLocation=https://www.imdb.com/title/tt15407098/fullcredits/, friendlyName=Open source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BritBox UK</x:v>
      </x:c>
      <x:c r="AI590" s="14" t="str">
        <x:v>UK original 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uk original commission.</x:v>
      </x:c>
      <x:c r="AM59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0" s="14" t="str">
        <x:v>No qualifying BBC relationship</x:v>
      </x:c>
      <x:c r="AO590" s="14" t="str">
        <x:v>No</x:v>
      </x:c>
      <x:c r="AP590" s="14" t="str">
        <x:v>Out of scope</x:v>
      </x:c>
      <x:c r="AQ590" s="14" t="str">
        <x:v>No</x:v>
      </x:c>
      <x:c r="AR590" s="14" t="str">
        <x:v>Resolved from master register</x:v>
      </x:c>
      <x:c r="AS590" s="14" t="str">
        <x:v>No established-register match</x:v>
      </x:c>
      <x:c r="AT590" s="14"/>
      <x:c r="AU590" s="14"/>
      <x:c r="AV590" s="14" t="str">
        <x:v>No established apparent-disability match</x:v>
      </x:c>
      <x:c r="AW590" s="14"/>
      <x:c r="AX590" s="14" t="str">
        <x:v>No</x:v>
      </x:c>
      <x:c r="AY590" s="14" t="str">
        <x:v>Unmatched</x:v>
      </x:c>
      <x:c r="AZ590" s="14" t="str">
        <x:v>Final supplied register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38</x:v>
      </x:c>
      <x:c r="BP590" s="14" t="str">
        <x:v>Maximum supplied eligible IMDb cast-credit total; annual episode total not independently verified.</x:v>
      </x:c>
      <x:c r="BQ590" s="14" t="str">
        <x:v>Medium</x:v>
      </x:c>
      <x:c r="BR590" s="15" t="n">
        <x:v>1</x:v>
      </x:c>
      <x:c r="BS590" s="16" t="n">
        <x:v>0.02631578947368421</x:v>
      </x:c>
      <x:c r="BT590" s="14" t="str">
        <x:v>One episode</x:v>
      </x:c>
      <x:c r="BU590" s="14" t="str">
        <x:v>Medium</x:v>
      </x:c>
      <x:c r="BV590" s="14" t="str">
        <x:v>Derived from the supplied IMDb episode count and documented production-total proxy.</x:v>
      </x:c>
      <x:c r="BW590" s="14" t="str">
        <x:v>Unable to determine</x:v>
      </x:c>
      <x:c r="BX590" s="14" t="str">
        <x:v>Cast-list and episode data do not establish narrative prominence.</x:v>
      </x:c>
      <x:c r="BY590" s="14" t="str">
        <x:v>Supplied IMDb cast-list workbook</x:v>
      </x:c>
      <x:c r="BZ590" s="14" t="str">
        <x:v>HYPERLINK is not implemented. linkLocation=https://www.imdb.com/title/tt15407098/fullcredits/, friendlyName=Open source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tt15407098|nm1685971|dermot millington</x:v>
      </x:c>
      <x:c r="B591" s="14" t="str">
        <x:v>05</x:v>
      </x:c>
      <x:c r="C591" s="14" t="str">
        <x:v>2022_IMDb_Cast_Lists_Batch_05(1).xlsx</x:v>
      </x:c>
      <x:c r="D591" s="14" t="str">
        <x:v>Sister Boniface Mysteries</x:v>
      </x:c>
      <x:c r="E591" s="14" t="n">
        <x:v>177</x:v>
      </x:c>
      <x:c r="F591" s="14" t="str">
        <x:v>Sister Boniface Mysteries</x:v>
      </x:c>
      <x:c r="G591" s="14" t="str">
        <x:v>tt15407098</x:v>
      </x:c>
      <x:c r="H591" s="14" t="n">
        <x:v>2022</x:v>
      </x:c>
      <x:c r="I591" s="14" t="n">
        <x:v>2025</x:v>
      </x:c>
      <x:c r="J591" s="14" t="str">
        <x:v>Earlier-Production Carry-In Cohort</x:v>
      </x:c>
      <x:c r="K591" s="14" t="n">
        <x:v>2022</x:v>
      </x:c>
      <x:c r="L591" s="14" t="str">
        <x:v>Not inherited</x:v>
      </x:c>
      <x:c r="M591" s="15" t="n">
        <x:v>170</x:v>
      </x:c>
      <x:c r="N591" s="14" t="str">
        <x:v>Joshua James</x:v>
      </x:c>
      <x:c r="O591" s="14" t="str">
        <x:v>nm1685971</x:v>
      </x:c>
      <x:c r="P591" s="14" t="str">
        <x:v>Dermot Millington</x:v>
      </x:c>
      <x:c r="Q591" s="15" t="n">
        <x:v>1</x:v>
      </x:c>
      <x:c r="R591" s="14" t="str">
        <x:v>2025</x:v>
      </x:c>
      <x:c r="S591" s="14" t="n">
        <x:v>2025</x:v>
      </x:c>
      <x:c r="T591" s="14" t="n">
        <x:v>2025</x:v>
      </x:c>
      <x:c r="U591" s="14" t="str">
        <x:v>Explicit source first year retained</x:v>
      </x:c>
      <x:c r="V591" s="14" t="str">
        <x:v>Earliest supplied year is 2025.</x:v>
      </x:c>
      <x:c r="W591" s="14"/>
      <x:c r="X591" s="14" t="str">
        <x:v>Included</x:v>
      </x:c>
      <x:c r="Y591" s="14"/>
      <x:c r="Z591" s="14" t="str">
        <x:v>Sister Boniface Mysteries.docx</x:v>
      </x:c>
      <x:c r="AA591" s="14" t="str">
        <x:v>HYPERLINK is not implemented. linkLocation=https://www.imdb.com/title/tt15407098/fullcredits/, friendlyName=Open source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BritBox UK</x:v>
      </x:c>
      <x:c r="AI591" s="14" t="str">
        <x:v>UK original 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uk original commission.</x:v>
      </x:c>
      <x:c r="AM59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1" s="14" t="str">
        <x:v>No qualifying BBC relationship</x:v>
      </x:c>
      <x:c r="AO591" s="14" t="str">
        <x:v>No</x:v>
      </x:c>
      <x:c r="AP591" s="14" t="str">
        <x:v>Out of scope</x:v>
      </x:c>
      <x:c r="AQ591" s="14" t="str">
        <x:v>No</x:v>
      </x:c>
      <x:c r="AR591" s="14" t="str">
        <x:v>Resolved from master register</x:v>
      </x:c>
      <x:c r="AS591" s="14" t="str">
        <x:v>No established-register match</x:v>
      </x:c>
      <x:c r="AT591" s="14"/>
      <x:c r="AU591" s="14"/>
      <x:c r="AV591" s="14" t="str">
        <x:v>No established apparent-disability match</x:v>
      </x:c>
      <x:c r="AW591" s="14"/>
      <x:c r="AX591" s="14" t="str">
        <x:v>No</x:v>
      </x:c>
      <x:c r="AY591" s="14" t="str">
        <x:v>Unmatched</x:v>
      </x:c>
      <x:c r="AZ591" s="14" t="str">
        <x:v>Final supplied register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38</x:v>
      </x:c>
      <x:c r="BP591" s="14" t="str">
        <x:v>Maximum supplied eligible IMDb cast-credit total; annual episode total not independently verified.</x:v>
      </x:c>
      <x:c r="BQ591" s="14" t="str">
        <x:v>Medium</x:v>
      </x:c>
      <x:c r="BR591" s="15" t="n">
        <x:v>1</x:v>
      </x:c>
      <x:c r="BS591" s="16" t="n">
        <x:v>0.02631578947368421</x:v>
      </x:c>
      <x:c r="BT591" s="14" t="str">
        <x:v>One episode</x:v>
      </x:c>
      <x:c r="BU591" s="14" t="str">
        <x:v>Medium</x:v>
      </x:c>
      <x:c r="BV591" s="14" t="str">
        <x:v>Derived from the supplied IMDb episode count and documented production-total proxy.</x:v>
      </x:c>
      <x:c r="BW591" s="14" t="str">
        <x:v>Unable to determine</x:v>
      </x:c>
      <x:c r="BX591" s="14" t="str">
        <x:v>Cast-list and episode data do not establish narrative prominence.</x:v>
      </x:c>
      <x:c r="BY591" s="14" t="str">
        <x:v>Supplied IMDb cast-list workbook</x:v>
      </x:c>
      <x:c r="BZ591" s="14" t="str">
        <x:v>HYPERLINK is not implemented. linkLocation=https://www.imdb.com/title/tt15407098/fullcredits/, friendlyName=Open source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tt15407098|nm9660102|charity gray</x:v>
      </x:c>
      <x:c r="B592" s="14" t="str">
        <x:v>05</x:v>
      </x:c>
      <x:c r="C592" s="14" t="str">
        <x:v>2022_IMDb_Cast_Lists_Batch_05(1).xlsx</x:v>
      </x:c>
      <x:c r="D592" s="14" t="str">
        <x:v>Sister Boniface Mysteries</x:v>
      </x:c>
      <x:c r="E592" s="14" t="n">
        <x:v>178</x:v>
      </x:c>
      <x:c r="F592" s="14" t="str">
        <x:v>Sister Boniface Mysteries</x:v>
      </x:c>
      <x:c r="G592" s="14" t="str">
        <x:v>tt15407098</x:v>
      </x:c>
      <x:c r="H592" s="14" t="n">
        <x:v>2022</x:v>
      </x:c>
      <x:c r="I592" s="14" t="n">
        <x:v>2025</x:v>
      </x:c>
      <x:c r="J592" s="14" t="str">
        <x:v>Earlier-Production Carry-In Cohort</x:v>
      </x:c>
      <x:c r="K592" s="14" t="n">
        <x:v>2022</x:v>
      </x:c>
      <x:c r="L592" s="14" t="str">
        <x:v>Not inherited</x:v>
      </x:c>
      <x:c r="M592" s="15" t="n">
        <x:v>171</x:v>
      </x:c>
      <x:c r="N592" s="14" t="str">
        <x:v>Genesis Lynea</x:v>
      </x:c>
      <x:c r="O592" s="14" t="str">
        <x:v>nm9660102</x:v>
      </x:c>
      <x:c r="P592" s="14" t="str">
        <x:v>Charity Gray</x:v>
      </x:c>
      <x:c r="Q592" s="15" t="n">
        <x:v>1</x:v>
      </x:c>
      <x:c r="R592" s="14" t="str">
        <x:v>2025</x:v>
      </x:c>
      <x:c r="S592" s="14" t="n">
        <x:v>2025</x:v>
      </x:c>
      <x:c r="T592" s="14" t="n">
        <x:v>2025</x:v>
      </x:c>
      <x:c r="U592" s="14" t="str">
        <x:v>Explicit source first year retained</x:v>
      </x:c>
      <x:c r="V592" s="14" t="str">
        <x:v>Earliest supplied year is 2025.</x:v>
      </x:c>
      <x:c r="W592" s="14"/>
      <x:c r="X592" s="14" t="str">
        <x:v>Included</x:v>
      </x:c>
      <x:c r="Y592" s="14"/>
      <x:c r="Z592" s="14" t="str">
        <x:v>Sister Boniface Mysteries.docx</x:v>
      </x:c>
      <x:c r="AA592" s="14" t="str">
        <x:v>HYPERLINK is not implemented. linkLocation=https://www.imdb.com/title/tt15407098/fullcredits/, friendlyName=Open source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BritBox UK</x:v>
      </x:c>
      <x:c r="AI592" s="14" t="str">
        <x:v>UK original 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uk original commission.</x:v>
      </x:c>
      <x:c r="AM59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2" s="14" t="str">
        <x:v>No qualifying BBC relationship</x:v>
      </x:c>
      <x:c r="AO592" s="14" t="str">
        <x:v>No</x:v>
      </x:c>
      <x:c r="AP592" s="14" t="str">
        <x:v>Out of scope</x:v>
      </x:c>
      <x:c r="AQ592" s="14" t="str">
        <x:v>No</x:v>
      </x:c>
      <x:c r="AR592" s="14" t="str">
        <x:v>Resolved from master register</x:v>
      </x:c>
      <x:c r="AS592" s="14" t="str">
        <x:v>No established-register match</x:v>
      </x:c>
      <x:c r="AT592" s="14"/>
      <x:c r="AU592" s="14"/>
      <x:c r="AV592" s="14" t="str">
        <x:v>No established apparent-disability match</x:v>
      </x:c>
      <x:c r="AW592" s="14"/>
      <x:c r="AX592" s="14" t="str">
        <x:v>No</x:v>
      </x:c>
      <x:c r="AY592" s="14" t="str">
        <x:v>Unmatched</x:v>
      </x:c>
      <x:c r="AZ592" s="14" t="str">
        <x:v>Final supplied register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38</x:v>
      </x:c>
      <x:c r="BP592" s="14" t="str">
        <x:v>Maximum supplied eligible IMDb cast-credit total; annual episode total not independently verified.</x:v>
      </x:c>
      <x:c r="BQ592" s="14" t="str">
        <x:v>Medium</x:v>
      </x:c>
      <x:c r="BR592" s="15" t="n">
        <x:v>1</x:v>
      </x:c>
      <x:c r="BS592" s="16" t="n">
        <x:v>0.02631578947368421</x:v>
      </x:c>
      <x:c r="BT592" s="14" t="str">
        <x:v>One episode</x:v>
      </x:c>
      <x:c r="BU592" s="14" t="str">
        <x:v>Medium</x:v>
      </x:c>
      <x:c r="BV592" s="14" t="str">
        <x:v>Derived from the supplied IMDb episode count and documented production-total proxy.</x:v>
      </x:c>
      <x:c r="BW592" s="14" t="str">
        <x:v>Unable to determine</x:v>
      </x:c>
      <x:c r="BX592" s="14" t="str">
        <x:v>Cast-list and episode data do not establish narrative prominence.</x:v>
      </x:c>
      <x:c r="BY592" s="14" t="str">
        <x:v>Supplied IMDb cast-list workbook</x:v>
      </x:c>
      <x:c r="BZ592" s="14" t="str">
        <x:v>HYPERLINK is not implemented. linkLocation=https://www.imdb.com/title/tt15407098/fullcredits/, friendlyName=Open source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tt15407098|nm12493278|denise carver</x:v>
      </x:c>
      <x:c r="B593" s="14" t="str">
        <x:v>05</x:v>
      </x:c>
      <x:c r="C593" s="14" t="str">
        <x:v>2022_IMDb_Cast_Lists_Batch_05(1).xlsx</x:v>
      </x:c>
      <x:c r="D593" s="14" t="str">
        <x:v>Sister Boniface Mysteries</x:v>
      </x:c>
      <x:c r="E593" s="14" t="n">
        <x:v>179</x:v>
      </x:c>
      <x:c r="F593" s="14" t="str">
        <x:v>Sister Boniface Mysteries</x:v>
      </x:c>
      <x:c r="G593" s="14" t="str">
        <x:v>tt15407098</x:v>
      </x:c>
      <x:c r="H593" s="14" t="n">
        <x:v>2022</x:v>
      </x:c>
      <x:c r="I593" s="14" t="n">
        <x:v>2025</x:v>
      </x:c>
      <x:c r="J593" s="14" t="str">
        <x:v>Earlier-Production Carry-In Cohort</x:v>
      </x:c>
      <x:c r="K593" s="14" t="n">
        <x:v>2022</x:v>
      </x:c>
      <x:c r="L593" s="14" t="str">
        <x:v>Not inherited</x:v>
      </x:c>
      <x:c r="M593" s="15" t="n">
        <x:v>172</x:v>
      </x:c>
      <x:c r="N593" s="14" t="str">
        <x:v>Keturah Chambers</x:v>
      </x:c>
      <x:c r="O593" s="14" t="str">
        <x:v>nm12493278</x:v>
      </x:c>
      <x:c r="P593" s="14" t="str">
        <x:v>Denise Carver</x:v>
      </x:c>
      <x:c r="Q593" s="15" t="n">
        <x:v>1</x:v>
      </x:c>
      <x:c r="R593" s="14" t="str">
        <x:v>2025</x:v>
      </x:c>
      <x:c r="S593" s="14" t="n">
        <x:v>2025</x:v>
      </x:c>
      <x:c r="T593" s="14" t="n">
        <x:v>2025</x:v>
      </x:c>
      <x:c r="U593" s="14" t="str">
        <x:v>Explicit source first year retained</x:v>
      </x:c>
      <x:c r="V593" s="14" t="str">
        <x:v>Earliest supplied year is 2025.</x:v>
      </x:c>
      <x:c r="W593" s="14"/>
      <x:c r="X593" s="14" t="str">
        <x:v>Included</x:v>
      </x:c>
      <x:c r="Y593" s="14"/>
      <x:c r="Z593" s="14" t="str">
        <x:v>Sister Boniface Mysteries.docx</x:v>
      </x:c>
      <x:c r="AA593" s="14" t="str">
        <x:v>HYPERLINK is not implemented. linkLocation=https://www.imdb.com/title/tt15407098/fullcredits/, friendlyName=Open source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BritBox UK</x:v>
      </x:c>
      <x:c r="AI593" s="14" t="str">
        <x:v>UK original 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uk original commission.</x:v>
      </x:c>
      <x:c r="AM59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3" s="14" t="str">
        <x:v>No qualifying BBC relationship</x:v>
      </x:c>
      <x:c r="AO593" s="14" t="str">
        <x:v>No</x:v>
      </x:c>
      <x:c r="AP593" s="14" t="str">
        <x:v>Out of scope</x:v>
      </x:c>
      <x:c r="AQ593" s="14" t="str">
        <x:v>No</x:v>
      </x:c>
      <x:c r="AR593" s="14" t="str">
        <x:v>Resolved from master register</x:v>
      </x:c>
      <x:c r="AS593" s="14" t="str">
        <x:v>No established-register match</x:v>
      </x:c>
      <x:c r="AT593" s="14"/>
      <x:c r="AU593" s="14"/>
      <x:c r="AV593" s="14" t="str">
        <x:v>No established apparent-disability match</x:v>
      </x:c>
      <x:c r="AW593" s="14"/>
      <x:c r="AX593" s="14" t="str">
        <x:v>No</x:v>
      </x:c>
      <x:c r="AY593" s="14" t="str">
        <x:v>Unmatched</x:v>
      </x:c>
      <x:c r="AZ593" s="14" t="str">
        <x:v>Final supplied register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38</x:v>
      </x:c>
      <x:c r="BP593" s="14" t="str">
        <x:v>Maximum supplied eligible IMDb cast-credit total; annual episode total not independently verified.</x:v>
      </x:c>
      <x:c r="BQ593" s="14" t="str">
        <x:v>Medium</x:v>
      </x:c>
      <x:c r="BR593" s="15" t="n">
        <x:v>1</x:v>
      </x:c>
      <x:c r="BS593" s="16" t="n">
        <x:v>0.02631578947368421</x:v>
      </x:c>
      <x:c r="BT593" s="14" t="str">
        <x:v>One episode</x:v>
      </x:c>
      <x:c r="BU593" s="14" t="str">
        <x:v>Medium</x:v>
      </x:c>
      <x:c r="BV593" s="14" t="str">
        <x:v>Derived from the supplied IMDb episode count and documented production-total proxy.</x:v>
      </x:c>
      <x:c r="BW593" s="14" t="str">
        <x:v>Unable to determine</x:v>
      </x:c>
      <x:c r="BX593" s="14" t="str">
        <x:v>Cast-list and episode data do not establish narrative prominence.</x:v>
      </x:c>
      <x:c r="BY593" s="14" t="str">
        <x:v>Supplied IMDb cast-list workbook</x:v>
      </x:c>
      <x:c r="BZ593" s="14" t="str">
        <x:v>HYPERLINK is not implemented. linkLocation=https://www.imdb.com/title/tt15407098/fullcredits/, friendlyName=Open source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tt15407098|nm14651844|pc rupert beagle</x:v>
      </x:c>
      <x:c r="B594" s="14" t="str">
        <x:v>05</x:v>
      </x:c>
      <x:c r="C594" s="14" t="str">
        <x:v>2022_IMDb_Cast_Lists_Batch_05(1).xlsx</x:v>
      </x:c>
      <x:c r="D594" s="14" t="str">
        <x:v>Sister Boniface Mysteries</x:v>
      </x:c>
      <x:c r="E594" s="14" t="n">
        <x:v>180</x:v>
      </x:c>
      <x:c r="F594" s="14" t="str">
        <x:v>Sister Boniface Mysteries</x:v>
      </x:c>
      <x:c r="G594" s="14" t="str">
        <x:v>tt15407098</x:v>
      </x:c>
      <x:c r="H594" s="14" t="n">
        <x:v>2022</x:v>
      </x:c>
      <x:c r="I594" s="14" t="n">
        <x:v>2025</x:v>
      </x:c>
      <x:c r="J594" s="14" t="str">
        <x:v>Earlier-Production Carry-In Cohort</x:v>
      </x:c>
      <x:c r="K594" s="14" t="n">
        <x:v>2022</x:v>
      </x:c>
      <x:c r="L594" s="14" t="str">
        <x:v>Not inherited</x:v>
      </x:c>
      <x:c r="M594" s="15" t="n">
        <x:v>173</x:v>
      </x:c>
      <x:c r="N594" s="14" t="str">
        <x:v>Tyler-Jo Richardson</x:v>
      </x:c>
      <x:c r="O594" s="14" t="str">
        <x:v>nm14651844</x:v>
      </x:c>
      <x:c r="P594" s="14" t="str">
        <x:v>PC Rupert Beagle</x:v>
      </x:c>
      <x:c r="Q594" s="15" t="n">
        <x:v>1</x:v>
      </x:c>
      <x:c r="R594" s="14" t="str">
        <x:v>2025</x:v>
      </x:c>
      <x:c r="S594" s="14" t="n">
        <x:v>2025</x:v>
      </x:c>
      <x:c r="T594" s="14" t="n">
        <x:v>2025</x:v>
      </x:c>
      <x:c r="U594" s="14" t="str">
        <x:v>Explicit source first year retained</x:v>
      </x:c>
      <x:c r="V594" s="14" t="str">
        <x:v>Earliest supplied year is 2025.</x:v>
      </x:c>
      <x:c r="W594" s="14"/>
      <x:c r="X594" s="14" t="str">
        <x:v>Included</x:v>
      </x:c>
      <x:c r="Y594" s="14"/>
      <x:c r="Z594" s="14" t="str">
        <x:v>Sister Boniface Mysteries.docx</x:v>
      </x:c>
      <x:c r="AA594" s="14" t="str">
        <x:v>HYPERLINK is not implemented. linkLocation=https://www.imdb.com/title/tt15407098/fullcredits/, friendlyName=Open source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BritBox UK</x:v>
      </x:c>
      <x:c r="AI594" s="14" t="str">
        <x:v>UK original 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uk original commission.</x:v>
      </x:c>
      <x:c r="AM59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4" s="14" t="str">
        <x:v>No qualifying BBC relationship</x:v>
      </x:c>
      <x:c r="AO594" s="14" t="str">
        <x:v>No</x:v>
      </x:c>
      <x:c r="AP594" s="14" t="str">
        <x:v>Out of scope</x:v>
      </x:c>
      <x:c r="AQ594" s="14" t="str">
        <x:v>No</x:v>
      </x:c>
      <x:c r="AR594" s="14" t="str">
        <x:v>Resolved from master register</x:v>
      </x:c>
      <x:c r="AS594" s="14" t="str">
        <x:v>No established-register match</x:v>
      </x:c>
      <x:c r="AT594" s="14"/>
      <x:c r="AU594" s="14"/>
      <x:c r="AV594" s="14" t="str">
        <x:v>No established apparent-disability match</x:v>
      </x:c>
      <x:c r="AW594" s="14"/>
      <x:c r="AX594" s="14" t="str">
        <x:v>No</x:v>
      </x:c>
      <x:c r="AY594" s="14" t="str">
        <x:v>Unmatched</x:v>
      </x:c>
      <x:c r="AZ594" s="14" t="str">
        <x:v>Final supplied register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38</x:v>
      </x:c>
      <x:c r="BP594" s="14" t="str">
        <x:v>Maximum supplied eligible IMDb cast-credit total; annual episode total not independently verified.</x:v>
      </x:c>
      <x:c r="BQ594" s="14" t="str">
        <x:v>Medium</x:v>
      </x:c>
      <x:c r="BR594" s="15" t="n">
        <x:v>1</x:v>
      </x:c>
      <x:c r="BS594" s="16" t="n">
        <x:v>0.02631578947368421</x:v>
      </x:c>
      <x:c r="BT594" s="14" t="str">
        <x:v>One episode</x:v>
      </x:c>
      <x:c r="BU594" s="14" t="str">
        <x:v>Medium</x:v>
      </x:c>
      <x:c r="BV594" s="14" t="str">
        <x:v>Derived from the supplied IMDb episode count and documented production-total proxy.</x:v>
      </x:c>
      <x:c r="BW594" s="14" t="str">
        <x:v>Unable to determine</x:v>
      </x:c>
      <x:c r="BX594" s="14" t="str">
        <x:v>Cast-list and episode data do not establish narrative prominence.</x:v>
      </x:c>
      <x:c r="BY594" s="14" t="str">
        <x:v>Supplied IMDb cast-list workbook</x:v>
      </x:c>
      <x:c r="BZ594" s="14" t="str">
        <x:v>HYPERLINK is not implemented. linkLocation=https://www.imdb.com/title/tt15407098/fullcredits/, friendlyName=Open source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tt15407098|nm7656003|pamela millington</x:v>
      </x:c>
      <x:c r="B595" s="14" t="str">
        <x:v>05</x:v>
      </x:c>
      <x:c r="C595" s="14" t="str">
        <x:v>2022_IMDb_Cast_Lists_Batch_05(1).xlsx</x:v>
      </x:c>
      <x:c r="D595" s="14" t="str">
        <x:v>Sister Boniface Mysteries</x:v>
      </x:c>
      <x:c r="E595" s="14" t="n">
        <x:v>194</x:v>
      </x:c>
      <x:c r="F595" s="14" t="str">
        <x:v>Sister Boniface Mysteries</x:v>
      </x:c>
      <x:c r="G595" s="14" t="str">
        <x:v>tt15407098</x:v>
      </x:c>
      <x:c r="H595" s="14" t="n">
        <x:v>2022</x:v>
      </x:c>
      <x:c r="I595" s="14" t="n">
        <x:v>2025</x:v>
      </x:c>
      <x:c r="J595" s="14" t="str">
        <x:v>Earlier-Production Carry-In Cohort</x:v>
      </x:c>
      <x:c r="K595" s="14" t="n">
        <x:v>2022</x:v>
      </x:c>
      <x:c r="L595" s="14" t="str">
        <x:v>Not inherited</x:v>
      </x:c>
      <x:c r="M595" s="15" t="n">
        <x:v>187</x:v>
      </x:c>
      <x:c r="N595" s="14" t="str">
        <x:v>Grace Molony</x:v>
      </x:c>
      <x:c r="O595" s="14" t="str">
        <x:v>nm7656003</x:v>
      </x:c>
      <x:c r="P595" s="14" t="str">
        <x:v>Pamela Millington</x:v>
      </x:c>
      <x:c r="Q595" s="15" t="n">
        <x:v>1</x:v>
      </x:c>
      <x:c r="R595" s="14" t="str">
        <x:v>2025</x:v>
      </x:c>
      <x:c r="S595" s="14" t="n">
        <x:v>2025</x:v>
      </x:c>
      <x:c r="T595" s="14" t="n">
        <x:v>2025</x:v>
      </x:c>
      <x:c r="U595" s="14" t="str">
        <x:v>Explicit source first year retained</x:v>
      </x:c>
      <x:c r="V595" s="14" t="str">
        <x:v>Earliest supplied year is 2025.</x:v>
      </x:c>
      <x:c r="W595" s="14"/>
      <x:c r="X595" s="14" t="str">
        <x:v>Included</x:v>
      </x:c>
      <x:c r="Y595" s="14"/>
      <x:c r="Z595" s="14" t="str">
        <x:v>Sister Boniface Mysteries.docx</x:v>
      </x:c>
      <x:c r="AA595" s="14" t="str">
        <x:v>HYPERLINK is not implemented. linkLocation=https://www.imdb.com/title/tt15407098/fullcredits/, friendlyName=Open source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BritBox UK</x:v>
      </x:c>
      <x:c r="AI595" s="14" t="str">
        <x:v>UK original 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uk original commission.</x:v>
      </x:c>
      <x:c r="AM59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5" s="14" t="str">
        <x:v>No qualifying BBC relationship</x:v>
      </x:c>
      <x:c r="AO595" s="14" t="str">
        <x:v>No</x:v>
      </x:c>
      <x:c r="AP595" s="14" t="str">
        <x:v>Out of scope</x:v>
      </x:c>
      <x:c r="AQ595" s="14" t="str">
        <x:v>No</x:v>
      </x:c>
      <x:c r="AR595" s="14" t="str">
        <x:v>Resolved from master register</x:v>
      </x:c>
      <x:c r="AS595" s="14" t="str">
        <x:v>No established-register match</x:v>
      </x:c>
      <x:c r="AT595" s="14"/>
      <x:c r="AU595" s="14"/>
      <x:c r="AV595" s="14" t="str">
        <x:v>No established apparent-disability match</x:v>
      </x:c>
      <x:c r="AW595" s="14"/>
      <x:c r="AX595" s="14" t="str">
        <x:v>No</x:v>
      </x:c>
      <x:c r="AY595" s="14" t="str">
        <x:v>Unmatched</x:v>
      </x:c>
      <x:c r="AZ595" s="14" t="str">
        <x:v>Final supplied register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38</x:v>
      </x:c>
      <x:c r="BP595" s="14" t="str">
        <x:v>Maximum supplied eligible IMDb cast-credit total; annual episode total not independently verified.</x:v>
      </x:c>
      <x:c r="BQ595" s="14" t="str">
        <x:v>Medium</x:v>
      </x:c>
      <x:c r="BR595" s="15" t="n">
        <x:v>1</x:v>
      </x:c>
      <x:c r="BS595" s="16" t="n">
        <x:v>0.02631578947368421</x:v>
      </x:c>
      <x:c r="BT595" s="14" t="str">
        <x:v>One episode</x:v>
      </x:c>
      <x:c r="BU595" s="14" t="str">
        <x:v>Medium</x:v>
      </x:c>
      <x:c r="BV595" s="14" t="str">
        <x:v>Derived from the supplied IMDb episode count and documented production-total proxy.</x:v>
      </x:c>
      <x:c r="BW595" s="14" t="str">
        <x:v>Unable to determine</x:v>
      </x:c>
      <x:c r="BX595" s="14" t="str">
        <x:v>Cast-list and episode data do not establish narrative prominence.</x:v>
      </x:c>
      <x:c r="BY595" s="14" t="str">
        <x:v>Supplied IMDb cast-list workbook</x:v>
      </x:c>
      <x:c r="BZ595" s="14" t="str">
        <x:v>HYPERLINK is not implemented. linkLocation=https://www.imdb.com/title/tt15407098/fullcredits/, friendlyName=Open source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tt15407098|nm9899789|callum mcintyre</x:v>
      </x:c>
      <x:c r="B596" s="14" t="str">
        <x:v>05</x:v>
      </x:c>
      <x:c r="C596" s="14" t="str">
        <x:v>2022_IMDb_Cast_Lists_Batch_05(1).xlsx</x:v>
      </x:c>
      <x:c r="D596" s="14" t="str">
        <x:v>Sister Boniface Mysteries</x:v>
      </x:c>
      <x:c r="E596" s="14" t="n">
        <x:v>195</x:v>
      </x:c>
      <x:c r="F596" s="14" t="str">
        <x:v>Sister Boniface Mysteries</x:v>
      </x:c>
      <x:c r="G596" s="14" t="str">
        <x:v>tt15407098</x:v>
      </x:c>
      <x:c r="H596" s="14" t="n">
        <x:v>2022</x:v>
      </x:c>
      <x:c r="I596" s="14" t="n">
        <x:v>2025</x:v>
      </x:c>
      <x:c r="J596" s="14" t="str">
        <x:v>Earlier-Production Carry-In Cohort</x:v>
      </x:c>
      <x:c r="K596" s="14" t="n">
        <x:v>2022</x:v>
      </x:c>
      <x:c r="L596" s="14" t="str">
        <x:v>Not inherited</x:v>
      </x:c>
      <x:c r="M596" s="15" t="n">
        <x:v>188</x:v>
      </x:c>
      <x:c r="N596" s="14" t="str">
        <x:v>Calum Gulvin</x:v>
      </x:c>
      <x:c r="O596" s="14" t="str">
        <x:v>nm9899789</x:v>
      </x:c>
      <x:c r="P596" s="14" t="str">
        <x:v>Callum McIntyre</x:v>
      </x:c>
      <x:c r="Q596" s="15" t="n">
        <x:v>1</x:v>
      </x:c>
      <x:c r="R596" s="14" t="str">
        <x:v>2025</x:v>
      </x:c>
      <x:c r="S596" s="14" t="n">
        <x:v>2025</x:v>
      </x:c>
      <x:c r="T596" s="14" t="n">
        <x:v>2025</x:v>
      </x:c>
      <x:c r="U596" s="14" t="str">
        <x:v>Explicit source first year retained</x:v>
      </x:c>
      <x:c r="V596" s="14" t="str">
        <x:v>Earliest supplied year is 2025.</x:v>
      </x:c>
      <x:c r="W596" s="14"/>
      <x:c r="X596" s="14" t="str">
        <x:v>Included</x:v>
      </x:c>
      <x:c r="Y596" s="14"/>
      <x:c r="Z596" s="14" t="str">
        <x:v>Sister Boniface Mysteries.docx</x:v>
      </x:c>
      <x:c r="AA596" s="14" t="str">
        <x:v>HYPERLINK is not implemented. linkLocation=https://www.imdb.com/title/tt15407098/fullcredits/, friendlyName=Open source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BritBox UK</x:v>
      </x:c>
      <x:c r="AI596" s="14" t="str">
        <x:v>UK original 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uk original commission.</x:v>
      </x:c>
      <x:c r="AM59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6" s="14" t="str">
        <x:v>No qualifying BBC relationship</x:v>
      </x:c>
      <x:c r="AO596" s="14" t="str">
        <x:v>No</x:v>
      </x:c>
      <x:c r="AP596" s="14" t="str">
        <x:v>Out of scope</x:v>
      </x:c>
      <x:c r="AQ596" s="14" t="str">
        <x:v>No</x:v>
      </x:c>
      <x:c r="AR596" s="14" t="str">
        <x:v>Resolved from master register</x:v>
      </x:c>
      <x:c r="AS596" s="14" t="str">
        <x:v>No established-register match</x:v>
      </x:c>
      <x:c r="AT596" s="14"/>
      <x:c r="AU596" s="14"/>
      <x:c r="AV596" s="14" t="str">
        <x:v>No established apparent-disability match</x:v>
      </x:c>
      <x:c r="AW596" s="14"/>
      <x:c r="AX596" s="14" t="str">
        <x:v>No</x:v>
      </x:c>
      <x:c r="AY596" s="14" t="str">
        <x:v>Unmatched</x:v>
      </x:c>
      <x:c r="AZ596" s="14" t="str">
        <x:v>Final supplied register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38</x:v>
      </x:c>
      <x:c r="BP596" s="14" t="str">
        <x:v>Maximum supplied eligible IMDb cast-credit total; annual episode total not independently verified.</x:v>
      </x:c>
      <x:c r="BQ596" s="14" t="str">
        <x:v>Medium</x:v>
      </x:c>
      <x:c r="BR596" s="15" t="n">
        <x:v>1</x:v>
      </x:c>
      <x:c r="BS596" s="16" t="n">
        <x:v>0.02631578947368421</x:v>
      </x:c>
      <x:c r="BT596" s="14" t="str">
        <x:v>One episode</x:v>
      </x:c>
      <x:c r="BU596" s="14" t="str">
        <x:v>Medium</x:v>
      </x:c>
      <x:c r="BV596" s="14" t="str">
        <x:v>Derived from the supplied IMDb episode count and documented production-total proxy.</x:v>
      </x:c>
      <x:c r="BW596" s="14" t="str">
        <x:v>Unable to determine</x:v>
      </x:c>
      <x:c r="BX596" s="14" t="str">
        <x:v>Cast-list and episode data do not establish narrative prominence.</x:v>
      </x:c>
      <x:c r="BY596" s="14" t="str">
        <x:v>Supplied IMDb cast-list workbook</x:v>
      </x:c>
      <x:c r="BZ596" s="14" t="str">
        <x:v>HYPERLINK is not implemented. linkLocation=https://www.imdb.com/title/tt15407098/fullcredits/, friendlyName=Open source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tt15407098|nm0533174|john adams</x:v>
      </x:c>
      <x:c r="B597" s="14" t="str">
        <x:v>05</x:v>
      </x:c>
      <x:c r="C597" s="14" t="str">
        <x:v>2022_IMDb_Cast_Lists_Batch_05(1).xlsx</x:v>
      </x:c>
      <x:c r="D597" s="14" t="str">
        <x:v>Sister Boniface Mysteries</x:v>
      </x:c>
      <x:c r="E597" s="14" t="n">
        <x:v>203</x:v>
      </x:c>
      <x:c r="F597" s="14" t="str">
        <x:v>Sister Boniface Mysteries</x:v>
      </x:c>
      <x:c r="G597" s="14" t="str">
        <x:v>tt15407098</x:v>
      </x:c>
      <x:c r="H597" s="14" t="n">
        <x:v>2022</x:v>
      </x:c>
      <x:c r="I597" s="14" t="n">
        <x:v>2025</x:v>
      </x:c>
      <x:c r="J597" s="14" t="str">
        <x:v>Earlier-Production Carry-In Cohort</x:v>
      </x:c>
      <x:c r="K597" s="14" t="n">
        <x:v>2022</x:v>
      </x:c>
      <x:c r="L597" s="14" t="str">
        <x:v>Not inherited</x:v>
      </x:c>
      <x:c r="M597" s="15" t="n">
        <x:v>196</x:v>
      </x:c>
      <x:c r="N597" s="14" t="str">
        <x:v>John Mackay</x:v>
      </x:c>
      <x:c r="O597" s="14" t="str">
        <x:v>nm0533174</x:v>
      </x:c>
      <x:c r="P597" s="14" t="str">
        <x:v>John Adams</x:v>
      </x:c>
      <x:c r="Q597" s="15" t="n">
        <x:v>1</x:v>
      </x:c>
      <x:c r="R597" s="14" t="str">
        <x:v>2025</x:v>
      </x:c>
      <x:c r="S597" s="14" t="n">
        <x:v>2025</x:v>
      </x:c>
      <x:c r="T597" s="14" t="n">
        <x:v>2025</x:v>
      </x:c>
      <x:c r="U597" s="14" t="str">
        <x:v>Explicit source first year retained</x:v>
      </x:c>
      <x:c r="V597" s="14" t="str">
        <x:v>Earliest supplied year is 2025.</x:v>
      </x:c>
      <x:c r="W597" s="14"/>
      <x:c r="X597" s="14" t="str">
        <x:v>Included</x:v>
      </x:c>
      <x:c r="Y597" s="14"/>
      <x:c r="Z597" s="14" t="str">
        <x:v>Sister Boniface Mysteries.docx</x:v>
      </x:c>
      <x:c r="AA597" s="14" t="str">
        <x:v>HYPERLINK is not implemented. linkLocation=https://www.imdb.com/title/tt15407098/fullcredits/, friendlyName=Open source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BritBox UK</x:v>
      </x:c>
      <x:c r="AI597" s="14" t="str">
        <x:v>UK original 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uk original commission.</x:v>
      </x:c>
      <x:c r="AM59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7" s="14" t="str">
        <x:v>No qualifying BBC relationship</x:v>
      </x:c>
      <x:c r="AO597" s="14" t="str">
        <x:v>No</x:v>
      </x:c>
      <x:c r="AP597" s="14" t="str">
        <x:v>Out of scope</x:v>
      </x:c>
      <x:c r="AQ597" s="14" t="str">
        <x:v>No</x:v>
      </x:c>
      <x:c r="AR597" s="14" t="str">
        <x:v>Resolved from master register</x:v>
      </x:c>
      <x:c r="AS597" s="14" t="str">
        <x:v>No established-register match</x:v>
      </x:c>
      <x:c r="AT597" s="14"/>
      <x:c r="AU597" s="14"/>
      <x:c r="AV597" s="14" t="str">
        <x:v>No established apparent-disability match</x:v>
      </x:c>
      <x:c r="AW597" s="14"/>
      <x:c r="AX597" s="14" t="str">
        <x:v>No</x:v>
      </x:c>
      <x:c r="AY597" s="14" t="str">
        <x:v>Unmatched</x:v>
      </x:c>
      <x:c r="AZ597" s="14" t="str">
        <x:v>Final supplied register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38</x:v>
      </x:c>
      <x:c r="BP597" s="14" t="str">
        <x:v>Maximum supplied eligible IMDb cast-credit total; annual episode total not independently verified.</x:v>
      </x:c>
      <x:c r="BQ597" s="14" t="str">
        <x:v>Medium</x:v>
      </x:c>
      <x:c r="BR597" s="15" t="n">
        <x:v>1</x:v>
      </x:c>
      <x:c r="BS597" s="16" t="n">
        <x:v>0.02631578947368421</x:v>
      </x:c>
      <x:c r="BT597" s="14" t="str">
        <x:v>One episode</x:v>
      </x:c>
      <x:c r="BU597" s="14" t="str">
        <x:v>Medium</x:v>
      </x:c>
      <x:c r="BV597" s="14" t="str">
        <x:v>Derived from the supplied IMDb episode count and documented production-total proxy.</x:v>
      </x:c>
      <x:c r="BW597" s="14" t="str">
        <x:v>Unable to determine</x:v>
      </x:c>
      <x:c r="BX597" s="14" t="str">
        <x:v>Cast-list and episode data do not establish narrative prominence.</x:v>
      </x:c>
      <x:c r="BY597" s="14" t="str">
        <x:v>Supplied IMDb cast-list workbook</x:v>
      </x:c>
      <x:c r="BZ597" s="14" t="str">
        <x:v>HYPERLINK is not implemented. linkLocation=https://www.imdb.com/title/tt15407098/fullcredits/, friendlyName=Open source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tt15407098|nm7084087|ronny panesar</x:v>
      </x:c>
      <x:c r="B598" s="14" t="str">
        <x:v>05</x:v>
      </x:c>
      <x:c r="C598" s="14" t="str">
        <x:v>2022_IMDb_Cast_Lists_Batch_05(1).xlsx</x:v>
      </x:c>
      <x:c r="D598" s="14" t="str">
        <x:v>Sister Boniface Mysteries</x:v>
      </x:c>
      <x:c r="E598" s="14" t="n">
        <x:v>204</x:v>
      </x:c>
      <x:c r="F598" s="14" t="str">
        <x:v>Sister Boniface Mysteries</x:v>
      </x:c>
      <x:c r="G598" s="14" t="str">
        <x:v>tt15407098</x:v>
      </x:c>
      <x:c r="H598" s="14" t="n">
        <x:v>2022</x:v>
      </x:c>
      <x:c r="I598" s="14" t="n">
        <x:v>2025</x:v>
      </x:c>
      <x:c r="J598" s="14" t="str">
        <x:v>Earlier-Production Carry-In Cohort</x:v>
      </x:c>
      <x:c r="K598" s="14" t="n">
        <x:v>2022</x:v>
      </x:c>
      <x:c r="L598" s="14" t="str">
        <x:v>Not inherited</x:v>
      </x:c>
      <x:c r="M598" s="15" t="n">
        <x:v>197</x:v>
      </x:c>
      <x:c r="N598" s="14" t="str">
        <x:v>Alistair Toovey</x:v>
      </x:c>
      <x:c r="O598" s="14" t="str">
        <x:v>nm7084087</x:v>
      </x:c>
      <x:c r="P598" s="14" t="str">
        <x:v>Ronny Panesar</x:v>
      </x:c>
      <x:c r="Q598" s="15" t="n">
        <x:v>1</x:v>
      </x:c>
      <x:c r="R598" s="14" t="str">
        <x:v>2025</x:v>
      </x:c>
      <x:c r="S598" s="14" t="n">
        <x:v>2025</x:v>
      </x:c>
      <x:c r="T598" s="14" t="n">
        <x:v>2025</x:v>
      </x:c>
      <x:c r="U598" s="14" t="str">
        <x:v>Explicit source first year retained</x:v>
      </x:c>
      <x:c r="V598" s="14" t="str">
        <x:v>Earliest supplied year is 2025.</x:v>
      </x:c>
      <x:c r="W598" s="14"/>
      <x:c r="X598" s="14" t="str">
        <x:v>Included</x:v>
      </x:c>
      <x:c r="Y598" s="14"/>
      <x:c r="Z598" s="14" t="str">
        <x:v>Sister Boniface Mysteries.docx</x:v>
      </x:c>
      <x:c r="AA598" s="14" t="str">
        <x:v>HYPERLINK is not implemented. linkLocation=https://www.imdb.com/title/tt15407098/fullcredits/, friendlyName=Open source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BritBox UK</x:v>
      </x:c>
      <x:c r="AI598" s="14" t="str">
        <x:v>UK original 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uk original commission.</x:v>
      </x:c>
      <x:c r="AM59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8" s="14" t="str">
        <x:v>No qualifying BBC relationship</x:v>
      </x:c>
      <x:c r="AO598" s="14" t="str">
        <x:v>No</x:v>
      </x:c>
      <x:c r="AP598" s="14" t="str">
        <x:v>Out of scope</x:v>
      </x:c>
      <x:c r="AQ598" s="14" t="str">
        <x:v>No</x:v>
      </x:c>
      <x:c r="AR598" s="14" t="str">
        <x:v>Resolved from master register</x:v>
      </x:c>
      <x:c r="AS598" s="14" t="str">
        <x:v>No established-register match</x:v>
      </x:c>
      <x:c r="AT598" s="14"/>
      <x:c r="AU598" s="14"/>
      <x:c r="AV598" s="14" t="str">
        <x:v>No established apparent-disability match</x:v>
      </x:c>
      <x:c r="AW598" s="14"/>
      <x:c r="AX598" s="14" t="str">
        <x:v>No</x:v>
      </x:c>
      <x:c r="AY598" s="14" t="str">
        <x:v>Unmatched</x:v>
      </x:c>
      <x:c r="AZ598" s="14" t="str">
        <x:v>Final supplied register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38</x:v>
      </x:c>
      <x:c r="BP598" s="14" t="str">
        <x:v>Maximum supplied eligible IMDb cast-credit total; annual episode total not independently verified.</x:v>
      </x:c>
      <x:c r="BQ598" s="14" t="str">
        <x:v>Medium</x:v>
      </x:c>
      <x:c r="BR598" s="15" t="n">
        <x:v>1</x:v>
      </x:c>
      <x:c r="BS598" s="16" t="n">
        <x:v>0.02631578947368421</x:v>
      </x:c>
      <x:c r="BT598" s="14" t="str">
        <x:v>One episode</x:v>
      </x:c>
      <x:c r="BU598" s="14" t="str">
        <x:v>Medium</x:v>
      </x:c>
      <x:c r="BV598" s="14" t="str">
        <x:v>Derived from the supplied IMDb episode count and documented production-total proxy.</x:v>
      </x:c>
      <x:c r="BW598" s="14" t="str">
        <x:v>Unable to determine</x:v>
      </x:c>
      <x:c r="BX598" s="14" t="str">
        <x:v>Cast-list and episode data do not establish narrative prominence.</x:v>
      </x:c>
      <x:c r="BY598" s="14" t="str">
        <x:v>Supplied IMDb cast-list workbook</x:v>
      </x:c>
      <x:c r="BZ598" s="14" t="str">
        <x:v>HYPERLINK is not implemented. linkLocation=https://www.imdb.com/title/tt15407098/fullcredits/, friendlyName=Open source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tt15407098|nm6790651|jimmy adams</x:v>
      </x:c>
      <x:c r="B599" s="14" t="str">
        <x:v>05</x:v>
      </x:c>
      <x:c r="C599" s="14" t="str">
        <x:v>2022_IMDb_Cast_Lists_Batch_05(1).xlsx</x:v>
      </x:c>
      <x:c r="D599" s="14" t="str">
        <x:v>Sister Boniface Mysteries</x:v>
      </x:c>
      <x:c r="E599" s="14" t="n">
        <x:v>211</x:v>
      </x:c>
      <x:c r="F599" s="14" t="str">
        <x:v>Sister Boniface Mysteries</x:v>
      </x:c>
      <x:c r="G599" s="14" t="str">
        <x:v>tt15407098</x:v>
      </x:c>
      <x:c r="H599" s="14" t="n">
        <x:v>2022</x:v>
      </x:c>
      <x:c r="I599" s="14" t="n">
        <x:v>2025</x:v>
      </x:c>
      <x:c r="J599" s="14" t="str">
        <x:v>Earlier-Production Carry-In Cohort</x:v>
      </x:c>
      <x:c r="K599" s="14" t="n">
        <x:v>2022</x:v>
      </x:c>
      <x:c r="L599" s="14" t="str">
        <x:v>Not inherited</x:v>
      </x:c>
      <x:c r="M599" s="15" t="n">
        <x:v>204</x:v>
      </x:c>
      <x:c r="N599" s="14" t="str">
        <x:v>Joseph Prowen</x:v>
      </x:c>
      <x:c r="O599" s="14" t="str">
        <x:v>nm6790651</x:v>
      </x:c>
      <x:c r="P599" s="14" t="str">
        <x:v>Jimmy Adams</x:v>
      </x:c>
      <x:c r="Q599" s="15" t="n">
        <x:v>1</x:v>
      </x:c>
      <x:c r="R599" s="14" t="str">
        <x:v>2025</x:v>
      </x:c>
      <x:c r="S599" s="14" t="n">
        <x:v>2025</x:v>
      </x:c>
      <x:c r="T599" s="14" t="n">
        <x:v>2025</x:v>
      </x:c>
      <x:c r="U599" s="14" t="str">
        <x:v>Explicit source first year retained</x:v>
      </x:c>
      <x:c r="V599" s="14" t="str">
        <x:v>Earliest supplied year is 2025.</x:v>
      </x:c>
      <x:c r="W599" s="14"/>
      <x:c r="X599" s="14" t="str">
        <x:v>Included</x:v>
      </x:c>
      <x:c r="Y599" s="14"/>
      <x:c r="Z599" s="14" t="str">
        <x:v>Sister Boniface Mysteries.docx</x:v>
      </x:c>
      <x:c r="AA599" s="14" t="str">
        <x:v>HYPERLINK is not implemented. linkLocation=https://www.imdb.com/title/tt15407098/fullcredits/, friendlyName=Open source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BritBox UK</x:v>
      </x:c>
      <x:c r="AI599" s="14" t="str">
        <x:v>UK original 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uk original commission.</x:v>
      </x:c>
      <x:c r="AM59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599" s="14" t="str">
        <x:v>No qualifying BBC relationship</x:v>
      </x:c>
      <x:c r="AO599" s="14" t="str">
        <x:v>No</x:v>
      </x:c>
      <x:c r="AP599" s="14" t="str">
        <x:v>Out of scope</x:v>
      </x:c>
      <x:c r="AQ599" s="14" t="str">
        <x:v>No</x:v>
      </x:c>
      <x:c r="AR599" s="14" t="str">
        <x:v>Resolved from master register</x:v>
      </x:c>
      <x:c r="AS599" s="14" t="str">
        <x:v>No established-register match</x:v>
      </x:c>
      <x:c r="AT599" s="14"/>
      <x:c r="AU599" s="14"/>
      <x:c r="AV599" s="14" t="str">
        <x:v>No established apparent-disability match</x:v>
      </x:c>
      <x:c r="AW599" s="14"/>
      <x:c r="AX599" s="14" t="str">
        <x:v>No</x:v>
      </x:c>
      <x:c r="AY599" s="14" t="str">
        <x:v>Unmatched</x:v>
      </x:c>
      <x:c r="AZ599" s="14" t="str">
        <x:v>Final supplied register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38</x:v>
      </x:c>
      <x:c r="BP599" s="14" t="str">
        <x:v>Maximum supplied eligible IMDb cast-credit total; annual episode total not independently verified.</x:v>
      </x:c>
      <x:c r="BQ599" s="14" t="str">
        <x:v>Medium</x:v>
      </x:c>
      <x:c r="BR599" s="15" t="n">
        <x:v>1</x:v>
      </x:c>
      <x:c r="BS599" s="16" t="n">
        <x:v>0.02631578947368421</x:v>
      </x:c>
      <x:c r="BT599" s="14" t="str">
        <x:v>One episode</x:v>
      </x:c>
      <x:c r="BU599" s="14" t="str">
        <x:v>Medium</x:v>
      </x:c>
      <x:c r="BV599" s="14" t="str">
        <x:v>Derived from the supplied IMDb episode count and documented production-total proxy.</x:v>
      </x:c>
      <x:c r="BW599" s="14" t="str">
        <x:v>Unable to determine</x:v>
      </x:c>
      <x:c r="BX599" s="14" t="str">
        <x:v>Cast-list and episode data do not establish narrative prominence.</x:v>
      </x:c>
      <x:c r="BY599" s="14" t="str">
        <x:v>Supplied IMDb cast-list workbook</x:v>
      </x:c>
      <x:c r="BZ599" s="14" t="str">
        <x:v>HYPERLINK is not implemented. linkLocation=https://www.imdb.com/title/tt15407098/fullcredits/, friendlyName=Open source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tt15407098|nm14122689|charlie sanderson</x:v>
      </x:c>
      <x:c r="B600" s="14" t="str">
        <x:v>05</x:v>
      </x:c>
      <x:c r="C600" s="14" t="str">
        <x:v>2022_IMDb_Cast_Lists_Batch_05(1).xlsx</x:v>
      </x:c>
      <x:c r="D600" s="14" t="str">
        <x:v>Sister Boniface Mysteries</x:v>
      </x:c>
      <x:c r="E600" s="14" t="n">
        <x:v>212</x:v>
      </x:c>
      <x:c r="F600" s="14" t="str">
        <x:v>Sister Boniface Mysteries</x:v>
      </x:c>
      <x:c r="G600" s="14" t="str">
        <x:v>tt15407098</x:v>
      </x:c>
      <x:c r="H600" s="14" t="n">
        <x:v>2022</x:v>
      </x:c>
      <x:c r="I600" s="14" t="n">
        <x:v>2025</x:v>
      </x:c>
      <x:c r="J600" s="14" t="str">
        <x:v>Earlier-Production Carry-In Cohort</x:v>
      </x:c>
      <x:c r="K600" s="14" t="n">
        <x:v>2022</x:v>
      </x:c>
      <x:c r="L600" s="14" t="str">
        <x:v>Not inherited</x:v>
      </x:c>
      <x:c r="M600" s="15" t="n">
        <x:v>205</x:v>
      </x:c>
      <x:c r="N600" s="14" t="str">
        <x:v>Tommy Belshaw</x:v>
      </x:c>
      <x:c r="O600" s="14" t="str">
        <x:v>nm14122689</x:v>
      </x:c>
      <x:c r="P600" s="14" t="str">
        <x:v>Charlie Sanderson</x:v>
      </x:c>
      <x:c r="Q600" s="15" t="n">
        <x:v>1</x:v>
      </x:c>
      <x:c r="R600" s="14" t="str">
        <x:v>2025</x:v>
      </x:c>
      <x:c r="S600" s="14" t="n">
        <x:v>2025</x:v>
      </x:c>
      <x:c r="T600" s="14" t="n">
        <x:v>2025</x:v>
      </x:c>
      <x:c r="U600" s="14" t="str">
        <x:v>Explicit source first year retained</x:v>
      </x:c>
      <x:c r="V600" s="14" t="str">
        <x:v>Earliest supplied year is 2025.</x:v>
      </x:c>
      <x:c r="W600" s="14"/>
      <x:c r="X600" s="14" t="str">
        <x:v>Included</x:v>
      </x:c>
      <x:c r="Y600" s="14"/>
      <x:c r="Z600" s="14" t="str">
        <x:v>Sister Boniface Mysteries.docx</x:v>
      </x:c>
      <x:c r="AA600" s="14" t="str">
        <x:v>HYPERLINK is not implemented. linkLocation=https://www.imdb.com/title/tt15407098/fullcredits/, friendlyName=Open source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BritBox UK</x:v>
      </x:c>
      <x:c r="AI600" s="14" t="str">
        <x:v>UK original 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uk original commission.</x:v>
      </x:c>
      <x:c r="AM600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0" s="14" t="str">
        <x:v>No qualifying BBC relationship</x:v>
      </x:c>
      <x:c r="AO600" s="14" t="str">
        <x:v>No</x:v>
      </x:c>
      <x:c r="AP600" s="14" t="str">
        <x:v>Out of scope</x:v>
      </x:c>
      <x:c r="AQ600" s="14" t="str">
        <x:v>No</x:v>
      </x:c>
      <x:c r="AR600" s="14" t="str">
        <x:v>Resolved from master register</x:v>
      </x:c>
      <x:c r="AS600" s="14" t="str">
        <x:v>No established-register match</x:v>
      </x:c>
      <x:c r="AT600" s="14"/>
      <x:c r="AU600" s="14"/>
      <x:c r="AV600" s="14" t="str">
        <x:v>No established apparent-disability match</x:v>
      </x:c>
      <x:c r="AW600" s="14"/>
      <x:c r="AX600" s="14" t="str">
        <x:v>No</x:v>
      </x:c>
      <x:c r="AY600" s="14" t="str">
        <x:v>Unmatched</x:v>
      </x:c>
      <x:c r="AZ600" s="14" t="str">
        <x:v>Final supplied register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38</x:v>
      </x:c>
      <x:c r="BP600" s="14" t="str">
        <x:v>Maximum supplied eligible IMDb cast-credit total; annual episode total not independently verified.</x:v>
      </x:c>
      <x:c r="BQ600" s="14" t="str">
        <x:v>Medium</x:v>
      </x:c>
      <x:c r="BR600" s="15" t="n">
        <x:v>1</x:v>
      </x:c>
      <x:c r="BS600" s="16" t="n">
        <x:v>0.02631578947368421</x:v>
      </x:c>
      <x:c r="BT600" s="14" t="str">
        <x:v>One episode</x:v>
      </x:c>
      <x:c r="BU600" s="14" t="str">
        <x:v>Medium</x:v>
      </x:c>
      <x:c r="BV600" s="14" t="str">
        <x:v>Derived from the supplied IMDb episode count and documented production-total proxy.</x:v>
      </x:c>
      <x:c r="BW600" s="14" t="str">
        <x:v>Unable to determine</x:v>
      </x:c>
      <x:c r="BX600" s="14" t="str">
        <x:v>Cast-list and episode data do not establish narrative prominence.</x:v>
      </x:c>
      <x:c r="BY600" s="14" t="str">
        <x:v>Supplied IMDb cast-list workbook</x:v>
      </x:c>
      <x:c r="BZ600" s="14" t="str">
        <x:v>HYPERLINK is not implemented. linkLocation=https://www.imdb.com/title/tt15407098/fullcredits/, friendlyName=Open source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tt15407098|nm0431521|lynn goodwin</x:v>
      </x:c>
      <x:c r="B601" s="14" t="str">
        <x:v>05</x:v>
      </x:c>
      <x:c r="C601" s="14" t="str">
        <x:v>2022_IMDb_Cast_Lists_Batch_05(1).xlsx</x:v>
      </x:c>
      <x:c r="D601" s="14" t="str">
        <x:v>Sister Boniface Mysteries</x:v>
      </x:c>
      <x:c r="E601" s="14" t="n">
        <x:v>219</x:v>
      </x:c>
      <x:c r="F601" s="14" t="str">
        <x:v>Sister Boniface Mysteries</x:v>
      </x:c>
      <x:c r="G601" s="14" t="str">
        <x:v>tt15407098</x:v>
      </x:c>
      <x:c r="H601" s="14" t="n">
        <x:v>2022</x:v>
      </x:c>
      <x:c r="I601" s="14" t="n">
        <x:v>2025</x:v>
      </x:c>
      <x:c r="J601" s="14" t="str">
        <x:v>Earlier-Production Carry-In Cohort</x:v>
      </x:c>
      <x:c r="K601" s="14" t="n">
        <x:v>2022</x:v>
      </x:c>
      <x:c r="L601" s="14" t="str">
        <x:v>Not inherited</x:v>
      </x:c>
      <x:c r="M601" s="15" t="n">
        <x:v>212</x:v>
      </x:c>
      <x:c r="N601" s="14" t="str">
        <x:v>Emily Joyce</x:v>
      </x:c>
      <x:c r="O601" s="14" t="str">
        <x:v>nm0431521</x:v>
      </x:c>
      <x:c r="P601" s="14" t="str">
        <x:v>Lynn Goodwin</x:v>
      </x:c>
      <x:c r="Q601" s="15" t="n">
        <x:v>1</x:v>
      </x:c>
      <x:c r="R601" s="14" t="str">
        <x:v>2025</x:v>
      </x:c>
      <x:c r="S601" s="14" t="n">
        <x:v>2025</x:v>
      </x:c>
      <x:c r="T601" s="14" t="n">
        <x:v>2025</x:v>
      </x:c>
      <x:c r="U601" s="14" t="str">
        <x:v>Explicit source first year retained</x:v>
      </x:c>
      <x:c r="V601" s="14" t="str">
        <x:v>Earliest supplied year is 2025.</x:v>
      </x:c>
      <x:c r="W601" s="14"/>
      <x:c r="X601" s="14" t="str">
        <x:v>Included</x:v>
      </x:c>
      <x:c r="Y601" s="14"/>
      <x:c r="Z601" s="14" t="str">
        <x:v>Sister Boniface Mysteries.docx</x:v>
      </x:c>
      <x:c r="AA601" s="14" t="str">
        <x:v>HYPERLINK is not implemented. linkLocation=https://www.imdb.com/title/tt15407098/fullcredits/, friendlyName=Open source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BritBox UK</x:v>
      </x:c>
      <x:c r="AI601" s="14" t="str">
        <x:v>UK original 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uk original commission.</x:v>
      </x:c>
      <x:c r="AM601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1" s="14" t="str">
        <x:v>No qualifying BBC relationship</x:v>
      </x:c>
      <x:c r="AO601" s="14" t="str">
        <x:v>No</x:v>
      </x:c>
      <x:c r="AP601" s="14" t="str">
        <x:v>Out of scope</x:v>
      </x:c>
      <x:c r="AQ601" s="14" t="str">
        <x:v>No</x:v>
      </x:c>
      <x:c r="AR601" s="14" t="str">
        <x:v>Resolved from master register</x:v>
      </x:c>
      <x:c r="AS601" s="14" t="str">
        <x:v>No established-register match</x:v>
      </x:c>
      <x:c r="AT601" s="14"/>
      <x:c r="AU601" s="14"/>
      <x:c r="AV601" s="14" t="str">
        <x:v>No established apparent-disability match</x:v>
      </x:c>
      <x:c r="AW601" s="14"/>
      <x:c r="AX601" s="14" t="str">
        <x:v>No</x:v>
      </x:c>
      <x:c r="AY601" s="14" t="str">
        <x:v>Unmatched</x:v>
      </x:c>
      <x:c r="AZ601" s="14" t="str">
        <x:v>Final supplied register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38</x:v>
      </x:c>
      <x:c r="BP601" s="14" t="str">
        <x:v>Maximum supplied eligible IMDb cast-credit total; annual episode total not independently verified.</x:v>
      </x:c>
      <x:c r="BQ601" s="14" t="str">
        <x:v>Medium</x:v>
      </x:c>
      <x:c r="BR601" s="15" t="n">
        <x:v>1</x:v>
      </x:c>
      <x:c r="BS601" s="16" t="n">
        <x:v>0.02631578947368421</x:v>
      </x:c>
      <x:c r="BT601" s="14" t="str">
        <x:v>One episode</x:v>
      </x:c>
      <x:c r="BU601" s="14" t="str">
        <x:v>Medium</x:v>
      </x:c>
      <x:c r="BV601" s="14" t="str">
        <x:v>Derived from the supplied IMDb episode count and documented production-total proxy.</x:v>
      </x:c>
      <x:c r="BW601" s="14" t="str">
        <x:v>Unable to determine</x:v>
      </x:c>
      <x:c r="BX601" s="14" t="str">
        <x:v>Cast-list and episode data do not establish narrative prominence.</x:v>
      </x:c>
      <x:c r="BY601" s="14" t="str">
        <x:v>Supplied IMDb cast-list workbook</x:v>
      </x:c>
      <x:c r="BZ601" s="14" t="str">
        <x:v>HYPERLINK is not implemented. linkLocation=https://www.imdb.com/title/tt15407098/fullcredits/, friendlyName=Open source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tt15407098|nm0307122|martin hubbard</x:v>
      </x:c>
      <x:c r="B602" s="14" t="str">
        <x:v>05</x:v>
      </x:c>
      <x:c r="C602" s="14" t="str">
        <x:v>2022_IMDb_Cast_Lists_Batch_05(1).xlsx</x:v>
      </x:c>
      <x:c r="D602" s="14" t="str">
        <x:v>Sister Boniface Mysteries</x:v>
      </x:c>
      <x:c r="E602" s="14" t="n">
        <x:v>220</x:v>
      </x:c>
      <x:c r="F602" s="14" t="str">
        <x:v>Sister Boniface Mysteries</x:v>
      </x:c>
      <x:c r="G602" s="14" t="str">
        <x:v>tt15407098</x:v>
      </x:c>
      <x:c r="H602" s="14" t="n">
        <x:v>2022</x:v>
      </x:c>
      <x:c r="I602" s="14" t="n">
        <x:v>2025</x:v>
      </x:c>
      <x:c r="J602" s="14" t="str">
        <x:v>Earlier-Production Carry-In Cohort</x:v>
      </x:c>
      <x:c r="K602" s="14" t="n">
        <x:v>2022</x:v>
      </x:c>
      <x:c r="L602" s="14" t="str">
        <x:v>Not inherited</x:v>
      </x:c>
      <x:c r="M602" s="15" t="n">
        <x:v>213</x:v>
      </x:c>
      <x:c r="N602" s="14" t="str">
        <x:v>Tony Gardner</x:v>
      </x:c>
      <x:c r="O602" s="14" t="str">
        <x:v>nm0307122</x:v>
      </x:c>
      <x:c r="P602" s="14" t="str">
        <x:v>Martin Hubbard</x:v>
      </x:c>
      <x:c r="Q602" s="15" t="n">
        <x:v>1</x:v>
      </x:c>
      <x:c r="R602" s="14" t="str">
        <x:v>2025</x:v>
      </x:c>
      <x:c r="S602" s="14" t="n">
        <x:v>2025</x:v>
      </x:c>
      <x:c r="T602" s="14" t="n">
        <x:v>2025</x:v>
      </x:c>
      <x:c r="U602" s="14" t="str">
        <x:v>Explicit source first year retained</x:v>
      </x:c>
      <x:c r="V602" s="14" t="str">
        <x:v>Earliest supplied year is 2025.</x:v>
      </x:c>
      <x:c r="W602" s="14"/>
      <x:c r="X602" s="14" t="str">
        <x:v>Included</x:v>
      </x:c>
      <x:c r="Y602" s="14"/>
      <x:c r="Z602" s="14" t="str">
        <x:v>Sister Boniface Mysteries.docx</x:v>
      </x:c>
      <x:c r="AA602" s="14" t="str">
        <x:v>HYPERLINK is not implemented. linkLocation=https://www.imdb.com/title/tt15407098/fullcredits/, friendlyName=Open source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BritBox UK</x:v>
      </x:c>
      <x:c r="AI602" s="14" t="str">
        <x:v>UK original 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uk original commission.</x:v>
      </x:c>
      <x:c r="AM602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2" s="14" t="str">
        <x:v>No qualifying BBC relationship</x:v>
      </x:c>
      <x:c r="AO602" s="14" t="str">
        <x:v>No</x:v>
      </x:c>
      <x:c r="AP602" s="14" t="str">
        <x:v>Out of scope</x:v>
      </x:c>
      <x:c r="AQ602" s="14" t="str">
        <x:v>No</x:v>
      </x:c>
      <x:c r="AR602" s="14" t="str">
        <x:v>Resolved from master register</x:v>
      </x:c>
      <x:c r="AS602" s="14" t="str">
        <x:v>No established-register match</x:v>
      </x:c>
      <x:c r="AT602" s="14"/>
      <x:c r="AU602" s="14"/>
      <x:c r="AV602" s="14" t="str">
        <x:v>No established apparent-disability match</x:v>
      </x:c>
      <x:c r="AW602" s="14"/>
      <x:c r="AX602" s="14" t="str">
        <x:v>No</x:v>
      </x:c>
      <x:c r="AY602" s="14" t="str">
        <x:v>Unmatched</x:v>
      </x:c>
      <x:c r="AZ602" s="14" t="str">
        <x:v>Final supplied register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38</x:v>
      </x:c>
      <x:c r="BP602" s="14" t="str">
        <x:v>Maximum supplied eligible IMDb cast-credit total; annual episode total not independently verified.</x:v>
      </x:c>
      <x:c r="BQ602" s="14" t="str">
        <x:v>Medium</x:v>
      </x:c>
      <x:c r="BR602" s="15" t="n">
        <x:v>1</x:v>
      </x:c>
      <x:c r="BS602" s="16" t="n">
        <x:v>0.02631578947368421</x:v>
      </x:c>
      <x:c r="BT602" s="14" t="str">
        <x:v>One episode</x:v>
      </x:c>
      <x:c r="BU602" s="14" t="str">
        <x:v>Medium</x:v>
      </x:c>
      <x:c r="BV602" s="14" t="str">
        <x:v>Derived from the supplied IMDb episode count and documented production-total proxy.</x:v>
      </x:c>
      <x:c r="BW602" s="14" t="str">
        <x:v>Unable to determine</x:v>
      </x:c>
      <x:c r="BX602" s="14" t="str">
        <x:v>Cast-list and episode data do not establish narrative prominence.</x:v>
      </x:c>
      <x:c r="BY602" s="14" t="str">
        <x:v>Supplied IMDb cast-list workbook</x:v>
      </x:c>
      <x:c r="BZ602" s="14" t="str">
        <x:v>HYPERLINK is not implemented. linkLocation=https://www.imdb.com/title/tt15407098/fullcredits/, friendlyName=Open source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tt15407098|nm13004602|maggie adams</x:v>
      </x:c>
      <x:c r="B603" s="14" t="str">
        <x:v>05</x:v>
      </x:c>
      <x:c r="C603" s="14" t="str">
        <x:v>2022_IMDb_Cast_Lists_Batch_05(1).xlsx</x:v>
      </x:c>
      <x:c r="D603" s="14" t="str">
        <x:v>Sister Boniface Mysteries</x:v>
      </x:c>
      <x:c r="E603" s="14" t="n">
        <x:v>221</x:v>
      </x:c>
      <x:c r="F603" s="14" t="str">
        <x:v>Sister Boniface Mysteries</x:v>
      </x:c>
      <x:c r="G603" s="14" t="str">
        <x:v>tt15407098</x:v>
      </x:c>
      <x:c r="H603" s="14" t="n">
        <x:v>2022</x:v>
      </x:c>
      <x:c r="I603" s="14" t="n">
        <x:v>2025</x:v>
      </x:c>
      <x:c r="J603" s="14" t="str">
        <x:v>Earlier-Production Carry-In Cohort</x:v>
      </x:c>
      <x:c r="K603" s="14" t="n">
        <x:v>2022</x:v>
      </x:c>
      <x:c r="L603" s="14" t="str">
        <x:v>Not inherited</x:v>
      </x:c>
      <x:c r="M603" s="15" t="n">
        <x:v>214</x:v>
      </x:c>
      <x:c r="N603" s="14" t="str">
        <x:v>Alyth Ross</x:v>
      </x:c>
      <x:c r="O603" s="14" t="str">
        <x:v>nm13004602</x:v>
      </x:c>
      <x:c r="P603" s="14" t="str">
        <x:v>Maggie Adams</x:v>
      </x:c>
      <x:c r="Q603" s="15" t="n">
        <x:v>1</x:v>
      </x:c>
      <x:c r="R603" s="14" t="str">
        <x:v>2025</x:v>
      </x:c>
      <x:c r="S603" s="14" t="n">
        <x:v>2025</x:v>
      </x:c>
      <x:c r="T603" s="14" t="n">
        <x:v>2025</x:v>
      </x:c>
      <x:c r="U603" s="14" t="str">
        <x:v>Explicit source first year retained</x:v>
      </x:c>
      <x:c r="V603" s="14" t="str">
        <x:v>Earliest supplied year is 2025.</x:v>
      </x:c>
      <x:c r="W603" s="14"/>
      <x:c r="X603" s="14" t="str">
        <x:v>Included</x:v>
      </x:c>
      <x:c r="Y603" s="14"/>
      <x:c r="Z603" s="14" t="str">
        <x:v>Sister Boniface Mysteries.docx</x:v>
      </x:c>
      <x:c r="AA603" s="14" t="str">
        <x:v>HYPERLINK is not implemented. linkLocation=https://www.imdb.com/title/tt15407098/fullcredits/, friendlyName=Open source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BritBox UK</x:v>
      </x:c>
      <x:c r="AI603" s="14" t="str">
        <x:v>UK original 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uk original commission.</x:v>
      </x:c>
      <x:c r="AM603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3" s="14" t="str">
        <x:v>No qualifying BBC relationship</x:v>
      </x:c>
      <x:c r="AO603" s="14" t="str">
        <x:v>No</x:v>
      </x:c>
      <x:c r="AP603" s="14" t="str">
        <x:v>Out of scope</x:v>
      </x:c>
      <x:c r="AQ603" s="14" t="str">
        <x:v>No</x:v>
      </x:c>
      <x:c r="AR603" s="14" t="str">
        <x:v>Resolved from master register</x:v>
      </x:c>
      <x:c r="AS603" s="14" t="str">
        <x:v>No established-register match</x:v>
      </x:c>
      <x:c r="AT603" s="14"/>
      <x:c r="AU603" s="14"/>
      <x:c r="AV603" s="14" t="str">
        <x:v>No established apparent-disability match</x:v>
      </x:c>
      <x:c r="AW603" s="14"/>
      <x:c r="AX603" s="14" t="str">
        <x:v>No</x:v>
      </x:c>
      <x:c r="AY603" s="14" t="str">
        <x:v>Unmatched</x:v>
      </x:c>
      <x:c r="AZ603" s="14" t="str">
        <x:v>Final supplied register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38</x:v>
      </x:c>
      <x:c r="BP603" s="14" t="str">
        <x:v>Maximum supplied eligible IMDb cast-credit total; annual episode total not independently verified.</x:v>
      </x:c>
      <x:c r="BQ603" s="14" t="str">
        <x:v>Medium</x:v>
      </x:c>
      <x:c r="BR603" s="15" t="n">
        <x:v>1</x:v>
      </x:c>
      <x:c r="BS603" s="16" t="n">
        <x:v>0.02631578947368421</x:v>
      </x:c>
      <x:c r="BT603" s="14" t="str">
        <x:v>One episode</x:v>
      </x:c>
      <x:c r="BU603" s="14" t="str">
        <x:v>Medium</x:v>
      </x:c>
      <x:c r="BV603" s="14" t="str">
        <x:v>Derived from the supplied IMDb episode count and documented production-total proxy.</x:v>
      </x:c>
      <x:c r="BW603" s="14" t="str">
        <x:v>Unable to determine</x:v>
      </x:c>
      <x:c r="BX603" s="14" t="str">
        <x:v>Cast-list and episode data do not establish narrative prominence.</x:v>
      </x:c>
      <x:c r="BY603" s="14" t="str">
        <x:v>Supplied IMDb cast-list workbook</x:v>
      </x:c>
      <x:c r="BZ603" s="14" t="str">
        <x:v>HYPERLINK is not implemented. linkLocation=https://www.imdb.com/title/tt15407098/fullcredits/, friendlyName=Open source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tt15407098|nm2418097|sandra hubbard</x:v>
      </x:c>
      <x:c r="B604" s="14" t="str">
        <x:v>05</x:v>
      </x:c>
      <x:c r="C604" s="14" t="str">
        <x:v>2022_IMDb_Cast_Lists_Batch_05(1).xlsx</x:v>
      </x:c>
      <x:c r="D604" s="14" t="str">
        <x:v>Sister Boniface Mysteries</x:v>
      </x:c>
      <x:c r="E604" s="14" t="n">
        <x:v>228</x:v>
      </x:c>
      <x:c r="F604" s="14" t="str">
        <x:v>Sister Boniface Mysteries</x:v>
      </x:c>
      <x:c r="G604" s="14" t="str">
        <x:v>tt15407098</x:v>
      </x:c>
      <x:c r="H604" s="14" t="n">
        <x:v>2022</x:v>
      </x:c>
      <x:c r="I604" s="14" t="n">
        <x:v>2025</x:v>
      </x:c>
      <x:c r="J604" s="14" t="str">
        <x:v>Earlier-Production Carry-In Cohort</x:v>
      </x:c>
      <x:c r="K604" s="14" t="n">
        <x:v>2022</x:v>
      </x:c>
      <x:c r="L604" s="14" t="str">
        <x:v>Not inherited</x:v>
      </x:c>
      <x:c r="M604" s="15" t="n">
        <x:v>221</x:v>
      </x:c>
      <x:c r="N604" s="14" t="str">
        <x:v>Anna Crilly</x:v>
      </x:c>
      <x:c r="O604" s="14" t="str">
        <x:v>nm2418097</x:v>
      </x:c>
      <x:c r="P604" s="14" t="str">
        <x:v>Sandra Hubbard</x:v>
      </x:c>
      <x:c r="Q604" s="15" t="n">
        <x:v>1</x:v>
      </x:c>
      <x:c r="R604" s="14" t="str">
        <x:v>2025</x:v>
      </x:c>
      <x:c r="S604" s="14" t="n">
        <x:v>2025</x:v>
      </x:c>
      <x:c r="T604" s="14" t="n">
        <x:v>2025</x:v>
      </x:c>
      <x:c r="U604" s="14" t="str">
        <x:v>Explicit source first year retained</x:v>
      </x:c>
      <x:c r="V604" s="14" t="str">
        <x:v>Earliest supplied year is 2025.</x:v>
      </x:c>
      <x:c r="W604" s="14"/>
      <x:c r="X604" s="14" t="str">
        <x:v>Included</x:v>
      </x:c>
      <x:c r="Y604" s="14"/>
      <x:c r="Z604" s="14" t="str">
        <x:v>Sister Boniface Mysteries.docx</x:v>
      </x:c>
      <x:c r="AA604" s="14" t="str">
        <x:v>HYPERLINK is not implemented. linkLocation=https://www.imdb.com/title/tt15407098/fullcredits/, friendlyName=Open source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BritBox UK</x:v>
      </x:c>
      <x:c r="AI604" s="14" t="str">
        <x:v>UK original 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uk original commission.</x:v>
      </x:c>
      <x:c r="AM604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4" s="14" t="str">
        <x:v>No qualifying BBC relationship</x:v>
      </x:c>
      <x:c r="AO604" s="14" t="str">
        <x:v>No</x:v>
      </x:c>
      <x:c r="AP604" s="14" t="str">
        <x:v>Out of scope</x:v>
      </x:c>
      <x:c r="AQ604" s="14" t="str">
        <x:v>No</x:v>
      </x:c>
      <x:c r="AR604" s="14" t="str">
        <x:v>Resolved from master register</x:v>
      </x:c>
      <x:c r="AS604" s="14" t="str">
        <x:v>No established-register match</x:v>
      </x:c>
      <x:c r="AT604" s="14"/>
      <x:c r="AU604" s="14"/>
      <x:c r="AV604" s="14" t="str">
        <x:v>No established apparent-disability match</x:v>
      </x:c>
      <x:c r="AW604" s="14"/>
      <x:c r="AX604" s="14" t="str">
        <x:v>No</x:v>
      </x:c>
      <x:c r="AY604" s="14" t="str">
        <x:v>Unmatched</x:v>
      </x:c>
      <x:c r="AZ604" s="14" t="str">
        <x:v>Final supplied register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38</x:v>
      </x:c>
      <x:c r="BP604" s="14" t="str">
        <x:v>Maximum supplied eligible IMDb cast-credit total; annual episode total not independently verified.</x:v>
      </x:c>
      <x:c r="BQ604" s="14" t="str">
        <x:v>Medium</x:v>
      </x:c>
      <x:c r="BR604" s="15" t="n">
        <x:v>1</x:v>
      </x:c>
      <x:c r="BS604" s="16" t="n">
        <x:v>0.02631578947368421</x:v>
      </x:c>
      <x:c r="BT604" s="14" t="str">
        <x:v>One episode</x:v>
      </x:c>
      <x:c r="BU604" s="14" t="str">
        <x:v>Medium</x:v>
      </x:c>
      <x:c r="BV604" s="14" t="str">
        <x:v>Derived from the supplied IMDb episode count and documented production-total proxy.</x:v>
      </x:c>
      <x:c r="BW604" s="14" t="str">
        <x:v>Unable to determine</x:v>
      </x:c>
      <x:c r="BX604" s="14" t="str">
        <x:v>Cast-list and episode data do not establish narrative prominence.</x:v>
      </x:c>
      <x:c r="BY604" s="14" t="str">
        <x:v>Supplied IMDb cast-list workbook</x:v>
      </x:c>
      <x:c r="BZ604" s="14" t="str">
        <x:v>HYPERLINK is not implemented. linkLocation=https://www.imdb.com/title/tt15407098/fullcredits/, friendlyName=Open source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tt15407098|nm14711001|jane double</x:v>
      </x:c>
      <x:c r="B605" s="14" t="str">
        <x:v>05</x:v>
      </x:c>
      <x:c r="C605" s="14" t="str">
        <x:v>2022_IMDb_Cast_Lists_Batch_05(1).xlsx</x:v>
      </x:c>
      <x:c r="D605" s="14" t="str">
        <x:v>Sister Boniface Mysteries</x:v>
      </x:c>
      <x:c r="E605" s="14" t="n">
        <x:v>229</x:v>
      </x:c>
      <x:c r="F605" s="14" t="str">
        <x:v>Sister Boniface Mysteries</x:v>
      </x:c>
      <x:c r="G605" s="14" t="str">
        <x:v>tt15407098</x:v>
      </x:c>
      <x:c r="H605" s="14" t="n">
        <x:v>2022</x:v>
      </x:c>
      <x:c r="I605" s="14" t="n">
        <x:v>2025</x:v>
      </x:c>
      <x:c r="J605" s="14" t="str">
        <x:v>Earlier-Production Carry-In Cohort</x:v>
      </x:c>
      <x:c r="K605" s="14" t="n">
        <x:v>2022</x:v>
      </x:c>
      <x:c r="L605" s="14" t="str">
        <x:v>Not inherited</x:v>
      </x:c>
      <x:c r="M605" s="15" t="n">
        <x:v>222</x:v>
      </x:c>
      <x:c r="N605" s="14" t="str">
        <x:v>Anna Blackburn</x:v>
      </x:c>
      <x:c r="O605" s="14" t="str">
        <x:v>nm14711001</x:v>
      </x:c>
      <x:c r="P605" s="14" t="str">
        <x:v>Jane Double</x:v>
      </x:c>
      <x:c r="Q605" s="15" t="n">
        <x:v>1</x:v>
      </x:c>
      <x:c r="R605" s="14" t="str">
        <x:v>2025</x:v>
      </x:c>
      <x:c r="S605" s="14" t="n">
        <x:v>2025</x:v>
      </x:c>
      <x:c r="T605" s="14" t="n">
        <x:v>2025</x:v>
      </x:c>
      <x:c r="U605" s="14" t="str">
        <x:v>Explicit source first year retained</x:v>
      </x:c>
      <x:c r="V605" s="14" t="str">
        <x:v>Earliest supplied year is 2025.</x:v>
      </x:c>
      <x:c r="W605" s="14"/>
      <x:c r="X605" s="14" t="str">
        <x:v>Included</x:v>
      </x:c>
      <x:c r="Y605" s="14"/>
      <x:c r="Z605" s="14" t="str">
        <x:v>Sister Boniface Mysteries.docx</x:v>
      </x:c>
      <x:c r="AA605" s="14" t="str">
        <x:v>HYPERLINK is not implemented. linkLocation=https://www.imdb.com/title/tt15407098/fullcredits/, friendlyName=Open source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BritBox UK</x:v>
      </x:c>
      <x:c r="AI605" s="14" t="str">
        <x:v>UK original 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uk original commission.</x:v>
      </x:c>
      <x:c r="AM605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5" s="14" t="str">
        <x:v>No qualifying BBC relationship</x:v>
      </x:c>
      <x:c r="AO605" s="14" t="str">
        <x:v>No</x:v>
      </x:c>
      <x:c r="AP605" s="14" t="str">
        <x:v>Out of scope</x:v>
      </x:c>
      <x:c r="AQ605" s="14" t="str">
        <x:v>No</x:v>
      </x:c>
      <x:c r="AR605" s="14" t="str">
        <x:v>Resolved from master register</x:v>
      </x:c>
      <x:c r="AS605" s="14" t="str">
        <x:v>No established-register match</x:v>
      </x:c>
      <x:c r="AT605" s="14"/>
      <x:c r="AU605" s="14"/>
      <x:c r="AV605" s="14" t="str">
        <x:v>No established apparent-disability match</x:v>
      </x:c>
      <x:c r="AW605" s="14"/>
      <x:c r="AX605" s="14" t="str">
        <x:v>No</x:v>
      </x:c>
      <x:c r="AY605" s="14" t="str">
        <x:v>Unmatched</x:v>
      </x:c>
      <x:c r="AZ605" s="14" t="str">
        <x:v>Final supplied register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38</x:v>
      </x:c>
      <x:c r="BP605" s="14" t="str">
        <x:v>Maximum supplied eligible IMDb cast-credit total; annual episode total not independently verified.</x:v>
      </x:c>
      <x:c r="BQ605" s="14" t="str">
        <x:v>Medium</x:v>
      </x:c>
      <x:c r="BR605" s="15" t="n">
        <x:v>1</x:v>
      </x:c>
      <x:c r="BS605" s="16" t="n">
        <x:v>0.02631578947368421</x:v>
      </x:c>
      <x:c r="BT605" s="14" t="str">
        <x:v>One episode</x:v>
      </x:c>
      <x:c r="BU605" s="14" t="str">
        <x:v>Medium</x:v>
      </x:c>
      <x:c r="BV605" s="14" t="str">
        <x:v>Derived from the supplied IMDb episode count and documented production-total proxy.</x:v>
      </x:c>
      <x:c r="BW605" s="14" t="str">
        <x:v>Unable to determine</x:v>
      </x:c>
      <x:c r="BX605" s="14" t="str">
        <x:v>Cast-list and episode data do not establish narrative prominence.</x:v>
      </x:c>
      <x:c r="BY605" s="14" t="str">
        <x:v>Supplied IMDb cast-list workbook</x:v>
      </x:c>
      <x:c r="BZ605" s="14" t="str">
        <x:v>HYPERLINK is not implemented. linkLocation=https://www.imdb.com/title/tt15407098/fullcredits/, friendlyName=Open source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tt15407098|nm0068464|sister helena</x:v>
      </x:c>
      <x:c r="B606" s="14" t="str">
        <x:v>05</x:v>
      </x:c>
      <x:c r="C606" s="14" t="str">
        <x:v>2022_IMDb_Cast_Lists_Batch_05(1).xlsx</x:v>
      </x:c>
      <x:c r="D606" s="14" t="str">
        <x:v>Sister Boniface Mysteries</x:v>
      </x:c>
      <x:c r="E606" s="14" t="n">
        <x:v>235</x:v>
      </x:c>
      <x:c r="F606" s="14" t="str">
        <x:v>Sister Boniface Mysteries</x:v>
      </x:c>
      <x:c r="G606" s="14" t="str">
        <x:v>tt15407098</x:v>
      </x:c>
      <x:c r="H606" s="14" t="n">
        <x:v>2022</x:v>
      </x:c>
      <x:c r="I606" s="14" t="n">
        <x:v>2025</x:v>
      </x:c>
      <x:c r="J606" s="14" t="str">
        <x:v>Earlier-Production Carry-In Cohort</x:v>
      </x:c>
      <x:c r="K606" s="14" t="n">
        <x:v>2022</x:v>
      </x:c>
      <x:c r="L606" s="14" t="str">
        <x:v>Not inherited</x:v>
      </x:c>
      <x:c r="M606" s="15" t="n">
        <x:v>228</x:v>
      </x:c>
      <x:c r="N606" s="14" t="str">
        <x:v>Rachel Bell</x:v>
      </x:c>
      <x:c r="O606" s="14" t="str">
        <x:v>nm0068464</x:v>
      </x:c>
      <x:c r="P606" s="14" t="str">
        <x:v>Sister Helena</x:v>
      </x:c>
      <x:c r="Q606" s="15" t="n">
        <x:v>1</x:v>
      </x:c>
      <x:c r="R606" s="14" t="str">
        <x:v>2025</x:v>
      </x:c>
      <x:c r="S606" s="14" t="n">
        <x:v>2025</x:v>
      </x:c>
      <x:c r="T606" s="14" t="n">
        <x:v>2025</x:v>
      </x:c>
      <x:c r="U606" s="14" t="str">
        <x:v>Explicit source first year retained</x:v>
      </x:c>
      <x:c r="V606" s="14" t="str">
        <x:v>Earliest supplied year is 2025.</x:v>
      </x:c>
      <x:c r="W606" s="14"/>
      <x:c r="X606" s="14" t="str">
        <x:v>Included</x:v>
      </x:c>
      <x:c r="Y606" s="14"/>
      <x:c r="Z606" s="14" t="str">
        <x:v>Sister Boniface Mysteries.docx</x:v>
      </x:c>
      <x:c r="AA606" s="14" t="str">
        <x:v>HYPERLINK is not implemented. linkLocation=https://www.imdb.com/title/tt15407098/fullcredits/, friendlyName=Open source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BritBox UK</x:v>
      </x:c>
      <x:c r="AI606" s="14" t="str">
        <x:v>UK original 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uk original commission.</x:v>
      </x:c>
      <x:c r="AM606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6" s="14" t="str">
        <x:v>No qualifying BBC relationship</x:v>
      </x:c>
      <x:c r="AO606" s="14" t="str">
        <x:v>No</x:v>
      </x:c>
      <x:c r="AP606" s="14" t="str">
        <x:v>Out of scope</x:v>
      </x:c>
      <x:c r="AQ606" s="14" t="str">
        <x:v>No</x:v>
      </x:c>
      <x:c r="AR606" s="14" t="str">
        <x:v>Resolved from master register</x:v>
      </x:c>
      <x:c r="AS606" s="14" t="str">
        <x:v>No established-register match</x:v>
      </x:c>
      <x:c r="AT606" s="14"/>
      <x:c r="AU606" s="14"/>
      <x:c r="AV606" s="14" t="str">
        <x:v>No established apparent-disability match</x:v>
      </x:c>
      <x:c r="AW606" s="14"/>
      <x:c r="AX606" s="14" t="str">
        <x:v>No</x:v>
      </x:c>
      <x:c r="AY606" s="14" t="str">
        <x:v>Unmatched</x:v>
      </x:c>
      <x:c r="AZ606" s="14" t="str">
        <x:v>Final supplied register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38</x:v>
      </x:c>
      <x:c r="BP606" s="14" t="str">
        <x:v>Maximum supplied eligible IMDb cast-credit total; annual episode total not independently verified.</x:v>
      </x:c>
      <x:c r="BQ606" s="14" t="str">
        <x:v>Medium</x:v>
      </x:c>
      <x:c r="BR606" s="15" t="n">
        <x:v>1</x:v>
      </x:c>
      <x:c r="BS606" s="16" t="n">
        <x:v>0.02631578947368421</x:v>
      </x:c>
      <x:c r="BT606" s="14" t="str">
        <x:v>One episode</x:v>
      </x:c>
      <x:c r="BU606" s="14" t="str">
        <x:v>Medium</x:v>
      </x:c>
      <x:c r="BV606" s="14" t="str">
        <x:v>Derived from the supplied IMDb episode count and documented production-total proxy.</x:v>
      </x:c>
      <x:c r="BW606" s="14" t="str">
        <x:v>Unable to determine</x:v>
      </x:c>
      <x:c r="BX606" s="14" t="str">
        <x:v>Cast-list and episode data do not establish narrative prominence.</x:v>
      </x:c>
      <x:c r="BY606" s="14" t="str">
        <x:v>Supplied IMDb cast-list workbook</x:v>
      </x:c>
      <x:c r="BZ606" s="14" t="str">
        <x:v>HYPERLINK is not implemented. linkLocation=https://www.imdb.com/title/tt15407098/fullcredits/, friendlyName=Open source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tt15407098|nm4569008|camilla double</x:v>
      </x:c>
      <x:c r="B607" s="14" t="str">
        <x:v>05</x:v>
      </x:c>
      <x:c r="C607" s="14" t="str">
        <x:v>2022_IMDb_Cast_Lists_Batch_05(1).xlsx</x:v>
      </x:c>
      <x:c r="D607" s="14" t="str">
        <x:v>Sister Boniface Mysteries</x:v>
      </x:c>
      <x:c r="E607" s="14" t="n">
        <x:v>236</x:v>
      </x:c>
      <x:c r="F607" s="14" t="str">
        <x:v>Sister Boniface Mysteries</x:v>
      </x:c>
      <x:c r="G607" s="14" t="str">
        <x:v>tt15407098</x:v>
      </x:c>
      <x:c r="H607" s="14" t="n">
        <x:v>2022</x:v>
      </x:c>
      <x:c r="I607" s="14" t="n">
        <x:v>2025</x:v>
      </x:c>
      <x:c r="J607" s="14" t="str">
        <x:v>Earlier-Production Carry-In Cohort</x:v>
      </x:c>
      <x:c r="K607" s="14" t="n">
        <x:v>2022</x:v>
      </x:c>
      <x:c r="L607" s="14" t="str">
        <x:v>Not inherited</x:v>
      </x:c>
      <x:c r="M607" s="15" t="n">
        <x:v>229</x:v>
      </x:c>
      <x:c r="N607" s="14" t="str">
        <x:v>Kluane Saunders</x:v>
      </x:c>
      <x:c r="O607" s="14" t="str">
        <x:v>nm4569008</x:v>
      </x:c>
      <x:c r="P607" s="14" t="str">
        <x:v>Camilla Double</x:v>
      </x:c>
      <x:c r="Q607" s="15" t="n">
        <x:v>1</x:v>
      </x:c>
      <x:c r="R607" s="14" t="str">
        <x:v>2025</x:v>
      </x:c>
      <x:c r="S607" s="14" t="n">
        <x:v>2025</x:v>
      </x:c>
      <x:c r="T607" s="14" t="n">
        <x:v>2025</x:v>
      </x:c>
      <x:c r="U607" s="14" t="str">
        <x:v>Explicit source first year retained</x:v>
      </x:c>
      <x:c r="V607" s="14" t="str">
        <x:v>Earliest supplied year is 2025.</x:v>
      </x:c>
      <x:c r="W607" s="14"/>
      <x:c r="X607" s="14" t="str">
        <x:v>Included</x:v>
      </x:c>
      <x:c r="Y607" s="14"/>
      <x:c r="Z607" s="14" t="str">
        <x:v>Sister Boniface Mysteries.docx</x:v>
      </x:c>
      <x:c r="AA607" s="14" t="str">
        <x:v>HYPERLINK is not implemented. linkLocation=https://www.imdb.com/title/tt15407098/fullcredits/, friendlyName=Open source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BritBox UK</x:v>
      </x:c>
      <x:c r="AI607" s="14" t="str">
        <x:v>UK original 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uk original commission.</x:v>
      </x:c>
      <x:c r="AM607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7" s="14" t="str">
        <x:v>No qualifying BBC relationship</x:v>
      </x:c>
      <x:c r="AO607" s="14" t="str">
        <x:v>No</x:v>
      </x:c>
      <x:c r="AP607" s="14" t="str">
        <x:v>Out of scope</x:v>
      </x:c>
      <x:c r="AQ607" s="14" t="str">
        <x:v>No</x:v>
      </x:c>
      <x:c r="AR607" s="14" t="str">
        <x:v>Resolved from master register</x:v>
      </x:c>
      <x:c r="AS607" s="14" t="str">
        <x:v>No established-register match</x:v>
      </x:c>
      <x:c r="AT607" s="14"/>
      <x:c r="AU607" s="14"/>
      <x:c r="AV607" s="14" t="str">
        <x:v>No established apparent-disability match</x:v>
      </x:c>
      <x:c r="AW607" s="14"/>
      <x:c r="AX607" s="14" t="str">
        <x:v>No</x:v>
      </x:c>
      <x:c r="AY607" s="14" t="str">
        <x:v>Unmatched</x:v>
      </x:c>
      <x:c r="AZ607" s="14" t="str">
        <x:v>Final supplied register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38</x:v>
      </x:c>
      <x:c r="BP607" s="14" t="str">
        <x:v>Maximum supplied eligible IMDb cast-credit total; annual episode total not independently verified.</x:v>
      </x:c>
      <x:c r="BQ607" s="14" t="str">
        <x:v>Medium</x:v>
      </x:c>
      <x:c r="BR607" s="15" t="n">
        <x:v>1</x:v>
      </x:c>
      <x:c r="BS607" s="16" t="n">
        <x:v>0.02631578947368421</x:v>
      </x:c>
      <x:c r="BT607" s="14" t="str">
        <x:v>One episode</x:v>
      </x:c>
      <x:c r="BU607" s="14" t="str">
        <x:v>Medium</x:v>
      </x:c>
      <x:c r="BV607" s="14" t="str">
        <x:v>Derived from the supplied IMDb episode count and documented production-total proxy.</x:v>
      </x:c>
      <x:c r="BW607" s="14" t="str">
        <x:v>Unable to determine</x:v>
      </x:c>
      <x:c r="BX607" s="14" t="str">
        <x:v>Cast-list and episode data do not establish narrative prominence.</x:v>
      </x:c>
      <x:c r="BY607" s="14" t="str">
        <x:v>Supplied IMDb cast-list workbook</x:v>
      </x:c>
      <x:c r="BZ607" s="14" t="str">
        <x:v>HYPERLINK is not implemented. linkLocation=https://www.imdb.com/title/tt15407098/fullcredits/, friendlyName=Open source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tt15407098|nm9123082|clementine bell</x:v>
      </x:c>
      <x:c r="B608" s="14" t="str">
        <x:v>05</x:v>
      </x:c>
      <x:c r="C608" s="14" t="str">
        <x:v>2022_IMDb_Cast_Lists_Batch_05(1).xlsx</x:v>
      </x:c>
      <x:c r="D608" s="14" t="str">
        <x:v>Sister Boniface Mysteries</x:v>
      </x:c>
      <x:c r="E608" s="14" t="n">
        <x:v>237</x:v>
      </x:c>
      <x:c r="F608" s="14" t="str">
        <x:v>Sister Boniface Mysteries</x:v>
      </x:c>
      <x:c r="G608" s="14" t="str">
        <x:v>tt15407098</x:v>
      </x:c>
      <x:c r="H608" s="14" t="n">
        <x:v>2022</x:v>
      </x:c>
      <x:c r="I608" s="14" t="n">
        <x:v>2025</x:v>
      </x:c>
      <x:c r="J608" s="14" t="str">
        <x:v>Earlier-Production Carry-In Cohort</x:v>
      </x:c>
      <x:c r="K608" s="14" t="n">
        <x:v>2022</x:v>
      </x:c>
      <x:c r="L608" s="14" t="str">
        <x:v>Not inherited</x:v>
      </x:c>
      <x:c r="M608" s="15" t="n">
        <x:v>230</x:v>
      </x:c>
      <x:c r="N608" s="14" t="str">
        <x:v>Kate Kordel</x:v>
      </x:c>
      <x:c r="O608" s="14" t="str">
        <x:v>nm9123082</x:v>
      </x:c>
      <x:c r="P608" s="14" t="str">
        <x:v>Clementine Bell</x:v>
      </x:c>
      <x:c r="Q608" s="15" t="n">
        <x:v>1</x:v>
      </x:c>
      <x:c r="R608" s="14" t="str">
        <x:v>2025</x:v>
      </x:c>
      <x:c r="S608" s="14" t="n">
        <x:v>2025</x:v>
      </x:c>
      <x:c r="T608" s="14" t="n">
        <x:v>2025</x:v>
      </x:c>
      <x:c r="U608" s="14" t="str">
        <x:v>Explicit source first year retained</x:v>
      </x:c>
      <x:c r="V608" s="14" t="str">
        <x:v>Earliest supplied year is 2025.</x:v>
      </x:c>
      <x:c r="W608" s="14"/>
      <x:c r="X608" s="14" t="str">
        <x:v>Included</x:v>
      </x:c>
      <x:c r="Y608" s="14"/>
      <x:c r="Z608" s="14" t="str">
        <x:v>Sister Boniface Mysteries.docx</x:v>
      </x:c>
      <x:c r="AA608" s="14" t="str">
        <x:v>HYPERLINK is not implemented. linkLocation=https://www.imdb.com/title/tt15407098/fullcredits/, friendlyName=Open source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BritBox UK</x:v>
      </x:c>
      <x:c r="AI608" s="14" t="str">
        <x:v>UK original 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uk original commission.</x:v>
      </x:c>
      <x:c r="AM608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8" s="14" t="str">
        <x:v>No qualifying BBC relationship</x:v>
      </x:c>
      <x:c r="AO608" s="14" t="str">
        <x:v>No</x:v>
      </x:c>
      <x:c r="AP608" s="14" t="str">
        <x:v>Out of scope</x:v>
      </x:c>
      <x:c r="AQ608" s="14" t="str">
        <x:v>No</x:v>
      </x:c>
      <x:c r="AR608" s="14" t="str">
        <x:v>Resolved from master register</x:v>
      </x:c>
      <x:c r="AS608" s="14" t="str">
        <x:v>No established-register match</x:v>
      </x:c>
      <x:c r="AT608" s="14"/>
      <x:c r="AU608" s="14"/>
      <x:c r="AV608" s="14" t="str">
        <x:v>No established apparent-disability match</x:v>
      </x:c>
      <x:c r="AW608" s="14"/>
      <x:c r="AX608" s="14" t="str">
        <x:v>No</x:v>
      </x:c>
      <x:c r="AY608" s="14" t="str">
        <x:v>Unmatched</x:v>
      </x:c>
      <x:c r="AZ608" s="14" t="str">
        <x:v>Final supplied register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38</x:v>
      </x:c>
      <x:c r="BP608" s="14" t="str">
        <x:v>Maximum supplied eligible IMDb cast-credit total; annual episode total not independently verified.</x:v>
      </x:c>
      <x:c r="BQ608" s="14" t="str">
        <x:v>Medium</x:v>
      </x:c>
      <x:c r="BR608" s="15" t="n">
        <x:v>1</x:v>
      </x:c>
      <x:c r="BS608" s="16" t="n">
        <x:v>0.02631578947368421</x:v>
      </x:c>
      <x:c r="BT608" s="14" t="str">
        <x:v>One episode</x:v>
      </x:c>
      <x:c r="BU608" s="14" t="str">
        <x:v>Medium</x:v>
      </x:c>
      <x:c r="BV608" s="14" t="str">
        <x:v>Derived from the supplied IMDb episode count and documented production-total proxy.</x:v>
      </x:c>
      <x:c r="BW608" s="14" t="str">
        <x:v>Unable to determine</x:v>
      </x:c>
      <x:c r="BX608" s="14" t="str">
        <x:v>Cast-list and episode data do not establish narrative prominence.</x:v>
      </x:c>
      <x:c r="BY608" s="14" t="str">
        <x:v>Supplied IMDb cast-list workbook</x:v>
      </x:c>
      <x:c r="BZ608" s="14" t="str">
        <x:v>HYPERLINK is not implemented. linkLocation=https://www.imdb.com/title/tt15407098/fullcredits/, friendlyName=Open source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tt15407098|nm2711324|solicitor</x:v>
      </x:c>
      <x:c r="B609" s="14" t="str">
        <x:v>05</x:v>
      </x:c>
      <x:c r="C609" s="14" t="str">
        <x:v>2022_IMDb_Cast_Lists_Batch_05(1).xlsx</x:v>
      </x:c>
      <x:c r="D609" s="14" t="str">
        <x:v>Sister Boniface Mysteries</x:v>
      </x:c>
      <x:c r="E609" s="14" t="n">
        <x:v>251</x:v>
      </x:c>
      <x:c r="F609" s="14" t="str">
        <x:v>Sister Boniface Mysteries</x:v>
      </x:c>
      <x:c r="G609" s="14" t="str">
        <x:v>tt15407098</x:v>
      </x:c>
      <x:c r="H609" s="14" t="n">
        <x:v>2022</x:v>
      </x:c>
      <x:c r="I609" s="14" t="n">
        <x:v>2025</x:v>
      </x:c>
      <x:c r="J609" s="14" t="str">
        <x:v>Earlier-Production Carry-In Cohort</x:v>
      </x:c>
      <x:c r="K609" s="14" t="n">
        <x:v>2022</x:v>
      </x:c>
      <x:c r="L609" s="14" t="str">
        <x:v>Not inherited</x:v>
      </x:c>
      <x:c r="M609" s="15" t="n">
        <x:v>244</x:v>
      </x:c>
      <x:c r="N609" s="14" t="str">
        <x:v>Chris Wilson</x:v>
      </x:c>
      <x:c r="O609" s="14" t="str">
        <x:v>nm2711324</x:v>
      </x:c>
      <x:c r="P609" s="14" t="str">
        <x:v>Solicitor</x:v>
      </x:c>
      <x:c r="Q609" s="15" t="n">
        <x:v>1</x:v>
      </x:c>
      <x:c r="R609" s="14" t="str">
        <x:v>2025</x:v>
      </x:c>
      <x:c r="S609" s="14" t="n">
        <x:v>2025</x:v>
      </x:c>
      <x:c r="T609" s="14" t="n">
        <x:v>2025</x:v>
      </x:c>
      <x:c r="U609" s="14" t="str">
        <x:v>Explicit source first year retained</x:v>
      </x:c>
      <x:c r="V609" s="14" t="str">
        <x:v>Earliest supplied year is 2025.</x:v>
      </x:c>
      <x:c r="W609" s="14"/>
      <x:c r="X609" s="14" t="str">
        <x:v>Included</x:v>
      </x:c>
      <x:c r="Y609" s="14"/>
      <x:c r="Z609" s="14" t="str">
        <x:v>Sister Boniface Mysteries.docx</x:v>
      </x:c>
      <x:c r="AA609" s="14" t="str">
        <x:v>HYPERLINK is not implemented. linkLocation=https://www.imdb.com/title/tt15407098/fullcredits/, friendlyName=Open source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BritBox UK</x:v>
      </x:c>
      <x:c r="AI609" s="14" t="str">
        <x:v>UK original 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uk original commission.</x:v>
      </x:c>
      <x:c r="AM609" s="17" t="e">
        <x:f>HYPERLINK("https://en.wikipedia.org/wiki/Sister_Boniface_Mysteries","Open source")</x:f>
        <x:v>HYPERLINK is not implemented. linkLocation=https://en.wikipedia.org/wiki/Sister_Boniface_Mysteries, friendlyName=Open source</x:v>
      </x:c>
      <x:c r="AN609" s="14" t="str">
        <x:v>No qualifying BBC relationship</x:v>
      </x:c>
      <x:c r="AO609" s="14" t="str">
        <x:v>No</x:v>
      </x:c>
      <x:c r="AP609" s="14" t="str">
        <x:v>Out of scope</x:v>
      </x:c>
      <x:c r="AQ609" s="14" t="str">
        <x:v>No</x:v>
      </x:c>
      <x:c r="AR609" s="14" t="str">
        <x:v>Resolved from master register</x:v>
      </x:c>
      <x:c r="AS609" s="14" t="str">
        <x:v>No established-register match</x:v>
      </x:c>
      <x:c r="AT609" s="14"/>
      <x:c r="AU609" s="14"/>
      <x:c r="AV609" s="14" t="str">
        <x:v>No established apparent-disability match</x:v>
      </x:c>
      <x:c r="AW609" s="14"/>
      <x:c r="AX609" s="14" t="str">
        <x:v>No</x:v>
      </x:c>
      <x:c r="AY609" s="14" t="str">
        <x:v>Unmatched</x:v>
      </x:c>
      <x:c r="AZ609" s="14" t="str">
        <x:v>Final supplied register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38</x:v>
      </x:c>
      <x:c r="BP609" s="14" t="str">
        <x:v>Maximum supplied eligible IMDb cast-credit total; annual episode total not independently verified.</x:v>
      </x:c>
      <x:c r="BQ609" s="14" t="str">
        <x:v>Medium</x:v>
      </x:c>
      <x:c r="BR609" s="15" t="n">
        <x:v>1</x:v>
      </x:c>
      <x:c r="BS609" s="16" t="n">
        <x:v>0.02631578947368421</x:v>
      </x:c>
      <x:c r="BT609" s="14" t="str">
        <x:v>One episode</x:v>
      </x:c>
      <x:c r="BU609" s="14" t="str">
        <x:v>Medium</x:v>
      </x:c>
      <x:c r="BV609" s="14" t="str">
        <x:v>Derived from the supplied IMDb episode count and documented production-total proxy.</x:v>
      </x:c>
      <x:c r="BW609" s="14" t="str">
        <x:v>Unable to determine</x:v>
      </x:c>
      <x:c r="BX609" s="14" t="str">
        <x:v>Cast-list and episode data do not establish narrative prominence.</x:v>
      </x:c>
      <x:c r="BY609" s="14" t="str">
        <x:v>Supplied IMDb cast-list workbook</x:v>
      </x:c>
      <x:c r="BZ609" s="14" t="str">
        <x:v>HYPERLINK is not implemented. linkLocation=https://www.imdb.com/title/tt15407098/fullcredits/, friendlyName=Open source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tt13069604|nm2692146|jen</x:v>
      </x:c>
      <x:c r="B610" s="14" t="str">
        <x:v>06</x:v>
      </x:c>
      <x:c r="C610" s="14" t="str">
        <x:v>2022_IMDb_Cast_Lists_Batch_06(1).xlsx</x:v>
      </x:c>
      <x:c r="D610" s="14" t="str">
        <x:v>The Ex-Wife</x:v>
      </x:c>
      <x:c r="E610" s="14" t="n">
        <x:v>13</x:v>
      </x:c>
      <x:c r="F610" s="14" t="str">
        <x:v>The Ex-Wife</x:v>
      </x:c>
      <x:c r="G610" s="14" t="str">
        <x:v>tt13069604</x:v>
      </x:c>
      <x:c r="H610" s="14" t="n">
        <x:v>2022</x:v>
      </x:c>
      <x:c r="I610" s="14" t="n">
        <x:v>2025</x:v>
      </x:c>
      <x:c r="J610" s="14" t="str">
        <x:v>Earlier-Production Carry-In Cohort</x:v>
      </x:c>
      <x:c r="K610" s="14" t="n">
        <x:v>2022</x:v>
      </x:c>
      <x:c r="L610" s="14" t="str">
        <x:v>Not inherited</x:v>
      </x:c>
      <x:c r="M610" s="15" t="n">
        <x:v>6</x:v>
      </x:c>
      <x:c r="N610" s="14" t="str">
        <x:v>Katie McGrath</x:v>
      </x:c>
      <x:c r="O610" s="14" t="str">
        <x:v>nm2692146</x:v>
      </x:c>
      <x:c r="P610" s="14" t="str">
        <x:v>Jen</x:v>
      </x:c>
      <x:c r="Q610" s="15" t="n">
        <x:v>4</x:v>
      </x:c>
      <x:c r="R610" s="14" t="str">
        <x:v>2025</x:v>
      </x:c>
      <x:c r="S610" s="14" t="n">
        <x:v>2025</x:v>
      </x:c>
      <x:c r="T610" s="14" t="n">
        <x:v>2025</x:v>
      </x:c>
      <x:c r="U610" s="14" t="str">
        <x:v>Explicit source first year retained</x:v>
      </x:c>
      <x:c r="V610" s="14" t="str">
        <x:v>Earliest supplied year is 2025.</x:v>
      </x:c>
      <x:c r="W610" s="14"/>
      <x:c r="X610" s="14" t="str">
        <x:v>Included</x:v>
      </x:c>
      <x:c r="Y610" s="14"/>
      <x:c r="Z610" s="14" t="str">
        <x:v>The Ex-Wife.docx</x:v>
      </x:c>
      <x:c r="AA610" s="14" t="str">
        <x:v>HYPERLINK is not implemented. linkLocation=https://www.imdb.com/title/tt13069604/fullcredits/, friendlyName=Open source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Paramount+ UK</x:v>
      </x:c>
      <x:c r="AI610" s="14" t="str">
        <x:v>UK original 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uk original commission.</x:v>
      </x:c>
      <x:c r="AM610" s="17" t="e">
        <x:f>HYPERLINK("https://en.wikipedia.org/wiki/The_Ex-Wife","Open source")</x:f>
        <x:v>HYPERLINK is not implemented. linkLocation=https://en.wikipedia.org/wiki/The_Ex-Wife, friendlyName=Open source</x:v>
      </x:c>
      <x:c r="AN610" s="14" t="str">
        <x:v>No qualifying BBC relationship</x:v>
      </x:c>
      <x:c r="AO610" s="14" t="str">
        <x:v>No</x:v>
      </x:c>
      <x:c r="AP610" s="14" t="str">
        <x:v>Out of scope</x:v>
      </x:c>
      <x:c r="AQ610" s="14" t="str">
        <x:v>No</x:v>
      </x:c>
      <x:c r="AR610" s="14" t="str">
        <x:v>Resolved from master register</x:v>
      </x:c>
      <x:c r="AS610" s="14" t="str">
        <x:v>No established-register match</x:v>
      </x:c>
      <x:c r="AT610" s="14"/>
      <x:c r="AU610" s="14"/>
      <x:c r="AV610" s="14" t="str">
        <x:v>No established apparent-disability match</x:v>
      </x:c>
      <x:c r="AW610" s="14"/>
      <x:c r="AX610" s="14" t="str">
        <x:v>No</x:v>
      </x:c>
      <x:c r="AY610" s="14" t="str">
        <x:v>Unmatched</x:v>
      </x:c>
      <x:c r="AZ610" s="14" t="str">
        <x:v>Final supplied register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8</x:v>
      </x:c>
      <x:c r="BP610" s="14" t="str">
        <x:v>Maximum supplied eligible IMDb cast-credit total; annual episode total not independently verified.</x:v>
      </x:c>
      <x:c r="BQ610" s="14" t="str">
        <x:v>Medium</x:v>
      </x:c>
      <x:c r="BR610" s="15" t="n">
        <x:v>4</x:v>
      </x:c>
      <x:c r="BS610" s="16" t="n">
        <x:v>0.5</x:v>
      </x:c>
      <x:c r="BT610" s="14" t="str">
        <x:v>Minority of episodes</x:v>
      </x:c>
      <x:c r="BU610" s="14" t="str">
        <x:v>Medium</x:v>
      </x:c>
      <x:c r="BV610" s="14" t="str">
        <x:v>Derived from the supplied IMDb episode count and documented production-total proxy.</x:v>
      </x:c>
      <x:c r="BW610" s="14" t="str">
        <x:v>Unable to determine</x:v>
      </x:c>
      <x:c r="BX610" s="14" t="str">
        <x:v>Cast-list and episode data do not establish narrative prominence.</x:v>
      </x:c>
      <x:c r="BY610" s="14" t="str">
        <x:v>Supplied IMDb cast-list workbook</x:v>
      </x:c>
      <x:c r="BZ610" s="14" t="str">
        <x:v>HYPERLINK is not implemented. linkLocation=https://www.imdb.com/title/tt13069604/fullcredits/, friendlyName=Open source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tt13069604|nm13756613|emily</x:v>
      </x:c>
      <x:c r="B611" s="14" t="str">
        <x:v>06</x:v>
      </x:c>
      <x:c r="C611" s="14" t="str">
        <x:v>2022_IMDb_Cast_Lists_Batch_06(1).xlsx</x:v>
      </x:c>
      <x:c r="D611" s="14" t="str">
        <x:v>The Ex-Wife</x:v>
      </x:c>
      <x:c r="E611" s="14" t="n">
        <x:v>14</x:v>
      </x:c>
      <x:c r="F611" s="14" t="str">
        <x:v>The Ex-Wife</x:v>
      </x:c>
      <x:c r="G611" s="14" t="str">
        <x:v>tt13069604</x:v>
      </x:c>
      <x:c r="H611" s="14" t="n">
        <x:v>2022</x:v>
      </x:c>
      <x:c r="I611" s="14" t="n">
        <x:v>2025</x:v>
      </x:c>
      <x:c r="J611" s="14" t="str">
        <x:v>Earlier-Production Carry-In Cohort</x:v>
      </x:c>
      <x:c r="K611" s="14" t="n">
        <x:v>2022</x:v>
      </x:c>
      <x:c r="L611" s="14" t="str">
        <x:v>Not inherited</x:v>
      </x:c>
      <x:c r="M611" s="15" t="n">
        <x:v>7</x:v>
      </x:c>
      <x:c r="N611" s="14" t="str">
        <x:v>Liberty Miller</x:v>
      </x:c>
      <x:c r="O611" s="14" t="str">
        <x:v>nm13756613</x:v>
      </x:c>
      <x:c r="P611" s="14" t="str">
        <x:v>Emily</x:v>
      </x:c>
      <x:c r="Q611" s="15" t="n">
        <x:v>4</x:v>
      </x:c>
      <x:c r="R611" s="14" t="str">
        <x:v>2025</x:v>
      </x:c>
      <x:c r="S611" s="14" t="n">
        <x:v>2025</x:v>
      </x:c>
      <x:c r="T611" s="14" t="n">
        <x:v>2025</x:v>
      </x:c>
      <x:c r="U611" s="14" t="str">
        <x:v>Explicit source first year retained</x:v>
      </x:c>
      <x:c r="V611" s="14" t="str">
        <x:v>Earliest supplied year is 2025.</x:v>
      </x:c>
      <x:c r="W611" s="14"/>
      <x:c r="X611" s="14" t="str">
        <x:v>Included</x:v>
      </x:c>
      <x:c r="Y611" s="14"/>
      <x:c r="Z611" s="14" t="str">
        <x:v>The Ex-Wife.docx</x:v>
      </x:c>
      <x:c r="AA611" s="14" t="str">
        <x:v>HYPERLINK is not implemented. linkLocation=https://www.imdb.com/title/tt13069604/fullcredits/, friendlyName=Open source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Paramount+ UK</x:v>
      </x:c>
      <x:c r="AI611" s="14" t="str">
        <x:v>UK original 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uk original commission.</x:v>
      </x:c>
      <x:c r="AM611" s="17" t="e">
        <x:f>HYPERLINK("https://en.wikipedia.org/wiki/The_Ex-Wife","Open source")</x:f>
        <x:v>HYPERLINK is not implemented. linkLocation=https://en.wikipedia.org/wiki/The_Ex-Wife, friendlyName=Open source</x:v>
      </x:c>
      <x:c r="AN611" s="14" t="str">
        <x:v>No qualifying BBC relationship</x:v>
      </x:c>
      <x:c r="AO611" s="14" t="str">
        <x:v>No</x:v>
      </x:c>
      <x:c r="AP611" s="14" t="str">
        <x:v>Out of scope</x:v>
      </x:c>
      <x:c r="AQ611" s="14" t="str">
        <x:v>No</x:v>
      </x:c>
      <x:c r="AR611" s="14" t="str">
        <x:v>Resolved from master register</x:v>
      </x:c>
      <x:c r="AS611" s="14" t="str">
        <x:v>No established-register match</x:v>
      </x:c>
      <x:c r="AT611" s="14"/>
      <x:c r="AU611" s="14"/>
      <x:c r="AV611" s="14" t="str">
        <x:v>No established apparent-disability match</x:v>
      </x:c>
      <x:c r="AW611" s="14"/>
      <x:c r="AX611" s="14" t="str">
        <x:v>No</x:v>
      </x:c>
      <x:c r="AY611" s="14" t="str">
        <x:v>Unmatched</x:v>
      </x:c>
      <x:c r="AZ611" s="14" t="str">
        <x:v>Final supplied register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8</x:v>
      </x:c>
      <x:c r="BP611" s="14" t="str">
        <x:v>Maximum supplied eligible IMDb cast-credit total; annual episode total not independently verified.</x:v>
      </x:c>
      <x:c r="BQ611" s="14" t="str">
        <x:v>Medium</x:v>
      </x:c>
      <x:c r="BR611" s="15" t="n">
        <x:v>4</x:v>
      </x:c>
      <x:c r="BS611" s="16" t="n">
        <x:v>0.5</x:v>
      </x:c>
      <x:c r="BT611" s="14" t="str">
        <x:v>Minority of episodes</x:v>
      </x:c>
      <x:c r="BU611" s="14" t="str">
        <x:v>Medium</x:v>
      </x:c>
      <x:c r="BV611" s="14" t="str">
        <x:v>Derived from the supplied IMDb episode count and documented production-total proxy.</x:v>
      </x:c>
      <x:c r="BW611" s="14" t="str">
        <x:v>Unable to determine</x:v>
      </x:c>
      <x:c r="BX611" s="14" t="str">
        <x:v>Cast-list and episode data do not establish narrative prominence.</x:v>
      </x:c>
      <x:c r="BY611" s="14" t="str">
        <x:v>Supplied IMDb cast-list workbook</x:v>
      </x:c>
      <x:c r="BZ611" s="14" t="str">
        <x:v>HYPERLINK is not implemented. linkLocation=https://www.imdb.com/title/tt13069604/fullcredits/, friendlyName=Open source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tt13069604|nm0767947|maria</x:v>
      </x:c>
      <x:c r="B612" s="14" t="str">
        <x:v>06</x:v>
      </x:c>
      <x:c r="C612" s="14" t="str">
        <x:v>2022_IMDb_Cast_Lists_Batch_06(1).xlsx</x:v>
      </x:c>
      <x:c r="D612" s="14" t="str">
        <x:v>The Ex-Wife</x:v>
      </x:c>
      <x:c r="E612" s="14" t="n">
        <x:v>17</x:v>
      </x:c>
      <x:c r="F612" s="14" t="str">
        <x:v>The Ex-Wife</x:v>
      </x:c>
      <x:c r="G612" s="14" t="str">
        <x:v>tt13069604</x:v>
      </x:c>
      <x:c r="H612" s="14" t="n">
        <x:v>2022</x:v>
      </x:c>
      <x:c r="I612" s="14" t="n">
        <x:v>2025</x:v>
      </x:c>
      <x:c r="J612" s="14" t="str">
        <x:v>Earlier-Production Carry-In Cohort</x:v>
      </x:c>
      <x:c r="K612" s="14" t="n">
        <x:v>2022</x:v>
      </x:c>
      <x:c r="L612" s="14" t="str">
        <x:v>Not inherited</x:v>
      </x:c>
      <x:c r="M612" s="15" t="n">
        <x:v>10</x:v>
      </x:c>
      <x:c r="N612" s="14" t="str">
        <x:v>Anna Savva</x:v>
      </x:c>
      <x:c r="O612" s="14" t="str">
        <x:v>nm0767947</x:v>
      </x:c>
      <x:c r="P612" s="14" t="str">
        <x:v>Maria</x:v>
      </x:c>
      <x:c r="Q612" s="15" t="n">
        <x:v>3</x:v>
      </x:c>
      <x:c r="R612" s="14" t="str">
        <x:v>2025</x:v>
      </x:c>
      <x:c r="S612" s="14" t="n">
        <x:v>2025</x:v>
      </x:c>
      <x:c r="T612" s="14" t="n">
        <x:v>2025</x:v>
      </x:c>
      <x:c r="U612" s="14" t="str">
        <x:v>Explicit source first year retained</x:v>
      </x:c>
      <x:c r="V612" s="14" t="str">
        <x:v>Earliest supplied year is 2025.</x:v>
      </x:c>
      <x:c r="W612" s="14"/>
      <x:c r="X612" s="14" t="str">
        <x:v>Included</x:v>
      </x:c>
      <x:c r="Y612" s="14"/>
      <x:c r="Z612" s="14" t="str">
        <x:v>The Ex-Wife.docx</x:v>
      </x:c>
      <x:c r="AA612" s="14" t="str">
        <x:v>HYPERLINK is not implemented. linkLocation=https://www.imdb.com/title/tt13069604/fullcredits/, friendlyName=Open source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Paramount+ UK</x:v>
      </x:c>
      <x:c r="AI612" s="14" t="str">
        <x:v>UK original 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uk original commission.</x:v>
      </x:c>
      <x:c r="AM612" s="17" t="e">
        <x:f>HYPERLINK("https://en.wikipedia.org/wiki/The_Ex-Wife","Open source")</x:f>
        <x:v>HYPERLINK is not implemented. linkLocation=https://en.wikipedia.org/wiki/The_Ex-Wife, friendlyName=Open source</x:v>
      </x:c>
      <x:c r="AN612" s="14" t="str">
        <x:v>No qualifying BBC relationship</x:v>
      </x:c>
      <x:c r="AO612" s="14" t="str">
        <x:v>No</x:v>
      </x:c>
      <x:c r="AP612" s="14" t="str">
        <x:v>Out of scope</x:v>
      </x:c>
      <x:c r="AQ612" s="14" t="str">
        <x:v>No</x:v>
      </x:c>
      <x:c r="AR612" s="14" t="str">
        <x:v>Resolved from master register</x:v>
      </x:c>
      <x:c r="AS612" s="14" t="str">
        <x:v>No established-register match</x:v>
      </x:c>
      <x:c r="AT612" s="14"/>
      <x:c r="AU612" s="14"/>
      <x:c r="AV612" s="14" t="str">
        <x:v>No established apparent-disability match</x:v>
      </x:c>
      <x:c r="AW612" s="14"/>
      <x:c r="AX612" s="14" t="str">
        <x:v>No</x:v>
      </x:c>
      <x:c r="AY612" s="14" t="str">
        <x:v>Unmatched</x:v>
      </x:c>
      <x:c r="AZ612" s="14" t="str">
        <x:v>Final supplied register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8</x:v>
      </x:c>
      <x:c r="BP612" s="14" t="str">
        <x:v>Maximum supplied eligible IMDb cast-credit total; annual episode total not independently verified.</x:v>
      </x:c>
      <x:c r="BQ612" s="14" t="str">
        <x:v>Medium</x:v>
      </x:c>
      <x:c r="BR612" s="15" t="n">
        <x:v>3</x:v>
      </x:c>
      <x:c r="BS612" s="16" t="n">
        <x:v>0.375</x:v>
      </x:c>
      <x:c r="BT612" s="14" t="str">
        <x:v>Minority of episodes</x:v>
      </x:c>
      <x:c r="BU612" s="14" t="str">
        <x:v>Medium</x:v>
      </x:c>
      <x:c r="BV612" s="14" t="str">
        <x:v>Derived from the supplied IMDb episode count and documented production-total proxy.</x:v>
      </x:c>
      <x:c r="BW612" s="14" t="str">
        <x:v>Unable to determine</x:v>
      </x:c>
      <x:c r="BX612" s="14" t="str">
        <x:v>Cast-list and episode data do not establish narrative prominence.</x:v>
      </x:c>
      <x:c r="BY612" s="14" t="str">
        <x:v>Supplied IMDb cast-list workbook</x:v>
      </x:c>
      <x:c r="BZ612" s="14" t="str">
        <x:v>HYPERLINK is not implemented. linkLocation=https://www.imdb.com/title/tt13069604/fullcredits/, friendlyName=Open source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tt13069604|nm4221889|connor</x:v>
      </x:c>
      <x:c r="B613" s="14" t="str">
        <x:v>06</x:v>
      </x:c>
      <x:c r="C613" s="14" t="str">
        <x:v>2022_IMDb_Cast_Lists_Batch_06(1).xlsx</x:v>
      </x:c>
      <x:c r="D613" s="14" t="str">
        <x:v>The Ex-Wife</x:v>
      </x:c>
      <x:c r="E613" s="14" t="n">
        <x:v>18</x:v>
      </x:c>
      <x:c r="F613" s="14" t="str">
        <x:v>The Ex-Wife</x:v>
      </x:c>
      <x:c r="G613" s="14" t="str">
        <x:v>tt13069604</x:v>
      </x:c>
      <x:c r="H613" s="14" t="n">
        <x:v>2022</x:v>
      </x:c>
      <x:c r="I613" s="14" t="n">
        <x:v>2025</x:v>
      </x:c>
      <x:c r="J613" s="14" t="str">
        <x:v>Earlier-Production Carry-In Cohort</x:v>
      </x:c>
      <x:c r="K613" s="14" t="n">
        <x:v>2022</x:v>
      </x:c>
      <x:c r="L613" s="14" t="str">
        <x:v>Not inherited</x:v>
      </x:c>
      <x:c r="M613" s="15" t="n">
        <x:v>11</x:v>
      </x:c>
      <x:c r="N613" s="14" t="str">
        <x:v>Jake Fairbrother</x:v>
      </x:c>
      <x:c r="O613" s="14" t="str">
        <x:v>nm4221889</x:v>
      </x:c>
      <x:c r="P613" s="14" t="str">
        <x:v>Connor</x:v>
      </x:c>
      <x:c r="Q613" s="15" t="n">
        <x:v>3</x:v>
      </x:c>
      <x:c r="R613" s="14" t="str">
        <x:v>2025</x:v>
      </x:c>
      <x:c r="S613" s="14" t="n">
        <x:v>2025</x:v>
      </x:c>
      <x:c r="T613" s="14" t="n">
        <x:v>2025</x:v>
      </x:c>
      <x:c r="U613" s="14" t="str">
        <x:v>Explicit source first year retained</x:v>
      </x:c>
      <x:c r="V613" s="14" t="str">
        <x:v>Earliest supplied year is 2025.</x:v>
      </x:c>
      <x:c r="W613" s="14"/>
      <x:c r="X613" s="14" t="str">
        <x:v>Included</x:v>
      </x:c>
      <x:c r="Y613" s="14"/>
      <x:c r="Z613" s="14" t="str">
        <x:v>The Ex-Wife.docx</x:v>
      </x:c>
      <x:c r="AA613" s="14" t="str">
        <x:v>HYPERLINK is not implemented. linkLocation=https://www.imdb.com/title/tt13069604/fullcredits/, friendlyName=Open source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Paramount+ UK</x:v>
      </x:c>
      <x:c r="AI613" s="14" t="str">
        <x:v>UK original 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uk original commission.</x:v>
      </x:c>
      <x:c r="AM613" s="17" t="e">
        <x:f>HYPERLINK("https://en.wikipedia.org/wiki/The_Ex-Wife","Open source")</x:f>
        <x:v>HYPERLINK is not implemented. linkLocation=https://en.wikipedia.org/wiki/The_Ex-Wife, friendlyName=Open source</x:v>
      </x:c>
      <x:c r="AN613" s="14" t="str">
        <x:v>No qualifying BBC relationship</x:v>
      </x:c>
      <x:c r="AO613" s="14" t="str">
        <x:v>No</x:v>
      </x:c>
      <x:c r="AP613" s="14" t="str">
        <x:v>Out of scope</x:v>
      </x:c>
      <x:c r="AQ613" s="14" t="str">
        <x:v>No</x:v>
      </x:c>
      <x:c r="AR613" s="14" t="str">
        <x:v>Resolved from master register</x:v>
      </x:c>
      <x:c r="AS613" s="14" t="str">
        <x:v>No established-register match</x:v>
      </x:c>
      <x:c r="AT613" s="14"/>
      <x:c r="AU613" s="14"/>
      <x:c r="AV613" s="14" t="str">
        <x:v>No established apparent-disability match</x:v>
      </x:c>
      <x:c r="AW613" s="14"/>
      <x:c r="AX613" s="14" t="str">
        <x:v>No</x:v>
      </x:c>
      <x:c r="AY613" s="14" t="str">
        <x:v>Unmatched</x:v>
      </x:c>
      <x:c r="AZ613" s="14" t="str">
        <x:v>Final supplied register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8</x:v>
      </x:c>
      <x:c r="BP613" s="14" t="str">
        <x:v>Maximum supplied eligible IMDb cast-credit total; annual episode total not independently verified.</x:v>
      </x:c>
      <x:c r="BQ613" s="14" t="str">
        <x:v>Medium</x:v>
      </x:c>
      <x:c r="BR613" s="15" t="n">
        <x:v>3</x:v>
      </x:c>
      <x:c r="BS613" s="16" t="n">
        <x:v>0.375</x:v>
      </x:c>
      <x:c r="BT613" s="14" t="str">
        <x:v>Minority of episodes</x:v>
      </x:c>
      <x:c r="BU613" s="14" t="str">
        <x:v>Medium</x:v>
      </x:c>
      <x:c r="BV613" s="14" t="str">
        <x:v>Derived from the supplied IMDb episode count and documented production-total proxy.</x:v>
      </x:c>
      <x:c r="BW613" s="14" t="str">
        <x:v>Unable to determine</x:v>
      </x:c>
      <x:c r="BX613" s="14" t="str">
        <x:v>Cast-list and episode data do not establish narrative prominence.</x:v>
      </x:c>
      <x:c r="BY613" s="14" t="str">
        <x:v>Supplied IMDb cast-list workbook</x:v>
      </x:c>
      <x:c r="BZ613" s="14" t="str">
        <x:v>HYPERLINK is not implemented. linkLocation=https://www.imdb.com/title/tt13069604/fullcredits/, friendlyName=Open source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tt13069604|nm4250266|police officer</x:v>
      </x:c>
      <x:c r="B614" s="14" t="str">
        <x:v>06</x:v>
      </x:c>
      <x:c r="C614" s="14" t="str">
        <x:v>2022_IMDb_Cast_Lists_Batch_06(1).xlsx</x:v>
      </x:c>
      <x:c r="D614" s="14" t="str">
        <x:v>The Ex-Wife</x:v>
      </x:c>
      <x:c r="E614" s="14" t="n">
        <x:v>23</x:v>
      </x:c>
      <x:c r="F614" s="14" t="str">
        <x:v>The Ex-Wife</x:v>
      </x:c>
      <x:c r="G614" s="14" t="str">
        <x:v>tt13069604</x:v>
      </x:c>
      <x:c r="H614" s="14" t="n">
        <x:v>2022</x:v>
      </x:c>
      <x:c r="I614" s="14" t="n">
        <x:v>2025</x:v>
      </x:c>
      <x:c r="J614" s="14" t="str">
        <x:v>Earlier-Production Carry-In Cohort</x:v>
      </x:c>
      <x:c r="K614" s="14" t="n">
        <x:v>2022</x:v>
      </x:c>
      <x:c r="L614" s="14" t="str">
        <x:v>Not inherited</x:v>
      </x:c>
      <x:c r="M614" s="15" t="n">
        <x:v>16</x:v>
      </x:c>
      <x:c r="N614" s="14" t="str">
        <x:v>Elena Demetriou</x:v>
      </x:c>
      <x:c r="O614" s="14" t="str">
        <x:v>nm4250266</x:v>
      </x:c>
      <x:c r="P614" s="14" t="str">
        <x:v>Police Officer</x:v>
      </x:c>
      <x:c r="Q614" s="15" t="n">
        <x:v>2</x:v>
      </x:c>
      <x:c r="R614" s="14" t="str">
        <x:v>2025</x:v>
      </x:c>
      <x:c r="S614" s="14" t="n">
        <x:v>2025</x:v>
      </x:c>
      <x:c r="T614" s="14" t="n">
        <x:v>2025</x:v>
      </x:c>
      <x:c r="U614" s="14" t="str">
        <x:v>Explicit source first year retained</x:v>
      </x:c>
      <x:c r="V614" s="14" t="str">
        <x:v>Earliest supplied year is 2025.</x:v>
      </x:c>
      <x:c r="W614" s="14"/>
      <x:c r="X614" s="14" t="str">
        <x:v>Included</x:v>
      </x:c>
      <x:c r="Y614" s="14"/>
      <x:c r="Z614" s="14" t="str">
        <x:v>The Ex-Wife.docx</x:v>
      </x:c>
      <x:c r="AA614" s="14" t="str">
        <x:v>HYPERLINK is not implemented. linkLocation=https://www.imdb.com/title/tt13069604/fullcredits/, friendlyName=Open source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Paramount+ UK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7" t="e">
        <x:f>HYPERLINK("https://en.wikipedia.org/wiki/The_Ex-Wife","Open source")</x:f>
        <x:v>HYPERLINK is not implemented. linkLocation=https://en.wikipedia.org/wiki/The_Ex-Wife, friendlyName=Open source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 t="str">
        <x:v>No established-register match</x:v>
      </x:c>
      <x:c r="AT614" s="14"/>
      <x:c r="AU614" s="14"/>
      <x:c r="AV614" s="14" t="str">
        <x:v>No established apparent-disability match</x:v>
      </x:c>
      <x:c r="AW614" s="14"/>
      <x:c r="AX614" s="14" t="str">
        <x:v>No</x:v>
      </x:c>
      <x:c r="AY614" s="14" t="str">
        <x:v>Unmatched</x:v>
      </x:c>
      <x:c r="AZ614" s="14" t="str">
        <x:v>Final supplied register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 t="n">
        <x:v>8</x:v>
      </x:c>
      <x:c r="BP614" s="14" t="str">
        <x:v>Maximum supplied eligible IMDb cast-credit total; annual episode total not independently verified.</x:v>
      </x:c>
      <x:c r="BQ614" s="14" t="str">
        <x:v>Medium</x:v>
      </x:c>
      <x:c r="BR614" s="15" t="n">
        <x:v>2</x:v>
      </x:c>
      <x:c r="BS614" s="16" t="n">
        <x:v>0.25</x:v>
      </x:c>
      <x:c r="BT614" s="14" t="str">
        <x:v>Minority of episodes</x:v>
      </x:c>
      <x:c r="BU614" s="14" t="str">
        <x:v>Medium</x:v>
      </x:c>
      <x:c r="BV614" s="14" t="str">
        <x:v>Derived from the supplied IMDb episode count and documented production-total proxy.</x:v>
      </x:c>
      <x:c r="BW614" s="14" t="str">
        <x:v>Unable to determine</x:v>
      </x:c>
      <x:c r="BX614" s="14" t="str">
        <x:v>Cast-list and episode data do not establish narrative prominence.</x:v>
      </x:c>
      <x:c r="BY614" s="14" t="str">
        <x:v>Supplied IMDb cast-list workbook</x:v>
      </x:c>
      <x:c r="BZ614" s="14" t="str">
        <x:v>HYPERLINK is not implemented. linkLocation=https://www.imdb.com/title/tt13069604/fullcredits/, friendlyName=Open source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tt13069604|nm3695349|prison chaplain</x:v>
      </x:c>
      <x:c r="B615" s="14" t="str">
        <x:v>06</x:v>
      </x:c>
      <x:c r="C615" s="14" t="str">
        <x:v>2022_IMDb_Cast_Lists_Batch_06(1).xlsx</x:v>
      </x:c>
      <x:c r="D615" s="14" t="str">
        <x:v>The Ex-Wife</x:v>
      </x:c>
      <x:c r="E615" s="14" t="n">
        <x:v>26</x:v>
      </x:c>
      <x:c r="F615" s="14" t="str">
        <x:v>The Ex-Wife</x:v>
      </x:c>
      <x:c r="G615" s="14" t="str">
        <x:v>tt13069604</x:v>
      </x:c>
      <x:c r="H615" s="14" t="n">
        <x:v>2022</x:v>
      </x:c>
      <x:c r="I615" s="14" t="n">
        <x:v>2025</x:v>
      </x:c>
      <x:c r="J615" s="14" t="str">
        <x:v>Earlier-Production Carry-In Cohort</x:v>
      </x:c>
      <x:c r="K615" s="14" t="n">
        <x:v>2022</x:v>
      </x:c>
      <x:c r="L615" s="14" t="str">
        <x:v>Not inherited</x:v>
      </x:c>
      <x:c r="M615" s="15" t="n">
        <x:v>19</x:v>
      </x:c>
      <x:c r="N615" s="14" t="str">
        <x:v>Anna Giagiozi</x:v>
      </x:c>
      <x:c r="O615" s="14" t="str">
        <x:v>nm3695349</x:v>
      </x:c>
      <x:c r="P615" s="14" t="str">
        <x:v>Prison Chaplain</x:v>
      </x:c>
      <x:c r="Q615" s="15" t="n">
        <x:v>1</x:v>
      </x:c>
      <x:c r="R615" s="14" t="str">
        <x:v>2025</x:v>
      </x:c>
      <x:c r="S615" s="14" t="n">
        <x:v>2025</x:v>
      </x:c>
      <x:c r="T615" s="14" t="n">
        <x:v>2025</x:v>
      </x:c>
      <x:c r="U615" s="14" t="str">
        <x:v>Explicit source first year retained</x:v>
      </x:c>
      <x:c r="V615" s="14" t="str">
        <x:v>Earliest supplied year is 2025.</x:v>
      </x:c>
      <x:c r="W615" s="14"/>
      <x:c r="X615" s="14" t="str">
        <x:v>Included</x:v>
      </x:c>
      <x:c r="Y615" s="14"/>
      <x:c r="Z615" s="14" t="str">
        <x:v>The Ex-Wife.docx</x:v>
      </x:c>
      <x:c r="AA615" s="14" t="str">
        <x:v>HYPERLINK is not implemented. linkLocation=https://www.imdb.com/title/tt13069604/fullcredits/, friendlyName=Open source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Paramount+ UK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7" t="e">
        <x:f>HYPERLINK("https://en.wikipedia.org/wiki/The_Ex-Wife","Open source")</x:f>
        <x:v>HYPERLINK is not implemented. linkLocation=https://en.wikipedia.org/wiki/The_Ex-Wife, friendlyName=Open source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 t="str">
        <x:v>No established-register match</x:v>
      </x:c>
      <x:c r="AT615" s="14"/>
      <x:c r="AU615" s="14"/>
      <x:c r="AV615" s="14" t="str">
        <x:v>No established apparent-disability match</x:v>
      </x:c>
      <x:c r="AW615" s="14"/>
      <x:c r="AX615" s="14" t="str">
        <x:v>No</x:v>
      </x:c>
      <x:c r="AY615" s="14" t="str">
        <x:v>Unmatched</x:v>
      </x:c>
      <x:c r="AZ615" s="14" t="str">
        <x:v>Final supplied register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 t="n">
        <x:v>8</x:v>
      </x:c>
      <x:c r="BP615" s="14" t="str">
        <x:v>Maximum supplied eligible IMDb cast-credit total; annual episode total not independently verified.</x:v>
      </x:c>
      <x:c r="BQ615" s="14" t="str">
        <x:v>Medium</x:v>
      </x:c>
      <x:c r="BR615" s="15" t="n">
        <x:v>1</x:v>
      </x:c>
      <x:c r="BS615" s="16" t="n">
        <x:v>0.125</x:v>
      </x:c>
      <x:c r="BT615" s="14" t="str">
        <x:v>One episode</x:v>
      </x:c>
      <x:c r="BU615" s="14" t="str">
        <x:v>Medium</x:v>
      </x:c>
      <x:c r="BV615" s="14" t="str">
        <x:v>Derived from the supplied IMDb episode count and documented production-total proxy.</x:v>
      </x:c>
      <x:c r="BW615" s="14" t="str">
        <x:v>Unable to determine</x:v>
      </x:c>
      <x:c r="BX615" s="14" t="str">
        <x:v>Cast-list and episode data do not establish narrative prominence.</x:v>
      </x:c>
      <x:c r="BY615" s="14" t="str">
        <x:v>Supplied IMDb cast-list workbook</x:v>
      </x:c>
      <x:c r="BZ615" s="14" t="str">
        <x:v>HYPERLINK is not implemented. linkLocation=https://www.imdb.com/title/tt13069604/fullcredits/, friendlyName=Open source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tt13069604|nm0824002|hospital doctor</x:v>
      </x:c>
      <x:c r="B616" s="14" t="str">
        <x:v>06</x:v>
      </x:c>
      <x:c r="C616" s="14" t="str">
        <x:v>2022_IMDb_Cast_Lists_Batch_06(1).xlsx</x:v>
      </x:c>
      <x:c r="D616" s="14" t="str">
        <x:v>The Ex-Wife</x:v>
      </x:c>
      <x:c r="E616" s="14" t="n">
        <x:v>28</x:v>
      </x:c>
      <x:c r="F616" s="14" t="str">
        <x:v>The Ex-Wife</x:v>
      </x:c>
      <x:c r="G616" s="14" t="str">
        <x:v>tt13069604</x:v>
      </x:c>
      <x:c r="H616" s="14" t="n">
        <x:v>2022</x:v>
      </x:c>
      <x:c r="I616" s="14" t="n">
        <x:v>2025</x:v>
      </x:c>
      <x:c r="J616" s="14" t="str">
        <x:v>Earlier-Production Carry-In Cohort</x:v>
      </x:c>
      <x:c r="K616" s="14" t="n">
        <x:v>2022</x:v>
      </x:c>
      <x:c r="L616" s="14" t="str">
        <x:v>Not inherited</x:v>
      </x:c>
      <x:c r="M616" s="15" t="n">
        <x:v>21</x:v>
      </x:c>
      <x:c r="N616" s="14" t="str">
        <x:v>Sotos Stavrakis</x:v>
      </x:c>
      <x:c r="O616" s="14" t="str">
        <x:v>nm0824002</x:v>
      </x:c>
      <x:c r="P616" s="14" t="str">
        <x:v>Hospital Doctor</x:v>
      </x:c>
      <x:c r="Q616" s="15" t="n">
        <x:v>1</x:v>
      </x:c>
      <x:c r="R616" s="14" t="str">
        <x:v>2025</x:v>
      </x:c>
      <x:c r="S616" s="14" t="n">
        <x:v>2025</x:v>
      </x:c>
      <x:c r="T616" s="14" t="n">
        <x:v>2025</x:v>
      </x:c>
      <x:c r="U616" s="14" t="str">
        <x:v>Explicit source first year retained</x:v>
      </x:c>
      <x:c r="V616" s="14" t="str">
        <x:v>Earliest supplied year is 2025.</x:v>
      </x:c>
      <x:c r="W616" s="14"/>
      <x:c r="X616" s="14" t="str">
        <x:v>Included</x:v>
      </x:c>
      <x:c r="Y616" s="14"/>
      <x:c r="Z616" s="14" t="str">
        <x:v>The Ex-Wife.docx</x:v>
      </x:c>
      <x:c r="AA616" s="14" t="str">
        <x:v>HYPERLINK is not implemented. linkLocation=https://www.imdb.com/title/tt13069604/fullcredits/, friendlyName=Open source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Paramount+ UK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7" t="e">
        <x:f>HYPERLINK("https://en.wikipedia.org/wiki/The_Ex-Wife","Open source")</x:f>
        <x:v>HYPERLINK is not implemented. linkLocation=https://en.wikipedia.org/wiki/The_Ex-Wife, friendlyName=Open source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 t="str">
        <x:v>No established-register match</x:v>
      </x:c>
      <x:c r="AT616" s="14"/>
      <x:c r="AU616" s="14"/>
      <x:c r="AV616" s="14" t="str">
        <x:v>No established apparent-disability match</x:v>
      </x:c>
      <x:c r="AW616" s="14"/>
      <x:c r="AX616" s="14" t="str">
        <x:v>No</x:v>
      </x:c>
      <x:c r="AY616" s="14" t="str">
        <x:v>Unmatched</x:v>
      </x:c>
      <x:c r="AZ616" s="14" t="str">
        <x:v>Final supplied register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 t="n">
        <x:v>8</x:v>
      </x:c>
      <x:c r="BP616" s="14" t="str">
        <x:v>Maximum supplied eligible IMDb cast-credit total; annual episode total not independently verified.</x:v>
      </x:c>
      <x:c r="BQ616" s="14" t="str">
        <x:v>Medium</x:v>
      </x:c>
      <x:c r="BR616" s="15" t="n">
        <x:v>1</x:v>
      </x:c>
      <x:c r="BS616" s="16" t="n">
        <x:v>0.125</x:v>
      </x:c>
      <x:c r="BT616" s="14" t="str">
        <x:v>One episode</x:v>
      </x:c>
      <x:c r="BU616" s="14" t="str">
        <x:v>Medium</x:v>
      </x:c>
      <x:c r="BV616" s="14" t="str">
        <x:v>Derived from the supplied IMDb episode count and documented production-total proxy.</x:v>
      </x:c>
      <x:c r="BW616" s="14" t="str">
        <x:v>Unable to determine</x:v>
      </x:c>
      <x:c r="BX616" s="14" t="str">
        <x:v>Cast-list and episode data do not establish narrative prominence.</x:v>
      </x:c>
      <x:c r="BY616" s="14" t="str">
        <x:v>Supplied IMDb cast-list workbook</x:v>
      </x:c>
      <x:c r="BZ616" s="14" t="str">
        <x:v>HYPERLINK is not implemented. linkLocation=https://www.imdb.com/title/tt13069604/fullcredits/, friendlyName=Open source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tt13069604|nm17458128|lot attendant</x:v>
      </x:c>
      <x:c r="B617" s="14" t="str">
        <x:v>06</x:v>
      </x:c>
      <x:c r="C617" s="14" t="str">
        <x:v>2022_IMDb_Cast_Lists_Batch_06(1).xlsx</x:v>
      </x:c>
      <x:c r="D617" s="14" t="str">
        <x:v>The Ex-Wife</x:v>
      </x:c>
      <x:c r="E617" s="14" t="n">
        <x:v>29</x:v>
      </x:c>
      <x:c r="F617" s="14" t="str">
        <x:v>The Ex-Wife</x:v>
      </x:c>
      <x:c r="G617" s="14" t="str">
        <x:v>tt13069604</x:v>
      </x:c>
      <x:c r="H617" s="14" t="n">
        <x:v>2022</x:v>
      </x:c>
      <x:c r="I617" s="14" t="n">
        <x:v>2025</x:v>
      </x:c>
      <x:c r="J617" s="14" t="str">
        <x:v>Earlier-Production Carry-In Cohort</x:v>
      </x:c>
      <x:c r="K617" s="14" t="n">
        <x:v>2022</x:v>
      </x:c>
      <x:c r="L617" s="14" t="str">
        <x:v>Not inherited</x:v>
      </x:c>
      <x:c r="M617" s="15" t="n">
        <x:v>22</x:v>
      </x:c>
      <x:c r="N617" s="14" t="str">
        <x:v>Andreas Tsakkistos</x:v>
      </x:c>
      <x:c r="O617" s="14" t="str">
        <x:v>nm17458128</x:v>
      </x:c>
      <x:c r="P617" s="14" t="str">
        <x:v>Lot Attendant</x:v>
      </x:c>
      <x:c r="Q617" s="15" t="n">
        <x:v>1</x:v>
      </x:c>
      <x:c r="R617" s="14" t="str">
        <x:v>2025</x:v>
      </x:c>
      <x:c r="S617" s="14" t="n">
        <x:v>2025</x:v>
      </x:c>
      <x:c r="T617" s="14" t="n">
        <x:v>2025</x:v>
      </x:c>
      <x:c r="U617" s="14" t="str">
        <x:v>Explicit source first year retained</x:v>
      </x:c>
      <x:c r="V617" s="14" t="str">
        <x:v>Earliest supplied year is 2025.</x:v>
      </x:c>
      <x:c r="W617" s="14"/>
      <x:c r="X617" s="14" t="str">
        <x:v>Included</x:v>
      </x:c>
      <x:c r="Y617" s="14"/>
      <x:c r="Z617" s="14" t="str">
        <x:v>The Ex-Wife.docx</x:v>
      </x:c>
      <x:c r="AA617" s="14" t="str">
        <x:v>HYPERLINK is not implemented. linkLocation=https://www.imdb.com/title/tt13069604/fullcredits/, friendlyName=Open source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Paramount+ UK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7" t="e">
        <x:f>HYPERLINK("https://en.wikipedia.org/wiki/The_Ex-Wife","Open source")</x:f>
        <x:v>HYPERLINK is not implemented. linkLocation=https://en.wikipedia.org/wiki/The_Ex-Wife, friendlyName=Open source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 t="str">
        <x:v>No established-register match</x:v>
      </x:c>
      <x:c r="AT617" s="14"/>
      <x:c r="AU617" s="14"/>
      <x:c r="AV617" s="14" t="str">
        <x:v>No established apparent-disability match</x:v>
      </x:c>
      <x:c r="AW617" s="14"/>
      <x:c r="AX617" s="14" t="str">
        <x:v>No</x:v>
      </x:c>
      <x:c r="AY617" s="14" t="str">
        <x:v>Unmatched</x:v>
      </x:c>
      <x:c r="AZ617" s="14" t="str">
        <x:v>Final supplied register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 t="n">
        <x:v>8</x:v>
      </x:c>
      <x:c r="BP617" s="14" t="str">
        <x:v>Maximum supplied eligible IMDb cast-credit total; annual episode total not independently verified.</x:v>
      </x:c>
      <x:c r="BQ617" s="14" t="str">
        <x:v>Medium</x:v>
      </x:c>
      <x:c r="BR617" s="15" t="n">
        <x:v>1</x:v>
      </x:c>
      <x:c r="BS617" s="16" t="n">
        <x:v>0.125</x:v>
      </x:c>
      <x:c r="BT617" s="14" t="str">
        <x:v>One episode</x:v>
      </x:c>
      <x:c r="BU617" s="14" t="str">
        <x:v>Medium</x:v>
      </x:c>
      <x:c r="BV617" s="14" t="str">
        <x:v>Derived from the supplied IMDb episode count and documented production-total proxy.</x:v>
      </x:c>
      <x:c r="BW617" s="14" t="str">
        <x:v>Unable to determine</x:v>
      </x:c>
      <x:c r="BX617" s="14" t="str">
        <x:v>Cast-list and episode data do not establish narrative prominence.</x:v>
      </x:c>
      <x:c r="BY617" s="14" t="str">
        <x:v>Supplied IMDb cast-list workbook</x:v>
      </x:c>
      <x:c r="BZ617" s="14" t="str">
        <x:v>HYPERLINK is not implemented. linkLocation=https://www.imdb.com/title/tt13069604/fullcredits/, friendlyName=Open source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tt13069604|nm2536735|petra</x:v>
      </x:c>
      <x:c r="B618" s="14" t="str">
        <x:v>06</x:v>
      </x:c>
      <x:c r="C618" s="14" t="str">
        <x:v>2022_IMDb_Cast_Lists_Batch_06(1).xlsx</x:v>
      </x:c>
      <x:c r="D618" s="14" t="str">
        <x:v>The Ex-Wife</x:v>
      </x:c>
      <x:c r="E618" s="14" t="n">
        <x:v>30</x:v>
      </x:c>
      <x:c r="F618" s="14" t="str">
        <x:v>The Ex-Wife</x:v>
      </x:c>
      <x:c r="G618" s="14" t="str">
        <x:v>tt13069604</x:v>
      </x:c>
      <x:c r="H618" s="14" t="n">
        <x:v>2022</x:v>
      </x:c>
      <x:c r="I618" s="14" t="n">
        <x:v>2025</x:v>
      </x:c>
      <x:c r="J618" s="14" t="str">
        <x:v>Earlier-Production Carry-In Cohort</x:v>
      </x:c>
      <x:c r="K618" s="14" t="n">
        <x:v>2022</x:v>
      </x:c>
      <x:c r="L618" s="14" t="str">
        <x:v>Not inherited</x:v>
      </x:c>
      <x:c r="M618" s="15" t="n">
        <x:v>23</x:v>
      </x:c>
      <x:c r="N618" s="14" t="str">
        <x:v>Eleni Kaoula</x:v>
      </x:c>
      <x:c r="O618" s="14" t="str">
        <x:v>nm2536735</x:v>
      </x:c>
      <x:c r="P618" s="14" t="str">
        <x:v>Petra</x:v>
      </x:c>
      <x:c r="Q618" s="15" t="n">
        <x:v>1</x:v>
      </x:c>
      <x:c r="R618" s="14" t="str">
        <x:v>2025</x:v>
      </x:c>
      <x:c r="S618" s="14" t="n">
        <x:v>2025</x:v>
      </x:c>
      <x:c r="T618" s="14" t="n">
        <x:v>2025</x:v>
      </x:c>
      <x:c r="U618" s="14" t="str">
        <x:v>Explicit source first year retained</x:v>
      </x:c>
      <x:c r="V618" s="14" t="str">
        <x:v>Earliest supplied year is 2025.</x:v>
      </x:c>
      <x:c r="W618" s="14"/>
      <x:c r="X618" s="14" t="str">
        <x:v>Included</x:v>
      </x:c>
      <x:c r="Y618" s="14"/>
      <x:c r="Z618" s="14" t="str">
        <x:v>The Ex-Wife.docx</x:v>
      </x:c>
      <x:c r="AA618" s="14" t="str">
        <x:v>HYPERLINK is not implemented. linkLocation=https://www.imdb.com/title/tt13069604/fullcredits/, friendlyName=Open source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Paramount+ UK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7" t="e">
        <x:f>HYPERLINK("https://en.wikipedia.org/wiki/The_Ex-Wife","Open source")</x:f>
        <x:v>HYPERLINK is not implemented. linkLocation=https://en.wikipedia.org/wiki/The_Ex-Wife, friendlyName=Open source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 t="str">
        <x:v>No established-register match</x:v>
      </x:c>
      <x:c r="AT618" s="14"/>
      <x:c r="AU618" s="14"/>
      <x:c r="AV618" s="14" t="str">
        <x:v>No established apparent-disability match</x:v>
      </x:c>
      <x:c r="AW618" s="14"/>
      <x:c r="AX618" s="14" t="str">
        <x:v>No</x:v>
      </x:c>
      <x:c r="AY618" s="14" t="str">
        <x:v>Unmatched</x:v>
      </x:c>
      <x:c r="AZ618" s="14" t="str">
        <x:v>Final supplied register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 t="n">
        <x:v>8</x:v>
      </x:c>
      <x:c r="BP618" s="14" t="str">
        <x:v>Maximum supplied eligible IMDb cast-credit total; annual episode total not independently verified.</x:v>
      </x:c>
      <x:c r="BQ618" s="14" t="str">
        <x:v>Medium</x:v>
      </x:c>
      <x:c r="BR618" s="15" t="n">
        <x:v>1</x:v>
      </x:c>
      <x:c r="BS618" s="16" t="n">
        <x:v>0.125</x:v>
      </x:c>
      <x:c r="BT618" s="14" t="str">
        <x:v>One episode</x:v>
      </x:c>
      <x:c r="BU618" s="14" t="str">
        <x:v>Medium</x:v>
      </x:c>
      <x:c r="BV618" s="14" t="str">
        <x:v>Derived from the supplied IMDb episode count and documented production-total proxy.</x:v>
      </x:c>
      <x:c r="BW618" s="14" t="str">
        <x:v>Unable to determine</x:v>
      </x:c>
      <x:c r="BX618" s="14" t="str">
        <x:v>Cast-list and episode data do not establish narrative prominence.</x:v>
      </x:c>
      <x:c r="BY618" s="14" t="str">
        <x:v>Supplied IMDb cast-list workbook</x:v>
      </x:c>
      <x:c r="BZ618" s="14" t="str">
        <x:v>HYPERLINK is not implemented. linkLocation=https://www.imdb.com/title/tt13069604/fullcredits/, friendlyName=Open source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tt13069604|nm8709456|young man</x:v>
      </x:c>
      <x:c r="B619" s="14" t="str">
        <x:v>06</x:v>
      </x:c>
      <x:c r="C619" s="14" t="str">
        <x:v>2022_IMDb_Cast_Lists_Batch_06(1).xlsx</x:v>
      </x:c>
      <x:c r="D619" s="14" t="str">
        <x:v>The Ex-Wife</x:v>
      </x:c>
      <x:c r="E619" s="14" t="n">
        <x:v>31</x:v>
      </x:c>
      <x:c r="F619" s="14" t="str">
        <x:v>The Ex-Wife</x:v>
      </x:c>
      <x:c r="G619" s="14" t="str">
        <x:v>tt13069604</x:v>
      </x:c>
      <x:c r="H619" s="14" t="n">
        <x:v>2022</x:v>
      </x:c>
      <x:c r="I619" s="14" t="n">
        <x:v>2025</x:v>
      </x:c>
      <x:c r="J619" s="14" t="str">
        <x:v>Earlier-Production Carry-In Cohort</x:v>
      </x:c>
      <x:c r="K619" s="14" t="n">
        <x:v>2022</x:v>
      </x:c>
      <x:c r="L619" s="14" t="str">
        <x:v>Not inherited</x:v>
      </x:c>
      <x:c r="M619" s="15" t="n">
        <x:v>24</x:v>
      </x:c>
      <x:c r="N619" s="14" t="str">
        <x:v>Constantinos Tsitsios</x:v>
      </x:c>
      <x:c r="O619" s="14" t="str">
        <x:v>nm8709456</x:v>
      </x:c>
      <x:c r="P619" s="14" t="str">
        <x:v>Young Man</x:v>
      </x:c>
      <x:c r="Q619" s="15" t="n">
        <x:v>1</x:v>
      </x:c>
      <x:c r="R619" s="14" t="str">
        <x:v>2025</x:v>
      </x:c>
      <x:c r="S619" s="14" t="n">
        <x:v>2025</x:v>
      </x:c>
      <x:c r="T619" s="14" t="n">
        <x:v>2025</x:v>
      </x:c>
      <x:c r="U619" s="14" t="str">
        <x:v>Explicit source first year retained</x:v>
      </x:c>
      <x:c r="V619" s="14" t="str">
        <x:v>Earliest supplied year is 2025.</x:v>
      </x:c>
      <x:c r="W619" s="14"/>
      <x:c r="X619" s="14" t="str">
        <x:v>Included</x:v>
      </x:c>
      <x:c r="Y619" s="14"/>
      <x:c r="Z619" s="14" t="str">
        <x:v>The Ex-Wife.docx</x:v>
      </x:c>
      <x:c r="AA619" s="14" t="str">
        <x:v>HYPERLINK is not implemented. linkLocation=https://www.imdb.com/title/tt13069604/fullcredits/, friendlyName=Open source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Paramount+ UK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7" t="e">
        <x:f>HYPERLINK("https://en.wikipedia.org/wiki/The_Ex-Wife","Open source")</x:f>
        <x:v>HYPERLINK is not implemented. linkLocation=https://en.wikipedia.org/wiki/The_Ex-Wife, friendlyName=Open source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 t="str">
        <x:v>No established-register match</x:v>
      </x:c>
      <x:c r="AT619" s="14"/>
      <x:c r="AU619" s="14"/>
      <x:c r="AV619" s="14" t="str">
        <x:v>No established apparent-disability match</x:v>
      </x:c>
      <x:c r="AW619" s="14"/>
      <x:c r="AX619" s="14" t="str">
        <x:v>No</x:v>
      </x:c>
      <x:c r="AY619" s="14" t="str">
        <x:v>Unmatched</x:v>
      </x:c>
      <x:c r="AZ619" s="14" t="str">
        <x:v>Final supplied register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 t="n">
        <x:v>8</x:v>
      </x:c>
      <x:c r="BP619" s="14" t="str">
        <x:v>Maximum supplied eligible IMDb cast-credit total; annual episode total not independently verified.</x:v>
      </x:c>
      <x:c r="BQ619" s="14" t="str">
        <x:v>Medium</x:v>
      </x:c>
      <x:c r="BR619" s="15" t="n">
        <x:v>1</x:v>
      </x:c>
      <x:c r="BS619" s="16" t="n">
        <x:v>0.125</x:v>
      </x:c>
      <x:c r="BT619" s="14" t="str">
        <x:v>One episode</x:v>
      </x:c>
      <x:c r="BU619" s="14" t="str">
        <x:v>Medium</x:v>
      </x:c>
      <x:c r="BV619" s="14" t="str">
        <x:v>Derived from the supplied IMDb episode count and documented production-total proxy.</x:v>
      </x:c>
      <x:c r="BW619" s="14" t="str">
        <x:v>Unable to determine</x:v>
      </x:c>
      <x:c r="BX619" s="14" t="str">
        <x:v>Cast-list and episode data do not establish narrative prominence.</x:v>
      </x:c>
      <x:c r="BY619" s="14" t="str">
        <x:v>Supplied IMDb cast-list workbook</x:v>
      </x:c>
      <x:c r="BZ619" s="14" t="str">
        <x:v>HYPERLINK is not implemented. linkLocation=https://www.imdb.com/title/tt13069604/fullcredits/, friendlyName=Open source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tt13069604|nm10448243|doctor</x:v>
      </x:c>
      <x:c r="B620" s="14" t="str">
        <x:v>06</x:v>
      </x:c>
      <x:c r="C620" s="14" t="str">
        <x:v>2022_IMDb_Cast_Lists_Batch_06(1).xlsx</x:v>
      </x:c>
      <x:c r="D620" s="14" t="str">
        <x:v>The Ex-Wife</x:v>
      </x:c>
      <x:c r="E620" s="14" t="n">
        <x:v>32</x:v>
      </x:c>
      <x:c r="F620" s="14" t="str">
        <x:v>The Ex-Wife</x:v>
      </x:c>
      <x:c r="G620" s="14" t="str">
        <x:v>tt13069604</x:v>
      </x:c>
      <x:c r="H620" s="14" t="n">
        <x:v>2022</x:v>
      </x:c>
      <x:c r="I620" s="14" t="n">
        <x:v>2025</x:v>
      </x:c>
      <x:c r="J620" s="14" t="str">
        <x:v>Earlier-Production Carry-In Cohort</x:v>
      </x:c>
      <x:c r="K620" s="14" t="n">
        <x:v>2022</x:v>
      </x:c>
      <x:c r="L620" s="14" t="str">
        <x:v>Not inherited</x:v>
      </x:c>
      <x:c r="M620" s="15" t="n">
        <x:v>25</x:v>
      </x:c>
      <x:c r="N620" s="14" t="str">
        <x:v>Nayia Anastasiadou</x:v>
      </x:c>
      <x:c r="O620" s="14" t="str">
        <x:v>nm10448243</x:v>
      </x:c>
      <x:c r="P620" s="14" t="str">
        <x:v>Doctor</x:v>
      </x:c>
      <x:c r="Q620" s="15" t="n">
        <x:v>1</x:v>
      </x:c>
      <x:c r="R620" s="14" t="str">
        <x:v>2025</x:v>
      </x:c>
      <x:c r="S620" s="14" t="n">
        <x:v>2025</x:v>
      </x:c>
      <x:c r="T620" s="14" t="n">
        <x:v>2025</x:v>
      </x:c>
      <x:c r="U620" s="14" t="str">
        <x:v>Explicit source first year retained</x:v>
      </x:c>
      <x:c r="V620" s="14" t="str">
        <x:v>Earliest supplied year is 2025.</x:v>
      </x:c>
      <x:c r="W620" s="14"/>
      <x:c r="X620" s="14" t="str">
        <x:v>Included</x:v>
      </x:c>
      <x:c r="Y620" s="14"/>
      <x:c r="Z620" s="14" t="str">
        <x:v>The Ex-Wife.docx</x:v>
      </x:c>
      <x:c r="AA620" s="14" t="str">
        <x:v>HYPERLINK is not implemented. linkLocation=https://www.imdb.com/title/tt13069604/fullcredits/, friendlyName=Open source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Paramount+ UK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7" t="e">
        <x:f>HYPERLINK("https://en.wikipedia.org/wiki/The_Ex-Wife","Open source")</x:f>
        <x:v>HYPERLINK is not implemented. linkLocation=https://en.wikipedia.org/wiki/The_Ex-Wife, friendlyName=Open source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 t="str">
        <x:v>No established-register match</x:v>
      </x:c>
      <x:c r="AT620" s="14"/>
      <x:c r="AU620" s="14"/>
      <x:c r="AV620" s="14" t="str">
        <x:v>No established apparent-disability match</x:v>
      </x:c>
      <x:c r="AW620" s="14"/>
      <x:c r="AX620" s="14" t="str">
        <x:v>No</x:v>
      </x:c>
      <x:c r="AY620" s="14" t="str">
        <x:v>Unmatched</x:v>
      </x:c>
      <x:c r="AZ620" s="14" t="str">
        <x:v>Final supplied register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 t="n">
        <x:v>8</x:v>
      </x:c>
      <x:c r="BP620" s="14" t="str">
        <x:v>Maximum supplied eligible IMDb cast-credit total; annual episode total not independently verified.</x:v>
      </x:c>
      <x:c r="BQ620" s="14" t="str">
        <x:v>Medium</x:v>
      </x:c>
      <x:c r="BR620" s="15" t="n">
        <x:v>1</x:v>
      </x:c>
      <x:c r="BS620" s="16" t="n">
        <x:v>0.125</x:v>
      </x:c>
      <x:c r="BT620" s="14" t="str">
        <x:v>One episode</x:v>
      </x:c>
      <x:c r="BU620" s="14" t="str">
        <x:v>Medium</x:v>
      </x:c>
      <x:c r="BV620" s="14" t="str">
        <x:v>Derived from the supplied IMDb episode count and documented production-total proxy.</x:v>
      </x:c>
      <x:c r="BW620" s="14" t="str">
        <x:v>Unable to determine</x:v>
      </x:c>
      <x:c r="BX620" s="14" t="str">
        <x:v>Cast-list and episode data do not establish narrative prominence.</x:v>
      </x:c>
      <x:c r="BY620" s="14" t="str">
        <x:v>Supplied IMDb cast-list workbook</x:v>
      </x:c>
      <x:c r="BZ620" s="14" t="str">
        <x:v>HYPERLINK is not implemented. linkLocation=https://www.imdb.com/title/tt13069604/fullcredits/, friendlyName=Open source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tt13069604|nm17457658|pharmacy receptionist</x:v>
      </x:c>
      <x:c r="B621" s="14" t="str">
        <x:v>06</x:v>
      </x:c>
      <x:c r="C621" s="14" t="str">
        <x:v>2022_IMDb_Cast_Lists_Batch_06(1).xlsx</x:v>
      </x:c>
      <x:c r="D621" s="14" t="str">
        <x:v>The Ex-Wife</x:v>
      </x:c>
      <x:c r="E621" s="14" t="n">
        <x:v>34</x:v>
      </x:c>
      <x:c r="F621" s="14" t="str">
        <x:v>The Ex-Wife</x:v>
      </x:c>
      <x:c r="G621" s="14" t="str">
        <x:v>tt13069604</x:v>
      </x:c>
      <x:c r="H621" s="14" t="n">
        <x:v>2022</x:v>
      </x:c>
      <x:c r="I621" s="14" t="n">
        <x:v>2025</x:v>
      </x:c>
      <x:c r="J621" s="14" t="str">
        <x:v>Earlier-Production Carry-In Cohort</x:v>
      </x:c>
      <x:c r="K621" s="14" t="n">
        <x:v>2022</x:v>
      </x:c>
      <x:c r="L621" s="14" t="str">
        <x:v>Not inherited</x:v>
      </x:c>
      <x:c r="M621" s="15" t="n">
        <x:v>27</x:v>
      </x:c>
      <x:c r="N621" s="14" t="str">
        <x:v>Ellie Tosounidou</x:v>
      </x:c>
      <x:c r="O621" s="14" t="str">
        <x:v>nm17457658</x:v>
      </x:c>
      <x:c r="P621" s="14" t="str">
        <x:v>Pharmacy Receptionist</x:v>
      </x:c>
      <x:c r="Q621" s="15" t="n">
        <x:v>1</x:v>
      </x:c>
      <x:c r="R621" s="14" t="str">
        <x:v>2025</x:v>
      </x:c>
      <x:c r="S621" s="14" t="n">
        <x:v>2025</x:v>
      </x:c>
      <x:c r="T621" s="14" t="n">
        <x:v>2025</x:v>
      </x:c>
      <x:c r="U621" s="14" t="str">
        <x:v>Explicit source first year retained</x:v>
      </x:c>
      <x:c r="V621" s="14" t="str">
        <x:v>Earliest supplied year is 2025.</x:v>
      </x:c>
      <x:c r="W621" s="14"/>
      <x:c r="X621" s="14" t="str">
        <x:v>Included</x:v>
      </x:c>
      <x:c r="Y621" s="14"/>
      <x:c r="Z621" s="14" t="str">
        <x:v>The Ex-Wife.docx</x:v>
      </x:c>
      <x:c r="AA621" s="14" t="str">
        <x:v>HYPERLINK is not implemented. linkLocation=https://www.imdb.com/title/tt13069604/fullcredits/, friendlyName=Open source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Paramount+ UK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7" t="e">
        <x:f>HYPERLINK("https://en.wikipedia.org/wiki/The_Ex-Wife","Open source")</x:f>
        <x:v>HYPERLINK is not implemented. linkLocation=https://en.wikipedia.org/wiki/The_Ex-Wife, friendlyName=Open source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 t="str">
        <x:v>No established-register match</x:v>
      </x:c>
      <x:c r="AT621" s="14"/>
      <x:c r="AU621" s="14"/>
      <x:c r="AV621" s="14" t="str">
        <x:v>No established apparent-disability match</x:v>
      </x:c>
      <x:c r="AW621" s="14"/>
      <x:c r="AX621" s="14" t="str">
        <x:v>No</x:v>
      </x:c>
      <x:c r="AY621" s="14" t="str">
        <x:v>Unmatched</x:v>
      </x:c>
      <x:c r="AZ621" s="14" t="str">
        <x:v>Final supplied register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 t="n">
        <x:v>8</x:v>
      </x:c>
      <x:c r="BP621" s="14" t="str">
        <x:v>Maximum supplied eligible IMDb cast-credit total; annual episode total not independently verified.</x:v>
      </x:c>
      <x:c r="BQ621" s="14" t="str">
        <x:v>Medium</x:v>
      </x:c>
      <x:c r="BR621" s="15" t="n">
        <x:v>1</x:v>
      </x:c>
      <x:c r="BS621" s="16" t="n">
        <x:v>0.125</x:v>
      </x:c>
      <x:c r="BT621" s="14" t="str">
        <x:v>One episode</x:v>
      </x:c>
      <x:c r="BU621" s="14" t="str">
        <x:v>Medium</x:v>
      </x:c>
      <x:c r="BV621" s="14" t="str">
        <x:v>Derived from the supplied IMDb episode count and documented production-total proxy.</x:v>
      </x:c>
      <x:c r="BW621" s="14" t="str">
        <x:v>Unable to determine</x:v>
      </x:c>
      <x:c r="BX621" s="14" t="str">
        <x:v>Cast-list and episode data do not establish narrative prominence.</x:v>
      </x:c>
      <x:c r="BY621" s="14" t="str">
        <x:v>Supplied IMDb cast-list workbook</x:v>
      </x:c>
      <x:c r="BZ621" s="14" t="str">
        <x:v>HYPERLINK is not implemented. linkLocation=https://www.imdb.com/title/tt13069604/fullcredits/, friendlyName=Open source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tt13069604|nm17460918|police captain</x:v>
      </x:c>
      <x:c r="B622" s="14" t="str">
        <x:v>06</x:v>
      </x:c>
      <x:c r="C622" s="14" t="str">
        <x:v>2022_IMDb_Cast_Lists_Batch_06(1).xlsx</x:v>
      </x:c>
      <x:c r="D622" s="14" t="str">
        <x:v>The Ex-Wife</x:v>
      </x:c>
      <x:c r="E622" s="14" t="n">
        <x:v>37</x:v>
      </x:c>
      <x:c r="F622" s="14" t="str">
        <x:v>The Ex-Wife</x:v>
      </x:c>
      <x:c r="G622" s="14" t="str">
        <x:v>tt13069604</x:v>
      </x:c>
      <x:c r="H622" s="14" t="n">
        <x:v>2022</x:v>
      </x:c>
      <x:c r="I622" s="14" t="n">
        <x:v>2025</x:v>
      </x:c>
      <x:c r="J622" s="14" t="str">
        <x:v>Earlier-Production Carry-In Cohort</x:v>
      </x:c>
      <x:c r="K622" s="14" t="n">
        <x:v>2022</x:v>
      </x:c>
      <x:c r="L622" s="14" t="str">
        <x:v>Not inherited</x:v>
      </x:c>
      <x:c r="M622" s="15" t="n">
        <x:v>30</x:v>
      </x:c>
      <x:c r="N622" s="14" t="str">
        <x:v>Christopher Creco</x:v>
      </x:c>
      <x:c r="O622" s="14" t="str">
        <x:v>nm17460918</x:v>
      </x:c>
      <x:c r="P622" s="14" t="str">
        <x:v>Police Captain</x:v>
      </x:c>
      <x:c r="Q622" s="15" t="n">
        <x:v>1</x:v>
      </x:c>
      <x:c r="R622" s="14" t="str">
        <x:v>2025</x:v>
      </x:c>
      <x:c r="S622" s="14" t="n">
        <x:v>2025</x:v>
      </x:c>
      <x:c r="T622" s="14" t="n">
        <x:v>2025</x:v>
      </x:c>
      <x:c r="U622" s="14" t="str">
        <x:v>Explicit source first year retained</x:v>
      </x:c>
      <x:c r="V622" s="14" t="str">
        <x:v>Earliest supplied year is 2025.</x:v>
      </x:c>
      <x:c r="W622" s="14"/>
      <x:c r="X622" s="14" t="str">
        <x:v>Included</x:v>
      </x:c>
      <x:c r="Y622" s="14"/>
      <x:c r="Z622" s="14" t="str">
        <x:v>The Ex-Wife.docx</x:v>
      </x:c>
      <x:c r="AA622" s="14" t="str">
        <x:v>HYPERLINK is not implemented. linkLocation=https://www.imdb.com/title/tt13069604/fullcredits/, friendlyName=Open source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Paramount+ UK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7" t="e">
        <x:f>HYPERLINK("https://en.wikipedia.org/wiki/The_Ex-Wife","Open source")</x:f>
        <x:v>HYPERLINK is not implemented. linkLocation=https://en.wikipedia.org/wiki/The_Ex-Wife, friendlyName=Open source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 t="str">
        <x:v>No established-register match</x:v>
      </x:c>
      <x:c r="AT622" s="14"/>
      <x:c r="AU622" s="14"/>
      <x:c r="AV622" s="14" t="str">
        <x:v>No established apparent-disability match</x:v>
      </x:c>
      <x:c r="AW622" s="14"/>
      <x:c r="AX622" s="14" t="str">
        <x:v>No</x:v>
      </x:c>
      <x:c r="AY622" s="14" t="str">
        <x:v>Unmatched</x:v>
      </x:c>
      <x:c r="AZ622" s="14" t="str">
        <x:v>Final supplied register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 t="n">
        <x:v>8</x:v>
      </x:c>
      <x:c r="BP622" s="14" t="str">
        <x:v>Maximum supplied eligible IMDb cast-credit total; annual episode total not independently verified.</x:v>
      </x:c>
      <x:c r="BQ622" s="14" t="str">
        <x:v>Medium</x:v>
      </x:c>
      <x:c r="BR622" s="15" t="n">
        <x:v>1</x:v>
      </x:c>
      <x:c r="BS622" s="16" t="n">
        <x:v>0.125</x:v>
      </x:c>
      <x:c r="BT622" s="14" t="str">
        <x:v>One episode</x:v>
      </x:c>
      <x:c r="BU622" s="14" t="str">
        <x:v>Medium</x:v>
      </x:c>
      <x:c r="BV622" s="14" t="str">
        <x:v>Derived from the supplied IMDb episode count and documented production-total proxy.</x:v>
      </x:c>
      <x:c r="BW622" s="14" t="str">
        <x:v>Unable to determine</x:v>
      </x:c>
      <x:c r="BX622" s="14" t="str">
        <x:v>Cast-list and episode data do not establish narrative prominence.</x:v>
      </x:c>
      <x:c r="BY622" s="14" t="str">
        <x:v>Supplied IMDb cast-list workbook</x:v>
      </x:c>
      <x:c r="BZ622" s="14" t="str">
        <x:v>HYPERLINK is not implemented. linkLocation=https://www.imdb.com/title/tt13069604/fullcredits/, friendlyName=Open source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tt13069604|nm2166043|leo</x:v>
      </x:c>
      <x:c r="B623" s="14" t="str">
        <x:v>06</x:v>
      </x:c>
      <x:c r="C623" s="14" t="str">
        <x:v>2022_IMDb_Cast_Lists_Batch_06(1).xlsx</x:v>
      </x:c>
      <x:c r="D623" s="14" t="str">
        <x:v>The Ex-Wife</x:v>
      </x:c>
      <x:c r="E623" s="14" t="n">
        <x:v>42</x:v>
      </x:c>
      <x:c r="F623" s="14" t="str">
        <x:v>The Ex-Wife</x:v>
      </x:c>
      <x:c r="G623" s="14" t="str">
        <x:v>tt13069604</x:v>
      </x:c>
      <x:c r="H623" s="14" t="n">
        <x:v>2022</x:v>
      </x:c>
      <x:c r="I623" s="14" t="n">
        <x:v>2025</x:v>
      </x:c>
      <x:c r="J623" s="14" t="str">
        <x:v>Earlier-Production Carry-In Cohort</x:v>
      </x:c>
      <x:c r="K623" s="14" t="n">
        <x:v>2022</x:v>
      </x:c>
      <x:c r="L623" s="14" t="str">
        <x:v>Not inherited</x:v>
      </x:c>
      <x:c r="M623" s="15" t="n">
        <x:v>35</x:v>
      </x:c>
      <x:c r="N623" s="14" t="str">
        <x:v>Andreas Tselepos</x:v>
      </x:c>
      <x:c r="O623" s="14" t="str">
        <x:v>nm2166043</x:v>
      </x:c>
      <x:c r="P623" s="14" t="str">
        <x:v>Leo</x:v>
      </x:c>
      <x:c r="Q623" s="15" t="n">
        <x:v>1</x:v>
      </x:c>
      <x:c r="R623" s="14" t="str">
        <x:v>2025</x:v>
      </x:c>
      <x:c r="S623" s="14" t="n">
        <x:v>2025</x:v>
      </x:c>
      <x:c r="T623" s="14" t="n">
        <x:v>2025</x:v>
      </x:c>
      <x:c r="U623" s="14" t="str">
        <x:v>Explicit source first year retained</x:v>
      </x:c>
      <x:c r="V623" s="14" t="str">
        <x:v>Earliest supplied year is 2025.</x:v>
      </x:c>
      <x:c r="W623" s="14"/>
      <x:c r="X623" s="14" t="str">
        <x:v>Included</x:v>
      </x:c>
      <x:c r="Y623" s="14"/>
      <x:c r="Z623" s="14" t="str">
        <x:v>The Ex-Wife.docx</x:v>
      </x:c>
      <x:c r="AA623" s="14" t="str">
        <x:v>HYPERLINK is not implemented. linkLocation=https://www.imdb.com/title/tt13069604/fullcredits/, friendlyName=Open source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Paramount+ UK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7" t="e">
        <x:f>HYPERLINK("https://en.wikipedia.org/wiki/The_Ex-Wife","Open source")</x:f>
        <x:v>HYPERLINK is not implemented. linkLocation=https://en.wikipedia.org/wiki/The_Ex-Wife, friendlyName=Open source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 t="str">
        <x:v>No established-register match</x:v>
      </x:c>
      <x:c r="AT623" s="14"/>
      <x:c r="AU623" s="14"/>
      <x:c r="AV623" s="14" t="str">
        <x:v>No established apparent-disability match</x:v>
      </x:c>
      <x:c r="AW623" s="14"/>
      <x:c r="AX623" s="14" t="str">
        <x:v>No</x:v>
      </x:c>
      <x:c r="AY623" s="14" t="str">
        <x:v>Unmatched</x:v>
      </x:c>
      <x:c r="AZ623" s="14" t="str">
        <x:v>Final supplied register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 t="n">
        <x:v>8</x:v>
      </x:c>
      <x:c r="BP623" s="14" t="str">
        <x:v>Maximum supplied eligible IMDb cast-credit total; annual episode total not independently verified.</x:v>
      </x:c>
      <x:c r="BQ623" s="14" t="str">
        <x:v>Medium</x:v>
      </x:c>
      <x:c r="BR623" s="15" t="n">
        <x:v>1</x:v>
      </x:c>
      <x:c r="BS623" s="16" t="n">
        <x:v>0.125</x:v>
      </x:c>
      <x:c r="BT623" s="14" t="str">
        <x:v>One episode</x:v>
      </x:c>
      <x:c r="BU623" s="14" t="str">
        <x:v>Medium</x:v>
      </x:c>
      <x:c r="BV623" s="14" t="str">
        <x:v>Derived from the supplied IMDb episode count and documented production-total proxy.</x:v>
      </x:c>
      <x:c r="BW623" s="14" t="str">
        <x:v>Unable to determine</x:v>
      </x:c>
      <x:c r="BX623" s="14" t="str">
        <x:v>Cast-list and episode data do not establish narrative prominence.</x:v>
      </x:c>
      <x:c r="BY623" s="14" t="str">
        <x:v>Supplied IMDb cast-list workbook</x:v>
      </x:c>
      <x:c r="BZ623" s="14" t="str">
        <x:v>HYPERLINK is not implemented. linkLocation=https://www.imdb.com/title/tt13069604/fullcredits/, friendlyName=Open source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tt13069604|nm0746101|border guard</x:v>
      </x:c>
      <x:c r="B624" s="14" t="str">
        <x:v>06</x:v>
      </x:c>
      <x:c r="C624" s="14" t="str">
        <x:v>2022_IMDb_Cast_Lists_Batch_06(1).xlsx</x:v>
      </x:c>
      <x:c r="D624" s="14" t="str">
        <x:v>The Ex-Wife</x:v>
      </x:c>
      <x:c r="E624" s="14" t="n">
        <x:v>45</x:v>
      </x:c>
      <x:c r="F624" s="14" t="str">
        <x:v>The Ex-Wife</x:v>
      </x:c>
      <x:c r="G624" s="14" t="str">
        <x:v>tt13069604</x:v>
      </x:c>
      <x:c r="H624" s="14" t="n">
        <x:v>2022</x:v>
      </x:c>
      <x:c r="I624" s="14" t="n">
        <x:v>2025</x:v>
      </x:c>
      <x:c r="J624" s="14" t="str">
        <x:v>Earlier-Production Carry-In Cohort</x:v>
      </x:c>
      <x:c r="K624" s="14" t="n">
        <x:v>2022</x:v>
      </x:c>
      <x:c r="L624" s="14" t="str">
        <x:v>Not inherited</x:v>
      </x:c>
      <x:c r="M624" s="15" t="n">
        <x:v>38</x:v>
      </x:c>
      <x:c r="N624" s="14" t="str">
        <x:v>Jimmy Roussounis</x:v>
      </x:c>
      <x:c r="O624" s="14" t="str">
        <x:v>nm0746101</x:v>
      </x:c>
      <x:c r="P624" s="14" t="str">
        <x:v>Border Guard</x:v>
      </x:c>
      <x:c r="Q624" s="15" t="n">
        <x:v>1</x:v>
      </x:c>
      <x:c r="R624" s="14" t="str">
        <x:v>2025</x:v>
      </x:c>
      <x:c r="S624" s="14" t="n">
        <x:v>2025</x:v>
      </x:c>
      <x:c r="T624" s="14" t="n">
        <x:v>2025</x:v>
      </x:c>
      <x:c r="U624" s="14" t="str">
        <x:v>Explicit source first year retained</x:v>
      </x:c>
      <x:c r="V624" s="14" t="str">
        <x:v>Earliest supplied year is 2025.</x:v>
      </x:c>
      <x:c r="W624" s="14"/>
      <x:c r="X624" s="14" t="str">
        <x:v>Included</x:v>
      </x:c>
      <x:c r="Y624" s="14" t="str">
        <x:v>(as Jimmy Rousounis)</x:v>
      </x:c>
      <x:c r="Z624" s="14" t="str">
        <x:v>The Ex-Wife.docx</x:v>
      </x:c>
      <x:c r="AA624" s="14" t="str">
        <x:v>HYPERLINK is not implemented. linkLocation=https://www.imdb.com/title/tt13069604/fullcredits/, friendlyName=Open source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Paramount+ UK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7" t="e">
        <x:f>HYPERLINK("https://en.wikipedia.org/wiki/The_Ex-Wife","Open source")</x:f>
        <x:v>HYPERLINK is not implemented. linkLocation=https://en.wikipedia.org/wiki/The_Ex-Wife, friendlyName=Open source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 t="str">
        <x:v>No established-register match</x:v>
      </x:c>
      <x:c r="AT624" s="14"/>
      <x:c r="AU624" s="14"/>
      <x:c r="AV624" s="14" t="str">
        <x:v>No established apparent-disability match</x:v>
      </x:c>
      <x:c r="AW624" s="14"/>
      <x:c r="AX624" s="14" t="str">
        <x:v>No</x:v>
      </x:c>
      <x:c r="AY624" s="14" t="str">
        <x:v>Unmatched</x:v>
      </x:c>
      <x:c r="AZ624" s="14" t="str">
        <x:v>Final supplied register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 t="n">
        <x:v>8</x:v>
      </x:c>
      <x:c r="BP624" s="14" t="str">
        <x:v>Maximum supplied eligible IMDb cast-credit total; annual episode total not independently verified.</x:v>
      </x:c>
      <x:c r="BQ624" s="14" t="str">
        <x:v>Medium</x:v>
      </x:c>
      <x:c r="BR624" s="15" t="n">
        <x:v>1</x:v>
      </x:c>
      <x:c r="BS624" s="16" t="n">
        <x:v>0.125</x:v>
      </x:c>
      <x:c r="BT624" s="14" t="str">
        <x:v>One episode</x:v>
      </x:c>
      <x:c r="BU624" s="14" t="str">
        <x:v>Medium</x:v>
      </x:c>
      <x:c r="BV624" s="14" t="str">
        <x:v>Derived from the supplied IMDb episode count and documented production-total proxy.</x:v>
      </x:c>
      <x:c r="BW624" s="14" t="str">
        <x:v>Unable to determine</x:v>
      </x:c>
      <x:c r="BX624" s="14" t="str">
        <x:v>Cast-list and episode data do not establish narrative prominence.</x:v>
      </x:c>
      <x:c r="BY624" s="14" t="str">
        <x:v>Supplied IMDb cast-list workbook</x:v>
      </x:c>
      <x:c r="BZ624" s="14" t="str">
        <x:v>HYPERLINK is not implemented. linkLocation=https://www.imdb.com/title/tt13069604/fullcredits/, friendlyName=Open source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tt13069604|nm17457657|police officer</x:v>
      </x:c>
      <x:c r="B625" s="14" t="str">
        <x:v>06</x:v>
      </x:c>
      <x:c r="C625" s="14" t="str">
        <x:v>2022_IMDb_Cast_Lists_Batch_06(1).xlsx</x:v>
      </x:c>
      <x:c r="D625" s="14" t="str">
        <x:v>The Ex-Wife</x:v>
      </x:c>
      <x:c r="E625" s="14" t="n">
        <x:v>46</x:v>
      </x:c>
      <x:c r="F625" s="14" t="str">
        <x:v>The Ex-Wife</x:v>
      </x:c>
      <x:c r="G625" s="14" t="str">
        <x:v>tt13069604</x:v>
      </x:c>
      <x:c r="H625" s="14" t="n">
        <x:v>2022</x:v>
      </x:c>
      <x:c r="I625" s="14" t="n">
        <x:v>2025</x:v>
      </x:c>
      <x:c r="J625" s="14" t="str">
        <x:v>Earlier-Production Carry-In Cohort</x:v>
      </x:c>
      <x:c r="K625" s="14" t="n">
        <x:v>2022</x:v>
      </x:c>
      <x:c r="L625" s="14" t="str">
        <x:v>Not inherited</x:v>
      </x:c>
      <x:c r="M625" s="15" t="n">
        <x:v>39</x:v>
      </x:c>
      <x:c r="N625" s="14" t="str">
        <x:v>Giorgis Kyriakou</x:v>
      </x:c>
      <x:c r="O625" s="14" t="str">
        <x:v>nm17457657</x:v>
      </x:c>
      <x:c r="P625" s="14" t="str">
        <x:v>Police Officer</x:v>
      </x:c>
      <x:c r="Q625" s="15" t="n">
        <x:v>1</x:v>
      </x:c>
      <x:c r="R625" s="14" t="str">
        <x:v>2025</x:v>
      </x:c>
      <x:c r="S625" s="14" t="n">
        <x:v>2025</x:v>
      </x:c>
      <x:c r="T625" s="14" t="n">
        <x:v>2025</x:v>
      </x:c>
      <x:c r="U625" s="14" t="str">
        <x:v>Explicit source first year retained</x:v>
      </x:c>
      <x:c r="V625" s="14" t="str">
        <x:v>Earliest supplied year is 2025.</x:v>
      </x:c>
      <x:c r="W625" s="14"/>
      <x:c r="X625" s="14" t="str">
        <x:v>Included</x:v>
      </x:c>
      <x:c r="Y625" s="14"/>
      <x:c r="Z625" s="14" t="str">
        <x:v>The Ex-Wife.docx</x:v>
      </x:c>
      <x:c r="AA625" s="14" t="str">
        <x:v>HYPERLINK is not implemented. linkLocation=https://www.imdb.com/title/tt13069604/fullcredits/, friendlyName=Open source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Paramount+ UK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7" t="e">
        <x:f>HYPERLINK("https://en.wikipedia.org/wiki/The_Ex-Wife","Open source")</x:f>
        <x:v>HYPERLINK is not implemented. linkLocation=https://en.wikipedia.org/wiki/The_Ex-Wife, friendlyName=Open source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 t="str">
        <x:v>No established-register match</x:v>
      </x:c>
      <x:c r="AT625" s="14"/>
      <x:c r="AU625" s="14"/>
      <x:c r="AV625" s="14" t="str">
        <x:v>No established apparent-disability match</x:v>
      </x:c>
      <x:c r="AW625" s="14"/>
      <x:c r="AX625" s="14" t="str">
        <x:v>No</x:v>
      </x:c>
      <x:c r="AY625" s="14" t="str">
        <x:v>Unmatched</x:v>
      </x:c>
      <x:c r="AZ625" s="14" t="str">
        <x:v>Final supplied register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 t="n">
        <x:v>8</x:v>
      </x:c>
      <x:c r="BP625" s="14" t="str">
        <x:v>Maximum supplied eligible IMDb cast-credit total; annual episode total not independently verified.</x:v>
      </x:c>
      <x:c r="BQ625" s="14" t="str">
        <x:v>Medium</x:v>
      </x:c>
      <x:c r="BR625" s="15" t="n">
        <x:v>1</x:v>
      </x:c>
      <x:c r="BS625" s="16" t="n">
        <x:v>0.125</x:v>
      </x:c>
      <x:c r="BT625" s="14" t="str">
        <x:v>One episode</x:v>
      </x:c>
      <x:c r="BU625" s="14" t="str">
        <x:v>Medium</x:v>
      </x:c>
      <x:c r="BV625" s="14" t="str">
        <x:v>Derived from the supplied IMDb episode count and documented production-total proxy.</x:v>
      </x:c>
      <x:c r="BW625" s="14" t="str">
        <x:v>Unable to determine</x:v>
      </x:c>
      <x:c r="BX625" s="14" t="str">
        <x:v>Cast-list and episode data do not establish narrative prominence.</x:v>
      </x:c>
      <x:c r="BY625" s="14" t="str">
        <x:v>Supplied IMDb cast-list workbook</x:v>
      </x:c>
      <x:c r="BZ625" s="14" t="str">
        <x:v>HYPERLINK is not implemented. linkLocation=https://www.imdb.com/title/tt13069604/fullcredits/, friendlyName=Open source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tt13069604|nm13316153|cafe customer</x:v>
      </x:c>
      <x:c r="B626" s="14" t="str">
        <x:v>06</x:v>
      </x:c>
      <x:c r="C626" s="14" t="str">
        <x:v>2022_IMDb_Cast_Lists_Batch_06(1).xlsx</x:v>
      </x:c>
      <x:c r="D626" s="14" t="str">
        <x:v>The Ex-Wife</x:v>
      </x:c>
      <x:c r="E626" s="14" t="n">
        <x:v>50</x:v>
      </x:c>
      <x:c r="F626" s="14" t="str">
        <x:v>The Ex-Wife</x:v>
      </x:c>
      <x:c r="G626" s="14" t="str">
        <x:v>tt13069604</x:v>
      </x:c>
      <x:c r="H626" s="14" t="n">
        <x:v>2022</x:v>
      </x:c>
      <x:c r="I626" s="14" t="n">
        <x:v>2025</x:v>
      </x:c>
      <x:c r="J626" s="14" t="str">
        <x:v>Earlier-Production Carry-In Cohort</x:v>
      </x:c>
      <x:c r="K626" s="14" t="n">
        <x:v>2022</x:v>
      </x:c>
      <x:c r="L626" s="14" t="str">
        <x:v>Not inherited</x:v>
      </x:c>
      <x:c r="M626" s="15" t="n">
        <x:v>43</x:v>
      </x:c>
      <x:c r="N626" s="14" t="str">
        <x:v>Andreas Koutsoftas</x:v>
      </x:c>
      <x:c r="O626" s="14" t="str">
        <x:v>nm13316153</x:v>
      </x:c>
      <x:c r="P626" s="14" t="str">
        <x:v>Cafe Customer</x:v>
      </x:c>
      <x:c r="Q626" s="15" t="n">
        <x:v>1</x:v>
      </x:c>
      <x:c r="R626" s="14" t="str">
        <x:v>2025</x:v>
      </x:c>
      <x:c r="S626" s="14" t="n">
        <x:v>2025</x:v>
      </x:c>
      <x:c r="T626" s="14" t="n">
        <x:v>2025</x:v>
      </x:c>
      <x:c r="U626" s="14" t="str">
        <x:v>Explicit source first year retained</x:v>
      </x:c>
      <x:c r="V626" s="14" t="str">
        <x:v>Earliest supplied year is 2025.</x:v>
      </x:c>
      <x:c r="W626" s="14"/>
      <x:c r="X626" s="14" t="str">
        <x:v>Included</x:v>
      </x:c>
      <x:c r="Y626" s="14"/>
      <x:c r="Z626" s="14" t="str">
        <x:v>The Ex-Wife.docx</x:v>
      </x:c>
      <x:c r="AA626" s="14" t="str">
        <x:v>HYPERLINK is not implemented. linkLocation=https://www.imdb.com/title/tt13069604/fullcredits/, friendlyName=Open source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Paramount+ UK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7" t="e">
        <x:f>HYPERLINK("https://en.wikipedia.org/wiki/The_Ex-Wife","Open source")</x:f>
        <x:v>HYPERLINK is not implemented. linkLocation=https://en.wikipedia.org/wiki/The_Ex-Wife, friendlyName=Open source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 t="str">
        <x:v>No established-register match</x:v>
      </x:c>
      <x:c r="AT626" s="14"/>
      <x:c r="AU626" s="14"/>
      <x:c r="AV626" s="14" t="str">
        <x:v>No established apparent-disability match</x:v>
      </x:c>
      <x:c r="AW626" s="14"/>
      <x:c r="AX626" s="14" t="str">
        <x:v>No</x:v>
      </x:c>
      <x:c r="AY626" s="14" t="str">
        <x:v>Unmatched</x:v>
      </x:c>
      <x:c r="AZ626" s="14" t="str">
        <x:v>Final supplied register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 t="n">
        <x:v>8</x:v>
      </x:c>
      <x:c r="BP626" s="14" t="str">
        <x:v>Maximum supplied eligible IMDb cast-credit total; annual episode total not independently verified.</x:v>
      </x:c>
      <x:c r="BQ626" s="14" t="str">
        <x:v>Medium</x:v>
      </x:c>
      <x:c r="BR626" s="15" t="n">
        <x:v>1</x:v>
      </x:c>
      <x:c r="BS626" s="16" t="n">
        <x:v>0.125</x:v>
      </x:c>
      <x:c r="BT626" s="14" t="str">
        <x:v>One episode</x:v>
      </x:c>
      <x:c r="BU626" s="14" t="str">
        <x:v>Medium</x:v>
      </x:c>
      <x:c r="BV626" s="14" t="str">
        <x:v>Derived from the supplied IMDb episode count and documented production-total proxy.</x:v>
      </x:c>
      <x:c r="BW626" s="14" t="str">
        <x:v>Unable to determine</x:v>
      </x:c>
      <x:c r="BX626" s="14" t="str">
        <x:v>Cast-list and episode data do not establish narrative prominence.</x:v>
      </x:c>
      <x:c r="BY626" s="14" t="str">
        <x:v>Supplied IMDb cast-list workbook</x:v>
      </x:c>
      <x:c r="BZ626" s="14" t="str">
        <x:v>HYPERLINK is not implemented. linkLocation=https://www.imdb.com/title/tt13069604/fullcredits/, friendlyName=Open source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tt11958610|nm1693813|phil croxley</x:v>
      </x:c>
      <x:c r="B627" s="14" t="str">
        <x:v>08</x:v>
      </x:c>
      <x:c r="C627" s="14" t="str">
        <x:v>2022_IMDb_Cast_Lists_Batch_08(1).xlsx</x:v>
      </x:c>
      <x:c r="D627" s="14" t="str">
        <x:v>Trigger Point</x:v>
      </x:c>
      <x:c r="E627" s="14" t="n">
        <x:v>14</x:v>
      </x:c>
      <x:c r="F627" s="14" t="str">
        <x:v>Trigger Point</x:v>
      </x:c>
      <x:c r="G627" s="14" t="str">
        <x:v>tt11958610</x:v>
      </x:c>
      <x:c r="H627" s="14" t="n">
        <x:v>2022</x:v>
      </x:c>
      <x:c r="I627" s="14" t="n">
        <x:v>2025</x:v>
      </x:c>
      <x:c r="J627" s="14" t="str">
        <x:v>Earlier-Production Carry-In Cohort</x:v>
      </x:c>
      <x:c r="K627" s="14" t="n">
        <x:v>2022</x:v>
      </x:c>
      <x:c r="L627" s="14" t="str">
        <x:v>Not inherited</x:v>
      </x:c>
      <x:c r="M627" s="15" t="n">
        <x:v>7</x:v>
      </x:c>
      <x:c r="N627" s="14" t="str">
        <x:v>Christopher Hatherall</x:v>
      </x:c>
      <x:c r="O627" s="14" t="str">
        <x:v>nm1693813</x:v>
      </x:c>
      <x:c r="P627" s="14" t="str">
        <x:v>Phil Croxley</x:v>
      </x:c>
      <x:c r="Q627" s="15" t="n">
        <x:v>12</x:v>
      </x:c>
      <x:c r="R627" s="14" t="str">
        <x:v>2025–2026</x:v>
      </x:c>
      <x:c r="S627" s="14" t="n">
        <x:v>2025</x:v>
      </x:c>
      <x:c r="T627" s="14" t="n">
        <x:v>2025</x:v>
      </x:c>
      <x:c r="U627" s="14" t="str">
        <x:v>Explicit source first year retained</x:v>
      </x:c>
      <x:c r="V627" s="14" t="str">
        <x:v>Earliest supplied year is 2025.</x:v>
      </x:c>
      <x:c r="W627" s="14"/>
      <x:c r="X627" s="14" t="str">
        <x:v>Included</x:v>
      </x:c>
      <x:c r="Y627" s="14"/>
      <x:c r="Z627" s="14" t="str">
        <x:v>Trigger Point.docx</x:v>
      </x:c>
      <x:c r="AA627" s="14" t="str">
        <x:v>HYPERLINK is not implemented. linkLocation=https://www.imdb.com/title/tt11958610/fullcredits/, friendlyName=Open source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ITV / ITVX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7" t="e">
        <x:f>HYPERLINK("https://en.wikipedia.org/wiki/Trigger_Point","Open source")</x:f>
        <x:v>HYPERLINK is not implemented. linkLocation=https://en.wikipedia.org/wiki/Trigger_Point, friendlyName=Open source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 t="str">
        <x:v>No established-register match</x:v>
      </x:c>
      <x:c r="AT627" s="14"/>
      <x:c r="AU627" s="14"/>
      <x:c r="AV627" s="14" t="str">
        <x:v>No established apparent-disability match</x:v>
      </x:c>
      <x:c r="AW627" s="14"/>
      <x:c r="AX627" s="14" t="str">
        <x:v>No</x:v>
      </x:c>
      <x:c r="AY627" s="14" t="str">
        <x:v>Unmatched</x:v>
      </x:c>
      <x:c r="AZ627" s="14" t="str">
        <x:v>Final supplied register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 t="n">
        <x:v>24</x:v>
      </x:c>
      <x:c r="BP627" s="14" t="str">
        <x:v>Maximum supplied eligible IMDb cast-credit total; annual episode total not independently verified.</x:v>
      </x:c>
      <x:c r="BQ627" s="14" t="str">
        <x:v>Medium</x:v>
      </x:c>
      <x:c r="BR627" s="15" t="n">
        <x:v>12</x:v>
      </x:c>
      <x:c r="BS627" s="16" t="n">
        <x:v>0.5</x:v>
      </x:c>
      <x:c r="BT627" s="14" t="str">
        <x:v>Minority of episodes</x:v>
      </x:c>
      <x:c r="BU627" s="14" t="str">
        <x:v>Medium</x:v>
      </x:c>
      <x:c r="BV627" s="14" t="str">
        <x:v>Derived from the supplied IMDb episode count and documented production-total proxy.</x:v>
      </x:c>
      <x:c r="BW627" s="14" t="str">
        <x:v>Unable to determine</x:v>
      </x:c>
      <x:c r="BX627" s="14" t="str">
        <x:v>Cast-list and episode data do not establish narrative prominence.</x:v>
      </x:c>
      <x:c r="BY627" s="14" t="str">
        <x:v>Supplied IMDb cast-list workbook</x:v>
      </x:c>
      <x:c r="BZ627" s="14" t="str">
        <x:v>HYPERLINK is not implemented. linkLocation=https://www.imdb.com/title/tt11958610/fullcredits/, friendlyName=Open source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tt11958610|nm0002076|steven wyles</x:v>
      </x:c>
      <x:c r="B628" s="14" t="str">
        <x:v>08</x:v>
      </x:c>
      <x:c r="C628" s="14" t="str">
        <x:v>2022_IMDb_Cast_Lists_Batch_08(1).xlsx</x:v>
      </x:c>
      <x:c r="D628" s="14" t="str">
        <x:v>Trigger Point</x:v>
      </x:c>
      <x:c r="E628" s="14" t="n">
        <x:v>20</x:v>
      </x:c>
      <x:c r="F628" s="14" t="str">
        <x:v>Trigger Point</x:v>
      </x:c>
      <x:c r="G628" s="14" t="str">
        <x:v>tt11958610</x:v>
      </x:c>
      <x:c r="H628" s="14" t="n">
        <x:v>2022</x:v>
      </x:c>
      <x:c r="I628" s="14" t="n">
        <x:v>2025</x:v>
      </x:c>
      <x:c r="J628" s="14" t="str">
        <x:v>Earlier-Production Carry-In Cohort</x:v>
      </x:c>
      <x:c r="K628" s="14" t="n">
        <x:v>2022</x:v>
      </x:c>
      <x:c r="L628" s="14" t="str">
        <x:v>Not inherited</x:v>
      </x:c>
      <x:c r="M628" s="15" t="n">
        <x:v>13</x:v>
      </x:c>
      <x:c r="N628" s="14" t="str">
        <x:v>Jason Flemyng</x:v>
      </x:c>
      <x:c r="O628" s="14" t="str">
        <x:v>nm0002076</x:v>
      </x:c>
      <x:c r="P628" s="14" t="str">
        <x:v>Steven Wyles</x:v>
      </x:c>
      <x:c r="Q628" s="15" t="n">
        <x:v>6</x:v>
      </x:c>
      <x:c r="R628" s="14" t="str">
        <x:v>2025</x:v>
      </x:c>
      <x:c r="S628" s="14" t="n">
        <x:v>2025</x:v>
      </x:c>
      <x:c r="T628" s="14" t="n">
        <x:v>2025</x:v>
      </x:c>
      <x:c r="U628" s="14" t="str">
        <x:v>Explicit source first year retained</x:v>
      </x:c>
      <x:c r="V628" s="14" t="str">
        <x:v>Earliest supplied year is 2025.</x:v>
      </x:c>
      <x:c r="W628" s="14"/>
      <x:c r="X628" s="14" t="str">
        <x:v>Included</x:v>
      </x:c>
      <x:c r="Y628" s="14"/>
      <x:c r="Z628" s="14" t="str">
        <x:v>Trigger Point.docx</x:v>
      </x:c>
      <x:c r="AA628" s="14" t="str">
        <x:v>HYPERLINK is not implemented. linkLocation=https://www.imdb.com/title/tt11958610/fullcredits/, friendlyName=Open source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ITV / ITVX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7" t="e">
        <x:f>HYPERLINK("https://en.wikipedia.org/wiki/Trigger_Point","Open source")</x:f>
        <x:v>HYPERLINK is not implemented. linkLocation=https://en.wikipedia.org/wiki/Trigger_Point, friendlyName=Open source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 t="str">
        <x:v>No established-register match</x:v>
      </x:c>
      <x:c r="AT628" s="14"/>
      <x:c r="AU628" s="14"/>
      <x:c r="AV628" s="14" t="str">
        <x:v>No established apparent-disability match</x:v>
      </x:c>
      <x:c r="AW628" s="14"/>
      <x:c r="AX628" s="14" t="str">
        <x:v>No</x:v>
      </x:c>
      <x:c r="AY628" s="14" t="str">
        <x:v>Unmatched</x:v>
      </x:c>
      <x:c r="AZ628" s="14" t="str">
        <x:v>Final supplied register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 t="n">
        <x:v>24</x:v>
      </x:c>
      <x:c r="BP628" s="14" t="str">
        <x:v>Maximum supplied eligible IMDb cast-credit total; annual episode total not independently verified.</x:v>
      </x:c>
      <x:c r="BQ628" s="14" t="str">
        <x:v>Medium</x:v>
      </x:c>
      <x:c r="BR628" s="15" t="n">
        <x:v>6</x:v>
      </x:c>
      <x:c r="BS628" s="16" t="n">
        <x:v>0.25</x:v>
      </x:c>
      <x:c r="BT628" s="14" t="str">
        <x:v>Minority of episodes</x:v>
      </x:c>
      <x:c r="BU628" s="14" t="str">
        <x:v>Medium</x:v>
      </x:c>
      <x:c r="BV628" s="14" t="str">
        <x:v>Derived from the supplied IMDb episode count and documented production-total proxy.</x:v>
      </x:c>
      <x:c r="BW628" s="14" t="str">
        <x:v>Unable to determine</x:v>
      </x:c>
      <x:c r="BX628" s="14" t="str">
        <x:v>Cast-list and episode data do not establish narrative prominence.</x:v>
      </x:c>
      <x:c r="BY628" s="14" t="str">
        <x:v>Supplied IMDb cast-list workbook</x:v>
      </x:c>
      <x:c r="BZ628" s="14" t="str">
        <x:v>HYPERLINK is not implemented. linkLocation=https://www.imdb.com/title/tt11958610/fullcredits/, friendlyName=Open source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tt11958610|nm7030314|dc neil brenton</x:v>
      </x:c>
      <x:c r="B629" s="14" t="str">
        <x:v>08</x:v>
      </x:c>
      <x:c r="C629" s="14" t="str">
        <x:v>2022_IMDb_Cast_Lists_Batch_08(1).xlsx</x:v>
      </x:c>
      <x:c r="D629" s="14" t="str">
        <x:v>Trigger Point</x:v>
      </x:c>
      <x:c r="E629" s="14" t="n">
        <x:v>21</x:v>
      </x:c>
      <x:c r="F629" s="14" t="str">
        <x:v>Trigger Point</x:v>
      </x:c>
      <x:c r="G629" s="14" t="str">
        <x:v>tt11958610</x:v>
      </x:c>
      <x:c r="H629" s="14" t="n">
        <x:v>2022</x:v>
      </x:c>
      <x:c r="I629" s="14" t="n">
        <x:v>2025</x:v>
      </x:c>
      <x:c r="J629" s="14" t="str">
        <x:v>Earlier-Production Carry-In Cohort</x:v>
      </x:c>
      <x:c r="K629" s="14" t="n">
        <x:v>2022</x:v>
      </x:c>
      <x:c r="L629" s="14" t="str">
        <x:v>Not inherited</x:v>
      </x:c>
      <x:c r="M629" s="15" t="n">
        <x:v>14</x:v>
      </x:c>
      <x:c r="N629" s="14" t="str">
        <x:v>Tom Glenister</x:v>
      </x:c>
      <x:c r="O629" s="14" t="str">
        <x:v>nm7030314</x:v>
      </x:c>
      <x:c r="P629" s="14" t="str">
        <x:v>DC Neil Brenton</x:v>
      </x:c>
      <x:c r="Q629" s="15" t="n">
        <x:v>6</x:v>
      </x:c>
      <x:c r="R629" s="14" t="str">
        <x:v>2025</x:v>
      </x:c>
      <x:c r="S629" s="14" t="n">
        <x:v>2025</x:v>
      </x:c>
      <x:c r="T629" s="14" t="n">
        <x:v>2025</x:v>
      </x:c>
      <x:c r="U629" s="14" t="str">
        <x:v>Explicit source first year retained</x:v>
      </x:c>
      <x:c r="V629" s="14" t="str">
        <x:v>Earliest supplied year is 2025.</x:v>
      </x:c>
      <x:c r="W629" s="14"/>
      <x:c r="X629" s="14" t="str">
        <x:v>Included</x:v>
      </x:c>
      <x:c r="Y629" s="14"/>
      <x:c r="Z629" s="14" t="str">
        <x:v>Trigger Point.docx</x:v>
      </x:c>
      <x:c r="AA629" s="14" t="str">
        <x:v>HYPERLINK is not implemented. linkLocation=https://www.imdb.com/title/tt11958610/fullcredits/, friendlyName=Open source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ITV / ITVX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7" t="e">
        <x:f>HYPERLINK("https://en.wikipedia.org/wiki/Trigger_Point","Open source")</x:f>
        <x:v>HYPERLINK is not implemented. linkLocation=https://en.wikipedia.org/wiki/Trigger_Point, friendlyName=Open source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 t="str">
        <x:v>No established-register match</x:v>
      </x:c>
      <x:c r="AT629" s="14"/>
      <x:c r="AU629" s="14"/>
      <x:c r="AV629" s="14" t="str">
        <x:v>No established apparent-disability match</x:v>
      </x:c>
      <x:c r="AW629" s="14"/>
      <x:c r="AX629" s="14" t="str">
        <x:v>No</x:v>
      </x:c>
      <x:c r="AY629" s="14" t="str">
        <x:v>Unmatched</x:v>
      </x:c>
      <x:c r="AZ629" s="14" t="str">
        <x:v>Final supplied register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 t="n">
        <x:v>24</x:v>
      </x:c>
      <x:c r="BP629" s="14" t="str">
        <x:v>Maximum supplied eligible IMDb cast-credit total; annual episode total not independently verified.</x:v>
      </x:c>
      <x:c r="BQ629" s="14" t="str">
        <x:v>Medium</x:v>
      </x:c>
      <x:c r="BR629" s="15" t="n">
        <x:v>6</x:v>
      </x:c>
      <x:c r="BS629" s="16" t="n">
        <x:v>0.25</x:v>
      </x:c>
      <x:c r="BT629" s="14" t="str">
        <x:v>Minority of episodes</x:v>
      </x:c>
      <x:c r="BU629" s="14" t="str">
        <x:v>Medium</x:v>
      </x:c>
      <x:c r="BV629" s="14" t="str">
        <x:v>Derived from the supplied IMDb episode count and documented production-total proxy.</x:v>
      </x:c>
      <x:c r="BW629" s="14" t="str">
        <x:v>Unable to determine</x:v>
      </x:c>
      <x:c r="BX629" s="14" t="str">
        <x:v>Cast-list and episode data do not establish narrative prominence.</x:v>
      </x:c>
      <x:c r="BY629" s="14" t="str">
        <x:v>Supplied IMDb cast-list workbook</x:v>
      </x:c>
      <x:c r="BZ629" s="14" t="str">
        <x:v>HYPERLINK is not implemented. linkLocation=https://www.imdb.com/title/tt11958610/fullcredits/, friendlyName=Open source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tt11958610|nm14465781|wren cheshire</x:v>
      </x:c>
      <x:c r="B630" s="14" t="str">
        <x:v>08</x:v>
      </x:c>
      <x:c r="C630" s="14" t="str">
        <x:v>2022_IMDb_Cast_Lists_Batch_08(1).xlsx</x:v>
      </x:c>
      <x:c r="D630" s="14" t="str">
        <x:v>Trigger Point</x:v>
      </x:c>
      <x:c r="E630" s="14" t="n">
        <x:v>37</x:v>
      </x:c>
      <x:c r="F630" s="14" t="str">
        <x:v>Trigger Point</x:v>
      </x:c>
      <x:c r="G630" s="14" t="str">
        <x:v>tt11958610</x:v>
      </x:c>
      <x:c r="H630" s="14" t="n">
        <x:v>2022</x:v>
      </x:c>
      <x:c r="I630" s="14" t="n">
        <x:v>2025</x:v>
      </x:c>
      <x:c r="J630" s="14" t="str">
        <x:v>Earlier-Production Carry-In Cohort</x:v>
      </x:c>
      <x:c r="K630" s="14" t="n">
        <x:v>2022</x:v>
      </x:c>
      <x:c r="L630" s="14" t="str">
        <x:v>Not inherited</x:v>
      </x:c>
      <x:c r="M630" s="15" t="n">
        <x:v>30</x:v>
      </x:c>
      <x:c r="N630" s="14" t="str">
        <x:v>Maisie Ayres</x:v>
      </x:c>
      <x:c r="O630" s="14" t="str">
        <x:v>nm14465781</x:v>
      </x:c>
      <x:c r="P630" s="14" t="str">
        <x:v>Wren Cheshire</x:v>
      </x:c>
      <x:c r="Q630" s="15" t="n">
        <x:v>4</x:v>
      </x:c>
      <x:c r="R630" s="14" t="str">
        <x:v>2025</x:v>
      </x:c>
      <x:c r="S630" s="14" t="n">
        <x:v>2025</x:v>
      </x:c>
      <x:c r="T630" s="14" t="n">
        <x:v>2025</x:v>
      </x:c>
      <x:c r="U630" s="14" t="str">
        <x:v>Explicit source first year retained</x:v>
      </x:c>
      <x:c r="V630" s="14" t="str">
        <x:v>Earliest supplied year is 2025.</x:v>
      </x:c>
      <x:c r="W630" s="14"/>
      <x:c r="X630" s="14" t="str">
        <x:v>Included</x:v>
      </x:c>
      <x:c r="Y630" s="14"/>
      <x:c r="Z630" s="14" t="str">
        <x:v>Trigger Point.docx</x:v>
      </x:c>
      <x:c r="AA630" s="14" t="str">
        <x:v>HYPERLINK is not implemented. linkLocation=https://www.imdb.com/title/tt11958610/fullcredits/, friendlyName=Open source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ITV / ITVX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7" t="e">
        <x:f>HYPERLINK("https://en.wikipedia.org/wiki/Trigger_Point","Open source")</x:f>
        <x:v>HYPERLINK is not implemented. linkLocation=https://en.wikipedia.org/wiki/Trigger_Point, friendlyName=Open source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 t="str">
        <x:v>No established-register match</x:v>
      </x:c>
      <x:c r="AT630" s="14"/>
      <x:c r="AU630" s="14"/>
      <x:c r="AV630" s="14" t="str">
        <x:v>No established apparent-disability match</x:v>
      </x:c>
      <x:c r="AW630" s="14"/>
      <x:c r="AX630" s="14" t="str">
        <x:v>No</x:v>
      </x:c>
      <x:c r="AY630" s="14" t="str">
        <x:v>Unmatched</x:v>
      </x:c>
      <x:c r="AZ630" s="14" t="str">
        <x:v>Final supplied register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 t="n">
        <x:v>24</x:v>
      </x:c>
      <x:c r="BP630" s="14" t="str">
        <x:v>Maximum supplied eligible IMDb cast-credit total; annual episode total not independently verified.</x:v>
      </x:c>
      <x:c r="BQ630" s="14" t="str">
        <x:v>Medium</x:v>
      </x:c>
      <x:c r="BR630" s="15" t="n">
        <x:v>4</x:v>
      </x:c>
      <x:c r="BS630" s="16" t="n">
        <x:v>0.16666666666666666</x:v>
      </x:c>
      <x:c r="BT630" s="14" t="str">
        <x:v>Minority of episodes</x:v>
      </x:c>
      <x:c r="BU630" s="14" t="str">
        <x:v>Medium</x:v>
      </x:c>
      <x:c r="BV630" s="14" t="str">
        <x:v>Derived from the supplied IMDb episode count and documented production-total proxy.</x:v>
      </x:c>
      <x:c r="BW630" s="14" t="str">
        <x:v>Unable to determine</x:v>
      </x:c>
      <x:c r="BX630" s="14" t="str">
        <x:v>Cast-list and episode data do not establish narrative prominence.</x:v>
      </x:c>
      <x:c r="BY630" s="14" t="str">
        <x:v>Supplied IMDb cast-list workbook</x:v>
      </x:c>
      <x:c r="BZ630" s="14" t="str">
        <x:v>HYPERLINK is not implemented. linkLocation=https://www.imdb.com/title/tt11958610/fullcredits/, friendlyName=Open source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tt11958610|nm0407753|isaac wyles</x:v>
      </x:c>
      <x:c r="B631" s="14" t="str">
        <x:v>08</x:v>
      </x:c>
      <x:c r="C631" s="14" t="str">
        <x:v>2022_IMDb_Cast_Lists_Batch_08(1).xlsx</x:v>
      </x:c>
      <x:c r="D631" s="14" t="str">
        <x:v>Trigger Point</x:v>
      </x:c>
      <x:c r="E631" s="14" t="n">
        <x:v>39</x:v>
      </x:c>
      <x:c r="F631" s="14" t="str">
        <x:v>Trigger Point</x:v>
      </x:c>
      <x:c r="G631" s="14" t="str">
        <x:v>tt11958610</x:v>
      </x:c>
      <x:c r="H631" s="14" t="n">
        <x:v>2022</x:v>
      </x:c>
      <x:c r="I631" s="14" t="n">
        <x:v>2025</x:v>
      </x:c>
      <x:c r="J631" s="14" t="str">
        <x:v>Earlier-Production Carry-In Cohort</x:v>
      </x:c>
      <x:c r="K631" s="14" t="n">
        <x:v>2022</x:v>
      </x:c>
      <x:c r="L631" s="14" t="str">
        <x:v>Not inherited</x:v>
      </x:c>
      <x:c r="M631" s="15" t="n">
        <x:v>32</x:v>
      </x:c>
      <x:c r="N631" s="14" t="str">
        <x:v>William Ilkley</x:v>
      </x:c>
      <x:c r="O631" s="14" t="str">
        <x:v>nm0407753</x:v>
      </x:c>
      <x:c r="P631" s="14" t="str">
        <x:v>Isaac Wyles</x:v>
      </x:c>
      <x:c r="Q631" s="15" t="n">
        <x:v>4</x:v>
      </x:c>
      <x:c r="R631" s="14" t="str">
        <x:v>2025</x:v>
      </x:c>
      <x:c r="S631" s="14" t="n">
        <x:v>2025</x:v>
      </x:c>
      <x:c r="T631" s="14" t="n">
        <x:v>2025</x:v>
      </x:c>
      <x:c r="U631" s="14" t="str">
        <x:v>Explicit source first year retained</x:v>
      </x:c>
      <x:c r="V631" s="14" t="str">
        <x:v>Earliest supplied year is 2025.</x:v>
      </x:c>
      <x:c r="W631" s="14"/>
      <x:c r="X631" s="14" t="str">
        <x:v>Included</x:v>
      </x:c>
      <x:c r="Y631" s="14"/>
      <x:c r="Z631" s="14" t="str">
        <x:v>Trigger Point.docx</x:v>
      </x:c>
      <x:c r="AA631" s="14" t="str">
        <x:v>HYPERLINK is not implemented. linkLocation=https://www.imdb.com/title/tt11958610/fullcredits/, friendlyName=Open source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ITV / ITVX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7" t="e">
        <x:f>HYPERLINK("https://en.wikipedia.org/wiki/Trigger_Point","Open source")</x:f>
        <x:v>HYPERLINK is not implemented. linkLocation=https://en.wikipedia.org/wiki/Trigger_Point, friendlyName=Open source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 t="str">
        <x:v>No established-register match</x:v>
      </x:c>
      <x:c r="AT631" s="14"/>
      <x:c r="AU631" s="14"/>
      <x:c r="AV631" s="14" t="str">
        <x:v>No established apparent-disability match</x:v>
      </x:c>
      <x:c r="AW631" s="14"/>
      <x:c r="AX631" s="14" t="str">
        <x:v>No</x:v>
      </x:c>
      <x:c r="AY631" s="14" t="str">
        <x:v>Unmatched</x:v>
      </x:c>
      <x:c r="AZ631" s="14" t="str">
        <x:v>Final supplied register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 t="n">
        <x:v>24</x:v>
      </x:c>
      <x:c r="BP631" s="14" t="str">
        <x:v>Maximum supplied eligible IMDb cast-credit total; annual episode total not independently verified.</x:v>
      </x:c>
      <x:c r="BQ631" s="14" t="str">
        <x:v>Medium</x:v>
      </x:c>
      <x:c r="BR631" s="15" t="n">
        <x:v>4</x:v>
      </x:c>
      <x:c r="BS631" s="16" t="n">
        <x:v>0.16666666666666666</x:v>
      </x:c>
      <x:c r="BT631" s="14" t="str">
        <x:v>Minority of episodes</x:v>
      </x:c>
      <x:c r="BU631" s="14" t="str">
        <x:v>Medium</x:v>
      </x:c>
      <x:c r="BV631" s="14" t="str">
        <x:v>Derived from the supplied IMDb episode count and documented production-total proxy.</x:v>
      </x:c>
      <x:c r="BW631" s="14" t="str">
        <x:v>Unable to determine</x:v>
      </x:c>
      <x:c r="BX631" s="14" t="str">
        <x:v>Cast-list and episode data do not establish narrative prominence.</x:v>
      </x:c>
      <x:c r="BY631" s="14" t="str">
        <x:v>Supplied IMDb cast-list workbook</x:v>
      </x:c>
      <x:c r="BZ631" s="14" t="str">
        <x:v>HYPERLINK is not implemented. linkLocation=https://www.imdb.com/title/tt11958610/fullcredits/, friendlyName=Open source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tt11958610|nm11996253|jenny manning</x:v>
      </x:c>
      <x:c r="B632" s="14" t="str">
        <x:v>08</x:v>
      </x:c>
      <x:c r="C632" s="14" t="str">
        <x:v>2022_IMDb_Cast_Lists_Batch_08(1).xlsx</x:v>
      </x:c>
      <x:c r="D632" s="14" t="str">
        <x:v>Trigger Point</x:v>
      </x:c>
      <x:c r="E632" s="14" t="n">
        <x:v>41</x:v>
      </x:c>
      <x:c r="F632" s="14" t="str">
        <x:v>Trigger Point</x:v>
      </x:c>
      <x:c r="G632" s="14" t="str">
        <x:v>tt11958610</x:v>
      </x:c>
      <x:c r="H632" s="14" t="n">
        <x:v>2022</x:v>
      </x:c>
      <x:c r="I632" s="14" t="n">
        <x:v>2025</x:v>
      </x:c>
      <x:c r="J632" s="14" t="str">
        <x:v>Earlier-Production Carry-In Cohort</x:v>
      </x:c>
      <x:c r="K632" s="14" t="n">
        <x:v>2022</x:v>
      </x:c>
      <x:c r="L632" s="14" t="str">
        <x:v>Not inherited</x:v>
      </x:c>
      <x:c r="M632" s="15" t="n">
        <x:v>34</x:v>
      </x:c>
      <x:c r="N632" s="14" t="str">
        <x:v>Katie Bernstein</x:v>
      </x:c>
      <x:c r="O632" s="14" t="str">
        <x:v>nm11996253</x:v>
      </x:c>
      <x:c r="P632" s="14" t="str">
        <x:v>Jenny Manning</x:v>
      </x:c>
      <x:c r="Q632" s="15" t="n">
        <x:v>3</x:v>
      </x:c>
      <x:c r="R632" s="14" t="str">
        <x:v>2025</x:v>
      </x:c>
      <x:c r="S632" s="14" t="n">
        <x:v>2025</x:v>
      </x:c>
      <x:c r="T632" s="14" t="n">
        <x:v>2025</x:v>
      </x:c>
      <x:c r="U632" s="14" t="str">
        <x:v>Explicit source first year retained</x:v>
      </x:c>
      <x:c r="V632" s="14" t="str">
        <x:v>Earliest supplied year is 2025.</x:v>
      </x:c>
      <x:c r="W632" s="14"/>
      <x:c r="X632" s="14" t="str">
        <x:v>Included</x:v>
      </x:c>
      <x:c r="Y632" s="14"/>
      <x:c r="Z632" s="14" t="str">
        <x:v>Trigger Point.docx</x:v>
      </x:c>
      <x:c r="AA632" s="14" t="str">
        <x:v>HYPERLINK is not implemented. linkLocation=https://www.imdb.com/title/tt11958610/fullcredits/, friendlyName=Open source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ITV / ITVX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7" t="e">
        <x:f>HYPERLINK("https://en.wikipedia.org/wiki/Trigger_Point","Open source")</x:f>
        <x:v>HYPERLINK is not implemented. linkLocation=https://en.wikipedia.org/wiki/Trigger_Point, friendlyName=Open source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 t="str">
        <x:v>No established-register match</x:v>
      </x:c>
      <x:c r="AT632" s="14"/>
      <x:c r="AU632" s="14"/>
      <x:c r="AV632" s="14" t="str">
        <x:v>No established apparent-disability match</x:v>
      </x:c>
      <x:c r="AW632" s="14"/>
      <x:c r="AX632" s="14" t="str">
        <x:v>No</x:v>
      </x:c>
      <x:c r="AY632" s="14" t="str">
        <x:v>Unmatched</x:v>
      </x:c>
      <x:c r="AZ632" s="14" t="str">
        <x:v>Final supplied register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 t="n">
        <x:v>24</x:v>
      </x:c>
      <x:c r="BP632" s="14" t="str">
        <x:v>Maximum supplied eligible IMDb cast-credit total; annual episode total not independently verified.</x:v>
      </x:c>
      <x:c r="BQ632" s="14" t="str">
        <x:v>Medium</x:v>
      </x:c>
      <x:c r="BR632" s="15" t="n">
        <x:v>3</x:v>
      </x:c>
      <x:c r="BS632" s="16" t="n">
        <x:v>0.125</x:v>
      </x:c>
      <x:c r="BT632" s="14" t="str">
        <x:v>Minority of episodes</x:v>
      </x:c>
      <x:c r="BU632" s="14" t="str">
        <x:v>Medium</x:v>
      </x:c>
      <x:c r="BV632" s="14" t="str">
        <x:v>Derived from the supplied IMDb episode count and documented production-total proxy.</x:v>
      </x:c>
      <x:c r="BW632" s="14" t="str">
        <x:v>Unable to determine</x:v>
      </x:c>
      <x:c r="BX632" s="14" t="str">
        <x:v>Cast-list and episode data do not establish narrative prominence.</x:v>
      </x:c>
      <x:c r="BY632" s="14" t="str">
        <x:v>Supplied IMDb cast-list workbook</x:v>
      </x:c>
      <x:c r="BZ632" s="14" t="str">
        <x:v>HYPERLINK is not implemented. linkLocation=https://www.imdb.com/title/tt11958610/fullcredits/, friendlyName=Open source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tt11958610|nm0113982|jo adeyemi</x:v>
      </x:c>
      <x:c r="B633" s="14" t="str">
        <x:v>08</x:v>
      </x:c>
      <x:c r="C633" s="14" t="str">
        <x:v>2022_IMDb_Cast_Lists_Batch_08(1).xlsx</x:v>
      </x:c>
      <x:c r="D633" s="14" t="str">
        <x:v>Trigger Point</x:v>
      </x:c>
      <x:c r="E633" s="14" t="n">
        <x:v>42</x:v>
      </x:c>
      <x:c r="F633" s="14" t="str">
        <x:v>Trigger Point</x:v>
      </x:c>
      <x:c r="G633" s="14" t="str">
        <x:v>tt11958610</x:v>
      </x:c>
      <x:c r="H633" s="14" t="n">
        <x:v>2022</x:v>
      </x:c>
      <x:c r="I633" s="14" t="n">
        <x:v>2025</x:v>
      </x:c>
      <x:c r="J633" s="14" t="str">
        <x:v>Earlier-Production Carry-In Cohort</x:v>
      </x:c>
      <x:c r="K633" s="14" t="n">
        <x:v>2022</x:v>
      </x:c>
      <x:c r="L633" s="14" t="str">
        <x:v>Not inherited</x:v>
      </x:c>
      <x:c r="M633" s="15" t="n">
        <x:v>35</x:v>
      </x:c>
      <x:c r="N633" s="14" t="str">
        <x:v>Kaye Brown</x:v>
      </x:c>
      <x:c r="O633" s="14" t="str">
        <x:v>nm0113982</x:v>
      </x:c>
      <x:c r="P633" s="14" t="str">
        <x:v>Jo Adeyemi</x:v>
      </x:c>
      <x:c r="Q633" s="15" t="n">
        <x:v>3</x:v>
      </x:c>
      <x:c r="R633" s="14" t="str">
        <x:v>2025</x:v>
      </x:c>
      <x:c r="S633" s="14" t="n">
        <x:v>2025</x:v>
      </x:c>
      <x:c r="T633" s="14" t="n">
        <x:v>2025</x:v>
      </x:c>
      <x:c r="U633" s="14" t="str">
        <x:v>Explicit source first year retained</x:v>
      </x:c>
      <x:c r="V633" s="14" t="str">
        <x:v>Earliest supplied year is 2025.</x:v>
      </x:c>
      <x:c r="W633" s="14"/>
      <x:c r="X633" s="14" t="str">
        <x:v>Included</x:v>
      </x:c>
      <x:c r="Y633" s="14"/>
      <x:c r="Z633" s="14" t="str">
        <x:v>Trigger Point.docx</x:v>
      </x:c>
      <x:c r="AA633" s="14" t="str">
        <x:v>HYPERLINK is not implemented. linkLocation=https://www.imdb.com/title/tt11958610/fullcredits/, friendlyName=Open source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ITV / ITVX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7" t="e">
        <x:f>HYPERLINK("https://en.wikipedia.org/wiki/Trigger_Point","Open source")</x:f>
        <x:v>HYPERLINK is not implemented. linkLocation=https://en.wikipedia.org/wiki/Trigger_Point, friendlyName=Open source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 t="str">
        <x:v>No established-register match</x:v>
      </x:c>
      <x:c r="AT633" s="14"/>
      <x:c r="AU633" s="14"/>
      <x:c r="AV633" s="14" t="str">
        <x:v>No established apparent-disability match</x:v>
      </x:c>
      <x:c r="AW633" s="14"/>
      <x:c r="AX633" s="14" t="str">
        <x:v>No</x:v>
      </x:c>
      <x:c r="AY633" s="14" t="str">
        <x:v>Unmatched</x:v>
      </x:c>
      <x:c r="AZ633" s="14" t="str">
        <x:v>Final supplied register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 t="n">
        <x:v>24</x:v>
      </x:c>
      <x:c r="BP633" s="14" t="str">
        <x:v>Maximum supplied eligible IMDb cast-credit total; annual episode total not independently verified.</x:v>
      </x:c>
      <x:c r="BQ633" s="14" t="str">
        <x:v>Medium</x:v>
      </x:c>
      <x:c r="BR633" s="15" t="n">
        <x:v>3</x:v>
      </x:c>
      <x:c r="BS633" s="16" t="n">
        <x:v>0.125</x:v>
      </x:c>
      <x:c r="BT633" s="14" t="str">
        <x:v>Minority of episodes</x:v>
      </x:c>
      <x:c r="BU633" s="14" t="str">
        <x:v>Medium</x:v>
      </x:c>
      <x:c r="BV633" s="14" t="str">
        <x:v>Derived from the supplied IMDb episode count and documented production-total proxy.</x:v>
      </x:c>
      <x:c r="BW633" s="14" t="str">
        <x:v>Unable to determine</x:v>
      </x:c>
      <x:c r="BX633" s="14" t="str">
        <x:v>Cast-list and episode data do not establish narrative prominence.</x:v>
      </x:c>
      <x:c r="BY633" s="14" t="str">
        <x:v>Supplied IMDb cast-list workbook</x:v>
      </x:c>
      <x:c r="BZ633" s="14" t="str">
        <x:v>HYPERLINK is not implemented. linkLocation=https://www.imdb.com/title/tt11958610/fullcredits/, friendlyName=Open source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tt11958610|nm12104590|jessica tanbury</x:v>
      </x:c>
      <x:c r="B634" s="14" t="str">
        <x:v>08</x:v>
      </x:c>
      <x:c r="C634" s="14" t="str">
        <x:v>2022_IMDb_Cast_Lists_Batch_08(1).xlsx</x:v>
      </x:c>
      <x:c r="D634" s="14" t="str">
        <x:v>Trigger Point</x:v>
      </x:c>
      <x:c r="E634" s="14" t="n">
        <x:v>43</x:v>
      </x:c>
      <x:c r="F634" s="14" t="str">
        <x:v>Trigger Point</x:v>
      </x:c>
      <x:c r="G634" s="14" t="str">
        <x:v>tt11958610</x:v>
      </x:c>
      <x:c r="H634" s="14" t="n">
        <x:v>2022</x:v>
      </x:c>
      <x:c r="I634" s="14" t="n">
        <x:v>2025</x:v>
      </x:c>
      <x:c r="J634" s="14" t="str">
        <x:v>Earlier-Production Carry-In Cohort</x:v>
      </x:c>
      <x:c r="K634" s="14" t="n">
        <x:v>2022</x:v>
      </x:c>
      <x:c r="L634" s="14" t="str">
        <x:v>Not inherited</x:v>
      </x:c>
      <x:c r="M634" s="15" t="n">
        <x:v>36</x:v>
      </x:c>
      <x:c r="N634" s="14" t="str">
        <x:v>Gabriella Fortuna</x:v>
      </x:c>
      <x:c r="O634" s="14" t="str">
        <x:v>nm12104590</x:v>
      </x:c>
      <x:c r="P634" s="14" t="str">
        <x:v>Jessica Tanbury</x:v>
      </x:c>
      <x:c r="Q634" s="15" t="n">
        <x:v>3</x:v>
      </x:c>
      <x:c r="R634" s="14" t="str">
        <x:v>2025</x:v>
      </x:c>
      <x:c r="S634" s="14" t="n">
        <x:v>2025</x:v>
      </x:c>
      <x:c r="T634" s="14" t="n">
        <x:v>2025</x:v>
      </x:c>
      <x:c r="U634" s="14" t="str">
        <x:v>Explicit source first year retained</x:v>
      </x:c>
      <x:c r="V634" s="14" t="str">
        <x:v>Earliest supplied year is 2025.</x:v>
      </x:c>
      <x:c r="W634" s="14"/>
      <x:c r="X634" s="14" t="str">
        <x:v>Included</x:v>
      </x:c>
      <x:c r="Y634" s="14"/>
      <x:c r="Z634" s="14" t="str">
        <x:v>Trigger Point.docx</x:v>
      </x:c>
      <x:c r="AA634" s="14" t="str">
        <x:v>HYPERLINK is not implemented. linkLocation=https://www.imdb.com/title/tt11958610/fullcredits/, friendlyName=Open source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ITV / ITVX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7" t="e">
        <x:f>HYPERLINK("https://en.wikipedia.org/wiki/Trigger_Point","Open source")</x:f>
        <x:v>HYPERLINK is not implemented. linkLocation=https://en.wikipedia.org/wiki/Trigger_Point, friendlyName=Open source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 t="str">
        <x:v>No established-register match</x:v>
      </x:c>
      <x:c r="AT634" s="14"/>
      <x:c r="AU634" s="14"/>
      <x:c r="AV634" s="14" t="str">
        <x:v>No established apparent-disability match</x:v>
      </x:c>
      <x:c r="AW634" s="14"/>
      <x:c r="AX634" s="14" t="str">
        <x:v>No</x:v>
      </x:c>
      <x:c r="AY634" s="14" t="str">
        <x:v>Unmatched</x:v>
      </x:c>
      <x:c r="AZ634" s="14" t="str">
        <x:v>Final supplied register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 t="n">
        <x:v>24</x:v>
      </x:c>
      <x:c r="BP634" s="14" t="str">
        <x:v>Maximum supplied eligible IMDb cast-credit total; annual episode total not independently verified.</x:v>
      </x:c>
      <x:c r="BQ634" s="14" t="str">
        <x:v>Medium</x:v>
      </x:c>
      <x:c r="BR634" s="15" t="n">
        <x:v>3</x:v>
      </x:c>
      <x:c r="BS634" s="16" t="n">
        <x:v>0.125</x:v>
      </x:c>
      <x:c r="BT634" s="14" t="str">
        <x:v>Minority of episodes</x:v>
      </x:c>
      <x:c r="BU634" s="14" t="str">
        <x:v>Medium</x:v>
      </x:c>
      <x:c r="BV634" s="14" t="str">
        <x:v>Derived from the supplied IMDb episode count and documented production-total proxy.</x:v>
      </x:c>
      <x:c r="BW634" s="14" t="str">
        <x:v>Unable to determine</x:v>
      </x:c>
      <x:c r="BX634" s="14" t="str">
        <x:v>Cast-list and episode data do not establish narrative prominence.</x:v>
      </x:c>
      <x:c r="BY634" s="14" t="str">
        <x:v>Supplied IMDb cast-list workbook</x:v>
      </x:c>
      <x:c r="BZ634" s="14" t="str">
        <x:v>HYPERLINK is not implemented. linkLocation=https://www.imdb.com/title/tt11958610/fullcredits/, friendlyName=Open source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tt11958610|nm4495529|rich manning</x:v>
      </x:c>
      <x:c r="B635" s="14" t="str">
        <x:v>08</x:v>
      </x:c>
      <x:c r="C635" s="14" t="str">
        <x:v>2022_IMDb_Cast_Lists_Batch_08(1).xlsx</x:v>
      </x:c>
      <x:c r="D635" s="14" t="str">
        <x:v>Trigger Point</x:v>
      </x:c>
      <x:c r="E635" s="14" t="n">
        <x:v>46</x:v>
      </x:c>
      <x:c r="F635" s="14" t="str">
        <x:v>Trigger Point</x:v>
      </x:c>
      <x:c r="G635" s="14" t="str">
        <x:v>tt11958610</x:v>
      </x:c>
      <x:c r="H635" s="14" t="n">
        <x:v>2022</x:v>
      </x:c>
      <x:c r="I635" s="14" t="n">
        <x:v>2025</x:v>
      </x:c>
      <x:c r="J635" s="14" t="str">
        <x:v>Earlier-Production Carry-In Cohort</x:v>
      </x:c>
      <x:c r="K635" s="14" t="n">
        <x:v>2022</x:v>
      </x:c>
      <x:c r="L635" s="14" t="str">
        <x:v>Not inherited</x:v>
      </x:c>
      <x:c r="M635" s="15" t="n">
        <x:v>39</x:v>
      </x:c>
      <x:c r="N635" s="14" t="str">
        <x:v>Mark Rowley</x:v>
      </x:c>
      <x:c r="O635" s="14" t="str">
        <x:v>nm4495529</x:v>
      </x:c>
      <x:c r="P635" s="14" t="str">
        <x:v>Rich Manning</x:v>
      </x:c>
      <x:c r="Q635" s="15" t="n">
        <x:v>3</x:v>
      </x:c>
      <x:c r="R635" s="14" t="str">
        <x:v>2025</x:v>
      </x:c>
      <x:c r="S635" s="14" t="n">
        <x:v>2025</x:v>
      </x:c>
      <x:c r="T635" s="14" t="n">
        <x:v>2025</x:v>
      </x:c>
      <x:c r="U635" s="14" t="str">
        <x:v>Explicit source first year retained</x:v>
      </x:c>
      <x:c r="V635" s="14" t="str">
        <x:v>Earliest supplied year is 2025.</x:v>
      </x:c>
      <x:c r="W635" s="14"/>
      <x:c r="X635" s="14" t="str">
        <x:v>Included</x:v>
      </x:c>
      <x:c r="Y635" s="14"/>
      <x:c r="Z635" s="14" t="str">
        <x:v>Trigger Point.docx</x:v>
      </x:c>
      <x:c r="AA635" s="14" t="str">
        <x:v>HYPERLINK is not implemented. linkLocation=https://www.imdb.com/title/tt11958610/fullcredits/, friendlyName=Open source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ITV / ITVX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7" t="e">
        <x:f>HYPERLINK("https://en.wikipedia.org/wiki/Trigger_Point","Open source")</x:f>
        <x:v>HYPERLINK is not implemented. linkLocation=https://en.wikipedia.org/wiki/Trigger_Point, friendlyName=Open source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 t="str">
        <x:v>No established-register match</x:v>
      </x:c>
      <x:c r="AT635" s="14"/>
      <x:c r="AU635" s="14"/>
      <x:c r="AV635" s="14" t="str">
        <x:v>No established apparent-disability match</x:v>
      </x:c>
      <x:c r="AW635" s="14"/>
      <x:c r="AX635" s="14" t="str">
        <x:v>No</x:v>
      </x:c>
      <x:c r="AY635" s="14" t="str">
        <x:v>Unmatched</x:v>
      </x:c>
      <x:c r="AZ635" s="14" t="str">
        <x:v>Final supplied register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 t="n">
        <x:v>24</x:v>
      </x:c>
      <x:c r="BP635" s="14" t="str">
        <x:v>Maximum supplied eligible IMDb cast-credit total; annual episode total not independently verified.</x:v>
      </x:c>
      <x:c r="BQ635" s="14" t="str">
        <x:v>Medium</x:v>
      </x:c>
      <x:c r="BR635" s="15" t="n">
        <x:v>3</x:v>
      </x:c>
      <x:c r="BS635" s="16" t="n">
        <x:v>0.125</x:v>
      </x:c>
      <x:c r="BT635" s="14" t="str">
        <x:v>Minority of episodes</x:v>
      </x:c>
      <x:c r="BU635" s="14" t="str">
        <x:v>Medium</x:v>
      </x:c>
      <x:c r="BV635" s="14" t="str">
        <x:v>Derived from the supplied IMDb episode count and documented production-total proxy.</x:v>
      </x:c>
      <x:c r="BW635" s="14" t="str">
        <x:v>Unable to determine</x:v>
      </x:c>
      <x:c r="BX635" s="14" t="str">
        <x:v>Cast-list and episode data do not establish narrative prominence.</x:v>
      </x:c>
      <x:c r="BY635" s="14" t="str">
        <x:v>Supplied IMDb cast-list workbook</x:v>
      </x:c>
      <x:c r="BZ635" s="14" t="str">
        <x:v>HYPERLINK is not implemented. linkLocation=https://www.imdb.com/title/tt11958610/fullcredits/, friendlyName=Open source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tt11958610|nm0475336|ewan knox</x:v>
      </x:c>
      <x:c r="B636" s="14" t="str">
        <x:v>08</x:v>
      </x:c>
      <x:c r="C636" s="14" t="str">
        <x:v>2022_IMDb_Cast_Lists_Batch_08(1).xlsx</x:v>
      </x:c>
      <x:c r="D636" s="14" t="str">
        <x:v>Trigger Point</x:v>
      </x:c>
      <x:c r="E636" s="14" t="n">
        <x:v>47</x:v>
      </x:c>
      <x:c r="F636" s="14" t="str">
        <x:v>Trigger Point</x:v>
      </x:c>
      <x:c r="G636" s="14" t="str">
        <x:v>tt11958610</x:v>
      </x:c>
      <x:c r="H636" s="14" t="n">
        <x:v>2022</x:v>
      </x:c>
      <x:c r="I636" s="14" t="n">
        <x:v>2025</x:v>
      </x:c>
      <x:c r="J636" s="14" t="str">
        <x:v>Earlier-Production Carry-In Cohort</x:v>
      </x:c>
      <x:c r="K636" s="14" t="n">
        <x:v>2022</x:v>
      </x:c>
      <x:c r="L636" s="14" t="str">
        <x:v>Not inherited</x:v>
      </x:c>
      <x:c r="M636" s="15" t="n">
        <x:v>40</x:v>
      </x:c>
      <x:c r="N636" s="14" t="str">
        <x:v>Simon Kunz</x:v>
      </x:c>
      <x:c r="O636" s="14" t="str">
        <x:v>nm0475336</x:v>
      </x:c>
      <x:c r="P636" s="14" t="str">
        <x:v>Ewan Knox</x:v>
      </x:c>
      <x:c r="Q636" s="15" t="n">
        <x:v>3</x:v>
      </x:c>
      <x:c r="R636" s="14" t="str">
        <x:v>2025</x:v>
      </x:c>
      <x:c r="S636" s="14" t="n">
        <x:v>2025</x:v>
      </x:c>
      <x:c r="T636" s="14" t="n">
        <x:v>2025</x:v>
      </x:c>
      <x:c r="U636" s="14" t="str">
        <x:v>Explicit source first year retained</x:v>
      </x:c>
      <x:c r="V636" s="14" t="str">
        <x:v>Earliest supplied year is 2025.</x:v>
      </x:c>
      <x:c r="W636" s="14"/>
      <x:c r="X636" s="14" t="str">
        <x:v>Included</x:v>
      </x:c>
      <x:c r="Y636" s="14"/>
      <x:c r="Z636" s="14" t="str">
        <x:v>Trigger Point.docx</x:v>
      </x:c>
      <x:c r="AA636" s="14" t="str">
        <x:v>HYPERLINK is not implemented. linkLocation=https://www.imdb.com/title/tt11958610/fullcredits/, friendlyName=Open source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ITV / ITVX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7" t="e">
        <x:f>HYPERLINK("https://en.wikipedia.org/wiki/Trigger_Point","Open source")</x:f>
        <x:v>HYPERLINK is not implemented. linkLocation=https://en.wikipedia.org/wiki/Trigger_Point, friendlyName=Open source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 t="str">
        <x:v>No established-register match</x:v>
      </x:c>
      <x:c r="AT636" s="14"/>
      <x:c r="AU636" s="14"/>
      <x:c r="AV636" s="14" t="str">
        <x:v>No established apparent-disability match</x:v>
      </x:c>
      <x:c r="AW636" s="14"/>
      <x:c r="AX636" s="14" t="str">
        <x:v>No</x:v>
      </x:c>
      <x:c r="AY636" s="14" t="str">
        <x:v>Unmatched</x:v>
      </x:c>
      <x:c r="AZ636" s="14" t="str">
        <x:v>Final supplied register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 t="n">
        <x:v>24</x:v>
      </x:c>
      <x:c r="BP636" s="14" t="str">
        <x:v>Maximum supplied eligible IMDb cast-credit total; annual episode total not independently verified.</x:v>
      </x:c>
      <x:c r="BQ636" s="14" t="str">
        <x:v>Medium</x:v>
      </x:c>
      <x:c r="BR636" s="15" t="n">
        <x:v>3</x:v>
      </x:c>
      <x:c r="BS636" s="16" t="n">
        <x:v>0.125</x:v>
      </x:c>
      <x:c r="BT636" s="14" t="str">
        <x:v>Minority of episodes</x:v>
      </x:c>
      <x:c r="BU636" s="14" t="str">
        <x:v>Medium</x:v>
      </x:c>
      <x:c r="BV636" s="14" t="str">
        <x:v>Derived from the supplied IMDb episode count and documented production-total proxy.</x:v>
      </x:c>
      <x:c r="BW636" s="14" t="str">
        <x:v>Unable to determine</x:v>
      </x:c>
      <x:c r="BX636" s="14" t="str">
        <x:v>Cast-list and episode data do not establish narrative prominence.</x:v>
      </x:c>
      <x:c r="BY636" s="14" t="str">
        <x:v>Supplied IMDb cast-list workbook</x:v>
      </x:c>
      <x:c r="BZ636" s="14" t="str">
        <x:v>HYPERLINK is not implemented. linkLocation=https://www.imdb.com/title/tt11958610/fullcredits/, friendlyName=Open source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tt11958610|nm7920959|elena calero</x:v>
      </x:c>
      <x:c r="B637" s="14" t="str">
        <x:v>08</x:v>
      </x:c>
      <x:c r="C637" s="14" t="str">
        <x:v>2022_IMDb_Cast_Lists_Batch_08(1).xlsx</x:v>
      </x:c>
      <x:c r="D637" s="14" t="str">
        <x:v>Trigger Point</x:v>
      </x:c>
      <x:c r="E637" s="14" t="n">
        <x:v>48</x:v>
      </x:c>
      <x:c r="F637" s="14" t="str">
        <x:v>Trigger Point</x:v>
      </x:c>
      <x:c r="G637" s="14" t="str">
        <x:v>tt11958610</x:v>
      </x:c>
      <x:c r="H637" s="14" t="n">
        <x:v>2022</x:v>
      </x:c>
      <x:c r="I637" s="14" t="n">
        <x:v>2025</x:v>
      </x:c>
      <x:c r="J637" s="14" t="str">
        <x:v>Earlier-Production Carry-In Cohort</x:v>
      </x:c>
      <x:c r="K637" s="14" t="n">
        <x:v>2022</x:v>
      </x:c>
      <x:c r="L637" s="14" t="str">
        <x:v>Not inherited</x:v>
      </x:c>
      <x:c r="M637" s="15" t="n">
        <x:v>41</x:v>
      </x:c>
      <x:c r="N637" s="14" t="str">
        <x:v>Adela Leiro</x:v>
      </x:c>
      <x:c r="O637" s="14" t="str">
        <x:v>nm7920959</x:v>
      </x:c>
      <x:c r="P637" s="14" t="str">
        <x:v>Elena Calero</x:v>
      </x:c>
      <x:c r="Q637" s="15" t="n">
        <x:v>3</x:v>
      </x:c>
      <x:c r="R637" s="14" t="str">
        <x:v>2025</x:v>
      </x:c>
      <x:c r="S637" s="14" t="n">
        <x:v>2025</x:v>
      </x:c>
      <x:c r="T637" s="14" t="n">
        <x:v>2025</x:v>
      </x:c>
      <x:c r="U637" s="14" t="str">
        <x:v>Explicit source first year retained</x:v>
      </x:c>
      <x:c r="V637" s="14" t="str">
        <x:v>Earliest supplied year is 2025.</x:v>
      </x:c>
      <x:c r="W637" s="14"/>
      <x:c r="X637" s="14" t="str">
        <x:v>Included</x:v>
      </x:c>
      <x:c r="Y637" s="14"/>
      <x:c r="Z637" s="14" t="str">
        <x:v>Trigger Point.docx</x:v>
      </x:c>
      <x:c r="AA637" s="14" t="str">
        <x:v>HYPERLINK is not implemented. linkLocation=https://www.imdb.com/title/tt11958610/fullcredits/, friendlyName=Open source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ITV / ITVX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7" t="e">
        <x:f>HYPERLINK("https://en.wikipedia.org/wiki/Trigger_Point","Open source")</x:f>
        <x:v>HYPERLINK is not implemented. linkLocation=https://en.wikipedia.org/wiki/Trigger_Point, friendlyName=Open source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 t="str">
        <x:v>No established-register match</x:v>
      </x:c>
      <x:c r="AT637" s="14"/>
      <x:c r="AU637" s="14"/>
      <x:c r="AV637" s="14" t="str">
        <x:v>No established apparent-disability match</x:v>
      </x:c>
      <x:c r="AW637" s="14"/>
      <x:c r="AX637" s="14" t="str">
        <x:v>No</x:v>
      </x:c>
      <x:c r="AY637" s="14" t="str">
        <x:v>Unmatched</x:v>
      </x:c>
      <x:c r="AZ637" s="14" t="str">
        <x:v>Final supplied register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 t="n">
        <x:v>24</x:v>
      </x:c>
      <x:c r="BP637" s="14" t="str">
        <x:v>Maximum supplied eligible IMDb cast-credit total; annual episode total not independently verified.</x:v>
      </x:c>
      <x:c r="BQ637" s="14" t="str">
        <x:v>Medium</x:v>
      </x:c>
      <x:c r="BR637" s="15" t="n">
        <x:v>3</x:v>
      </x:c>
      <x:c r="BS637" s="16" t="n">
        <x:v>0.125</x:v>
      </x:c>
      <x:c r="BT637" s="14" t="str">
        <x:v>Minority of episodes</x:v>
      </x:c>
      <x:c r="BU637" s="14" t="str">
        <x:v>Medium</x:v>
      </x:c>
      <x:c r="BV637" s="14" t="str">
        <x:v>Derived from the supplied IMDb episode count and documented production-total proxy.</x:v>
      </x:c>
      <x:c r="BW637" s="14" t="str">
        <x:v>Unable to determine</x:v>
      </x:c>
      <x:c r="BX637" s="14" t="str">
        <x:v>Cast-list and episode data do not establish narrative prominence.</x:v>
      </x:c>
      <x:c r="BY637" s="14" t="str">
        <x:v>Supplied IMDb cast-list workbook</x:v>
      </x:c>
      <x:c r="BZ637" s="14" t="str">
        <x:v>HYPERLINK is not implemented. linkLocation=https://www.imdb.com/title/tt11958610/fullcredits/, friendlyName=Open source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tt11958610|nm0025099|anya wyles</x:v>
      </x:c>
      <x:c r="B638" s="14" t="str">
        <x:v>08</x:v>
      </x:c>
      <x:c r="C638" s="14" t="str">
        <x:v>2022_IMDb_Cast_Lists_Batch_08(1).xlsx</x:v>
      </x:c>
      <x:c r="D638" s="14" t="str">
        <x:v>Trigger Point</x:v>
      </x:c>
      <x:c r="E638" s="14" t="n">
        <x:v>51</x:v>
      </x:c>
      <x:c r="F638" s="14" t="str">
        <x:v>Trigger Point</x:v>
      </x:c>
      <x:c r="G638" s="14" t="str">
        <x:v>tt11958610</x:v>
      </x:c>
      <x:c r="H638" s="14" t="n">
        <x:v>2022</x:v>
      </x:c>
      <x:c r="I638" s="14" t="n">
        <x:v>2025</x:v>
      </x:c>
      <x:c r="J638" s="14" t="str">
        <x:v>Earlier-Production Carry-In Cohort</x:v>
      </x:c>
      <x:c r="K638" s="14" t="n">
        <x:v>2022</x:v>
      </x:c>
      <x:c r="L638" s="14" t="str">
        <x:v>Not inherited</x:v>
      </x:c>
      <x:c r="M638" s="15" t="n">
        <x:v>44</x:v>
      </x:c>
      <x:c r="N638" s="14" t="str">
        <x:v>Emma Amos</x:v>
      </x:c>
      <x:c r="O638" s="14" t="str">
        <x:v>nm0025099</x:v>
      </x:c>
      <x:c r="P638" s="14" t="str">
        <x:v>Anya Wyles</x:v>
      </x:c>
      <x:c r="Q638" s="15" t="n">
        <x:v>2</x:v>
      </x:c>
      <x:c r="R638" s="14" t="str">
        <x:v>2025</x:v>
      </x:c>
      <x:c r="S638" s="14" t="n">
        <x:v>2025</x:v>
      </x:c>
      <x:c r="T638" s="14" t="n">
        <x:v>2025</x:v>
      </x:c>
      <x:c r="U638" s="14" t="str">
        <x:v>Explicit source first year retained</x:v>
      </x:c>
      <x:c r="V638" s="14" t="str">
        <x:v>Earliest supplied year is 2025.</x:v>
      </x:c>
      <x:c r="W638" s="14"/>
      <x:c r="X638" s="14" t="str">
        <x:v>Included</x:v>
      </x:c>
      <x:c r="Y638" s="14"/>
      <x:c r="Z638" s="14" t="str">
        <x:v>Trigger Point.docx</x:v>
      </x:c>
      <x:c r="AA638" s="14" t="str">
        <x:v>HYPERLINK is not implemented. linkLocation=https://www.imdb.com/title/tt11958610/fullcredits/, friendlyName=Open source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ITV / ITVX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7" t="e">
        <x:f>HYPERLINK("https://en.wikipedia.org/wiki/Trigger_Point","Open source")</x:f>
        <x:v>HYPERLINK is not implemented. linkLocation=https://en.wikipedia.org/wiki/Trigger_Point, friendlyName=Open source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 t="str">
        <x:v>No established-register match</x:v>
      </x:c>
      <x:c r="AT638" s="14"/>
      <x:c r="AU638" s="14"/>
      <x:c r="AV638" s="14" t="str">
        <x:v>No established apparent-disability match</x:v>
      </x:c>
      <x:c r="AW638" s="14"/>
      <x:c r="AX638" s="14" t="str">
        <x:v>No</x:v>
      </x:c>
      <x:c r="AY638" s="14" t="str">
        <x:v>Unmatched</x:v>
      </x:c>
      <x:c r="AZ638" s="14" t="str">
        <x:v>Final supplied register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 t="n">
        <x:v>24</x:v>
      </x:c>
      <x:c r="BP638" s="14" t="str">
        <x:v>Maximum supplied eligible IMDb cast-credit total; annual episode total not independently verified.</x:v>
      </x:c>
      <x:c r="BQ638" s="14" t="str">
        <x:v>Medium</x:v>
      </x:c>
      <x:c r="BR638" s="15" t="n">
        <x:v>2</x:v>
      </x:c>
      <x:c r="BS638" s="16" t="n">
        <x:v>0.08333333333333333</x:v>
      </x:c>
      <x:c r="BT638" s="14" t="str">
        <x:v>Minority of episodes</x:v>
      </x:c>
      <x:c r="BU638" s="14" t="str">
        <x:v>Medium</x:v>
      </x:c>
      <x:c r="BV638" s="14" t="str">
        <x:v>Derived from the supplied IMDb episode count and documented production-total proxy.</x:v>
      </x:c>
      <x:c r="BW638" s="14" t="str">
        <x:v>Unable to determine</x:v>
      </x:c>
      <x:c r="BX638" s="14" t="str">
        <x:v>Cast-list and episode data do not establish narrative prominence.</x:v>
      </x:c>
      <x:c r="BY638" s="14" t="str">
        <x:v>Supplied IMDb cast-list workbook</x:v>
      </x:c>
      <x:c r="BZ638" s="14" t="str">
        <x:v>HYPERLINK is not implemented. linkLocation=https://www.imdb.com/title/tt11958610/fullcredits/, friendlyName=Open source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tt11958610|nm0186424|anders larsson</x:v>
      </x:c>
      <x:c r="B639" s="14" t="str">
        <x:v>08</x:v>
      </x:c>
      <x:c r="C639" s="14" t="str">
        <x:v>2022_IMDb_Cast_Lists_Batch_08(1).xlsx</x:v>
      </x:c>
      <x:c r="D639" s="14" t="str">
        <x:v>Trigger Point</x:v>
      </x:c>
      <x:c r="E639" s="14" t="n">
        <x:v>54</x:v>
      </x:c>
      <x:c r="F639" s="14" t="str">
        <x:v>Trigger Point</x:v>
      </x:c>
      <x:c r="G639" s="14" t="str">
        <x:v>tt11958610</x:v>
      </x:c>
      <x:c r="H639" s="14" t="n">
        <x:v>2022</x:v>
      </x:c>
      <x:c r="I639" s="14" t="n">
        <x:v>2025</x:v>
      </x:c>
      <x:c r="J639" s="14" t="str">
        <x:v>Earlier-Production Carry-In Cohort</x:v>
      </x:c>
      <x:c r="K639" s="14" t="n">
        <x:v>2022</x:v>
      </x:c>
      <x:c r="L639" s="14" t="str">
        <x:v>Not inherited</x:v>
      </x:c>
      <x:c r="M639" s="15" t="n">
        <x:v>47</x:v>
      </x:c>
      <x:c r="N639" s="14" t="str">
        <x:v>Sam Crane</x:v>
      </x:c>
      <x:c r="O639" s="14" t="str">
        <x:v>nm0186424</x:v>
      </x:c>
      <x:c r="P639" s="14" t="str">
        <x:v>Anders Larsson</x:v>
      </x:c>
      <x:c r="Q639" s="15" t="n">
        <x:v>2</x:v>
      </x:c>
      <x:c r="R639" s="14" t="str">
        <x:v>2025</x:v>
      </x:c>
      <x:c r="S639" s="14" t="n">
        <x:v>2025</x:v>
      </x:c>
      <x:c r="T639" s="14" t="n">
        <x:v>2025</x:v>
      </x:c>
      <x:c r="U639" s="14" t="str">
        <x:v>Explicit source first year retained</x:v>
      </x:c>
      <x:c r="V639" s="14" t="str">
        <x:v>Earliest supplied year is 2025.</x:v>
      </x:c>
      <x:c r="W639" s="14"/>
      <x:c r="X639" s="14" t="str">
        <x:v>Included</x:v>
      </x:c>
      <x:c r="Y639" s="14"/>
      <x:c r="Z639" s="14" t="str">
        <x:v>Trigger Point.docx</x:v>
      </x:c>
      <x:c r="AA639" s="14" t="str">
        <x:v>HYPERLINK is not implemented. linkLocation=https://www.imdb.com/title/tt11958610/fullcredits/, friendlyName=Open source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ITV / ITVX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7" t="e">
        <x:f>HYPERLINK("https://en.wikipedia.org/wiki/Trigger_Point","Open source")</x:f>
        <x:v>HYPERLINK is not implemented. linkLocation=https://en.wikipedia.org/wiki/Trigger_Point, friendlyName=Open source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 t="str">
        <x:v>No established-register match</x:v>
      </x:c>
      <x:c r="AT639" s="14"/>
      <x:c r="AU639" s="14"/>
      <x:c r="AV639" s="14" t="str">
        <x:v>No established apparent-disability match</x:v>
      </x:c>
      <x:c r="AW639" s="14"/>
      <x:c r="AX639" s="14" t="str">
        <x:v>No</x:v>
      </x:c>
      <x:c r="AY639" s="14" t="str">
        <x:v>Unmatched</x:v>
      </x:c>
      <x:c r="AZ639" s="14" t="str">
        <x:v>Final supplied register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 t="n">
        <x:v>24</x:v>
      </x:c>
      <x:c r="BP639" s="14" t="str">
        <x:v>Maximum supplied eligible IMDb cast-credit total; annual episode total not independently verified.</x:v>
      </x:c>
      <x:c r="BQ639" s="14" t="str">
        <x:v>Medium</x:v>
      </x:c>
      <x:c r="BR639" s="15" t="n">
        <x:v>2</x:v>
      </x:c>
      <x:c r="BS639" s="16" t="n">
        <x:v>0.08333333333333333</x:v>
      </x:c>
      <x:c r="BT639" s="14" t="str">
        <x:v>Minority of episodes</x:v>
      </x:c>
      <x:c r="BU639" s="14" t="str">
        <x:v>Medium</x:v>
      </x:c>
      <x:c r="BV639" s="14" t="str">
        <x:v>Derived from the supplied IMDb episode count and documented production-total proxy.</x:v>
      </x:c>
      <x:c r="BW639" s="14" t="str">
        <x:v>Unable to determine</x:v>
      </x:c>
      <x:c r="BX639" s="14" t="str">
        <x:v>Cast-list and episode data do not establish narrative prominence.</x:v>
      </x:c>
      <x:c r="BY639" s="14" t="str">
        <x:v>Supplied IMDb cast-list workbook</x:v>
      </x:c>
      <x:c r="BZ639" s="14" t="str">
        <x:v>HYPERLINK is not implemented. linkLocation=https://www.imdb.com/title/tt11958610/fullcredits/, friendlyName=Open source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tt11958610|nm0332449|ned cole</x:v>
      </x:c>
      <x:c r="B640" s="14" t="str">
        <x:v>08</x:v>
      </x:c>
      <x:c r="C640" s="14" t="str">
        <x:v>2022_IMDb_Cast_Lists_Batch_08(1).xlsx</x:v>
      </x:c>
      <x:c r="D640" s="14" t="str">
        <x:v>Trigger Point</x:v>
      </x:c>
      <x:c r="E640" s="14" t="n">
        <x:v>55</x:v>
      </x:c>
      <x:c r="F640" s="14" t="str">
        <x:v>Trigger Point</x:v>
      </x:c>
      <x:c r="G640" s="14" t="str">
        <x:v>tt11958610</x:v>
      </x:c>
      <x:c r="H640" s="14" t="n">
        <x:v>2022</x:v>
      </x:c>
      <x:c r="I640" s="14" t="n">
        <x:v>2025</x:v>
      </x:c>
      <x:c r="J640" s="14" t="str">
        <x:v>Earlier-Production Carry-In Cohort</x:v>
      </x:c>
      <x:c r="K640" s="14" t="n">
        <x:v>2022</x:v>
      </x:c>
      <x:c r="L640" s="14" t="str">
        <x:v>Not inherited</x:v>
      </x:c>
      <x:c r="M640" s="15" t="n">
        <x:v>48</x:v>
      </x:c>
      <x:c r="N640" s="14" t="str">
        <x:v>Michael Gould</x:v>
      </x:c>
      <x:c r="O640" s="14" t="str">
        <x:v>nm0332449</x:v>
      </x:c>
      <x:c r="P640" s="14" t="str">
        <x:v>Ned Cole</x:v>
      </x:c>
      <x:c r="Q640" s="15" t="n">
        <x:v>2</x:v>
      </x:c>
      <x:c r="R640" s="14" t="str">
        <x:v>2025</x:v>
      </x:c>
      <x:c r="S640" s="14" t="n">
        <x:v>2025</x:v>
      </x:c>
      <x:c r="T640" s="14" t="n">
        <x:v>2025</x:v>
      </x:c>
      <x:c r="U640" s="14" t="str">
        <x:v>Explicit source first year retained</x:v>
      </x:c>
      <x:c r="V640" s="14" t="str">
        <x:v>Earliest supplied year is 2025.</x:v>
      </x:c>
      <x:c r="W640" s="14"/>
      <x:c r="X640" s="14" t="str">
        <x:v>Included</x:v>
      </x:c>
      <x:c r="Y640" s="14"/>
      <x:c r="Z640" s="14" t="str">
        <x:v>Trigger Point.docx</x:v>
      </x:c>
      <x:c r="AA640" s="14" t="str">
        <x:v>HYPERLINK is not implemented. linkLocation=https://www.imdb.com/title/tt11958610/fullcredits/, friendlyName=Open source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7" t="e">
        <x:f>HYPERLINK("https://en.wikipedia.org/wiki/Trigger_Point","Open source")</x:f>
        <x:v>HYPERLINK is not implemented. linkLocation=https://en.wikipedia.org/wiki/Trigger_Point, friendlyName=Open source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 t="str">
        <x:v>No established-register match</x:v>
      </x:c>
      <x:c r="AT640" s="14"/>
      <x:c r="AU640" s="14"/>
      <x:c r="AV640" s="14" t="str">
        <x:v>No established apparent-disability match</x:v>
      </x:c>
      <x:c r="AW640" s="14"/>
      <x:c r="AX640" s="14" t="str">
        <x:v>No</x:v>
      </x:c>
      <x:c r="AY640" s="14" t="str">
        <x:v>Unmatched</x:v>
      </x:c>
      <x:c r="AZ640" s="14" t="str">
        <x:v>Final supplied register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24</x:v>
      </x:c>
      <x:c r="BP640" s="14" t="str">
        <x:v>Maximum supplied eligible IMDb cast-credit total; annual episode total not independently verified.</x:v>
      </x:c>
      <x:c r="BQ640" s="14" t="str">
        <x:v>Medium</x:v>
      </x:c>
      <x:c r="BR640" s="15" t="n">
        <x:v>2</x:v>
      </x:c>
      <x:c r="BS640" s="16" t="n">
        <x:v>0.08333333333333333</x:v>
      </x:c>
      <x:c r="BT640" s="14" t="str">
        <x:v>Minority of episodes</x:v>
      </x:c>
      <x:c r="BU640" s="14" t="str">
        <x:v>Medium</x:v>
      </x:c>
      <x:c r="BV640" s="14" t="str">
        <x:v>Derived from the supplied IMDb episode count and documented production-total proxy.</x:v>
      </x:c>
      <x:c r="BW640" s="14" t="str">
        <x:v>Unable to determine</x:v>
      </x:c>
      <x:c r="BX640" s="14" t="str">
        <x:v>Cast-list and episode data do not establish narrative prominence.</x:v>
      </x:c>
      <x:c r="BY640" s="14" t="str">
        <x:v>Supplied IMDb cast-list workbook</x:v>
      </x:c>
      <x:c r="BZ640" s="14" t="str">
        <x:v>HYPERLINK is not implemented. linkLocation=https://www.imdb.com/title/tt11958610/fullcredits/, friendlyName=Open source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tt11958610|nm12469092|michael adeyemi</x:v>
      </x:c>
      <x:c r="B641" s="14" t="str">
        <x:v>08</x:v>
      </x:c>
      <x:c r="C641" s="14" t="str">
        <x:v>2022_IMDb_Cast_Lists_Batch_08(1).xlsx</x:v>
      </x:c>
      <x:c r="D641" s="14" t="str">
        <x:v>Trigger Point</x:v>
      </x:c>
      <x:c r="E641" s="14" t="n">
        <x:v>61</x:v>
      </x:c>
      <x:c r="F641" s="14" t="str">
        <x:v>Trigger Point</x:v>
      </x:c>
      <x:c r="G641" s="14" t="str">
        <x:v>tt11958610</x:v>
      </x:c>
      <x:c r="H641" s="14" t="n">
        <x:v>2022</x:v>
      </x:c>
      <x:c r="I641" s="14" t="n">
        <x:v>2025</x:v>
      </x:c>
      <x:c r="J641" s="14" t="str">
        <x:v>Earlier-Production Carry-In Cohort</x:v>
      </x:c>
      <x:c r="K641" s="14" t="n">
        <x:v>2022</x:v>
      </x:c>
      <x:c r="L641" s="14" t="str">
        <x:v>Not inherited</x:v>
      </x:c>
      <x:c r="M641" s="15" t="n">
        <x:v>54</x:v>
      </x:c>
      <x:c r="N641" s="14" t="str">
        <x:v>Kofi Sampaney</x:v>
      </x:c>
      <x:c r="O641" s="14" t="str">
        <x:v>nm12469092</x:v>
      </x:c>
      <x:c r="P641" s="14" t="str">
        <x:v>Michael Adeyemi</x:v>
      </x:c>
      <x:c r="Q641" s="15" t="n">
        <x:v>2</x:v>
      </x:c>
      <x:c r="R641" s="14" t="str">
        <x:v>2025</x:v>
      </x:c>
      <x:c r="S641" s="14" t="n">
        <x:v>2025</x:v>
      </x:c>
      <x:c r="T641" s="14" t="n">
        <x:v>2025</x:v>
      </x:c>
      <x:c r="U641" s="14" t="str">
        <x:v>Explicit source first year retained</x:v>
      </x:c>
      <x:c r="V641" s="14" t="str">
        <x:v>Earliest supplied year is 2025.</x:v>
      </x:c>
      <x:c r="W641" s="14"/>
      <x:c r="X641" s="14" t="str">
        <x:v>Included</x:v>
      </x:c>
      <x:c r="Y641" s="14"/>
      <x:c r="Z641" s="14" t="str">
        <x:v>Trigger Point.docx</x:v>
      </x:c>
      <x:c r="AA641" s="14" t="str">
        <x:v>HYPERLINK is not implemented. linkLocation=https://www.imdb.com/title/tt11958610/fullcredits/, friendlyName=Open source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7" t="e">
        <x:f>HYPERLINK("https://en.wikipedia.org/wiki/Trigger_Point","Open source")</x:f>
        <x:v>HYPERLINK is not implemented. linkLocation=https://en.wikipedia.org/wiki/Trigger_Point, friendlyName=Open source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 t="str">
        <x:v>No established-register match</x:v>
      </x:c>
      <x:c r="AT641" s="14"/>
      <x:c r="AU641" s="14"/>
      <x:c r="AV641" s="14" t="str">
        <x:v>No established apparent-disability match</x:v>
      </x:c>
      <x:c r="AW641" s="14"/>
      <x:c r="AX641" s="14" t="str">
        <x:v>No</x:v>
      </x:c>
      <x:c r="AY641" s="14" t="str">
        <x:v>Unmatched</x:v>
      </x:c>
      <x:c r="AZ641" s="14" t="str">
        <x:v>Final supplied register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24</x:v>
      </x:c>
      <x:c r="BP641" s="14" t="str">
        <x:v>Maximum supplied eligible IMDb cast-credit total; annual episode total not independently verified.</x:v>
      </x:c>
      <x:c r="BQ641" s="14" t="str">
        <x:v>Medium</x:v>
      </x:c>
      <x:c r="BR641" s="15" t="n">
        <x:v>2</x:v>
      </x:c>
      <x:c r="BS641" s="16" t="n">
        <x:v>0.08333333333333333</x:v>
      </x:c>
      <x:c r="BT641" s="14" t="str">
        <x:v>Minority of episodes</x:v>
      </x:c>
      <x:c r="BU641" s="14" t="str">
        <x:v>Medium</x:v>
      </x:c>
      <x:c r="BV641" s="14" t="str">
        <x:v>Derived from the supplied IMDb episode count and documented production-total proxy.</x:v>
      </x:c>
      <x:c r="BW641" s="14" t="str">
        <x:v>Unable to determine</x:v>
      </x:c>
      <x:c r="BX641" s="14" t="str">
        <x:v>Cast-list and episode data do not establish narrative prominence.</x:v>
      </x:c>
      <x:c r="BY641" s="14" t="str">
        <x:v>Supplied IMDb cast-list workbook</x:v>
      </x:c>
      <x:c r="BZ641" s="14" t="str">
        <x:v>HYPERLINK is not implemented. linkLocation=https://www.imdb.com/title/tt11958610/fullcredits/, friendlyName=Open source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tt11958610|nm0020788|agnes raffner</x:v>
      </x:c>
      <x:c r="B642" s="14" t="str">
        <x:v>08</x:v>
      </x:c>
      <x:c r="C642" s="14" t="str">
        <x:v>2022_IMDb_Cast_Lists_Batch_08(1).xlsx</x:v>
      </x:c>
      <x:c r="D642" s="14" t="str">
        <x:v>Trigger Point</x:v>
      </x:c>
      <x:c r="E642" s="14" t="n">
        <x:v>72</x:v>
      </x:c>
      <x:c r="F642" s="14" t="str">
        <x:v>Trigger Point</x:v>
      </x:c>
      <x:c r="G642" s="14" t="str">
        <x:v>tt11958610</x:v>
      </x:c>
      <x:c r="H642" s="14" t="n">
        <x:v>2022</x:v>
      </x:c>
      <x:c r="I642" s="14" t="n">
        <x:v>2025</x:v>
      </x:c>
      <x:c r="J642" s="14" t="str">
        <x:v>Earlier-Production Carry-In Cohort</x:v>
      </x:c>
      <x:c r="K642" s="14" t="n">
        <x:v>2022</x:v>
      </x:c>
      <x:c r="L642" s="14" t="str">
        <x:v>Not inherited</x:v>
      </x:c>
      <x:c r="M642" s="15" t="n">
        <x:v>65</x:v>
      </x:c>
      <x:c r="N642" s="14" t="str">
        <x:v>Lucy Allen</x:v>
      </x:c>
      <x:c r="O642" s="14" t="str">
        <x:v>nm0020788</x:v>
      </x:c>
      <x:c r="P642" s="14" t="str">
        <x:v>Agnes Raffner</x:v>
      </x:c>
      <x:c r="Q642" s="15" t="n">
        <x:v>1</x:v>
      </x:c>
      <x:c r="R642" s="14" t="str">
        <x:v>2025</x:v>
      </x:c>
      <x:c r="S642" s="14" t="n">
        <x:v>2025</x:v>
      </x:c>
      <x:c r="T642" s="14" t="n">
        <x:v>2025</x:v>
      </x:c>
      <x:c r="U642" s="14" t="str">
        <x:v>Explicit source first year retained</x:v>
      </x:c>
      <x:c r="V642" s="14" t="str">
        <x:v>Earliest supplied year is 2025.</x:v>
      </x:c>
      <x:c r="W642" s="14"/>
      <x:c r="X642" s="14" t="str">
        <x:v>Included</x:v>
      </x:c>
      <x:c r="Y642" s="14" t="str">
        <x:v>(as Lucy Elizabeth Allen)</x:v>
      </x:c>
      <x:c r="Z642" s="14" t="str">
        <x:v>Trigger Point.docx</x:v>
      </x:c>
      <x:c r="AA642" s="14" t="str">
        <x:v>HYPERLINK is not implemented. linkLocation=https://www.imdb.com/title/tt11958610/fullcredits/, friendlyName=Open source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7" t="e">
        <x:f>HYPERLINK("https://en.wikipedia.org/wiki/Trigger_Point","Open source")</x:f>
        <x:v>HYPERLINK is not implemented. linkLocation=https://en.wikipedia.org/wiki/Trigger_Point, friendlyName=Open source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 t="str">
        <x:v>No established-register match</x:v>
      </x:c>
      <x:c r="AT642" s="14"/>
      <x:c r="AU642" s="14"/>
      <x:c r="AV642" s="14" t="str">
        <x:v>No established apparent-disability match</x:v>
      </x:c>
      <x:c r="AW642" s="14"/>
      <x:c r="AX642" s="14" t="str">
        <x:v>No</x:v>
      </x:c>
      <x:c r="AY642" s="14" t="str">
        <x:v>Unmatched</x:v>
      </x:c>
      <x:c r="AZ642" s="14" t="str">
        <x:v>Final supplied register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24</x:v>
      </x:c>
      <x:c r="BP642" s="14" t="str">
        <x:v>Maximum supplied eligible IMDb cast-credit total; annual episode total not independently verified.</x:v>
      </x:c>
      <x:c r="BQ642" s="14" t="str">
        <x:v>Medium</x:v>
      </x:c>
      <x:c r="BR642" s="15" t="n">
        <x:v>1</x:v>
      </x:c>
      <x:c r="BS642" s="16" t="n">
        <x:v>0.041666666666666664</x:v>
      </x:c>
      <x:c r="BT642" s="14" t="str">
        <x:v>One episode</x:v>
      </x:c>
      <x:c r="BU642" s="14" t="str">
        <x:v>Medium</x:v>
      </x:c>
      <x:c r="BV642" s="14" t="str">
        <x:v>Derived from the supplied IMDb episode count and documented production-total proxy.</x:v>
      </x:c>
      <x:c r="BW642" s="14" t="str">
        <x:v>Unable to determine</x:v>
      </x:c>
      <x:c r="BX642" s="14" t="str">
        <x:v>Cast-list and episode data do not establish narrative prominence.</x:v>
      </x:c>
      <x:c r="BY642" s="14" t="str">
        <x:v>Supplied IMDb cast-list workbook</x:v>
      </x:c>
      <x:c r="BZ642" s="14" t="str">
        <x:v>HYPERLINK is not implemented. linkLocation=https://www.imdb.com/title/tt11958610/fullcredits/, friendlyName=Open source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tt11958610|nm6602684|site manager</x:v>
      </x:c>
      <x:c r="B643" s="14" t="str">
        <x:v>08</x:v>
      </x:c>
      <x:c r="C643" s="14" t="str">
        <x:v>2022_IMDb_Cast_Lists_Batch_08(1).xlsx</x:v>
      </x:c>
      <x:c r="D643" s="14" t="str">
        <x:v>Trigger Point</x:v>
      </x:c>
      <x:c r="E643" s="14" t="n">
        <x:v>79</x:v>
      </x:c>
      <x:c r="F643" s="14" t="str">
        <x:v>Trigger Point</x:v>
      </x:c>
      <x:c r="G643" s="14" t="str">
        <x:v>tt11958610</x:v>
      </x:c>
      <x:c r="H643" s="14" t="n">
        <x:v>2022</x:v>
      </x:c>
      <x:c r="I643" s="14" t="n">
        <x:v>2025</x:v>
      </x:c>
      <x:c r="J643" s="14" t="str">
        <x:v>Earlier-Production Carry-In Cohort</x:v>
      </x:c>
      <x:c r="K643" s="14" t="n">
        <x:v>2022</x:v>
      </x:c>
      <x:c r="L643" s="14" t="str">
        <x:v>Not inherited</x:v>
      </x:c>
      <x:c r="M643" s="15" t="n">
        <x:v>72</x:v>
      </x:c>
      <x:c r="N643" s="14" t="str">
        <x:v>Jermaine Dominique</x:v>
      </x:c>
      <x:c r="O643" s="14" t="str">
        <x:v>nm6602684</x:v>
      </x:c>
      <x:c r="P643" s="14" t="str">
        <x:v>Site Manager</x:v>
      </x:c>
      <x:c r="Q643" s="15" t="n">
        <x:v>1</x:v>
      </x:c>
      <x:c r="R643" s="14" t="str">
        <x:v>2025</x:v>
      </x:c>
      <x:c r="S643" s="14" t="n">
        <x:v>2025</x:v>
      </x:c>
      <x:c r="T643" s="14" t="n">
        <x:v>2025</x:v>
      </x:c>
      <x:c r="U643" s="14" t="str">
        <x:v>Explicit source first year retained</x:v>
      </x:c>
      <x:c r="V643" s="14" t="str">
        <x:v>Earliest supplied year is 2025.</x:v>
      </x:c>
      <x:c r="W643" s="14"/>
      <x:c r="X643" s="14" t="str">
        <x:v>Included</x:v>
      </x:c>
      <x:c r="Y643" s="14"/>
      <x:c r="Z643" s="14" t="str">
        <x:v>Trigger Point.docx</x:v>
      </x:c>
      <x:c r="AA643" s="14" t="str">
        <x:v>HYPERLINK is not implemented. linkLocation=https://www.imdb.com/title/tt11958610/fullcredits/, friendlyName=Open source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7" t="e">
        <x:f>HYPERLINK("https://en.wikipedia.org/wiki/Trigger_Point","Open source")</x:f>
        <x:v>HYPERLINK is not implemented. linkLocation=https://en.wikipedia.org/wiki/Trigger_Point, friendlyName=Open source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 t="str">
        <x:v>No established-register match</x:v>
      </x:c>
      <x:c r="AT643" s="14"/>
      <x:c r="AU643" s="14"/>
      <x:c r="AV643" s="14" t="str">
        <x:v>No established apparent-disability match</x:v>
      </x:c>
      <x:c r="AW643" s="14"/>
      <x:c r="AX643" s="14" t="str">
        <x:v>No</x:v>
      </x:c>
      <x:c r="AY643" s="14" t="str">
        <x:v>Unmatched</x:v>
      </x:c>
      <x:c r="AZ643" s="14" t="str">
        <x:v>Final supplied register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24</x:v>
      </x:c>
      <x:c r="BP643" s="14" t="str">
        <x:v>Maximum supplied eligible IMDb cast-credit total; annual episode total not independently verified.</x:v>
      </x:c>
      <x:c r="BQ643" s="14" t="str">
        <x:v>Medium</x:v>
      </x:c>
      <x:c r="BR643" s="15" t="n">
        <x:v>1</x:v>
      </x:c>
      <x:c r="BS643" s="16" t="n">
        <x:v>0.041666666666666664</x:v>
      </x:c>
      <x:c r="BT643" s="14" t="str">
        <x:v>One episode</x:v>
      </x:c>
      <x:c r="BU643" s="14" t="str">
        <x:v>Medium</x:v>
      </x:c>
      <x:c r="BV643" s="14" t="str">
        <x:v>Derived from the supplied IMDb episode count and documented production-total proxy.</x:v>
      </x:c>
      <x:c r="BW643" s="14" t="str">
        <x:v>Unable to determine</x:v>
      </x:c>
      <x:c r="BX643" s="14" t="str">
        <x:v>Cast-list and episode data do not establish narrative prominence.</x:v>
      </x:c>
      <x:c r="BY643" s="14" t="str">
        <x:v>Supplied IMDb cast-list workbook</x:v>
      </x:c>
      <x:c r="BZ643" s="14" t="str">
        <x:v>HYPERLINK is not implemented. linkLocation=https://www.imdb.com/title/tt11958610/fullcredits/, friendlyName=Open source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tt11958610|nm12373136|peter howard</x:v>
      </x:c>
      <x:c r="B644" s="14" t="str">
        <x:v>08</x:v>
      </x:c>
      <x:c r="C644" s="14" t="str">
        <x:v>2022_IMDb_Cast_Lists_Batch_08(1).xlsx</x:v>
      </x:c>
      <x:c r="D644" s="14" t="str">
        <x:v>Trigger Point</x:v>
      </x:c>
      <x:c r="E644" s="14" t="n">
        <x:v>91</x:v>
      </x:c>
      <x:c r="F644" s="14" t="str">
        <x:v>Trigger Point</x:v>
      </x:c>
      <x:c r="G644" s="14" t="str">
        <x:v>tt11958610</x:v>
      </x:c>
      <x:c r="H644" s="14" t="n">
        <x:v>2022</x:v>
      </x:c>
      <x:c r="I644" s="14" t="n">
        <x:v>2025</x:v>
      </x:c>
      <x:c r="J644" s="14" t="str">
        <x:v>Earlier-Production Carry-In Cohort</x:v>
      </x:c>
      <x:c r="K644" s="14" t="n">
        <x:v>2022</x:v>
      </x:c>
      <x:c r="L644" s="14" t="str">
        <x:v>Not inherited</x:v>
      </x:c>
      <x:c r="M644" s="15" t="n">
        <x:v>84</x:v>
      </x:c>
      <x:c r="N644" s="14" t="str">
        <x:v>John Joyce-O'Keeffe</x:v>
      </x:c>
      <x:c r="O644" s="14" t="str">
        <x:v>nm12373136</x:v>
      </x:c>
      <x:c r="P644" s="14" t="str">
        <x:v>Peter Howard</x:v>
      </x:c>
      <x:c r="Q644" s="15" t="n">
        <x:v>1</x:v>
      </x:c>
      <x:c r="R644" s="14" t="str">
        <x:v>2025</x:v>
      </x:c>
      <x:c r="S644" s="14" t="n">
        <x:v>2025</x:v>
      </x:c>
      <x:c r="T644" s="14" t="n">
        <x:v>2025</x:v>
      </x:c>
      <x:c r="U644" s="14" t="str">
        <x:v>Explicit source first year retained</x:v>
      </x:c>
      <x:c r="V644" s="14" t="str">
        <x:v>Earliest supplied year is 2025.</x:v>
      </x:c>
      <x:c r="W644" s="14"/>
      <x:c r="X644" s="14" t="str">
        <x:v>Included</x:v>
      </x:c>
      <x:c r="Y644" s="14"/>
      <x:c r="Z644" s="14" t="str">
        <x:v>Trigger Point.docx</x:v>
      </x:c>
      <x:c r="AA644" s="14" t="str">
        <x:v>HYPERLINK is not implemented. linkLocation=https://www.imdb.com/title/tt11958610/fullcredits/, friendlyName=Open source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7" t="e">
        <x:f>HYPERLINK("https://en.wikipedia.org/wiki/Trigger_Point","Open source")</x:f>
        <x:v>HYPERLINK is not implemented. linkLocation=https://en.wikipedia.org/wiki/Trigger_Point, friendlyName=Open source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 t="str">
        <x:v>No established-register match</x:v>
      </x:c>
      <x:c r="AT644" s="14"/>
      <x:c r="AU644" s="14"/>
      <x:c r="AV644" s="14" t="str">
        <x:v>No established apparent-disability match</x:v>
      </x:c>
      <x:c r="AW644" s="14"/>
      <x:c r="AX644" s="14" t="str">
        <x:v>No</x:v>
      </x:c>
      <x:c r="AY644" s="14" t="str">
        <x:v>Unmatched</x:v>
      </x:c>
      <x:c r="AZ644" s="14" t="str">
        <x:v>Final supplied register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24</x:v>
      </x:c>
      <x:c r="BP644" s="14" t="str">
        <x:v>Maximum supplied eligible IMDb cast-credit total; annual episode total not independently verified.</x:v>
      </x:c>
      <x:c r="BQ644" s="14" t="str">
        <x:v>Medium</x:v>
      </x:c>
      <x:c r="BR644" s="15" t="n">
        <x:v>1</x:v>
      </x:c>
      <x:c r="BS644" s="16" t="n">
        <x:v>0.041666666666666664</x:v>
      </x:c>
      <x:c r="BT644" s="14" t="str">
        <x:v>One episode</x:v>
      </x:c>
      <x:c r="BU644" s="14" t="str">
        <x:v>Medium</x:v>
      </x:c>
      <x:c r="BV644" s="14" t="str">
        <x:v>Derived from the supplied IMDb episode count and documented production-total proxy.</x:v>
      </x:c>
      <x:c r="BW644" s="14" t="str">
        <x:v>Unable to determine</x:v>
      </x:c>
      <x:c r="BX644" s="14" t="str">
        <x:v>Cast-list and episode data do not establish narrative prominence.</x:v>
      </x:c>
      <x:c r="BY644" s="14" t="str">
        <x:v>Supplied IMDb cast-list workbook</x:v>
      </x:c>
      <x:c r="BZ644" s="14" t="str">
        <x:v>HYPERLINK is not implemented. linkLocation=https://www.imdb.com/title/tt11958610/fullcredits/, friendlyName=Open source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tt11958610|nm1218766|dean west</x:v>
      </x:c>
      <x:c r="B645" s="14" t="str">
        <x:v>08</x:v>
      </x:c>
      <x:c r="C645" s="14" t="str">
        <x:v>2022_IMDb_Cast_Lists_Batch_08(1).xlsx</x:v>
      </x:c>
      <x:c r="D645" s="14" t="str">
        <x:v>Trigger Point</x:v>
      </x:c>
      <x:c r="E645" s="14" t="n">
        <x:v>97</x:v>
      </x:c>
      <x:c r="F645" s="14" t="str">
        <x:v>Trigger Point</x:v>
      </x:c>
      <x:c r="G645" s="14" t="str">
        <x:v>tt11958610</x:v>
      </x:c>
      <x:c r="H645" s="14" t="n">
        <x:v>2022</x:v>
      </x:c>
      <x:c r="I645" s="14" t="n">
        <x:v>2025</x:v>
      </x:c>
      <x:c r="J645" s="14" t="str">
        <x:v>Earlier-Production Carry-In Cohort</x:v>
      </x:c>
      <x:c r="K645" s="14" t="n">
        <x:v>2022</x:v>
      </x:c>
      <x:c r="L645" s="14" t="str">
        <x:v>Not inherited</x:v>
      </x:c>
      <x:c r="M645" s="15" t="n">
        <x:v>90</x:v>
      </x:c>
      <x:c r="N645" s="14" t="str">
        <x:v>Stuart Packer</x:v>
      </x:c>
      <x:c r="O645" s="14" t="str">
        <x:v>nm1218766</x:v>
      </x:c>
      <x:c r="P645" s="14" t="str">
        <x:v>Dean West</x:v>
      </x:c>
      <x:c r="Q645" s="15" t="n">
        <x:v>1</x:v>
      </x:c>
      <x:c r="R645" s="14" t="str">
        <x:v>2025</x:v>
      </x:c>
      <x:c r="S645" s="14" t="n">
        <x:v>2025</x:v>
      </x:c>
      <x:c r="T645" s="14" t="n">
        <x:v>2025</x:v>
      </x:c>
      <x:c r="U645" s="14" t="str">
        <x:v>Explicit source first year retained</x:v>
      </x:c>
      <x:c r="V645" s="14" t="str">
        <x:v>Earliest supplied year is 2025.</x:v>
      </x:c>
      <x:c r="W645" s="14"/>
      <x:c r="X645" s="14" t="str">
        <x:v>Included</x:v>
      </x:c>
      <x:c r="Y645" s="14"/>
      <x:c r="Z645" s="14" t="str">
        <x:v>Trigger Point.docx</x:v>
      </x:c>
      <x:c r="AA645" s="14" t="str">
        <x:v>HYPERLINK is not implemented. linkLocation=https://www.imdb.com/title/tt11958610/fullcredits/, friendlyName=Open source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7" t="e">
        <x:f>HYPERLINK("https://en.wikipedia.org/wiki/Trigger_Point","Open source")</x:f>
        <x:v>HYPERLINK is not implemented. linkLocation=https://en.wikipedia.org/wiki/Trigger_Point, friendlyName=Open source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 t="str">
        <x:v>No established-register match</x:v>
      </x:c>
      <x:c r="AT645" s="14"/>
      <x:c r="AU645" s="14"/>
      <x:c r="AV645" s="14" t="str">
        <x:v>No established apparent-disability match</x:v>
      </x:c>
      <x:c r="AW645" s="14"/>
      <x:c r="AX645" s="14" t="str">
        <x:v>No</x:v>
      </x:c>
      <x:c r="AY645" s="14" t="str">
        <x:v>Unmatched</x:v>
      </x:c>
      <x:c r="AZ645" s="14" t="str">
        <x:v>Final supplied register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24</x:v>
      </x:c>
      <x:c r="BP645" s="14" t="str">
        <x:v>Maximum supplied eligible IMDb cast-credit total; annual episode total not independently verified.</x:v>
      </x:c>
      <x:c r="BQ645" s="14" t="str">
        <x:v>Medium</x:v>
      </x:c>
      <x:c r="BR645" s="15" t="n">
        <x:v>1</x:v>
      </x:c>
      <x:c r="BS645" s="16" t="n">
        <x:v>0.041666666666666664</x:v>
      </x:c>
      <x:c r="BT645" s="14" t="str">
        <x:v>One episode</x:v>
      </x:c>
      <x:c r="BU645" s="14" t="str">
        <x:v>Medium</x:v>
      </x:c>
      <x:c r="BV645" s="14" t="str">
        <x:v>Derived from the supplied IMDb episode count and documented production-total proxy.</x:v>
      </x:c>
      <x:c r="BW645" s="14" t="str">
        <x:v>Unable to determine</x:v>
      </x:c>
      <x:c r="BX645" s="14" t="str">
        <x:v>Cast-list and episode data do not establish narrative prominence.</x:v>
      </x:c>
      <x:c r="BY645" s="14" t="str">
        <x:v>Supplied IMDb cast-list workbook</x:v>
      </x:c>
      <x:c r="BZ645" s="14" t="str">
        <x:v>HYPERLINK is not implemented. linkLocation=https://www.imdb.com/title/tt11958610/fullcredits/, friendlyName=Open source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tt11958610|nm14118009|ctsfo 1</x:v>
      </x:c>
      <x:c r="B646" s="14" t="str">
        <x:v>08</x:v>
      </x:c>
      <x:c r="C646" s="14" t="str">
        <x:v>2022_IMDb_Cast_Lists_Batch_08(1).xlsx</x:v>
      </x:c>
      <x:c r="D646" s="14" t="str">
        <x:v>Trigger Point</x:v>
      </x:c>
      <x:c r="E646" s="14" t="n">
        <x:v>101</x:v>
      </x:c>
      <x:c r="F646" s="14" t="str">
        <x:v>Trigger Point</x:v>
      </x:c>
      <x:c r="G646" s="14" t="str">
        <x:v>tt11958610</x:v>
      </x:c>
      <x:c r="H646" s="14" t="n">
        <x:v>2022</x:v>
      </x:c>
      <x:c r="I646" s="14" t="n">
        <x:v>2025</x:v>
      </x:c>
      <x:c r="J646" s="14" t="str">
        <x:v>Earlier-Production Carry-In Cohort</x:v>
      </x:c>
      <x:c r="K646" s="14" t="n">
        <x:v>2022</x:v>
      </x:c>
      <x:c r="L646" s="14" t="str">
        <x:v>Not inherited</x:v>
      </x:c>
      <x:c r="M646" s="15" t="n">
        <x:v>94</x:v>
      </x:c>
      <x:c r="N646" s="14" t="str">
        <x:v>Stanley Kayley</x:v>
      </x:c>
      <x:c r="O646" s="14" t="str">
        <x:v>nm14118009</x:v>
      </x:c>
      <x:c r="P646" s="14" t="str">
        <x:v>CTSFO 1</x:v>
      </x:c>
      <x:c r="Q646" s="15" t="n">
        <x:v>1</x:v>
      </x:c>
      <x:c r="R646" s="14" t="str">
        <x:v>2025</x:v>
      </x:c>
      <x:c r="S646" s="14" t="n">
        <x:v>2025</x:v>
      </x:c>
      <x:c r="T646" s="14" t="n">
        <x:v>2025</x:v>
      </x:c>
      <x:c r="U646" s="14" t="str">
        <x:v>Explicit source first year retained</x:v>
      </x:c>
      <x:c r="V646" s="14" t="str">
        <x:v>Earliest supplied year is 2025.</x:v>
      </x:c>
      <x:c r="W646" s="14"/>
      <x:c r="X646" s="14" t="str">
        <x:v>Included</x:v>
      </x:c>
      <x:c r="Y646" s="14"/>
      <x:c r="Z646" s="14" t="str">
        <x:v>Trigger Point.docx</x:v>
      </x:c>
      <x:c r="AA646" s="14" t="str">
        <x:v>HYPERLINK is not implemented. linkLocation=https://www.imdb.com/title/tt11958610/fullcredits/, friendlyName=Open source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7" t="e">
        <x:f>HYPERLINK("https://en.wikipedia.org/wiki/Trigger_Point","Open source")</x:f>
        <x:v>HYPERLINK is not implemented. linkLocation=https://en.wikipedia.org/wiki/Trigger_Point, friendlyName=Open source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 t="str">
        <x:v>No established-register match</x:v>
      </x:c>
      <x:c r="AT646" s="14"/>
      <x:c r="AU646" s="14"/>
      <x:c r="AV646" s="14" t="str">
        <x:v>No established apparent-disability match</x:v>
      </x:c>
      <x:c r="AW646" s="14"/>
      <x:c r="AX646" s="14" t="str">
        <x:v>No</x:v>
      </x:c>
      <x:c r="AY646" s="14" t="str">
        <x:v>Unmatched</x:v>
      </x:c>
      <x:c r="AZ646" s="14" t="str">
        <x:v>Final supplied register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24</x:v>
      </x:c>
      <x:c r="BP646" s="14" t="str">
        <x:v>Maximum supplied eligible IMDb cast-credit total; annual episode total not independently verified.</x:v>
      </x:c>
      <x:c r="BQ646" s="14" t="str">
        <x:v>Medium</x:v>
      </x:c>
      <x:c r="BR646" s="15" t="n">
        <x:v>1</x:v>
      </x:c>
      <x:c r="BS646" s="16" t="n">
        <x:v>0.041666666666666664</x:v>
      </x:c>
      <x:c r="BT646" s="14" t="str">
        <x:v>One episode</x:v>
      </x:c>
      <x:c r="BU646" s="14" t="str">
        <x:v>Medium</x:v>
      </x:c>
      <x:c r="BV646" s="14" t="str">
        <x:v>Derived from the supplied IMDb episode count and documented production-total proxy.</x:v>
      </x:c>
      <x:c r="BW646" s="14" t="str">
        <x:v>Unable to determine</x:v>
      </x:c>
      <x:c r="BX646" s="14" t="str">
        <x:v>Cast-list and episode data do not establish narrative prominence.</x:v>
      </x:c>
      <x:c r="BY646" s="14" t="str">
        <x:v>Supplied IMDb cast-list workbook</x:v>
      </x:c>
      <x:c r="BZ646" s="14" t="str">
        <x:v>HYPERLINK is not implemented. linkLocation=https://www.imdb.com/title/tt11958610/fullcredits/, friendlyName=Open source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tt11958610|nm0924144|maggie kelsey</x:v>
      </x:c>
      <x:c r="B647" s="14" t="str">
        <x:v>08</x:v>
      </x:c>
      <x:c r="C647" s="14" t="str">
        <x:v>2022_IMDb_Cast_Lists_Batch_08(1).xlsx</x:v>
      </x:c>
      <x:c r="D647" s="14" t="str">
        <x:v>Trigger Point</x:v>
      </x:c>
      <x:c r="E647" s="14" t="n">
        <x:v>112</x:v>
      </x:c>
      <x:c r="F647" s="14" t="str">
        <x:v>Trigger Point</x:v>
      </x:c>
      <x:c r="G647" s="14" t="str">
        <x:v>tt11958610</x:v>
      </x:c>
      <x:c r="H647" s="14" t="n">
        <x:v>2022</x:v>
      </x:c>
      <x:c r="I647" s="14" t="n">
        <x:v>2025</x:v>
      </x:c>
      <x:c r="J647" s="14" t="str">
        <x:v>Earlier-Production Carry-In Cohort</x:v>
      </x:c>
      <x:c r="K647" s="14" t="n">
        <x:v>2022</x:v>
      </x:c>
      <x:c r="L647" s="14" t="str">
        <x:v>Not inherited</x:v>
      </x:c>
      <x:c r="M647" s="15" t="n">
        <x:v>105</x:v>
      </x:c>
      <x:c r="N647" s="14" t="str">
        <x:v>Jenny Whiffen</x:v>
      </x:c>
      <x:c r="O647" s="14" t="str">
        <x:v>nm0924144</x:v>
      </x:c>
      <x:c r="P647" s="14" t="str">
        <x:v>Maggie Kelsey</x:v>
      </x:c>
      <x:c r="Q647" s="15" t="n">
        <x:v>1</x:v>
      </x:c>
      <x:c r="R647" s="14" t="str">
        <x:v>2025</x:v>
      </x:c>
      <x:c r="S647" s="14" t="n">
        <x:v>2025</x:v>
      </x:c>
      <x:c r="T647" s="14" t="n">
        <x:v>2025</x:v>
      </x:c>
      <x:c r="U647" s="14" t="str">
        <x:v>Explicit source first year retained</x:v>
      </x:c>
      <x:c r="V647" s="14" t="str">
        <x:v>Earliest supplied year is 2025.</x:v>
      </x:c>
      <x:c r="W647" s="14"/>
      <x:c r="X647" s="14" t="str">
        <x:v>Included</x:v>
      </x:c>
      <x:c r="Y647" s="14"/>
      <x:c r="Z647" s="14" t="str">
        <x:v>Trigger Point.docx</x:v>
      </x:c>
      <x:c r="AA647" s="14" t="str">
        <x:v>HYPERLINK is not implemented. linkLocation=https://www.imdb.com/title/tt11958610/fullcredits/, friendlyName=Open source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7" t="e">
        <x:f>HYPERLINK("https://en.wikipedia.org/wiki/Trigger_Point","Open source")</x:f>
        <x:v>HYPERLINK is not implemented. linkLocation=https://en.wikipedia.org/wiki/Trigger_Point, friendlyName=Open source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 t="str">
        <x:v>No established-register match</x:v>
      </x:c>
      <x:c r="AT647" s="14"/>
      <x:c r="AU647" s="14"/>
      <x:c r="AV647" s="14" t="str">
        <x:v>No established apparent-disability match</x:v>
      </x:c>
      <x:c r="AW647" s="14"/>
      <x:c r="AX647" s="14" t="str">
        <x:v>No</x:v>
      </x:c>
      <x:c r="AY647" s="14" t="str">
        <x:v>Unmatched</x:v>
      </x:c>
      <x:c r="AZ647" s="14" t="str">
        <x:v>Final supplied register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24</x:v>
      </x:c>
      <x:c r="BP647" s="14" t="str">
        <x:v>Maximum supplied eligible IMDb cast-credit total; annual episode total not independently verified.</x:v>
      </x:c>
      <x:c r="BQ647" s="14" t="str">
        <x:v>Medium</x:v>
      </x:c>
      <x:c r="BR647" s="15" t="n">
        <x:v>1</x:v>
      </x:c>
      <x:c r="BS647" s="16" t="n">
        <x:v>0.041666666666666664</x:v>
      </x:c>
      <x:c r="BT647" s="14" t="str">
        <x:v>One episode</x:v>
      </x:c>
      <x:c r="BU647" s="14" t="str">
        <x:v>Medium</x:v>
      </x:c>
      <x:c r="BV647" s="14" t="str">
        <x:v>Derived from the supplied IMDb episode count and documented production-total proxy.</x:v>
      </x:c>
      <x:c r="BW647" s="14" t="str">
        <x:v>Unable to determine</x:v>
      </x:c>
      <x:c r="BX647" s="14" t="str">
        <x:v>Cast-list and episode data do not establish narrative prominence.</x:v>
      </x:c>
      <x:c r="BY647" s="14" t="str">
        <x:v>Supplied IMDb cast-list workbook</x:v>
      </x:c>
      <x:c r="BZ647" s="14" t="str">
        <x:v>HYPERLINK is not implemented. linkLocation=https://www.imdb.com/title/tt11958610/fullcredits/, friendlyName=Open source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tt11958610|nm17344183|tessa cullen</x:v>
      </x:c>
      <x:c r="B648" s="14" t="str">
        <x:v>08</x:v>
      </x:c>
      <x:c r="C648" s="14" t="str">
        <x:v>2022_IMDb_Cast_Lists_Batch_08(1).xlsx</x:v>
      </x:c>
      <x:c r="D648" s="14" t="str">
        <x:v>Trigger Point</x:v>
      </x:c>
      <x:c r="E648" s="14" t="n">
        <x:v>128</x:v>
      </x:c>
      <x:c r="F648" s="14" t="str">
        <x:v>Trigger Point</x:v>
      </x:c>
      <x:c r="G648" s="14" t="str">
        <x:v>tt11958610</x:v>
      </x:c>
      <x:c r="H648" s="14" t="n">
        <x:v>2022</x:v>
      </x:c>
      <x:c r="I648" s="14" t="n">
        <x:v>2025</x:v>
      </x:c>
      <x:c r="J648" s="14" t="str">
        <x:v>Earlier-Production Carry-In Cohort</x:v>
      </x:c>
      <x:c r="K648" s="14" t="n">
        <x:v>2022</x:v>
      </x:c>
      <x:c r="L648" s="14" t="str">
        <x:v>Not inherited</x:v>
      </x:c>
      <x:c r="M648" s="15" t="n">
        <x:v>121</x:v>
      </x:c>
      <x:c r="N648" s="14" t="str">
        <x:v>Katie Higgins</x:v>
      </x:c>
      <x:c r="O648" s="14" t="str">
        <x:v>nm17344183</x:v>
      </x:c>
      <x:c r="P648" s="14" t="str">
        <x:v>Tessa Cullen</x:v>
      </x:c>
      <x:c r="Q648" s="15" t="n">
        <x:v>1</x:v>
      </x:c>
      <x:c r="R648" s="14" t="str">
        <x:v>2025</x:v>
      </x:c>
      <x:c r="S648" s="14" t="n">
        <x:v>2025</x:v>
      </x:c>
      <x:c r="T648" s="14" t="n">
        <x:v>2025</x:v>
      </x:c>
      <x:c r="U648" s="14" t="str">
        <x:v>Explicit source first year retained</x:v>
      </x:c>
      <x:c r="V648" s="14" t="str">
        <x:v>Earliest supplied year is 2025.</x:v>
      </x:c>
      <x:c r="W648" s="14"/>
      <x:c r="X648" s="14" t="str">
        <x:v>Included</x:v>
      </x:c>
      <x:c r="Y648" s="14"/>
      <x:c r="Z648" s="14" t="str">
        <x:v>Trigger Point.docx</x:v>
      </x:c>
      <x:c r="AA648" s="14" t="str">
        <x:v>HYPERLINK is not implemented. linkLocation=https://www.imdb.com/title/tt11958610/fullcredits/, friendlyName=Open source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7" t="e">
        <x:f>HYPERLINK("https://en.wikipedia.org/wiki/Trigger_Point","Open source")</x:f>
        <x:v>HYPERLINK is not implemented. linkLocation=https://en.wikipedia.org/wiki/Trigger_Point, friendlyName=Open source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 t="str">
        <x:v>No established-register match</x:v>
      </x:c>
      <x:c r="AT648" s="14"/>
      <x:c r="AU648" s="14"/>
      <x:c r="AV648" s="14" t="str">
        <x:v>No established apparent-disability match</x:v>
      </x:c>
      <x:c r="AW648" s="14"/>
      <x:c r="AX648" s="14" t="str">
        <x:v>No</x:v>
      </x:c>
      <x:c r="AY648" s="14" t="str">
        <x:v>Unmatched</x:v>
      </x:c>
      <x:c r="AZ648" s="14" t="str">
        <x:v>Final supplied register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24</x:v>
      </x:c>
      <x:c r="BP648" s="14" t="str">
        <x:v>Maximum supplied eligible IMDb cast-credit total; annual episode total not independently verified.</x:v>
      </x:c>
      <x:c r="BQ648" s="14" t="str">
        <x:v>Medium</x:v>
      </x:c>
      <x:c r="BR648" s="15" t="n">
        <x:v>1</x:v>
      </x:c>
      <x:c r="BS648" s="16" t="n">
        <x:v>0.041666666666666664</x:v>
      </x:c>
      <x:c r="BT648" s="14" t="str">
        <x:v>One episode</x:v>
      </x:c>
      <x:c r="BU648" s="14" t="str">
        <x:v>Medium</x:v>
      </x:c>
      <x:c r="BV648" s="14" t="str">
        <x:v>Derived from the supplied IMDb episode count and documented production-total proxy.</x:v>
      </x:c>
      <x:c r="BW648" s="14" t="str">
        <x:v>Unable to determine</x:v>
      </x:c>
      <x:c r="BX648" s="14" t="str">
        <x:v>Cast-list and episode data do not establish narrative prominence.</x:v>
      </x:c>
      <x:c r="BY648" s="14" t="str">
        <x:v>Supplied IMDb cast-list workbook</x:v>
      </x:c>
      <x:c r="BZ648" s="14" t="str">
        <x:v>HYPERLINK is not implemented. linkLocation=https://www.imdb.com/title/tt11958610/fullcredits/, friendlyName=Open source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tt11958610|nm4902054|met police officer</x:v>
      </x:c>
      <x:c r="B649" s="14" t="str">
        <x:v>08</x:v>
      </x:c>
      <x:c r="C649" s="14" t="str">
        <x:v>2022_IMDb_Cast_Lists_Batch_08(1).xlsx</x:v>
      </x:c>
      <x:c r="D649" s="14" t="str">
        <x:v>Trigger Point</x:v>
      </x:c>
      <x:c r="E649" s="14" t="n">
        <x:v>129</x:v>
      </x:c>
      <x:c r="F649" s="14" t="str">
        <x:v>Trigger Point</x:v>
      </x:c>
      <x:c r="G649" s="14" t="str">
        <x:v>tt11958610</x:v>
      </x:c>
      <x:c r="H649" s="14" t="n">
        <x:v>2022</x:v>
      </x:c>
      <x:c r="I649" s="14" t="n">
        <x:v>2025</x:v>
      </x:c>
      <x:c r="J649" s="14" t="str">
        <x:v>Earlier-Production Carry-In Cohort</x:v>
      </x:c>
      <x:c r="K649" s="14" t="n">
        <x:v>2022</x:v>
      </x:c>
      <x:c r="L649" s="14" t="str">
        <x:v>Not inherited</x:v>
      </x:c>
      <x:c r="M649" s="15" t="n">
        <x:v>122</x:v>
      </x:c>
      <x:c r="N649" s="14" t="str">
        <x:v>Tina Tancak</x:v>
      </x:c>
      <x:c r="O649" s="14" t="str">
        <x:v>nm4902054</x:v>
      </x:c>
      <x:c r="P649" s="14" t="str">
        <x:v>Met Police Officer</x:v>
      </x:c>
      <x:c r="Q649" s="15" t="n">
        <x:v>1</x:v>
      </x:c>
      <x:c r="R649" s="14" t="str">
        <x:v>2025</x:v>
      </x:c>
      <x:c r="S649" s="14" t="n">
        <x:v>2025</x:v>
      </x:c>
      <x:c r="T649" s="14" t="n">
        <x:v>2025</x:v>
      </x:c>
      <x:c r="U649" s="14" t="str">
        <x:v>Explicit source first year retained</x:v>
      </x:c>
      <x:c r="V649" s="14" t="str">
        <x:v>Earliest supplied year is 2025.</x:v>
      </x:c>
      <x:c r="W649" s="14"/>
      <x:c r="X649" s="14" t="str">
        <x:v>Included</x:v>
      </x:c>
      <x:c r="Y649" s="14"/>
      <x:c r="Z649" s="14" t="str">
        <x:v>Trigger Point.docx</x:v>
      </x:c>
      <x:c r="AA649" s="14" t="str">
        <x:v>HYPERLINK is not implemented. linkLocation=https://www.imdb.com/title/tt11958610/fullcredits/, friendlyName=Open source</x:v>
      </x:c>
      <x:c r="AB649" s="14" t="str">
        <x:v>No established-register match</x:v>
      </x:c>
      <x:c r="AC649" s="14"/>
      <x:c r="AD649" s="14"/>
      <x:c r="AE649" s="14"/>
      <x:c r="AF649" s="14"/>
      <x:c r="AG649" s="14" t="str">
        <x:v>No qualifying conclusion recorded. Absence from the register is not evidence that the performer is not disabled.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7" t="e">
        <x:f>HYPERLINK("https://en.wikipedia.org/wiki/Trigger_Point","Open source")</x:f>
        <x:v>HYPERLINK is not implemented. linkLocation=https://en.wikipedia.org/wiki/Trigger_Point, friendlyName=Open source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No established-register match</x:v>
      </x:c>
      <x:c r="AT649" s="14"/>
      <x:c r="AU649" s="14"/>
      <x:c r="AV649" s="14" t="str">
        <x:v>No established apparent-disability match</x:v>
      </x:c>
      <x:c r="AW649" s="14"/>
      <x:c r="AX649" s="14" t="str">
        <x:v>No</x:v>
      </x:c>
      <x:c r="AY649" s="14" t="str">
        <x:v>Unmatched</x:v>
      </x:c>
      <x:c r="AZ649" s="14" t="str">
        <x:v>Final supplied register</x:v>
      </x:c>
      <x:c r="BA649" s="14" t="str">
        <x:v>Absence from the register is not evidence that the performer is not disabled.</x:v>
      </x:c>
      <x:c r="BB649" s="14" t="str">
        <x:v>No established-register match</x:v>
      </x:c>
      <x:c r="BC649" s="14"/>
      <x:c r="BD649" s="14"/>
      <x:c r="BE649" s="14"/>
      <x:c r="BF649" s="14" t="str">
        <x:v>No established apparent-disability match</x:v>
      </x:c>
      <x:c r="BG649" s="14"/>
      <x:c r="BH649" s="14" t="str">
        <x:v>No</x:v>
      </x:c>
      <x:c r="BI649" s="14"/>
      <x:c r="BJ649" s="14"/>
      <x:c r="BK649" s="14"/>
      <x:c r="BL649" s="14" t="str">
        <x:v>Unmatched</x:v>
      </x:c>
      <x:c r="BM649" s="14" t="str">
        <x:v>Final supplied register</x:v>
      </x:c>
      <x:c r="BN649" s="14" t="str">
        <x:v>Absence from the register is not evidence that the performer is not disabled.</x:v>
      </x:c>
      <x:c r="BO649" s="14" t="n">
        <x:v>24</x:v>
      </x:c>
      <x:c r="BP649" s="14" t="str">
        <x:v>Maximum supplied eligible IMDb cast-credit total; annual episode total not independently verified.</x:v>
      </x:c>
      <x:c r="BQ649" s="14" t="str">
        <x:v>Medium</x:v>
      </x:c>
      <x:c r="BR649" s="15" t="n">
        <x:v>1</x:v>
      </x:c>
      <x:c r="BS649" s="16" t="n">
        <x:v>0.041666666666666664</x:v>
      </x:c>
      <x:c r="BT649" s="14" t="str">
        <x:v>One episode</x:v>
      </x:c>
      <x:c r="BU649" s="14" t="str">
        <x:v>Medium</x:v>
      </x:c>
      <x:c r="BV649" s="14" t="str">
        <x:v>Derived from the supplied IMDb episode count and documented production-total proxy.</x:v>
      </x:c>
      <x:c r="BW649" s="14" t="str">
        <x:v>Unable to determine</x:v>
      </x:c>
      <x:c r="BX649" s="14" t="str">
        <x:v>Cast-list and episode data do not establish narrative prominence.</x:v>
      </x:c>
      <x:c r="BY649" s="14" t="str">
        <x:v>Supplied IMDb cast-list workbook</x:v>
      </x:c>
      <x:c r="BZ649" s="14" t="str">
        <x:v>HYPERLINK is not implemented. linkLocation=https://www.imdb.com/title/tt11958610/fullcredits/, friendlyName=Open source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tt11639300|nm14676906|bruno</x:v>
      </x:c>
      <x:c r="B650" s="14" t="str">
        <x:v>02</x:v>
      </x:c>
      <x:c r="C650" s="14" t="str">
        <x:v>2021_IMDb_Cast_Lists_Batch_02(1).xlsx</x:v>
      </x:c>
      <x:c r="D650" s="14" t="str">
        <x:v>Grace</x:v>
      </x:c>
      <x:c r="E650" s="14" t="n">
        <x:v>19</x:v>
      </x:c>
      <x:c r="F650" s="14" t="str">
        <x:v>Grace</x:v>
      </x:c>
      <x:c r="G650" s="14" t="str">
        <x:v>tt11639300</x:v>
      </x:c>
      <x:c r="H650" s="14" t="n">
        <x:v>2021</x:v>
      </x:c>
      <x:c r="I650" s="14" t="n">
        <x:v>2025</x:v>
      </x:c>
      <x:c r="J650" s="14" t="str">
        <x:v>Earlier-Production Carry-In Cohort</x:v>
      </x:c>
      <x:c r="K650" s="14" t="n">
        <x:v>2021</x:v>
      </x:c>
      <x:c r="L650" s="14" t="str">
        <x:v>Available from 2021 analysis</x:v>
      </x:c>
      <x:c r="M650" s="15" t="n">
        <x:v>12</x:v>
      </x:c>
      <x:c r="N650" s="14" t="str">
        <x:v>Finn Guegan</x:v>
      </x:c>
      <x:c r="O650" s="14" t="str">
        <x:v>nm14676906</x:v>
      </x:c>
      <x:c r="P650" s="14" t="str">
        <x:v>Bruno</x:v>
      </x:c>
      <x:c r="Q650" s="15" t="n">
        <x:v>7</x:v>
      </x:c>
      <x:c r="R650" s="14" t="str">
        <x:v>2025–2026</x:v>
      </x:c>
      <x:c r="S650" s="14" t="n">
        <x:v>2025</x:v>
      </x:c>
      <x:c r="T650" s="14" t="n">
        <x:v>2025</x:v>
      </x:c>
      <x:c r="U650" s="14" t="str">
        <x:v>Post-2021 casting excluded</x:v>
      </x:c>
      <x:c r="V650" s="14" t="str">
        <x:v>Earliest supplied year is 2025, later than the 2021 study year.</x:v>
      </x:c>
      <x:c r="W650" s="14"/>
      <x:c r="X650" s="14" t="str">
        <x:v>Included</x:v>
      </x:c>
      <x:c r="Y650" s="14"/>
      <x:c r="Z650" s="14" t="str">
        <x:v>Grace.docx</x:v>
      </x:c>
      <x:c r="AA650" s="14" t="str">
        <x:v>HYPERLINK is not implemented. linkLocation=https://www.imdb.com/title/tt11639300/fullcredits/, friendlyName=Open source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7" t="e">
        <x:f>HYPERLINK("https://en.wikipedia.org/wiki/Grace","Open source")</x:f>
        <x:v>HYPERLINK is not implemented. linkLocation=https://en.wikipedia.org/wiki/Grace, friendlyName=Open source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 t="str">
        <x:v>No established-register match</x:v>
      </x:c>
      <x:c r="AT650" s="14"/>
      <x:c r="AU650" s="14"/>
      <x:c r="AV650" s="14" t="str">
        <x:v>No established apparent-disability match</x:v>
      </x:c>
      <x:c r="AW650" s="14"/>
      <x:c r="AX650" s="14" t="str">
        <x:v>No</x:v>
      </x:c>
      <x:c r="AY650" s="14" t="str">
        <x:v>Unmatched</x:v>
      </x:c>
      <x:c r="AZ650" s="14" t="str">
        <x:v>Final supplied register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20</x:v>
      </x:c>
      <x:c r="BP650" s="14" t="str">
        <x:v>Maximum eligible IMDb cast-credit total (20), shared by 4 performer(s); not independently verified as a 2021-only episode total.</x:v>
      </x:c>
      <x:c r="BQ650" s="14" t="str">
        <x:v>Medium</x:v>
      </x:c>
      <x:c r="BR650" s="15" t="n">
        <x:v>7</x:v>
      </x:c>
      <x:c r="BS650" s="16" t="n">
        <x:v>0.35</x:v>
      </x:c>
      <x:c r="BT650" s="14" t="str">
        <x:v>Minority of episodes</x:v>
      </x:c>
      <x:c r="BU650" s="14" t="str">
        <x:v>Medium</x:v>
      </x:c>
      <x:c r="BV650" s="14" t="str">
        <x:v>Derived from supplied IMDb episode count and the documented production-total proxy.</x:v>
      </x:c>
      <x:c r="BW650" s="14" t="str">
        <x:v>Unable to determine</x:v>
      </x:c>
      <x:c r="BX650" s="14" t="str">
        <x:v>Supplied cast data establishes the credit and episode presence but does not establish narrative prominence.</x:v>
      </x:c>
      <x:c r="BY650" s="14" t="str">
        <x:v>Supplied IMDb cast-list workbook</x:v>
      </x:c>
      <x:c r="BZ650" s="14" t="str">
        <x:v>HYPERLINK is not implemented. linkLocation=https://www.imdb.com/title/tt11639300/fullcredits/, friendlyName=Open source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tt11639300|nm10433982|dc vee wilde</x:v>
      </x:c>
      <x:c r="B651" s="14" t="str">
        <x:v>02</x:v>
      </x:c>
      <x:c r="C651" s="14" t="str">
        <x:v>2021_IMDb_Cast_Lists_Batch_02(1).xlsx</x:v>
      </x:c>
      <x:c r="D651" s="14" t="str">
        <x:v>Grace</x:v>
      </x:c>
      <x:c r="E651" s="14" t="n">
        <x:v>20</x:v>
      </x:c>
      <x:c r="F651" s="14" t="str">
        <x:v>Grace</x:v>
      </x:c>
      <x:c r="G651" s="14" t="str">
        <x:v>tt11639300</x:v>
      </x:c>
      <x:c r="H651" s="14" t="n">
        <x:v>2021</x:v>
      </x:c>
      <x:c r="I651" s="14" t="n">
        <x:v>2025</x:v>
      </x:c>
      <x:c r="J651" s="14" t="str">
        <x:v>Earlier-Production Carry-In Cohort</x:v>
      </x:c>
      <x:c r="K651" s="14" t="n">
        <x:v>2021</x:v>
      </x:c>
      <x:c r="L651" s="14" t="str">
        <x:v>Available from 2021 analysis</x:v>
      </x:c>
      <x:c r="M651" s="15" t="n">
        <x:v>13</x:v>
      </x:c>
      <x:c r="N651" s="14" t="str">
        <x:v>Juliette Motamed</x:v>
      </x:c>
      <x:c r="O651" s="14" t="str">
        <x:v>nm10433982</x:v>
      </x:c>
      <x:c r="P651" s="14" t="str">
        <x:v>DC Vee Wilde</x:v>
      </x:c>
      <x:c r="Q651" s="15" t="n">
        <x:v>7</x:v>
      </x:c>
      <x:c r="R651" s="14" t="str">
        <x:v>2025–2026</x:v>
      </x:c>
      <x:c r="S651" s="14" t="n">
        <x:v>2025</x:v>
      </x:c>
      <x:c r="T651" s="14" t="n">
        <x:v>2025</x:v>
      </x:c>
      <x:c r="U651" s="14" t="str">
        <x:v>Post-2021 casting excluded</x:v>
      </x:c>
      <x:c r="V651" s="14" t="str">
        <x:v>Earliest supplied year is 2025, later than the 2021 study year.</x:v>
      </x:c>
      <x:c r="W651" s="14"/>
      <x:c r="X651" s="14" t="str">
        <x:v>Included</x:v>
      </x:c>
      <x:c r="Y651" s="14"/>
      <x:c r="Z651" s="14" t="str">
        <x:v>Grace.docx</x:v>
      </x:c>
      <x:c r="AA651" s="14" t="str">
        <x:v>HYPERLINK is not implemented. linkLocation=https://www.imdb.com/title/tt11639300/fullcredits/, friendlyName=Open source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7" t="e">
        <x:f>HYPERLINK("https://en.wikipedia.org/wiki/Grace","Open source")</x:f>
        <x:v>HYPERLINK is not implemented. linkLocation=https://en.wikipedia.org/wiki/Grace, friendlyName=Open source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 t="str">
        <x:v>No established-register match</x:v>
      </x:c>
      <x:c r="AT651" s="14"/>
      <x:c r="AU651" s="14"/>
      <x:c r="AV651" s="14" t="str">
        <x:v>No established apparent-disability match</x:v>
      </x:c>
      <x:c r="AW651" s="14"/>
      <x:c r="AX651" s="14" t="str">
        <x:v>No</x:v>
      </x:c>
      <x:c r="AY651" s="14" t="str">
        <x:v>Unmatched</x:v>
      </x:c>
      <x:c r="AZ651" s="14" t="str">
        <x:v>Final supplied register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20</x:v>
      </x:c>
      <x:c r="BP651" s="14" t="str">
        <x:v>Maximum eligible IMDb cast-credit total (20), shared by 4 performer(s); not independently verified as a 2021-only episode total.</x:v>
      </x:c>
      <x:c r="BQ651" s="14" t="str">
        <x:v>Medium</x:v>
      </x:c>
      <x:c r="BR651" s="15" t="n">
        <x:v>7</x:v>
      </x:c>
      <x:c r="BS651" s="16" t="n">
        <x:v>0.35</x:v>
      </x:c>
      <x:c r="BT651" s="14" t="str">
        <x:v>Minority of episodes</x:v>
      </x:c>
      <x:c r="BU651" s="14" t="str">
        <x:v>Medium</x:v>
      </x:c>
      <x:c r="BV651" s="14" t="str">
        <x:v>Derived from supplied IMDb episode count and the documented production-total proxy.</x:v>
      </x:c>
      <x:c r="BW651" s="14" t="str">
        <x:v>Unable to determine</x:v>
      </x:c>
      <x:c r="BX651" s="14" t="str">
        <x:v>Supplied cast data establishes the credit and episode presence but does not establish narrative prominence.</x:v>
      </x:c>
      <x:c r="BY651" s="14" t="str">
        <x:v>Supplied IMDb cast-list workbook</x:v>
      </x:c>
      <x:c r="BZ651" s="14" t="str">
        <x:v>HYPERLINK is not implemented. linkLocation=https://www.imdb.com/title/tt11639300/fullcredits/, friendlyName=Open source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tt11639300|nm1111587|pc dave cripps</x:v>
      </x:c>
      <x:c r="B652" s="14" t="str">
        <x:v>02</x:v>
      </x:c>
      <x:c r="C652" s="14" t="str">
        <x:v>2021_IMDb_Cast_Lists_Batch_02(1).xlsx</x:v>
      </x:c>
      <x:c r="D652" s="14" t="str">
        <x:v>Grace</x:v>
      </x:c>
      <x:c r="E652" s="14" t="n">
        <x:v>25</x:v>
      </x:c>
      <x:c r="F652" s="14" t="str">
        <x:v>Grace</x:v>
      </x:c>
      <x:c r="G652" s="14" t="str">
        <x:v>tt11639300</x:v>
      </x:c>
      <x:c r="H652" s="14" t="n">
        <x:v>2021</x:v>
      </x:c>
      <x:c r="I652" s="14" t="n">
        <x:v>2025</x:v>
      </x:c>
      <x:c r="J652" s="14" t="str">
        <x:v>Earlier-Production Carry-In Cohort</x:v>
      </x:c>
      <x:c r="K652" s="14" t="n">
        <x:v>2021</x:v>
      </x:c>
      <x:c r="L652" s="14" t="str">
        <x:v>Available from 2021 analysis</x:v>
      </x:c>
      <x:c r="M652" s="15" t="n">
        <x:v>18</x:v>
      </x:c>
      <x:c r="N652" s="14" t="str">
        <x:v>Mark Flitton</x:v>
      </x:c>
      <x:c r="O652" s="14" t="str">
        <x:v>nm1111587</x:v>
      </x:c>
      <x:c r="P652" s="14" t="str">
        <x:v>PC Dave Cripps</x:v>
      </x:c>
      <x:c r="Q652" s="15" t="n">
        <x:v>3</x:v>
      </x:c>
      <x:c r="R652" s="14" t="str">
        <x:v>2025–2026</x:v>
      </x:c>
      <x:c r="S652" s="14" t="n">
        <x:v>2025</x:v>
      </x:c>
      <x:c r="T652" s="14" t="n">
        <x:v>2025</x:v>
      </x:c>
      <x:c r="U652" s="14" t="str">
        <x:v>Post-2021 casting excluded</x:v>
      </x:c>
      <x:c r="V652" s="14" t="str">
        <x:v>Earliest supplied year is 2025, later than the 2021 study year.</x:v>
      </x:c>
      <x:c r="W652" s="14"/>
      <x:c r="X652" s="14" t="str">
        <x:v>Included</x:v>
      </x:c>
      <x:c r="Y652" s="14"/>
      <x:c r="Z652" s="14" t="str">
        <x:v>Grace.docx</x:v>
      </x:c>
      <x:c r="AA652" s="14" t="str">
        <x:v>HYPERLINK is not implemented. linkLocation=https://www.imdb.com/title/tt11639300/fullcredits/, friendlyName=Open source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7" t="e">
        <x:f>HYPERLINK("https://en.wikipedia.org/wiki/Grace","Open source")</x:f>
        <x:v>HYPERLINK is not implemented. linkLocation=https://en.wikipedia.org/wiki/Grace, friendlyName=Open source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 t="str">
        <x:v>No established-register match</x:v>
      </x:c>
      <x:c r="AT652" s="14"/>
      <x:c r="AU652" s="14"/>
      <x:c r="AV652" s="14" t="str">
        <x:v>No established apparent-disability match</x:v>
      </x:c>
      <x:c r="AW652" s="14"/>
      <x:c r="AX652" s="14" t="str">
        <x:v>No</x:v>
      </x:c>
      <x:c r="AY652" s="14" t="str">
        <x:v>Unmatched</x:v>
      </x:c>
      <x:c r="AZ652" s="14" t="str">
        <x:v>Final supplied register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20</x:v>
      </x:c>
      <x:c r="BP652" s="14" t="str">
        <x:v>Maximum eligible IMDb cast-credit total (20), shared by 4 performer(s); not independently verified as a 2021-only episode total.</x:v>
      </x:c>
      <x:c r="BQ652" s="14" t="str">
        <x:v>Medium</x:v>
      </x:c>
      <x:c r="BR652" s="15" t="n">
        <x:v>3</x:v>
      </x:c>
      <x:c r="BS652" s="16" t="n">
        <x:v>0.15</x:v>
      </x:c>
      <x:c r="BT652" s="14" t="str">
        <x:v>Minority of episodes</x:v>
      </x:c>
      <x:c r="BU652" s="14" t="str">
        <x:v>Medium</x:v>
      </x:c>
      <x:c r="BV652" s="14" t="str">
        <x:v>Derived from supplied IMDb episode count and the documented production-total proxy.</x:v>
      </x:c>
      <x:c r="BW652" s="14" t="str">
        <x:v>Unable to determine</x:v>
      </x:c>
      <x:c r="BX652" s="14" t="str">
        <x:v>Supplied cast data establishes the credit and episode presence but does not establish narrative prominence.</x:v>
      </x:c>
      <x:c r="BY652" s="14" t="str">
        <x:v>Supplied IMDb cast-list workbook</x:v>
      </x:c>
      <x:c r="BZ652" s="14" t="str">
        <x:v>HYPERLINK is not implemented. linkLocation=https://www.imdb.com/title/tt11639300/fullcredits/, friendlyName=Open source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tt11639300|nm0397928|man on phone / fergus doyle</x:v>
      </x:c>
      <x:c r="B653" s="14" t="str">
        <x:v>02</x:v>
      </x:c>
      <x:c r="C653" s="14" t="str">
        <x:v>2021_IMDb_Cast_Lists_Batch_02(1).xlsx</x:v>
      </x:c>
      <x:c r="D653" s="14" t="str">
        <x:v>Grace</x:v>
      </x:c>
      <x:c r="E653" s="14" t="n">
        <x:v>28</x:v>
      </x:c>
      <x:c r="F653" s="14" t="str">
        <x:v>Grace</x:v>
      </x:c>
      <x:c r="G653" s="14" t="str">
        <x:v>tt11639300</x:v>
      </x:c>
      <x:c r="H653" s="14" t="n">
        <x:v>2021</x:v>
      </x:c>
      <x:c r="I653" s="14" t="n">
        <x:v>2025</x:v>
      </x:c>
      <x:c r="J653" s="14" t="str">
        <x:v>Earlier-Production Carry-In Cohort</x:v>
      </x:c>
      <x:c r="K653" s="14" t="n">
        <x:v>2021</x:v>
      </x:c>
      <x:c r="L653" s="14" t="str">
        <x:v>Available from 2021 analysis</x:v>
      </x:c>
      <x:c r="M653" s="15" t="n">
        <x:v>21</x:v>
      </x:c>
      <x:c r="N653" s="14" t="str">
        <x:v>Anthony Howell</x:v>
      </x:c>
      <x:c r="O653" s="14" t="str">
        <x:v>nm0397928</x:v>
      </x:c>
      <x:c r="P653" s="14" t="str">
        <x:v>Man on Phone / Fergus Doyle</x:v>
      </x:c>
      <x:c r="Q653" s="15" t="n">
        <x:v>2</x:v>
      </x:c>
      <x:c r="R653" s="14" t="str">
        <x:v>2025–2026</x:v>
      </x:c>
      <x:c r="S653" s="14" t="n">
        <x:v>2025</x:v>
      </x:c>
      <x:c r="T653" s="14" t="n">
        <x:v>2025</x:v>
      </x:c>
      <x:c r="U653" s="14" t="str">
        <x:v>Post-2021 casting excluded</x:v>
      </x:c>
      <x:c r="V653" s="14" t="str">
        <x:v>Earliest supplied year is 2025, later than the 2021 study year.</x:v>
      </x:c>
      <x:c r="W653" s="14"/>
      <x:c r="X653" s="14" t="str">
        <x:v>Included</x:v>
      </x:c>
      <x:c r="Y653" s="14"/>
      <x:c r="Z653" s="14" t="str">
        <x:v>Grace.docx</x:v>
      </x:c>
      <x:c r="AA653" s="14" t="str">
        <x:v>HYPERLINK is not implemented. linkLocation=https://www.imdb.com/title/tt11639300/fullcredits/, friendlyName=Open source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7" t="e">
        <x:f>HYPERLINK("https://en.wikipedia.org/wiki/Grace","Open source")</x:f>
        <x:v>HYPERLINK is not implemented. linkLocation=https://en.wikipedia.org/wiki/Grace, friendlyName=Open source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 t="str">
        <x:v>No established-register match</x:v>
      </x:c>
      <x:c r="AT653" s="14"/>
      <x:c r="AU653" s="14"/>
      <x:c r="AV653" s="14" t="str">
        <x:v>No established apparent-disability match</x:v>
      </x:c>
      <x:c r="AW653" s="14"/>
      <x:c r="AX653" s="14" t="str">
        <x:v>No</x:v>
      </x:c>
      <x:c r="AY653" s="14" t="str">
        <x:v>Unmatched</x:v>
      </x:c>
      <x:c r="AZ653" s="14" t="str">
        <x:v>Final supplied register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20</x:v>
      </x:c>
      <x:c r="BP653" s="14" t="str">
        <x:v>Maximum eligible IMDb cast-credit total (20), shared by 4 performer(s); not independently verified as a 2021-only episode total.</x:v>
      </x:c>
      <x:c r="BQ653" s="14" t="str">
        <x:v>Medium</x:v>
      </x:c>
      <x:c r="BR653" s="15" t="n">
        <x:v>2</x:v>
      </x:c>
      <x:c r="BS653" s="16" t="n">
        <x:v>0.1</x:v>
      </x:c>
      <x:c r="BT653" s="14" t="str">
        <x:v>Minority of episodes</x:v>
      </x:c>
      <x:c r="BU653" s="14" t="str">
        <x:v>Medium</x:v>
      </x:c>
      <x:c r="BV653" s="14" t="str">
        <x:v>Derived from supplied IMDb episode count and the documented production-total proxy.</x:v>
      </x:c>
      <x:c r="BW653" s="14" t="str">
        <x:v>Unable to determine</x:v>
      </x:c>
      <x:c r="BX653" s="14" t="str">
        <x:v>Supplied cast data establishes the credit and episode presence but does not establish narrative prominence.</x:v>
      </x:c>
      <x:c r="BY653" s="14" t="str">
        <x:v>Supplied IMDb cast-list workbook</x:v>
      </x:c>
      <x:c r="BZ653" s="14" t="str">
        <x:v>HYPERLINK is not implemented. linkLocation=https://www.imdb.com/title/tt11639300/fullcredits/, friendlyName=Open source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tt11639300|nm12039598|tribunal chair / prosecution lawyer</x:v>
      </x:c>
      <x:c r="B654" s="14" t="str">
        <x:v>02</x:v>
      </x:c>
      <x:c r="C654" s="14" t="str">
        <x:v>2021_IMDb_Cast_Lists_Batch_02(1).xlsx</x:v>
      </x:c>
      <x:c r="D654" s="14" t="str">
        <x:v>Grace</x:v>
      </x:c>
      <x:c r="E654" s="14" t="n">
        <x:v>34</x:v>
      </x:c>
      <x:c r="F654" s="14" t="str">
        <x:v>Grace</x:v>
      </x:c>
      <x:c r="G654" s="14" t="str">
        <x:v>tt11639300</x:v>
      </x:c>
      <x:c r="H654" s="14" t="n">
        <x:v>2021</x:v>
      </x:c>
      <x:c r="I654" s="14" t="n">
        <x:v>2025</x:v>
      </x:c>
      <x:c r="J654" s="14" t="str">
        <x:v>Earlier-Production Carry-In Cohort</x:v>
      </x:c>
      <x:c r="K654" s="14" t="n">
        <x:v>2021</x:v>
      </x:c>
      <x:c r="L654" s="14" t="str">
        <x:v>Available from 2021 analysis</x:v>
      </x:c>
      <x:c r="M654" s="15" t="n">
        <x:v>27</x:v>
      </x:c>
      <x:c r="N654" s="14" t="str">
        <x:v>Victoria Bolt</x:v>
      </x:c>
      <x:c r="O654" s="14" t="str">
        <x:v>nm12039598</x:v>
      </x:c>
      <x:c r="P654" s="14" t="str">
        <x:v>Tribunal Chair / Prosecution Lawyer</x:v>
      </x:c>
      <x:c r="Q654" s="15" t="n">
        <x:v>2</x:v>
      </x:c>
      <x:c r="R654" s="14" t="str">
        <x:v>2025–2026</x:v>
      </x:c>
      <x:c r="S654" s="14" t="n">
        <x:v>2025</x:v>
      </x:c>
      <x:c r="T654" s="14" t="n">
        <x:v>2025</x:v>
      </x:c>
      <x:c r="U654" s="14" t="str">
        <x:v>Post-2021 casting excluded</x:v>
      </x:c>
      <x:c r="V654" s="14" t="str">
        <x:v>Earliest supplied year is 2025, later than the 2021 study year.</x:v>
      </x:c>
      <x:c r="W654" s="14"/>
      <x:c r="X654" s="14" t="str">
        <x:v>Included</x:v>
      </x:c>
      <x:c r="Y654" s="14"/>
      <x:c r="Z654" s="14" t="str">
        <x:v>Grace.docx</x:v>
      </x:c>
      <x:c r="AA654" s="14" t="str">
        <x:v>HYPERLINK is not implemented. linkLocation=https://www.imdb.com/title/tt11639300/fullcredits/, friendlyName=Open source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7" t="e">
        <x:f>HYPERLINK("https://en.wikipedia.org/wiki/Grace","Open source")</x:f>
        <x:v>HYPERLINK is not implemented. linkLocation=https://en.wikipedia.org/wiki/Grace, friendlyName=Open source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 t="str">
        <x:v>No established-register match</x:v>
      </x:c>
      <x:c r="AT654" s="14"/>
      <x:c r="AU654" s="14"/>
      <x:c r="AV654" s="14" t="str">
        <x:v>No established apparent-disability match</x:v>
      </x:c>
      <x:c r="AW654" s="14"/>
      <x:c r="AX654" s="14" t="str">
        <x:v>No</x:v>
      </x:c>
      <x:c r="AY654" s="14" t="str">
        <x:v>Unmatched</x:v>
      </x:c>
      <x:c r="AZ654" s="14" t="str">
        <x:v>Final supplied register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20</x:v>
      </x:c>
      <x:c r="BP654" s="14" t="str">
        <x:v>Maximum eligible IMDb cast-credit total (20), shared by 4 performer(s); not independently verified as a 2021-only episode total.</x:v>
      </x:c>
      <x:c r="BQ654" s="14" t="str">
        <x:v>Medium</x:v>
      </x:c>
      <x:c r="BR654" s="15" t="n">
        <x:v>2</x:v>
      </x:c>
      <x:c r="BS654" s="16" t="n">
        <x:v>0.1</x:v>
      </x:c>
      <x:c r="BT654" s="14" t="str">
        <x:v>Minority of episodes</x:v>
      </x:c>
      <x:c r="BU654" s="14" t="str">
        <x:v>Medium</x:v>
      </x:c>
      <x:c r="BV654" s="14" t="str">
        <x:v>Derived from supplied IMDb episode count and the documented production-total proxy.</x:v>
      </x:c>
      <x:c r="BW654" s="14" t="str">
        <x:v>Unable to determine</x:v>
      </x:c>
      <x:c r="BX654" s="14" t="str">
        <x:v>Supplied cast data establishes the credit and episode presence but does not establish narrative prominence.</x:v>
      </x:c>
      <x:c r="BY654" s="14" t="str">
        <x:v>Supplied IMDb cast-list workbook</x:v>
      </x:c>
      <x:c r="BZ654" s="14" t="str">
        <x:v>HYPERLINK is not implemented. linkLocation=https://www.imdb.com/title/tt11639300/fullcredits/, friendlyName=Open source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tt11639300|nm2041238|hannah belling</x:v>
      </x:c>
      <x:c r="B655" s="14" t="str">
        <x:v>02</x:v>
      </x:c>
      <x:c r="C655" s="14" t="str">
        <x:v>2021_IMDb_Cast_Lists_Batch_02(1).xlsx</x:v>
      </x:c>
      <x:c r="D655" s="14" t="str">
        <x:v>Grace</x:v>
      </x:c>
      <x:c r="E655" s="14" t="n">
        <x:v>41</x:v>
      </x:c>
      <x:c r="F655" s="14" t="str">
        <x:v>Grace</x:v>
      </x:c>
      <x:c r="G655" s="14" t="str">
        <x:v>tt11639300</x:v>
      </x:c>
      <x:c r="H655" s="14" t="n">
        <x:v>2021</x:v>
      </x:c>
      <x:c r="I655" s="14" t="n">
        <x:v>2025</x:v>
      </x:c>
      <x:c r="J655" s="14" t="str">
        <x:v>Earlier-Production Carry-In Cohort</x:v>
      </x:c>
      <x:c r="K655" s="14" t="n">
        <x:v>2021</x:v>
      </x:c>
      <x:c r="L655" s="14" t="str">
        <x:v>Available from 2021 analysis</x:v>
      </x:c>
      <x:c r="M655" s="15" t="n">
        <x:v>34</x:v>
      </x:c>
      <x:c r="N655" s="14" t="str">
        <x:v>Lisa Diveney</x:v>
      </x:c>
      <x:c r="O655" s="14" t="str">
        <x:v>nm2041238</x:v>
      </x:c>
      <x:c r="P655" s="14" t="str">
        <x:v>Hannah Belling</x:v>
      </x:c>
      <x:c r="Q655" s="15" t="n">
        <x:v>1</x:v>
      </x:c>
      <x:c r="R655" s="14" t="str">
        <x:v>2025</x:v>
      </x:c>
      <x:c r="S655" s="14" t="n">
        <x:v>2025</x:v>
      </x:c>
      <x:c r="T655" s="14" t="n">
        <x:v>2025</x:v>
      </x:c>
      <x:c r="U655" s="14" t="str">
        <x:v>Post-2021 casting excluded</x:v>
      </x:c>
      <x:c r="V655" s="14" t="str">
        <x:v>Earliest supplied year is 2025, later than the 2021 study year.</x:v>
      </x:c>
      <x:c r="W655" s="14"/>
      <x:c r="X655" s="14" t="str">
        <x:v>Included</x:v>
      </x:c>
      <x:c r="Y655" s="14"/>
      <x:c r="Z655" s="14" t="str">
        <x:v>Grace.docx</x:v>
      </x:c>
      <x:c r="AA655" s="14" t="str">
        <x:v>HYPERLINK is not implemented. linkLocation=https://www.imdb.com/title/tt11639300/fullcredits/, friendlyName=Open source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7" t="e">
        <x:f>HYPERLINK("https://en.wikipedia.org/wiki/Grace","Open source")</x:f>
        <x:v>HYPERLINK is not implemented. linkLocation=https://en.wikipedia.org/wiki/Grace, friendlyName=Open source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 t="str">
        <x:v>No established-register match</x:v>
      </x:c>
      <x:c r="AT655" s="14"/>
      <x:c r="AU655" s="14"/>
      <x:c r="AV655" s="14" t="str">
        <x:v>No established apparent-disability match</x:v>
      </x:c>
      <x:c r="AW655" s="14"/>
      <x:c r="AX655" s="14" t="str">
        <x:v>No</x:v>
      </x:c>
      <x:c r="AY655" s="14" t="str">
        <x:v>Unmatched</x:v>
      </x:c>
      <x:c r="AZ655" s="14" t="str">
        <x:v>Final supplied register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20</x:v>
      </x:c>
      <x:c r="BP655" s="14" t="str">
        <x:v>Maximum eligible IMDb cast-credit total (20), shared by 4 performer(s); not independently verified as a 2021-only episode total.</x:v>
      </x:c>
      <x:c r="BQ655" s="14" t="str">
        <x:v>Medium</x:v>
      </x:c>
      <x:c r="BR655" s="15" t="n">
        <x:v>1</x:v>
      </x:c>
      <x:c r="BS655" s="16" t="n">
        <x:v>0.05</x:v>
      </x:c>
      <x:c r="BT655" s="14" t="str">
        <x:v>One episode</x:v>
      </x:c>
      <x:c r="BU655" s="14" t="str">
        <x:v>Medium</x:v>
      </x:c>
      <x:c r="BV655" s="14" t="str">
        <x:v>Derived from supplied IMDb episode count and the documented production-total proxy.</x:v>
      </x:c>
      <x:c r="BW655" s="14" t="str">
        <x:v>Unable to determine</x:v>
      </x:c>
      <x:c r="BX655" s="14" t="str">
        <x:v>Supplied cast data establishes the credit and episode presence but does not establish narrative prominence.</x:v>
      </x:c>
      <x:c r="BY655" s="14" t="str">
        <x:v>Supplied IMDb cast-list workbook</x:v>
      </x:c>
      <x:c r="BZ655" s="14" t="str">
        <x:v>HYPERLINK is not implemented. linkLocation=https://www.imdb.com/title/tt11639300/fullcredits/, friendlyName=Open source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tt11639300|nm2957851|emily harton</x:v>
      </x:c>
      <x:c r="B656" s="14" t="str">
        <x:v>02</x:v>
      </x:c>
      <x:c r="C656" s="14" t="str">
        <x:v>2021_IMDb_Cast_Lists_Batch_02(1).xlsx</x:v>
      </x:c>
      <x:c r="D656" s="14" t="str">
        <x:v>Grace</x:v>
      </x:c>
      <x:c r="E656" s="14" t="n">
        <x:v>42</x:v>
      </x:c>
      <x:c r="F656" s="14" t="str">
        <x:v>Grace</x:v>
      </x:c>
      <x:c r="G656" s="14" t="str">
        <x:v>tt11639300</x:v>
      </x:c>
      <x:c r="H656" s="14" t="n">
        <x:v>2021</x:v>
      </x:c>
      <x:c r="I656" s="14" t="n">
        <x:v>2025</x:v>
      </x:c>
      <x:c r="J656" s="14" t="str">
        <x:v>Earlier-Production Carry-In Cohort</x:v>
      </x:c>
      <x:c r="K656" s="14" t="n">
        <x:v>2021</x:v>
      </x:c>
      <x:c r="L656" s="14" t="str">
        <x:v>Available from 2021 analysis</x:v>
      </x:c>
      <x:c r="M656" s="15" t="n">
        <x:v>35</x:v>
      </x:c>
      <x:c r="N656" s="14" t="str">
        <x:v>Juliet Oldfield</x:v>
      </x:c>
      <x:c r="O656" s="14" t="str">
        <x:v>nm2957851</x:v>
      </x:c>
      <x:c r="P656" s="14" t="str">
        <x:v>Emily Harton</x:v>
      </x:c>
      <x:c r="Q656" s="15" t="n">
        <x:v>1</x:v>
      </x:c>
      <x:c r="R656" s="14" t="str">
        <x:v>2025</x:v>
      </x:c>
      <x:c r="S656" s="14" t="n">
        <x:v>2025</x:v>
      </x:c>
      <x:c r="T656" s="14" t="n">
        <x:v>2025</x:v>
      </x:c>
      <x:c r="U656" s="14" t="str">
        <x:v>Post-2021 casting excluded</x:v>
      </x:c>
      <x:c r="V656" s="14" t="str">
        <x:v>Earliest supplied year is 2025, later than the 2021 study year.</x:v>
      </x:c>
      <x:c r="W656" s="14"/>
      <x:c r="X656" s="14" t="str">
        <x:v>Included</x:v>
      </x:c>
      <x:c r="Y656" s="14"/>
      <x:c r="Z656" s="14" t="str">
        <x:v>Grace.docx</x:v>
      </x:c>
      <x:c r="AA656" s="14" t="str">
        <x:v>HYPERLINK is not implemented. linkLocation=https://www.imdb.com/title/tt11639300/fullcredits/, friendlyName=Open source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7" t="e">
        <x:f>HYPERLINK("https://en.wikipedia.org/wiki/Grace","Open source")</x:f>
        <x:v>HYPERLINK is not implemented. linkLocation=https://en.wikipedia.org/wiki/Grace, friendlyName=Open source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 t="str">
        <x:v>No established-register match</x:v>
      </x:c>
      <x:c r="AT656" s="14"/>
      <x:c r="AU656" s="14"/>
      <x:c r="AV656" s="14" t="str">
        <x:v>No established apparent-disability match</x:v>
      </x:c>
      <x:c r="AW656" s="14"/>
      <x:c r="AX656" s="14" t="str">
        <x:v>No</x:v>
      </x:c>
      <x:c r="AY656" s="14" t="str">
        <x:v>Unmatched</x:v>
      </x:c>
      <x:c r="AZ656" s="14" t="str">
        <x:v>Final supplied register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20</x:v>
      </x:c>
      <x:c r="BP656" s="14" t="str">
        <x:v>Maximum eligible IMDb cast-credit total (20), shared by 4 performer(s); not independently verified as a 2021-only episode total.</x:v>
      </x:c>
      <x:c r="BQ656" s="14" t="str">
        <x:v>Medium</x:v>
      </x:c>
      <x:c r="BR656" s="15" t="n">
        <x:v>1</x:v>
      </x:c>
      <x:c r="BS656" s="16" t="n">
        <x:v>0.05</x:v>
      </x:c>
      <x:c r="BT656" s="14" t="str">
        <x:v>One episode</x:v>
      </x:c>
      <x:c r="BU656" s="14" t="str">
        <x:v>Medium</x:v>
      </x:c>
      <x:c r="BV656" s="14" t="str">
        <x:v>Derived from supplied IMDb episode count and the documented production-total proxy.</x:v>
      </x:c>
      <x:c r="BW656" s="14" t="str">
        <x:v>Unable to determine</x:v>
      </x:c>
      <x:c r="BX656" s="14" t="str">
        <x:v>Supplied cast data establishes the credit and episode presence but does not establish narrative prominence.</x:v>
      </x:c>
      <x:c r="BY656" s="14" t="str">
        <x:v>Supplied IMDb cast-list workbook</x:v>
      </x:c>
      <x:c r="BZ656" s="14" t="str">
        <x:v>HYPERLINK is not implemented. linkLocation=https://www.imdb.com/title/tt11639300/fullcredits/, friendlyName=Open source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tt11639300|nm10650868|jasmine alson</x:v>
      </x:c>
      <x:c r="B657" s="14" t="str">
        <x:v>02</x:v>
      </x:c>
      <x:c r="C657" s="14" t="str">
        <x:v>2021_IMDb_Cast_Lists_Batch_02(1).xlsx</x:v>
      </x:c>
      <x:c r="D657" s="14" t="str">
        <x:v>Grace</x:v>
      </x:c>
      <x:c r="E657" s="14" t="n">
        <x:v>55</x:v>
      </x:c>
      <x:c r="F657" s="14" t="str">
        <x:v>Grace</x:v>
      </x:c>
      <x:c r="G657" s="14" t="str">
        <x:v>tt11639300</x:v>
      </x:c>
      <x:c r="H657" s="14" t="n">
        <x:v>2021</x:v>
      </x:c>
      <x:c r="I657" s="14" t="n">
        <x:v>2025</x:v>
      </x:c>
      <x:c r="J657" s="14" t="str">
        <x:v>Earlier-Production Carry-In Cohort</x:v>
      </x:c>
      <x:c r="K657" s="14" t="n">
        <x:v>2021</x:v>
      </x:c>
      <x:c r="L657" s="14" t="str">
        <x:v>Available from 2021 analysis</x:v>
      </x:c>
      <x:c r="M657" s="15" t="n">
        <x:v>48</x:v>
      </x:c>
      <x:c r="N657" s="14" t="str">
        <x:v>Shanay Neusum-James</x:v>
      </x:c>
      <x:c r="O657" s="14" t="str">
        <x:v>nm10650868</x:v>
      </x:c>
      <x:c r="P657" s="14" t="str">
        <x:v>Jasmine Alson</x:v>
      </x:c>
      <x:c r="Q657" s="15" t="n">
        <x:v>1</x:v>
      </x:c>
      <x:c r="R657" s="14" t="str">
        <x:v>2025</x:v>
      </x:c>
      <x:c r="S657" s="14" t="n">
        <x:v>2025</x:v>
      </x:c>
      <x:c r="T657" s="14" t="n">
        <x:v>2025</x:v>
      </x:c>
      <x:c r="U657" s="14" t="str">
        <x:v>Post-2021 casting excluded</x:v>
      </x:c>
      <x:c r="V657" s="14" t="str">
        <x:v>Earliest supplied year is 2025, later than the 2021 study year.</x:v>
      </x:c>
      <x:c r="W657" s="14"/>
      <x:c r="X657" s="14" t="str">
        <x:v>Included</x:v>
      </x:c>
      <x:c r="Y657" s="14"/>
      <x:c r="Z657" s="14" t="str">
        <x:v>Grace.docx</x:v>
      </x:c>
      <x:c r="AA657" s="14" t="str">
        <x:v>HYPERLINK is not implemented. linkLocation=https://www.imdb.com/title/tt11639300/fullcredits/, friendlyName=Open source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7" t="e">
        <x:f>HYPERLINK("https://en.wikipedia.org/wiki/Grace","Open source")</x:f>
        <x:v>HYPERLINK is not implemented. linkLocation=https://en.wikipedia.org/wiki/Grace, friendlyName=Open source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 t="str">
        <x:v>No established-register match</x:v>
      </x:c>
      <x:c r="AT657" s="14"/>
      <x:c r="AU657" s="14"/>
      <x:c r="AV657" s="14" t="str">
        <x:v>No established apparent-disability match</x:v>
      </x:c>
      <x:c r="AW657" s="14"/>
      <x:c r="AX657" s="14" t="str">
        <x:v>No</x:v>
      </x:c>
      <x:c r="AY657" s="14" t="str">
        <x:v>Unmatched</x:v>
      </x:c>
      <x:c r="AZ657" s="14" t="str">
        <x:v>Final supplied register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20</x:v>
      </x:c>
      <x:c r="BP657" s="14" t="str">
        <x:v>Maximum eligible IMDb cast-credit total (20), shared by 4 performer(s); not independently verified as a 2021-only episode total.</x:v>
      </x:c>
      <x:c r="BQ657" s="14" t="str">
        <x:v>Medium</x:v>
      </x:c>
      <x:c r="BR657" s="15" t="n">
        <x:v>1</x:v>
      </x:c>
      <x:c r="BS657" s="16" t="n">
        <x:v>0.05</x:v>
      </x:c>
      <x:c r="BT657" s="14" t="str">
        <x:v>One episode</x:v>
      </x:c>
      <x:c r="BU657" s="14" t="str">
        <x:v>Medium</x:v>
      </x:c>
      <x:c r="BV657" s="14" t="str">
        <x:v>Derived from supplied IMDb episode count and the documented production-total proxy.</x:v>
      </x:c>
      <x:c r="BW657" s="14" t="str">
        <x:v>Unable to determine</x:v>
      </x:c>
      <x:c r="BX657" s="14" t="str">
        <x:v>Supplied cast data establishes the credit and episode presence but does not establish narrative prominence.</x:v>
      </x:c>
      <x:c r="BY657" s="14" t="str">
        <x:v>Supplied IMDb cast-list workbook</x:v>
      </x:c>
      <x:c r="BZ657" s="14" t="str">
        <x:v>HYPERLINK is not implemented. linkLocation=https://www.imdb.com/title/tt11639300/fullcredits/, friendlyName=Open source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tt11639300|nm7725793|toby seward</x:v>
      </x:c>
      <x:c r="B658" s="14" t="str">
        <x:v>02</x:v>
      </x:c>
      <x:c r="C658" s="14" t="str">
        <x:v>2021_IMDb_Cast_Lists_Batch_02(1).xlsx</x:v>
      </x:c>
      <x:c r="D658" s="14" t="str">
        <x:v>Grace</x:v>
      </x:c>
      <x:c r="E658" s="14" t="n">
        <x:v>56</x:v>
      </x:c>
      <x:c r="F658" s="14" t="str">
        <x:v>Grace</x:v>
      </x:c>
      <x:c r="G658" s="14" t="str">
        <x:v>tt11639300</x:v>
      </x:c>
      <x:c r="H658" s="14" t="n">
        <x:v>2021</x:v>
      </x:c>
      <x:c r="I658" s="14" t="n">
        <x:v>2025</x:v>
      </x:c>
      <x:c r="J658" s="14" t="str">
        <x:v>Earlier-Production Carry-In Cohort</x:v>
      </x:c>
      <x:c r="K658" s="14" t="n">
        <x:v>2021</x:v>
      </x:c>
      <x:c r="L658" s="14" t="str">
        <x:v>Available from 2021 analysis</x:v>
      </x:c>
      <x:c r="M658" s="15" t="n">
        <x:v>49</x:v>
      </x:c>
      <x:c r="N658" s="14" t="str">
        <x:v>Ben Cutler</x:v>
      </x:c>
      <x:c r="O658" s="14" t="str">
        <x:v>nm7725793</x:v>
      </x:c>
      <x:c r="P658" s="14" t="str">
        <x:v>Toby Seward</x:v>
      </x:c>
      <x:c r="Q658" s="15" t="n">
        <x:v>1</x:v>
      </x:c>
      <x:c r="R658" s="14" t="str">
        <x:v>2025</x:v>
      </x:c>
      <x:c r="S658" s="14" t="n">
        <x:v>2025</x:v>
      </x:c>
      <x:c r="T658" s="14" t="n">
        <x:v>2025</x:v>
      </x:c>
      <x:c r="U658" s="14" t="str">
        <x:v>Post-2021 casting excluded</x:v>
      </x:c>
      <x:c r="V658" s="14" t="str">
        <x:v>Earliest supplied year is 2025, later than the 2021 study year.</x:v>
      </x:c>
      <x:c r="W658" s="14"/>
      <x:c r="X658" s="14" t="str">
        <x:v>Included</x:v>
      </x:c>
      <x:c r="Y658" s="14"/>
      <x:c r="Z658" s="14" t="str">
        <x:v>Grace.docx</x:v>
      </x:c>
      <x:c r="AA658" s="14" t="str">
        <x:v>HYPERLINK is not implemented. linkLocation=https://www.imdb.com/title/tt11639300/fullcredits/, friendlyName=Open source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7" t="e">
        <x:f>HYPERLINK("https://en.wikipedia.org/wiki/Grace","Open source")</x:f>
        <x:v>HYPERLINK is not implemented. linkLocation=https://en.wikipedia.org/wiki/Grace, friendlyName=Open source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 t="str">
        <x:v>No established-register match</x:v>
      </x:c>
      <x:c r="AT658" s="14"/>
      <x:c r="AU658" s="14"/>
      <x:c r="AV658" s="14" t="str">
        <x:v>No established apparent-disability match</x:v>
      </x:c>
      <x:c r="AW658" s="14"/>
      <x:c r="AX658" s="14" t="str">
        <x:v>No</x:v>
      </x:c>
      <x:c r="AY658" s="14" t="str">
        <x:v>Unmatched</x:v>
      </x:c>
      <x:c r="AZ658" s="14" t="str">
        <x:v>Final supplied register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20</x:v>
      </x:c>
      <x:c r="BP658" s="14" t="str">
        <x:v>Maximum eligible IMDb cast-credit total (20), shared by 4 performer(s); not independently verified as a 2021-only episode total.</x:v>
      </x:c>
      <x:c r="BQ658" s="14" t="str">
        <x:v>Medium</x:v>
      </x:c>
      <x:c r="BR658" s="15" t="n">
        <x:v>1</x:v>
      </x:c>
      <x:c r="BS658" s="16" t="n">
        <x:v>0.05</x:v>
      </x:c>
      <x:c r="BT658" s="14" t="str">
        <x:v>One episode</x:v>
      </x:c>
      <x:c r="BU658" s="14" t="str">
        <x:v>Medium</x:v>
      </x:c>
      <x:c r="BV658" s="14" t="str">
        <x:v>Derived from supplied IMDb episode count and the documented production-total proxy.</x:v>
      </x:c>
      <x:c r="BW658" s="14" t="str">
        <x:v>Unable to determine</x:v>
      </x:c>
      <x:c r="BX658" s="14" t="str">
        <x:v>Supplied cast data establishes the credit and episode presence but does not establish narrative prominence.</x:v>
      </x:c>
      <x:c r="BY658" s="14" t="str">
        <x:v>Supplied IMDb cast-list workbook</x:v>
      </x:c>
      <x:c r="BZ658" s="14" t="str">
        <x:v>HYPERLINK is not implemented. linkLocation=https://www.imdb.com/title/tt11639300/fullcredits/, friendlyName=Open source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tt11639300|nm1469291|charlotte seward</x:v>
      </x:c>
      <x:c r="B659" s="14" t="str">
        <x:v>02</x:v>
      </x:c>
      <x:c r="C659" s="14" t="str">
        <x:v>2021_IMDb_Cast_Lists_Batch_02(1).xlsx</x:v>
      </x:c>
      <x:c r="D659" s="14" t="str">
        <x:v>Grace</x:v>
      </x:c>
      <x:c r="E659" s="14" t="n">
        <x:v>66</x:v>
      </x:c>
      <x:c r="F659" s="14" t="str">
        <x:v>Grace</x:v>
      </x:c>
      <x:c r="G659" s="14" t="str">
        <x:v>tt11639300</x:v>
      </x:c>
      <x:c r="H659" s="14" t="n">
        <x:v>2021</x:v>
      </x:c>
      <x:c r="I659" s="14" t="n">
        <x:v>2025</x:v>
      </x:c>
      <x:c r="J659" s="14" t="str">
        <x:v>Earlier-Production Carry-In Cohort</x:v>
      </x:c>
      <x:c r="K659" s="14" t="n">
        <x:v>2021</x:v>
      </x:c>
      <x:c r="L659" s="14" t="str">
        <x:v>Available from 2021 analysis</x:v>
      </x:c>
      <x:c r="M659" s="15" t="n">
        <x:v>59</x:v>
      </x:c>
      <x:c r="N659" s="14" t="str">
        <x:v>Cat Simmons</x:v>
      </x:c>
      <x:c r="O659" s="14" t="str">
        <x:v>nm1469291</x:v>
      </x:c>
      <x:c r="P659" s="14" t="str">
        <x:v>Charlotte Seward</x:v>
      </x:c>
      <x:c r="Q659" s="15" t="n">
        <x:v>1</x:v>
      </x:c>
      <x:c r="R659" s="14" t="str">
        <x:v>2025</x:v>
      </x:c>
      <x:c r="S659" s="14" t="n">
        <x:v>2025</x:v>
      </x:c>
      <x:c r="T659" s="14" t="n">
        <x:v>2025</x:v>
      </x:c>
      <x:c r="U659" s="14" t="str">
        <x:v>Post-2021 casting excluded</x:v>
      </x:c>
      <x:c r="V659" s="14" t="str">
        <x:v>Earliest supplied year is 2025, later than the 2021 study year.</x:v>
      </x:c>
      <x:c r="W659" s="14"/>
      <x:c r="X659" s="14" t="str">
        <x:v>Included</x:v>
      </x:c>
      <x:c r="Y659" s="14"/>
      <x:c r="Z659" s="14" t="str">
        <x:v>Grace.docx</x:v>
      </x:c>
      <x:c r="AA659" s="14" t="str">
        <x:v>HYPERLINK is not implemented. linkLocation=https://www.imdb.com/title/tt11639300/fullcredits/, friendlyName=Open source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7" t="e">
        <x:f>HYPERLINK("https://en.wikipedia.org/wiki/Grace","Open source")</x:f>
        <x:v>HYPERLINK is not implemented. linkLocation=https://en.wikipedia.org/wiki/Grace, friendlyName=Open source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 t="str">
        <x:v>No established-register match</x:v>
      </x:c>
      <x:c r="AT659" s="14"/>
      <x:c r="AU659" s="14"/>
      <x:c r="AV659" s="14" t="str">
        <x:v>No established apparent-disability match</x:v>
      </x:c>
      <x:c r="AW659" s="14"/>
      <x:c r="AX659" s="14" t="str">
        <x:v>No</x:v>
      </x:c>
      <x:c r="AY659" s="14" t="str">
        <x:v>Unmatched</x:v>
      </x:c>
      <x:c r="AZ659" s="14" t="str">
        <x:v>Final supplied register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20</x:v>
      </x:c>
      <x:c r="BP659" s="14" t="str">
        <x:v>Maximum eligible IMDb cast-credit total (20), shared by 4 performer(s); not independently verified as a 2021-only episode total.</x:v>
      </x:c>
      <x:c r="BQ659" s="14" t="str">
        <x:v>Medium</x:v>
      </x:c>
      <x:c r="BR659" s="15" t="n">
        <x:v>1</x:v>
      </x:c>
      <x:c r="BS659" s="16" t="n">
        <x:v>0.05</x:v>
      </x:c>
      <x:c r="BT659" s="14" t="str">
        <x:v>One episode</x:v>
      </x:c>
      <x:c r="BU659" s="14" t="str">
        <x:v>Medium</x:v>
      </x:c>
      <x:c r="BV659" s="14" t="str">
        <x:v>Derived from supplied IMDb episode count and the documented production-total proxy.</x:v>
      </x:c>
      <x:c r="BW659" s="14" t="str">
        <x:v>Unable to determine</x:v>
      </x:c>
      <x:c r="BX659" s="14" t="str">
        <x:v>Supplied cast data establishes the credit and episode presence but does not establish narrative prominence.</x:v>
      </x:c>
      <x:c r="BY659" s="14" t="str">
        <x:v>Supplied IMDb cast-list workbook</x:v>
      </x:c>
      <x:c r="BZ659" s="14" t="str">
        <x:v>HYPERLINK is not implemented. linkLocation=https://www.imdb.com/title/tt11639300/fullcredits/, friendlyName=Open source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tt11639300|nm2467286|sara joshi</x:v>
      </x:c>
      <x:c r="B660" s="14" t="str">
        <x:v>02</x:v>
      </x:c>
      <x:c r="C660" s="14" t="str">
        <x:v>2021_IMDb_Cast_Lists_Batch_02(1).xlsx</x:v>
      </x:c>
      <x:c r="D660" s="14" t="str">
        <x:v>Grace</x:v>
      </x:c>
      <x:c r="E660" s="14" t="n">
        <x:v>67</x:v>
      </x:c>
      <x:c r="F660" s="14" t="str">
        <x:v>Grace</x:v>
      </x:c>
      <x:c r="G660" s="14" t="str">
        <x:v>tt11639300</x:v>
      </x:c>
      <x:c r="H660" s="14" t="n">
        <x:v>2021</x:v>
      </x:c>
      <x:c r="I660" s="14" t="n">
        <x:v>2025</x:v>
      </x:c>
      <x:c r="J660" s="14" t="str">
        <x:v>Earlier-Production Carry-In Cohort</x:v>
      </x:c>
      <x:c r="K660" s="14" t="n">
        <x:v>2021</x:v>
      </x:c>
      <x:c r="L660" s="14" t="str">
        <x:v>Available from 2021 analysis</x:v>
      </x:c>
      <x:c r="M660" s="15" t="n">
        <x:v>60</x:v>
      </x:c>
      <x:c r="N660" s="14" t="str">
        <x:v>Kiran Landa</x:v>
      </x:c>
      <x:c r="O660" s="14" t="str">
        <x:v>nm2467286</x:v>
      </x:c>
      <x:c r="P660" s="14" t="str">
        <x:v>Sara Joshi</x:v>
      </x:c>
      <x:c r="Q660" s="15" t="n">
        <x:v>1</x:v>
      </x:c>
      <x:c r="R660" s="14" t="str">
        <x:v>2025</x:v>
      </x:c>
      <x:c r="S660" s="14" t="n">
        <x:v>2025</x:v>
      </x:c>
      <x:c r="T660" s="14" t="n">
        <x:v>2025</x:v>
      </x:c>
      <x:c r="U660" s="14" t="str">
        <x:v>Post-2021 casting excluded</x:v>
      </x:c>
      <x:c r="V660" s="14" t="str">
        <x:v>Earliest supplied year is 2025, later than the 2021 study year.</x:v>
      </x:c>
      <x:c r="W660" s="14"/>
      <x:c r="X660" s="14" t="str">
        <x:v>Included</x:v>
      </x:c>
      <x:c r="Y660" s="14"/>
      <x:c r="Z660" s="14" t="str">
        <x:v>Grace.docx</x:v>
      </x:c>
      <x:c r="AA660" s="14" t="str">
        <x:v>HYPERLINK is not implemented. linkLocation=https://www.imdb.com/title/tt11639300/fullcredits/, friendlyName=Open source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7" t="e">
        <x:f>HYPERLINK("https://en.wikipedia.org/wiki/Grace","Open source")</x:f>
        <x:v>HYPERLINK is not implemented. linkLocation=https://en.wikipedia.org/wiki/Grace, friendlyName=Open source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 t="str">
        <x:v>No established-register match</x:v>
      </x:c>
      <x:c r="AT660" s="14"/>
      <x:c r="AU660" s="14"/>
      <x:c r="AV660" s="14" t="str">
        <x:v>No established apparent-disability match</x:v>
      </x:c>
      <x:c r="AW660" s="14"/>
      <x:c r="AX660" s="14" t="str">
        <x:v>No</x:v>
      </x:c>
      <x:c r="AY660" s="14" t="str">
        <x:v>Unmatched</x:v>
      </x:c>
      <x:c r="AZ660" s="14" t="str">
        <x:v>Final supplied register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20</x:v>
      </x:c>
      <x:c r="BP660" s="14" t="str">
        <x:v>Maximum eligible IMDb cast-credit total (20), shared by 4 performer(s); not independently verified as a 2021-only episode total.</x:v>
      </x:c>
      <x:c r="BQ660" s="14" t="str">
        <x:v>Medium</x:v>
      </x:c>
      <x:c r="BR660" s="15" t="n">
        <x:v>1</x:v>
      </x:c>
      <x:c r="BS660" s="16" t="n">
        <x:v>0.05</x:v>
      </x:c>
      <x:c r="BT660" s="14" t="str">
        <x:v>One episode</x:v>
      </x:c>
      <x:c r="BU660" s="14" t="str">
        <x:v>Medium</x:v>
      </x:c>
      <x:c r="BV660" s="14" t="str">
        <x:v>Derived from supplied IMDb episode count and the documented production-total proxy.</x:v>
      </x:c>
      <x:c r="BW660" s="14" t="str">
        <x:v>Unable to determine</x:v>
      </x:c>
      <x:c r="BX660" s="14" t="str">
        <x:v>Supplied cast data establishes the credit and episode presence but does not establish narrative prominence.</x:v>
      </x:c>
      <x:c r="BY660" s="14" t="str">
        <x:v>Supplied IMDb cast-list workbook</x:v>
      </x:c>
      <x:c r="BZ660" s="14" t="str">
        <x:v>HYPERLINK is not implemented. linkLocation=https://www.imdb.com/title/tt11639300/fullcredits/, friendlyName=Open source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tt11639300|nm6919812|daniel 'danny' starr</x:v>
      </x:c>
      <x:c r="B661" s="14" t="str">
        <x:v>02</x:v>
      </x:c>
      <x:c r="C661" s="14" t="str">
        <x:v>2021_IMDb_Cast_Lists_Batch_02(1).xlsx</x:v>
      </x:c>
      <x:c r="D661" s="14" t="str">
        <x:v>Grace</x:v>
      </x:c>
      <x:c r="E661" s="14" t="n">
        <x:v>75</x:v>
      </x:c>
      <x:c r="F661" s="14" t="str">
        <x:v>Grace</x:v>
      </x:c>
      <x:c r="G661" s="14" t="str">
        <x:v>tt11639300</x:v>
      </x:c>
      <x:c r="H661" s="14" t="n">
        <x:v>2021</x:v>
      </x:c>
      <x:c r="I661" s="14" t="n">
        <x:v>2025</x:v>
      </x:c>
      <x:c r="J661" s="14" t="str">
        <x:v>Earlier-Production Carry-In Cohort</x:v>
      </x:c>
      <x:c r="K661" s="14" t="n">
        <x:v>2021</x:v>
      </x:c>
      <x:c r="L661" s="14" t="str">
        <x:v>Available from 2021 analysis</x:v>
      </x:c>
      <x:c r="M661" s="15" t="n">
        <x:v>68</x:v>
      </x:c>
      <x:c r="N661" s="14" t="str">
        <x:v>Josef Davies</x:v>
      </x:c>
      <x:c r="O661" s="14" t="str">
        <x:v>nm6919812</x:v>
      </x:c>
      <x:c r="P661" s="14" t="str">
        <x:v>Daniel 'Danny' Starr</x:v>
      </x:c>
      <x:c r="Q661" s="15" t="n">
        <x:v>1</x:v>
      </x:c>
      <x:c r="R661" s="14" t="str">
        <x:v>2025</x:v>
      </x:c>
      <x:c r="S661" s="14" t="n">
        <x:v>2025</x:v>
      </x:c>
      <x:c r="T661" s="14" t="n">
        <x:v>2025</x:v>
      </x:c>
      <x:c r="U661" s="14" t="str">
        <x:v>Post-2021 casting excluded</x:v>
      </x:c>
      <x:c r="V661" s="14" t="str">
        <x:v>Earliest supplied year is 2025, later than the 2021 study year.</x:v>
      </x:c>
      <x:c r="W661" s="14"/>
      <x:c r="X661" s="14" t="str">
        <x:v>Included</x:v>
      </x:c>
      <x:c r="Y661" s="14"/>
      <x:c r="Z661" s="14" t="str">
        <x:v>Grace.docx</x:v>
      </x:c>
      <x:c r="AA661" s="14" t="str">
        <x:v>HYPERLINK is not implemented. linkLocation=https://www.imdb.com/title/tt11639300/fullcredits/, friendlyName=Open source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7" t="e">
        <x:f>HYPERLINK("https://en.wikipedia.org/wiki/Grace","Open source")</x:f>
        <x:v>HYPERLINK is not implemented. linkLocation=https://en.wikipedia.org/wiki/Grace, friendlyName=Open source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 t="str">
        <x:v>No established-register match</x:v>
      </x:c>
      <x:c r="AT661" s="14"/>
      <x:c r="AU661" s="14"/>
      <x:c r="AV661" s="14" t="str">
        <x:v>No established apparent-disability match</x:v>
      </x:c>
      <x:c r="AW661" s="14"/>
      <x:c r="AX661" s="14" t="str">
        <x:v>No</x:v>
      </x:c>
      <x:c r="AY661" s="14" t="str">
        <x:v>Unmatched</x:v>
      </x:c>
      <x:c r="AZ661" s="14" t="str">
        <x:v>Final supplied register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20</x:v>
      </x:c>
      <x:c r="BP661" s="14" t="str">
        <x:v>Maximum eligible IMDb cast-credit total (20), shared by 4 performer(s); not independently verified as a 2021-only episode total.</x:v>
      </x:c>
      <x:c r="BQ661" s="14" t="str">
        <x:v>Medium</x:v>
      </x:c>
      <x:c r="BR661" s="15" t="n">
        <x:v>1</x:v>
      </x:c>
      <x:c r="BS661" s="16" t="n">
        <x:v>0.05</x:v>
      </x:c>
      <x:c r="BT661" s="14" t="str">
        <x:v>One episode</x:v>
      </x:c>
      <x:c r="BU661" s="14" t="str">
        <x:v>Medium</x:v>
      </x:c>
      <x:c r="BV661" s="14" t="str">
        <x:v>Derived from supplied IMDb episode count and the documented production-total proxy.</x:v>
      </x:c>
      <x:c r="BW661" s="14" t="str">
        <x:v>Unable to determine</x:v>
      </x:c>
      <x:c r="BX661" s="14" t="str">
        <x:v>Supplied cast data establishes the credit and episode presence but does not establish narrative prominence.</x:v>
      </x:c>
      <x:c r="BY661" s="14" t="str">
        <x:v>Supplied IMDb cast-list workbook</x:v>
      </x:c>
      <x:c r="BZ661" s="14" t="str">
        <x:v>HYPERLINK is not implemented. linkLocation=https://www.imdb.com/title/tt11639300/fullcredits/, friendlyName=Open source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tt11639300|nm2906167|jarvis brookes</x:v>
      </x:c>
      <x:c r="B662" s="14" t="str">
        <x:v>02</x:v>
      </x:c>
      <x:c r="C662" s="14" t="str">
        <x:v>2021_IMDb_Cast_Lists_Batch_02(1).xlsx</x:v>
      </x:c>
      <x:c r="D662" s="14" t="str">
        <x:v>Grace</x:v>
      </x:c>
      <x:c r="E662" s="14" t="n">
        <x:v>76</x:v>
      </x:c>
      <x:c r="F662" s="14" t="str">
        <x:v>Grace</x:v>
      </x:c>
      <x:c r="G662" s="14" t="str">
        <x:v>tt11639300</x:v>
      </x:c>
      <x:c r="H662" s="14" t="n">
        <x:v>2021</x:v>
      </x:c>
      <x:c r="I662" s="14" t="n">
        <x:v>2025</x:v>
      </x:c>
      <x:c r="J662" s="14" t="str">
        <x:v>Earlier-Production Carry-In Cohort</x:v>
      </x:c>
      <x:c r="K662" s="14" t="n">
        <x:v>2021</x:v>
      </x:c>
      <x:c r="L662" s="14" t="str">
        <x:v>Available from 2021 analysis</x:v>
      </x:c>
      <x:c r="M662" s="15" t="n">
        <x:v>69</x:v>
      </x:c>
      <x:c r="N662" s="14" t="str">
        <x:v>Syrus Lowe</x:v>
      </x:c>
      <x:c r="O662" s="14" t="str">
        <x:v>nm2906167</x:v>
      </x:c>
      <x:c r="P662" s="14" t="str">
        <x:v>Jarvis Brookes</x:v>
      </x:c>
      <x:c r="Q662" s="15" t="n">
        <x:v>1</x:v>
      </x:c>
      <x:c r="R662" s="14" t="str">
        <x:v>2025</x:v>
      </x:c>
      <x:c r="S662" s="14" t="n">
        <x:v>2025</x:v>
      </x:c>
      <x:c r="T662" s="14" t="n">
        <x:v>2025</x:v>
      </x:c>
      <x:c r="U662" s="14" t="str">
        <x:v>Post-2021 casting excluded</x:v>
      </x:c>
      <x:c r="V662" s="14" t="str">
        <x:v>Earliest supplied year is 2025, later than the 2021 study year.</x:v>
      </x:c>
      <x:c r="W662" s="14"/>
      <x:c r="X662" s="14" t="str">
        <x:v>Included</x:v>
      </x:c>
      <x:c r="Y662" s="14"/>
      <x:c r="Z662" s="14" t="str">
        <x:v>Grace.docx</x:v>
      </x:c>
      <x:c r="AA662" s="14" t="str">
        <x:v>HYPERLINK is not implemented. linkLocation=https://www.imdb.com/title/tt11639300/fullcredits/, friendlyName=Open source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7" t="e">
        <x:f>HYPERLINK("https://en.wikipedia.org/wiki/Grace","Open source")</x:f>
        <x:v>HYPERLINK is not implemented. linkLocation=https://en.wikipedia.org/wiki/Grace, friendlyName=Open source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 t="str">
        <x:v>No established-register match</x:v>
      </x:c>
      <x:c r="AT662" s="14"/>
      <x:c r="AU662" s="14"/>
      <x:c r="AV662" s="14" t="str">
        <x:v>No established apparent-disability match</x:v>
      </x:c>
      <x:c r="AW662" s="14"/>
      <x:c r="AX662" s="14" t="str">
        <x:v>No</x:v>
      </x:c>
      <x:c r="AY662" s="14" t="str">
        <x:v>Unmatched</x:v>
      </x:c>
      <x:c r="AZ662" s="14" t="str">
        <x:v>Final supplied register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20</x:v>
      </x:c>
      <x:c r="BP662" s="14" t="str">
        <x:v>Maximum eligible IMDb cast-credit total (20), shared by 4 performer(s); not independently verified as a 2021-only episode total.</x:v>
      </x:c>
      <x:c r="BQ662" s="14" t="str">
        <x:v>Medium</x:v>
      </x:c>
      <x:c r="BR662" s="15" t="n">
        <x:v>1</x:v>
      </x:c>
      <x:c r="BS662" s="16" t="n">
        <x:v>0.05</x:v>
      </x:c>
      <x:c r="BT662" s="14" t="str">
        <x:v>One episode</x:v>
      </x:c>
      <x:c r="BU662" s="14" t="str">
        <x:v>Medium</x:v>
      </x:c>
      <x:c r="BV662" s="14" t="str">
        <x:v>Derived from supplied IMDb episode count and the documented production-total proxy.</x:v>
      </x:c>
      <x:c r="BW662" s="14" t="str">
        <x:v>Unable to determine</x:v>
      </x:c>
      <x:c r="BX662" s="14" t="str">
        <x:v>Supplied cast data establishes the credit and episode presence but does not establish narrative prominence.</x:v>
      </x:c>
      <x:c r="BY662" s="14" t="str">
        <x:v>Supplied IMDb cast-list workbook</x:v>
      </x:c>
      <x:c r="BZ662" s="14" t="str">
        <x:v>HYPERLINK is not implemented. linkLocation=https://www.imdb.com/title/tt11639300/fullcredits/, friendlyName=Open source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tt11639300|nm4711544|anya chandanasiri</x:v>
      </x:c>
      <x:c r="B663" s="14" t="str">
        <x:v>02</x:v>
      </x:c>
      <x:c r="C663" s="14" t="str">
        <x:v>2021_IMDb_Cast_Lists_Batch_02(1).xlsx</x:v>
      </x:c>
      <x:c r="D663" s="14" t="str">
        <x:v>Grace</x:v>
      </x:c>
      <x:c r="E663" s="14" t="n">
        <x:v>77</x:v>
      </x:c>
      <x:c r="F663" s="14" t="str">
        <x:v>Grace</x:v>
      </x:c>
      <x:c r="G663" s="14" t="str">
        <x:v>tt11639300</x:v>
      </x:c>
      <x:c r="H663" s="14" t="n">
        <x:v>2021</x:v>
      </x:c>
      <x:c r="I663" s="14" t="n">
        <x:v>2025</x:v>
      </x:c>
      <x:c r="J663" s="14" t="str">
        <x:v>Earlier-Production Carry-In Cohort</x:v>
      </x:c>
      <x:c r="K663" s="14" t="n">
        <x:v>2021</x:v>
      </x:c>
      <x:c r="L663" s="14" t="str">
        <x:v>Available from 2021 analysis</x:v>
      </x:c>
      <x:c r="M663" s="15" t="n">
        <x:v>70</x:v>
      </x:c>
      <x:c r="N663" s="14" t="str">
        <x:v>Mia Suda Selway</x:v>
      </x:c>
      <x:c r="O663" s="14" t="str">
        <x:v>nm4711544</x:v>
      </x:c>
      <x:c r="P663" s="14" t="str">
        <x:v>Anya Chandanasiri</x:v>
      </x:c>
      <x:c r="Q663" s="15" t="n">
        <x:v>1</x:v>
      </x:c>
      <x:c r="R663" s="14" t="str">
        <x:v>2025</x:v>
      </x:c>
      <x:c r="S663" s="14" t="n">
        <x:v>2025</x:v>
      </x:c>
      <x:c r="T663" s="14" t="n">
        <x:v>2025</x:v>
      </x:c>
      <x:c r="U663" s="14" t="str">
        <x:v>Post-2021 casting excluded</x:v>
      </x:c>
      <x:c r="V663" s="14" t="str">
        <x:v>Earliest supplied year is 2025, later than the 2021 study year.</x:v>
      </x:c>
      <x:c r="W663" s="14"/>
      <x:c r="X663" s="14" t="str">
        <x:v>Included</x:v>
      </x:c>
      <x:c r="Y663" s="14"/>
      <x:c r="Z663" s="14" t="str">
        <x:v>Grace.docx</x:v>
      </x:c>
      <x:c r="AA663" s="14" t="str">
        <x:v>HYPERLINK is not implemented. linkLocation=https://www.imdb.com/title/tt11639300/fullcredits/, friendlyName=Open source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7" t="e">
        <x:f>HYPERLINK("https://en.wikipedia.org/wiki/Grace","Open source")</x:f>
        <x:v>HYPERLINK is not implemented. linkLocation=https://en.wikipedia.org/wiki/Grace, friendlyName=Open source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 t="str">
        <x:v>No established-register match</x:v>
      </x:c>
      <x:c r="AT663" s="14"/>
      <x:c r="AU663" s="14"/>
      <x:c r="AV663" s="14" t="str">
        <x:v>No established apparent-disability match</x:v>
      </x:c>
      <x:c r="AW663" s="14"/>
      <x:c r="AX663" s="14" t="str">
        <x:v>No</x:v>
      </x:c>
      <x:c r="AY663" s="14" t="str">
        <x:v>Unmatched</x:v>
      </x:c>
      <x:c r="AZ663" s="14" t="str">
        <x:v>Final supplied register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20</x:v>
      </x:c>
      <x:c r="BP663" s="14" t="str">
        <x:v>Maximum eligible IMDb cast-credit total (20), shared by 4 performer(s); not independently verified as a 2021-only episode total.</x:v>
      </x:c>
      <x:c r="BQ663" s="14" t="str">
        <x:v>Medium</x:v>
      </x:c>
      <x:c r="BR663" s="15" t="n">
        <x:v>1</x:v>
      </x:c>
      <x:c r="BS663" s="16" t="n">
        <x:v>0.05</x:v>
      </x:c>
      <x:c r="BT663" s="14" t="str">
        <x:v>One episode</x:v>
      </x:c>
      <x:c r="BU663" s="14" t="str">
        <x:v>Medium</x:v>
      </x:c>
      <x:c r="BV663" s="14" t="str">
        <x:v>Derived from supplied IMDb episode count and the documented production-total proxy.</x:v>
      </x:c>
      <x:c r="BW663" s="14" t="str">
        <x:v>Unable to determine</x:v>
      </x:c>
      <x:c r="BX663" s="14" t="str">
        <x:v>Supplied cast data establishes the credit and episode presence but does not establish narrative prominence.</x:v>
      </x:c>
      <x:c r="BY663" s="14" t="str">
        <x:v>Supplied IMDb cast-list workbook</x:v>
      </x:c>
      <x:c r="BZ663" s="14" t="str">
        <x:v>HYPERLINK is not implemented. linkLocation=https://www.imdb.com/title/tt11639300/fullcredits/, friendlyName=Open source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tt11639300|nm5461751|seymour darling</x:v>
      </x:c>
      <x:c r="B664" s="14" t="str">
        <x:v>02</x:v>
      </x:c>
      <x:c r="C664" s="14" t="str">
        <x:v>2021_IMDb_Cast_Lists_Batch_02(1).xlsx</x:v>
      </x:c>
      <x:c r="D664" s="14" t="str">
        <x:v>Grace</x:v>
      </x:c>
      <x:c r="E664" s="14" t="n">
        <x:v>84</x:v>
      </x:c>
      <x:c r="F664" s="14" t="str">
        <x:v>Grace</x:v>
      </x:c>
      <x:c r="G664" s="14" t="str">
        <x:v>tt11639300</x:v>
      </x:c>
      <x:c r="H664" s="14" t="n">
        <x:v>2021</x:v>
      </x:c>
      <x:c r="I664" s="14" t="n">
        <x:v>2025</x:v>
      </x:c>
      <x:c r="J664" s="14" t="str">
        <x:v>Earlier-Production Carry-In Cohort</x:v>
      </x:c>
      <x:c r="K664" s="14" t="n">
        <x:v>2021</x:v>
      </x:c>
      <x:c r="L664" s="14" t="str">
        <x:v>Available from 2021 analysis</x:v>
      </x:c>
      <x:c r="M664" s="15" t="n">
        <x:v>77</x:v>
      </x:c>
      <x:c r="N664" s="14" t="str">
        <x:v>Joe Hughes</x:v>
      </x:c>
      <x:c r="O664" s="14" t="str">
        <x:v>nm5461751</x:v>
      </x:c>
      <x:c r="P664" s="14" t="str">
        <x:v>Seymour Darling</x:v>
      </x:c>
      <x:c r="Q664" s="15" t="n">
        <x:v>1</x:v>
      </x:c>
      <x:c r="R664" s="14" t="str">
        <x:v>2025</x:v>
      </x:c>
      <x:c r="S664" s="14" t="n">
        <x:v>2025</x:v>
      </x:c>
      <x:c r="T664" s="14" t="n">
        <x:v>2025</x:v>
      </x:c>
      <x:c r="U664" s="14" t="str">
        <x:v>Post-2021 casting excluded</x:v>
      </x:c>
      <x:c r="V664" s="14" t="str">
        <x:v>Earliest supplied year is 2025, later than the 2021 study year.</x:v>
      </x:c>
      <x:c r="W664" s="14"/>
      <x:c r="X664" s="14" t="str">
        <x:v>Included</x:v>
      </x:c>
      <x:c r="Y664" s="14"/>
      <x:c r="Z664" s="14" t="str">
        <x:v>Grace.docx</x:v>
      </x:c>
      <x:c r="AA664" s="14" t="str">
        <x:v>HYPERLINK is not implemented. linkLocation=https://www.imdb.com/title/tt11639300/fullcredits/, friendlyName=Open source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7" t="e">
        <x:f>HYPERLINK("https://en.wikipedia.org/wiki/Grace","Open source")</x:f>
        <x:v>HYPERLINK is not implemented. linkLocation=https://en.wikipedia.org/wiki/Grace, friendlyName=Open source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 t="str">
        <x:v>No established-register match</x:v>
      </x:c>
      <x:c r="AT664" s="14"/>
      <x:c r="AU664" s="14"/>
      <x:c r="AV664" s="14" t="str">
        <x:v>No established apparent-disability match</x:v>
      </x:c>
      <x:c r="AW664" s="14"/>
      <x:c r="AX664" s="14" t="str">
        <x:v>No</x:v>
      </x:c>
      <x:c r="AY664" s="14" t="str">
        <x:v>Unmatched</x:v>
      </x:c>
      <x:c r="AZ664" s="14" t="str">
        <x:v>Final supplied register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20</x:v>
      </x:c>
      <x:c r="BP664" s="14" t="str">
        <x:v>Maximum eligible IMDb cast-credit total (20), shared by 4 performer(s); not independently verified as a 2021-only episode total.</x:v>
      </x:c>
      <x:c r="BQ664" s="14" t="str">
        <x:v>Medium</x:v>
      </x:c>
      <x:c r="BR664" s="15" t="n">
        <x:v>1</x:v>
      </x:c>
      <x:c r="BS664" s="16" t="n">
        <x:v>0.05</x:v>
      </x:c>
      <x:c r="BT664" s="14" t="str">
        <x:v>One episode</x:v>
      </x:c>
      <x:c r="BU664" s="14" t="str">
        <x:v>Medium</x:v>
      </x:c>
      <x:c r="BV664" s="14" t="str">
        <x:v>Derived from supplied IMDb episode count and the documented production-total proxy.</x:v>
      </x:c>
      <x:c r="BW664" s="14" t="str">
        <x:v>Unable to determine</x:v>
      </x:c>
      <x:c r="BX664" s="14" t="str">
        <x:v>Supplied cast data establishes the credit and episode presence but does not establish narrative prominence.</x:v>
      </x:c>
      <x:c r="BY664" s="14" t="str">
        <x:v>Supplied IMDb cast-list workbook</x:v>
      </x:c>
      <x:c r="BZ664" s="14" t="str">
        <x:v>HYPERLINK is not implemented. linkLocation=https://www.imdb.com/title/tt11639300/fullcredits/, friendlyName=Open source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tt11639300|nm1682272|officer johnson</x:v>
      </x:c>
      <x:c r="B665" s="14" t="str">
        <x:v>02</x:v>
      </x:c>
      <x:c r="C665" s="14" t="str">
        <x:v>2021_IMDb_Cast_Lists_Batch_02(1).xlsx</x:v>
      </x:c>
      <x:c r="D665" s="14" t="str">
        <x:v>Grace</x:v>
      </x:c>
      <x:c r="E665" s="14" t="n">
        <x:v>85</x:v>
      </x:c>
      <x:c r="F665" s="14" t="str">
        <x:v>Grace</x:v>
      </x:c>
      <x:c r="G665" s="14" t="str">
        <x:v>tt11639300</x:v>
      </x:c>
      <x:c r="H665" s="14" t="n">
        <x:v>2021</x:v>
      </x:c>
      <x:c r="I665" s="14" t="n">
        <x:v>2025</x:v>
      </x:c>
      <x:c r="J665" s="14" t="str">
        <x:v>Earlier-Production Carry-In Cohort</x:v>
      </x:c>
      <x:c r="K665" s="14" t="n">
        <x:v>2021</x:v>
      </x:c>
      <x:c r="L665" s="14" t="str">
        <x:v>Available from 2021 analysis</x:v>
      </x:c>
      <x:c r="M665" s="15" t="n">
        <x:v>78</x:v>
      </x:c>
      <x:c r="N665" s="14" t="str">
        <x:v>Lace Akpojaro</x:v>
      </x:c>
      <x:c r="O665" s="14" t="str">
        <x:v>nm1682272</x:v>
      </x:c>
      <x:c r="P665" s="14" t="str">
        <x:v>Officer Johnson</x:v>
      </x:c>
      <x:c r="Q665" s="15" t="n">
        <x:v>1</x:v>
      </x:c>
      <x:c r="R665" s="14" t="str">
        <x:v>2025</x:v>
      </x:c>
      <x:c r="S665" s="14" t="n">
        <x:v>2025</x:v>
      </x:c>
      <x:c r="T665" s="14" t="n">
        <x:v>2025</x:v>
      </x:c>
      <x:c r="U665" s="14" t="str">
        <x:v>Post-2021 casting excluded</x:v>
      </x:c>
      <x:c r="V665" s="14" t="str">
        <x:v>Earliest supplied year is 2025, later than the 2021 study year.</x:v>
      </x:c>
      <x:c r="W665" s="14"/>
      <x:c r="X665" s="14" t="str">
        <x:v>Included</x:v>
      </x:c>
      <x:c r="Y665" s="14"/>
      <x:c r="Z665" s="14" t="str">
        <x:v>Grace.docx</x:v>
      </x:c>
      <x:c r="AA665" s="14" t="str">
        <x:v>HYPERLINK is not implemented. linkLocation=https://www.imdb.com/title/tt11639300/fullcredits/, friendlyName=Open source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7" t="e">
        <x:f>HYPERLINK("https://en.wikipedia.org/wiki/Grace","Open source")</x:f>
        <x:v>HYPERLINK is not implemented. linkLocation=https://en.wikipedia.org/wiki/Grace, friendlyName=Open source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 t="str">
        <x:v>No established-register match</x:v>
      </x:c>
      <x:c r="AT665" s="14"/>
      <x:c r="AU665" s="14"/>
      <x:c r="AV665" s="14" t="str">
        <x:v>No established apparent-disability match</x:v>
      </x:c>
      <x:c r="AW665" s="14"/>
      <x:c r="AX665" s="14" t="str">
        <x:v>No</x:v>
      </x:c>
      <x:c r="AY665" s="14" t="str">
        <x:v>Unmatched</x:v>
      </x:c>
      <x:c r="AZ665" s="14" t="str">
        <x:v>Final supplied register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20</x:v>
      </x:c>
      <x:c r="BP665" s="14" t="str">
        <x:v>Maximum eligible IMDb cast-credit total (20), shared by 4 performer(s); not independently verified as a 2021-only episode total.</x:v>
      </x:c>
      <x:c r="BQ665" s="14" t="str">
        <x:v>Medium</x:v>
      </x:c>
      <x:c r="BR665" s="15" t="n">
        <x:v>1</x:v>
      </x:c>
      <x:c r="BS665" s="16" t="n">
        <x:v>0.05</x:v>
      </x:c>
      <x:c r="BT665" s="14" t="str">
        <x:v>One episode</x:v>
      </x:c>
      <x:c r="BU665" s="14" t="str">
        <x:v>Medium</x:v>
      </x:c>
      <x:c r="BV665" s="14" t="str">
        <x:v>Derived from supplied IMDb episode count and the documented production-total proxy.</x:v>
      </x:c>
      <x:c r="BW665" s="14" t="str">
        <x:v>Unable to determine</x:v>
      </x:c>
      <x:c r="BX665" s="14" t="str">
        <x:v>Supplied cast data establishes the credit and episode presence but does not establish narrative prominence.</x:v>
      </x:c>
      <x:c r="BY665" s="14" t="str">
        <x:v>Supplied IMDb cast-list workbook</x:v>
      </x:c>
      <x:c r="BZ665" s="14" t="str">
        <x:v>HYPERLINK is not implemented. linkLocation=https://www.imdb.com/title/tt11639300/fullcredits/, friendlyName=Open source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tt11639300|nm17192834|hotel assistant</x:v>
      </x:c>
      <x:c r="B666" s="14" t="str">
        <x:v>02</x:v>
      </x:c>
      <x:c r="C666" s="14" t="str">
        <x:v>2021_IMDb_Cast_Lists_Batch_02(1).xlsx</x:v>
      </x:c>
      <x:c r="D666" s="14" t="str">
        <x:v>Grace</x:v>
      </x:c>
      <x:c r="E666" s="14" t="n">
        <x:v>86</x:v>
      </x:c>
      <x:c r="F666" s="14" t="str">
        <x:v>Grace</x:v>
      </x:c>
      <x:c r="G666" s="14" t="str">
        <x:v>tt11639300</x:v>
      </x:c>
      <x:c r="H666" s="14" t="n">
        <x:v>2021</x:v>
      </x:c>
      <x:c r="I666" s="14" t="n">
        <x:v>2025</x:v>
      </x:c>
      <x:c r="J666" s="14" t="str">
        <x:v>Earlier-Production Carry-In Cohort</x:v>
      </x:c>
      <x:c r="K666" s="14" t="n">
        <x:v>2021</x:v>
      </x:c>
      <x:c r="L666" s="14" t="str">
        <x:v>Available from 2021 analysis</x:v>
      </x:c>
      <x:c r="M666" s="15" t="n">
        <x:v>79</x:v>
      </x:c>
      <x:c r="N666" s="14" t="str">
        <x:v>Georgie Last</x:v>
      </x:c>
      <x:c r="O666" s="14" t="str">
        <x:v>nm17192834</x:v>
      </x:c>
      <x:c r="P666" s="14" t="str">
        <x:v>Hotel Assistant</x:v>
      </x:c>
      <x:c r="Q666" s="15" t="n">
        <x:v>1</x:v>
      </x:c>
      <x:c r="R666" s="14" t="str">
        <x:v>2025</x:v>
      </x:c>
      <x:c r="S666" s="14" t="n">
        <x:v>2025</x:v>
      </x:c>
      <x:c r="T666" s="14" t="n">
        <x:v>2025</x:v>
      </x:c>
      <x:c r="U666" s="14" t="str">
        <x:v>Post-2021 casting excluded</x:v>
      </x:c>
      <x:c r="V666" s="14" t="str">
        <x:v>Earliest supplied year is 2025, later than the 2021 study year.</x:v>
      </x:c>
      <x:c r="W666" s="14"/>
      <x:c r="X666" s="14" t="str">
        <x:v>Included</x:v>
      </x:c>
      <x:c r="Y666" s="14"/>
      <x:c r="Z666" s="14" t="str">
        <x:v>Grace.docx</x:v>
      </x:c>
      <x:c r="AA666" s="14" t="str">
        <x:v>HYPERLINK is not implemented. linkLocation=https://www.imdb.com/title/tt11639300/fullcredits/, friendlyName=Open source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7" t="e">
        <x:f>HYPERLINK("https://en.wikipedia.org/wiki/Grace","Open source")</x:f>
        <x:v>HYPERLINK is not implemented. linkLocation=https://en.wikipedia.org/wiki/Grace, friendlyName=Open source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 t="str">
        <x:v>No established-register match</x:v>
      </x:c>
      <x:c r="AT666" s="14"/>
      <x:c r="AU666" s="14"/>
      <x:c r="AV666" s="14" t="str">
        <x:v>No established apparent-disability match</x:v>
      </x:c>
      <x:c r="AW666" s="14"/>
      <x:c r="AX666" s="14" t="str">
        <x:v>No</x:v>
      </x:c>
      <x:c r="AY666" s="14" t="str">
        <x:v>Unmatched</x:v>
      </x:c>
      <x:c r="AZ666" s="14" t="str">
        <x:v>Final supplied register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20</x:v>
      </x:c>
      <x:c r="BP666" s="14" t="str">
        <x:v>Maximum eligible IMDb cast-credit total (20), shared by 4 performer(s); not independently verified as a 2021-only episode total.</x:v>
      </x:c>
      <x:c r="BQ666" s="14" t="str">
        <x:v>Medium</x:v>
      </x:c>
      <x:c r="BR666" s="15" t="n">
        <x:v>1</x:v>
      </x:c>
      <x:c r="BS666" s="16" t="n">
        <x:v>0.05</x:v>
      </x:c>
      <x:c r="BT666" s="14" t="str">
        <x:v>One episode</x:v>
      </x:c>
      <x:c r="BU666" s="14" t="str">
        <x:v>Medium</x:v>
      </x:c>
      <x:c r="BV666" s="14" t="str">
        <x:v>Derived from supplied IMDb episode count and the documented production-total proxy.</x:v>
      </x:c>
      <x:c r="BW666" s="14" t="str">
        <x:v>Unable to determine</x:v>
      </x:c>
      <x:c r="BX666" s="14" t="str">
        <x:v>Supplied cast data establishes the credit and episode presence but does not establish narrative prominence.</x:v>
      </x:c>
      <x:c r="BY666" s="14" t="str">
        <x:v>Supplied IMDb cast-list workbook</x:v>
      </x:c>
      <x:c r="BZ666" s="14" t="str">
        <x:v>HYPERLINK is not implemented. linkLocation=https://www.imdb.com/title/tt11639300/fullcredits/, friendlyName=Open source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tt11639300|nm14580940|duty manager</x:v>
      </x:c>
      <x:c r="B667" s="14" t="str">
        <x:v>02</x:v>
      </x:c>
      <x:c r="C667" s="14" t="str">
        <x:v>2021_IMDb_Cast_Lists_Batch_02(1).xlsx</x:v>
      </x:c>
      <x:c r="D667" s="14" t="str">
        <x:v>Grace</x:v>
      </x:c>
      <x:c r="E667" s="14" t="n">
        <x:v>94</x:v>
      </x:c>
      <x:c r="F667" s="14" t="str">
        <x:v>Grace</x:v>
      </x:c>
      <x:c r="G667" s="14" t="str">
        <x:v>tt11639300</x:v>
      </x:c>
      <x:c r="H667" s="14" t="n">
        <x:v>2021</x:v>
      </x:c>
      <x:c r="I667" s="14" t="n">
        <x:v>2025</x:v>
      </x:c>
      <x:c r="J667" s="14" t="str">
        <x:v>Earlier-Production Carry-In Cohort</x:v>
      </x:c>
      <x:c r="K667" s="14" t="n">
        <x:v>2021</x:v>
      </x:c>
      <x:c r="L667" s="14" t="str">
        <x:v>Available from 2021 analysis</x:v>
      </x:c>
      <x:c r="M667" s="15" t="n">
        <x:v>87</x:v>
      </x:c>
      <x:c r="N667" s="14" t="str">
        <x:v>Lexi Austin-Jones</x:v>
      </x:c>
      <x:c r="O667" s="14" t="str">
        <x:v>nm14580940</x:v>
      </x:c>
      <x:c r="P667" s="14" t="str">
        <x:v>Duty Manager</x:v>
      </x:c>
      <x:c r="Q667" s="15" t="n">
        <x:v>1</x:v>
      </x:c>
      <x:c r="R667" s="14" t="str">
        <x:v>2025</x:v>
      </x:c>
      <x:c r="S667" s="14" t="n">
        <x:v>2025</x:v>
      </x:c>
      <x:c r="T667" s="14" t="n">
        <x:v>2025</x:v>
      </x:c>
      <x:c r="U667" s="14" t="str">
        <x:v>Post-2021 casting excluded</x:v>
      </x:c>
      <x:c r="V667" s="14" t="str">
        <x:v>Earliest supplied year is 2025, later than the 2021 study year.</x:v>
      </x:c>
      <x:c r="W667" s="14"/>
      <x:c r="X667" s="14" t="str">
        <x:v>Included</x:v>
      </x:c>
      <x:c r="Y667" s="14"/>
      <x:c r="Z667" s="14" t="str">
        <x:v>Grace.docx</x:v>
      </x:c>
      <x:c r="AA667" s="14" t="str">
        <x:v>HYPERLINK is not implemented. linkLocation=https://www.imdb.com/title/tt11639300/fullcredits/, friendlyName=Open source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7" t="e">
        <x:f>HYPERLINK("https://en.wikipedia.org/wiki/Grace","Open source")</x:f>
        <x:v>HYPERLINK is not implemented. linkLocation=https://en.wikipedia.org/wiki/Grace, friendlyName=Open source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 t="str">
        <x:v>No established-register match</x:v>
      </x:c>
      <x:c r="AT667" s="14"/>
      <x:c r="AU667" s="14"/>
      <x:c r="AV667" s="14" t="str">
        <x:v>No established apparent-disability match</x:v>
      </x:c>
      <x:c r="AW667" s="14"/>
      <x:c r="AX667" s="14" t="str">
        <x:v>No</x:v>
      </x:c>
      <x:c r="AY667" s="14" t="str">
        <x:v>Unmatched</x:v>
      </x:c>
      <x:c r="AZ667" s="14" t="str">
        <x:v>Final supplied register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20</x:v>
      </x:c>
      <x:c r="BP667" s="14" t="str">
        <x:v>Maximum eligible IMDb cast-credit total (20), shared by 4 performer(s); not independently verified as a 2021-only episode total.</x:v>
      </x:c>
      <x:c r="BQ667" s="14" t="str">
        <x:v>Medium</x:v>
      </x:c>
      <x:c r="BR667" s="15" t="n">
        <x:v>1</x:v>
      </x:c>
      <x:c r="BS667" s="16" t="n">
        <x:v>0.05</x:v>
      </x:c>
      <x:c r="BT667" s="14" t="str">
        <x:v>One episode</x:v>
      </x:c>
      <x:c r="BU667" s="14" t="str">
        <x:v>Medium</x:v>
      </x:c>
      <x:c r="BV667" s="14" t="str">
        <x:v>Derived from supplied IMDb episode count and the documented production-total proxy.</x:v>
      </x:c>
      <x:c r="BW667" s="14" t="str">
        <x:v>Unable to determine</x:v>
      </x:c>
      <x:c r="BX667" s="14" t="str">
        <x:v>Supplied cast data establishes the credit and episode presence but does not establish narrative prominence.</x:v>
      </x:c>
      <x:c r="BY667" s="14" t="str">
        <x:v>Supplied IMDb cast-list workbook</x:v>
      </x:c>
      <x:c r="BZ667" s="14" t="str">
        <x:v>HYPERLINK is not implemented. linkLocation=https://www.imdb.com/title/tt11639300/fullcredits/, friendlyName=Open source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tt11639300|nm0233215|terrence maxwell</x:v>
      </x:c>
      <x:c r="B668" s="14" t="str">
        <x:v>02</x:v>
      </x:c>
      <x:c r="C668" s="14" t="str">
        <x:v>2021_IMDb_Cast_Lists_Batch_02(1).xlsx</x:v>
      </x:c>
      <x:c r="D668" s="14" t="str">
        <x:v>Grace</x:v>
      </x:c>
      <x:c r="E668" s="14" t="n">
        <x:v>104</x:v>
      </x:c>
      <x:c r="F668" s="14" t="str">
        <x:v>Grace</x:v>
      </x:c>
      <x:c r="G668" s="14" t="str">
        <x:v>tt11639300</x:v>
      </x:c>
      <x:c r="H668" s="14" t="n">
        <x:v>2021</x:v>
      </x:c>
      <x:c r="I668" s="14" t="n">
        <x:v>2025</x:v>
      </x:c>
      <x:c r="J668" s="14" t="str">
        <x:v>Earlier-Production Carry-In Cohort</x:v>
      </x:c>
      <x:c r="K668" s="14" t="n">
        <x:v>2021</x:v>
      </x:c>
      <x:c r="L668" s="14" t="str">
        <x:v>Available from 2021 analysis</x:v>
      </x:c>
      <x:c r="M668" s="15" t="n">
        <x:v>97</x:v>
      </x:c>
      <x:c r="N668" s="14" t="str">
        <x:v>Shaun Dooley</x:v>
      </x:c>
      <x:c r="O668" s="14" t="str">
        <x:v>nm0233215</x:v>
      </x:c>
      <x:c r="P668" s="14" t="str">
        <x:v>Terrence Maxwell</x:v>
      </x:c>
      <x:c r="Q668" s="15" t="n">
        <x:v>1</x:v>
      </x:c>
      <x:c r="R668" s="14" t="str">
        <x:v>2025</x:v>
      </x:c>
      <x:c r="S668" s="14" t="n">
        <x:v>2025</x:v>
      </x:c>
      <x:c r="T668" s="14" t="n">
        <x:v>2025</x:v>
      </x:c>
      <x:c r="U668" s="14" t="str">
        <x:v>Post-2021 casting excluded</x:v>
      </x:c>
      <x:c r="V668" s="14" t="str">
        <x:v>Earliest supplied year is 2025, later than the 2021 study year.</x:v>
      </x:c>
      <x:c r="W668" s="14"/>
      <x:c r="X668" s="14" t="str">
        <x:v>Included</x:v>
      </x:c>
      <x:c r="Y668" s="14"/>
      <x:c r="Z668" s="14" t="str">
        <x:v>Grace.docx</x:v>
      </x:c>
      <x:c r="AA668" s="14" t="str">
        <x:v>HYPERLINK is not implemented. linkLocation=https://www.imdb.com/title/tt11639300/fullcredits/, friendlyName=Open source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7" t="e">
        <x:f>HYPERLINK("https://en.wikipedia.org/wiki/Grace","Open source")</x:f>
        <x:v>HYPERLINK is not implemented. linkLocation=https://en.wikipedia.org/wiki/Grace, friendlyName=Open source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 t="str">
        <x:v>No established-register match</x:v>
      </x:c>
      <x:c r="AT668" s="14"/>
      <x:c r="AU668" s="14"/>
      <x:c r="AV668" s="14" t="str">
        <x:v>No established apparent-disability match</x:v>
      </x:c>
      <x:c r="AW668" s="14"/>
      <x:c r="AX668" s="14" t="str">
        <x:v>No</x:v>
      </x:c>
      <x:c r="AY668" s="14" t="str">
        <x:v>Unmatched</x:v>
      </x:c>
      <x:c r="AZ668" s="14" t="str">
        <x:v>Final supplied register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20</x:v>
      </x:c>
      <x:c r="BP668" s="14" t="str">
        <x:v>Maximum eligible IMDb cast-credit total (20), shared by 4 performer(s); not independently verified as a 2021-only episode total.</x:v>
      </x:c>
      <x:c r="BQ668" s="14" t="str">
        <x:v>Medium</x:v>
      </x:c>
      <x:c r="BR668" s="15" t="n">
        <x:v>1</x:v>
      </x:c>
      <x:c r="BS668" s="16" t="n">
        <x:v>0.05</x:v>
      </x:c>
      <x:c r="BT668" s="14" t="str">
        <x:v>One episode</x:v>
      </x:c>
      <x:c r="BU668" s="14" t="str">
        <x:v>Medium</x:v>
      </x:c>
      <x:c r="BV668" s="14" t="str">
        <x:v>Derived from supplied IMDb episode count and the documented production-total proxy.</x:v>
      </x:c>
      <x:c r="BW668" s="14" t="str">
        <x:v>Unable to determine</x:v>
      </x:c>
      <x:c r="BX668" s="14" t="str">
        <x:v>Supplied cast data establishes the credit and episode presence but does not establish narrative prominence.</x:v>
      </x:c>
      <x:c r="BY668" s="14" t="str">
        <x:v>Supplied IMDb cast-list workbook</x:v>
      </x:c>
      <x:c r="BZ668" s="14" t="str">
        <x:v>HYPERLINK is not implemented. linkLocation=https://www.imdb.com/title/tt11639300/fullcredits/, friendlyName=Open source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tt11639300|nm12783562|driton</x:v>
      </x:c>
      <x:c r="B669" s="14" t="str">
        <x:v>02</x:v>
      </x:c>
      <x:c r="C669" s="14" t="str">
        <x:v>2021_IMDb_Cast_Lists_Batch_02(1).xlsx</x:v>
      </x:c>
      <x:c r="D669" s="14" t="str">
        <x:v>Grace</x:v>
      </x:c>
      <x:c r="E669" s="14" t="n">
        <x:v>105</x:v>
      </x:c>
      <x:c r="F669" s="14" t="str">
        <x:v>Grace</x:v>
      </x:c>
      <x:c r="G669" s="14" t="str">
        <x:v>tt11639300</x:v>
      </x:c>
      <x:c r="H669" s="14" t="n">
        <x:v>2021</x:v>
      </x:c>
      <x:c r="I669" s="14" t="n">
        <x:v>2025</x:v>
      </x:c>
      <x:c r="J669" s="14" t="str">
        <x:v>Earlier-Production Carry-In Cohort</x:v>
      </x:c>
      <x:c r="K669" s="14" t="n">
        <x:v>2021</x:v>
      </x:c>
      <x:c r="L669" s="14" t="str">
        <x:v>Available from 2021 analysis</x:v>
      </x:c>
      <x:c r="M669" s="15" t="n">
        <x:v>98</x:v>
      </x:c>
      <x:c r="N669" s="14" t="str">
        <x:v>Arthur Aliiev</x:v>
      </x:c>
      <x:c r="O669" s="14" t="str">
        <x:v>nm12783562</x:v>
      </x:c>
      <x:c r="P669" s="14" t="str">
        <x:v>Driton</x:v>
      </x:c>
      <x:c r="Q669" s="15" t="n">
        <x:v>1</x:v>
      </x:c>
      <x:c r="R669" s="14" t="str">
        <x:v>2025</x:v>
      </x:c>
      <x:c r="S669" s="14" t="n">
        <x:v>2025</x:v>
      </x:c>
      <x:c r="T669" s="14" t="n">
        <x:v>2025</x:v>
      </x:c>
      <x:c r="U669" s="14" t="str">
        <x:v>Post-2021 casting excluded</x:v>
      </x:c>
      <x:c r="V669" s="14" t="str">
        <x:v>Earliest supplied year is 2025, later than the 2021 study year.</x:v>
      </x:c>
      <x:c r="W669" s="14"/>
      <x:c r="X669" s="14" t="str">
        <x:v>Included</x:v>
      </x:c>
      <x:c r="Y669" s="14"/>
      <x:c r="Z669" s="14" t="str">
        <x:v>Grace.docx</x:v>
      </x:c>
      <x:c r="AA669" s="14" t="str">
        <x:v>HYPERLINK is not implemented. linkLocation=https://www.imdb.com/title/tt11639300/fullcredits/, friendlyName=Open source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7" t="e">
        <x:f>HYPERLINK("https://en.wikipedia.org/wiki/Grace","Open source")</x:f>
        <x:v>HYPERLINK is not implemented. linkLocation=https://en.wikipedia.org/wiki/Grace, friendlyName=Open source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 t="str">
        <x:v>No established-register match</x:v>
      </x:c>
      <x:c r="AT669" s="14"/>
      <x:c r="AU669" s="14"/>
      <x:c r="AV669" s="14" t="str">
        <x:v>No established apparent-disability match</x:v>
      </x:c>
      <x:c r="AW669" s="14"/>
      <x:c r="AX669" s="14" t="str">
        <x:v>No</x:v>
      </x:c>
      <x:c r="AY669" s="14" t="str">
        <x:v>Unmatched</x:v>
      </x:c>
      <x:c r="AZ669" s="14" t="str">
        <x:v>Final supplied register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20</x:v>
      </x:c>
      <x:c r="BP669" s="14" t="str">
        <x:v>Maximum eligible IMDb cast-credit total (20), shared by 4 performer(s); not independently verified as a 2021-only episode total.</x:v>
      </x:c>
      <x:c r="BQ669" s="14" t="str">
        <x:v>Medium</x:v>
      </x:c>
      <x:c r="BR669" s="15" t="n">
        <x:v>1</x:v>
      </x:c>
      <x:c r="BS669" s="16" t="n">
        <x:v>0.05</x:v>
      </x:c>
      <x:c r="BT669" s="14" t="str">
        <x:v>One episode</x:v>
      </x:c>
      <x:c r="BU669" s="14" t="str">
        <x:v>Medium</x:v>
      </x:c>
      <x:c r="BV669" s="14" t="str">
        <x:v>Derived from supplied IMDb episode count and the documented production-total proxy.</x:v>
      </x:c>
      <x:c r="BW669" s="14" t="str">
        <x:v>Unable to determine</x:v>
      </x:c>
      <x:c r="BX669" s="14" t="str">
        <x:v>Supplied cast data establishes the credit and episode presence but does not establish narrative prominence.</x:v>
      </x:c>
      <x:c r="BY669" s="14" t="str">
        <x:v>Supplied IMDb cast-list workbook</x:v>
      </x:c>
      <x:c r="BZ669" s="14" t="str">
        <x:v>HYPERLINK is not implemented. linkLocation=https://www.imdb.com/title/tt11639300/fullcredits/, friendlyName=Open source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tt11639300|nm6373079|dren</x:v>
      </x:c>
      <x:c r="B670" s="14" t="str">
        <x:v>02</x:v>
      </x:c>
      <x:c r="C670" s="14" t="str">
        <x:v>2021_IMDb_Cast_Lists_Batch_02(1).xlsx</x:v>
      </x:c>
      <x:c r="D670" s="14" t="str">
        <x:v>Grace</x:v>
      </x:c>
      <x:c r="E670" s="14" t="n">
        <x:v>116</x:v>
      </x:c>
      <x:c r="F670" s="14" t="str">
        <x:v>Grace</x:v>
      </x:c>
      <x:c r="G670" s="14" t="str">
        <x:v>tt11639300</x:v>
      </x:c>
      <x:c r="H670" s="14" t="n">
        <x:v>2021</x:v>
      </x:c>
      <x:c r="I670" s="14" t="n">
        <x:v>2025</x:v>
      </x:c>
      <x:c r="J670" s="14" t="str">
        <x:v>Earlier-Production Carry-In Cohort</x:v>
      </x:c>
      <x:c r="K670" s="14" t="n">
        <x:v>2021</x:v>
      </x:c>
      <x:c r="L670" s="14" t="str">
        <x:v>Available from 2021 analysis</x:v>
      </x:c>
      <x:c r="M670" s="15" t="n">
        <x:v>109</x:v>
      </x:c>
      <x:c r="N670" s="14" t="str">
        <x:v>Madalina Bellariu Ion</x:v>
      </x:c>
      <x:c r="O670" s="14" t="str">
        <x:v>nm6373079</x:v>
      </x:c>
      <x:c r="P670" s="14" t="str">
        <x:v>Dren</x:v>
      </x:c>
      <x:c r="Q670" s="15" t="n">
        <x:v>1</x:v>
      </x:c>
      <x:c r="R670" s="14" t="str">
        <x:v>2025</x:v>
      </x:c>
      <x:c r="S670" s="14" t="n">
        <x:v>2025</x:v>
      </x:c>
      <x:c r="T670" s="14" t="n">
        <x:v>2025</x:v>
      </x:c>
      <x:c r="U670" s="14" t="str">
        <x:v>Post-2021 casting excluded</x:v>
      </x:c>
      <x:c r="V670" s="14" t="str">
        <x:v>Earliest supplied year is 2025, later than the 2021 study year.</x:v>
      </x:c>
      <x:c r="W670" s="14"/>
      <x:c r="X670" s="14" t="str">
        <x:v>Included</x:v>
      </x:c>
      <x:c r="Y670" s="14" t="str">
        <x:v>(as Madalina Bellariu)</x:v>
      </x:c>
      <x:c r="Z670" s="14" t="str">
        <x:v>Grace.docx</x:v>
      </x:c>
      <x:c r="AA670" s="14" t="str">
        <x:v>HYPERLINK is not implemented. linkLocation=https://www.imdb.com/title/tt11639300/fullcredits/, friendlyName=Open source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7" t="e">
        <x:f>HYPERLINK("https://en.wikipedia.org/wiki/Grace","Open source")</x:f>
        <x:v>HYPERLINK is not implemented. linkLocation=https://en.wikipedia.org/wiki/Grace, friendlyName=Open source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 t="str">
        <x:v>No established-register match</x:v>
      </x:c>
      <x:c r="AT670" s="14"/>
      <x:c r="AU670" s="14"/>
      <x:c r="AV670" s="14" t="str">
        <x:v>No established apparent-disability match</x:v>
      </x:c>
      <x:c r="AW670" s="14"/>
      <x:c r="AX670" s="14" t="str">
        <x:v>No</x:v>
      </x:c>
      <x:c r="AY670" s="14" t="str">
        <x:v>Unmatched</x:v>
      </x:c>
      <x:c r="AZ670" s="14" t="str">
        <x:v>Final supplied register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20</x:v>
      </x:c>
      <x:c r="BP670" s="14" t="str">
        <x:v>Maximum eligible IMDb cast-credit total (20), shared by 4 performer(s); not independently verified as a 2021-only episode total.</x:v>
      </x:c>
      <x:c r="BQ670" s="14" t="str">
        <x:v>Medium</x:v>
      </x:c>
      <x:c r="BR670" s="15" t="n">
        <x:v>1</x:v>
      </x:c>
      <x:c r="BS670" s="16" t="n">
        <x:v>0.05</x:v>
      </x:c>
      <x:c r="BT670" s="14" t="str">
        <x:v>One episode</x:v>
      </x:c>
      <x:c r="BU670" s="14" t="str">
        <x:v>Medium</x:v>
      </x:c>
      <x:c r="BV670" s="14" t="str">
        <x:v>Derived from supplied IMDb episode count and the documented production-total proxy.</x:v>
      </x:c>
      <x:c r="BW670" s="14" t="str">
        <x:v>Unable to determine</x:v>
      </x:c>
      <x:c r="BX670" s="14" t="str">
        <x:v>Supplied cast data establishes the credit and episode presence but does not establish narrative prominence.</x:v>
      </x:c>
      <x:c r="BY670" s="14" t="str">
        <x:v>Supplied IMDb cast-list workbook</x:v>
      </x:c>
      <x:c r="BZ670" s="14" t="str">
        <x:v>HYPERLINK is not implemented. linkLocation=https://www.imdb.com/title/tt11639300/fullcredits/, friendlyName=Open source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tt11639300|nm0344237|chief constable</x:v>
      </x:c>
      <x:c r="B671" s="14" t="str">
        <x:v>02</x:v>
      </x:c>
      <x:c r="C671" s="14" t="str">
        <x:v>2021_IMDb_Cast_Lists_Batch_02(1).xlsx</x:v>
      </x:c>
      <x:c r="D671" s="14" t="str">
        <x:v>Grace</x:v>
      </x:c>
      <x:c r="E671" s="14" t="n">
        <x:v>117</x:v>
      </x:c>
      <x:c r="F671" s="14" t="str">
        <x:v>Grace</x:v>
      </x:c>
      <x:c r="G671" s="14" t="str">
        <x:v>tt11639300</x:v>
      </x:c>
      <x:c r="H671" s="14" t="n">
        <x:v>2021</x:v>
      </x:c>
      <x:c r="I671" s="14" t="n">
        <x:v>2025</x:v>
      </x:c>
      <x:c r="J671" s="14" t="str">
        <x:v>Earlier-Production Carry-In Cohort</x:v>
      </x:c>
      <x:c r="K671" s="14" t="n">
        <x:v>2021</x:v>
      </x:c>
      <x:c r="L671" s="14" t="str">
        <x:v>Available from 2021 analysis</x:v>
      </x:c>
      <x:c r="M671" s="15" t="n">
        <x:v>110</x:v>
      </x:c>
      <x:c r="N671" s="14" t="str">
        <x:v>Caroline Gruber</x:v>
      </x:c>
      <x:c r="O671" s="14" t="str">
        <x:v>nm0344237</x:v>
      </x:c>
      <x:c r="P671" s="14" t="str">
        <x:v>Chief Constable</x:v>
      </x:c>
      <x:c r="Q671" s="15" t="n">
        <x:v>1</x:v>
      </x:c>
      <x:c r="R671" s="14" t="str">
        <x:v>2025</x:v>
      </x:c>
      <x:c r="S671" s="14" t="n">
        <x:v>2025</x:v>
      </x:c>
      <x:c r="T671" s="14" t="n">
        <x:v>2025</x:v>
      </x:c>
      <x:c r="U671" s="14" t="str">
        <x:v>Post-2021 casting excluded</x:v>
      </x:c>
      <x:c r="V671" s="14" t="str">
        <x:v>Earliest supplied year is 2025, later than the 2021 study year.</x:v>
      </x:c>
      <x:c r="W671" s="14"/>
      <x:c r="X671" s="14" t="str">
        <x:v>Included</x:v>
      </x:c>
      <x:c r="Y671" s="14"/>
      <x:c r="Z671" s="14" t="str">
        <x:v>Grace.docx</x:v>
      </x:c>
      <x:c r="AA671" s="14" t="str">
        <x:v>HYPERLINK is not implemented. linkLocation=https://www.imdb.com/title/tt11639300/fullcredits/, friendlyName=Open source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7" t="e">
        <x:f>HYPERLINK("https://en.wikipedia.org/wiki/Grace","Open source")</x:f>
        <x:v>HYPERLINK is not implemented. linkLocation=https://en.wikipedia.org/wiki/Grace, friendlyName=Open source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 t="str">
        <x:v>No established-register match</x:v>
      </x:c>
      <x:c r="AT671" s="14"/>
      <x:c r="AU671" s="14"/>
      <x:c r="AV671" s="14" t="str">
        <x:v>No established apparent-disability match</x:v>
      </x:c>
      <x:c r="AW671" s="14"/>
      <x:c r="AX671" s="14" t="str">
        <x:v>No</x:v>
      </x:c>
      <x:c r="AY671" s="14" t="str">
        <x:v>Unmatched</x:v>
      </x:c>
      <x:c r="AZ671" s="14" t="str">
        <x:v>Final supplied register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20</x:v>
      </x:c>
      <x:c r="BP671" s="14" t="str">
        <x:v>Maximum eligible IMDb cast-credit total (20), shared by 4 performer(s); not independently verified as a 2021-only episode total.</x:v>
      </x:c>
      <x:c r="BQ671" s="14" t="str">
        <x:v>Medium</x:v>
      </x:c>
      <x:c r="BR671" s="15" t="n">
        <x:v>1</x:v>
      </x:c>
      <x:c r="BS671" s="16" t="n">
        <x:v>0.05</x:v>
      </x:c>
      <x:c r="BT671" s="14" t="str">
        <x:v>One episode</x:v>
      </x:c>
      <x:c r="BU671" s="14" t="str">
        <x:v>Medium</x:v>
      </x:c>
      <x:c r="BV671" s="14" t="str">
        <x:v>Derived from supplied IMDb episode count and the documented production-total proxy.</x:v>
      </x:c>
      <x:c r="BW671" s="14" t="str">
        <x:v>Unable to determine</x:v>
      </x:c>
      <x:c r="BX671" s="14" t="str">
        <x:v>Supplied cast data establishes the credit and episode presence but does not establish narrative prominence.</x:v>
      </x:c>
      <x:c r="BY671" s="14" t="str">
        <x:v>Supplied IMDb cast-list workbook</x:v>
      </x:c>
      <x:c r="BZ671" s="14" t="str">
        <x:v>HYPERLINK is not implemented. linkLocation=https://www.imdb.com/title/tt11639300/fullcredits/, friendlyName=Open source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tt11639300|nm11471405|wesley</x:v>
      </x:c>
      <x:c r="B672" s="14" t="str">
        <x:v>02</x:v>
      </x:c>
      <x:c r="C672" s="14" t="str">
        <x:v>2021_IMDb_Cast_Lists_Batch_02(1).xlsx</x:v>
      </x:c>
      <x:c r="D672" s="14" t="str">
        <x:v>Grace</x:v>
      </x:c>
      <x:c r="E672" s="14" t="n">
        <x:v>118</x:v>
      </x:c>
      <x:c r="F672" s="14" t="str">
        <x:v>Grace</x:v>
      </x:c>
      <x:c r="G672" s="14" t="str">
        <x:v>tt11639300</x:v>
      </x:c>
      <x:c r="H672" s="14" t="n">
        <x:v>2021</x:v>
      </x:c>
      <x:c r="I672" s="14" t="n">
        <x:v>2025</x:v>
      </x:c>
      <x:c r="J672" s="14" t="str">
        <x:v>Earlier-Production Carry-In Cohort</x:v>
      </x:c>
      <x:c r="K672" s="14" t="n">
        <x:v>2021</x:v>
      </x:c>
      <x:c r="L672" s="14" t="str">
        <x:v>Available from 2021 analysis</x:v>
      </x:c>
      <x:c r="M672" s="15" t="n">
        <x:v>111</x:v>
      </x:c>
      <x:c r="N672" s="14" t="str">
        <x:v>Jack Barker</x:v>
      </x:c>
      <x:c r="O672" s="14" t="str">
        <x:v>nm11471405</x:v>
      </x:c>
      <x:c r="P672" s="14" t="str">
        <x:v>Wesley</x:v>
      </x:c>
      <x:c r="Q672" s="15" t="n">
        <x:v>1</x:v>
      </x:c>
      <x:c r="R672" s="14" t="str">
        <x:v>2025</x:v>
      </x:c>
      <x:c r="S672" s="14" t="n">
        <x:v>2025</x:v>
      </x:c>
      <x:c r="T672" s="14" t="n">
        <x:v>2025</x:v>
      </x:c>
      <x:c r="U672" s="14" t="str">
        <x:v>Post-2021 casting excluded</x:v>
      </x:c>
      <x:c r="V672" s="14" t="str">
        <x:v>Earliest supplied year is 2025, later than the 2021 study year.</x:v>
      </x:c>
      <x:c r="W672" s="14"/>
      <x:c r="X672" s="14" t="str">
        <x:v>Included</x:v>
      </x:c>
      <x:c r="Y672" s="14"/>
      <x:c r="Z672" s="14" t="str">
        <x:v>Grace.docx</x:v>
      </x:c>
      <x:c r="AA672" s="14" t="str">
        <x:v>HYPERLINK is not implemented. linkLocation=https://www.imdb.com/title/tt11639300/fullcredits/, friendlyName=Open source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ITV / ITVX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7" t="e">
        <x:f>HYPERLINK("https://en.wikipedia.org/wiki/Grace","Open source")</x:f>
        <x:v>HYPERLINK is not implemented. linkLocation=https://en.wikipedia.org/wiki/Grace, friendlyName=Open source</x:v>
      </x:c>
      <x:c r="AN672" s="14" t="str">
        <x:v>No qualifying BBC relationship</x:v>
      </x:c>
      <x:c r="AO672" s="14" t="str">
        <x:v>No</x:v>
      </x:c>
      <x:c r="AP672" s="14" t="str">
        <x:v>Out of scope</x:v>
      </x:c>
      <x:c r="AQ672" s="14" t="str">
        <x:v>No</x:v>
      </x:c>
      <x:c r="AR672" s="14" t="str">
        <x:v>Resolved from master register</x:v>
      </x:c>
      <x:c r="AS672" s="14" t="str">
        <x:v>No established-register match</x:v>
      </x:c>
      <x:c r="AT672" s="14"/>
      <x:c r="AU672" s="14"/>
      <x:c r="AV672" s="14" t="str">
        <x:v>No established apparent-disability match</x:v>
      </x:c>
      <x:c r="AW672" s="14"/>
      <x:c r="AX672" s="14" t="str">
        <x:v>No</x:v>
      </x:c>
      <x:c r="AY672" s="14" t="str">
        <x:v>Unmatched</x:v>
      </x:c>
      <x:c r="AZ672" s="14" t="str">
        <x:v>Final supplied register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20</x:v>
      </x:c>
      <x:c r="BP672" s="14" t="str">
        <x:v>Maximum eligible IMDb cast-credit total (20), shared by 4 performer(s); not independently verified as a 2021-only episode total.</x:v>
      </x:c>
      <x:c r="BQ672" s="14" t="str">
        <x:v>Medium</x:v>
      </x:c>
      <x:c r="BR672" s="15" t="n">
        <x:v>1</x:v>
      </x:c>
      <x:c r="BS672" s="16" t="n">
        <x:v>0.05</x:v>
      </x:c>
      <x:c r="BT672" s="14" t="str">
        <x:v>One episode</x:v>
      </x:c>
      <x:c r="BU672" s="14" t="str">
        <x:v>Medium</x:v>
      </x:c>
      <x:c r="BV672" s="14" t="str">
        <x:v>Derived from supplied IMDb episode count and the documented production-total proxy.</x:v>
      </x:c>
      <x:c r="BW672" s="14" t="str">
        <x:v>Unable to determine</x:v>
      </x:c>
      <x:c r="BX672" s="14" t="str">
        <x:v>Supplied cast data establishes the credit and episode presence but does not establish narrative prominence.</x:v>
      </x:c>
      <x:c r="BY672" s="14" t="str">
        <x:v>Supplied IMDb cast-list workbook</x:v>
      </x:c>
      <x:c r="BZ672" s="14" t="str">
        <x:v>HYPERLINK is not implemented. linkLocation=https://www.imdb.com/title/tt11639300/fullcredits/, friendlyName=Open source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tt11639300|nm1254152|barbara maxwell</x:v>
      </x:c>
      <x:c r="B673" s="14" t="str">
        <x:v>02</x:v>
      </x:c>
      <x:c r="C673" s="14" t="str">
        <x:v>2021_IMDb_Cast_Lists_Batch_02(1).xlsx</x:v>
      </x:c>
      <x:c r="D673" s="14" t="str">
        <x:v>Grace</x:v>
      </x:c>
      <x:c r="E673" s="14" t="n">
        <x:v>128</x:v>
      </x:c>
      <x:c r="F673" s="14" t="str">
        <x:v>Grace</x:v>
      </x:c>
      <x:c r="G673" s="14" t="str">
        <x:v>tt11639300</x:v>
      </x:c>
      <x:c r="H673" s="14" t="n">
        <x:v>2021</x:v>
      </x:c>
      <x:c r="I673" s="14" t="n">
        <x:v>2025</x:v>
      </x:c>
      <x:c r="J673" s="14" t="str">
        <x:v>Earlier-Production Carry-In Cohort</x:v>
      </x:c>
      <x:c r="K673" s="14" t="n">
        <x:v>2021</x:v>
      </x:c>
      <x:c r="L673" s="14" t="str">
        <x:v>Available from 2021 analysis</x:v>
      </x:c>
      <x:c r="M673" s="15" t="n">
        <x:v>121</x:v>
      </x:c>
      <x:c r="N673" s="14" t="str">
        <x:v>Catherine Walker</x:v>
      </x:c>
      <x:c r="O673" s="14" t="str">
        <x:v>nm1254152</x:v>
      </x:c>
      <x:c r="P673" s="14" t="str">
        <x:v>Barbara Maxwell</x:v>
      </x:c>
      <x:c r="Q673" s="15" t="n">
        <x:v>1</x:v>
      </x:c>
      <x:c r="R673" s="14" t="str">
        <x:v>2025</x:v>
      </x:c>
      <x:c r="S673" s="14" t="n">
        <x:v>2025</x:v>
      </x:c>
      <x:c r="T673" s="14" t="n">
        <x:v>2025</x:v>
      </x:c>
      <x:c r="U673" s="14" t="str">
        <x:v>Post-2021 casting excluded</x:v>
      </x:c>
      <x:c r="V673" s="14" t="str">
        <x:v>Earliest supplied year is 2025, later than the 2021 study year.</x:v>
      </x:c>
      <x:c r="W673" s="14"/>
      <x:c r="X673" s="14" t="str">
        <x:v>Included</x:v>
      </x:c>
      <x:c r="Y673" s="14"/>
      <x:c r="Z673" s="14" t="str">
        <x:v>Grace.docx</x:v>
      </x:c>
      <x:c r="AA673" s="14" t="str">
        <x:v>HYPERLINK is not implemented. linkLocation=https://www.imdb.com/title/tt11639300/fullcredits/, friendlyName=Open source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ITV / ITVX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7" t="e">
        <x:f>HYPERLINK("https://en.wikipedia.org/wiki/Grace","Open source")</x:f>
        <x:v>HYPERLINK is not implemented. linkLocation=https://en.wikipedia.org/wiki/Grace, friendlyName=Open source</x:v>
      </x:c>
      <x:c r="AN673" s="14" t="str">
        <x:v>No qualifying BBC relationship</x:v>
      </x:c>
      <x:c r="AO673" s="14" t="str">
        <x:v>No</x:v>
      </x:c>
      <x:c r="AP673" s="14" t="str">
        <x:v>Out of scope</x:v>
      </x:c>
      <x:c r="AQ673" s="14" t="str">
        <x:v>No</x:v>
      </x:c>
      <x:c r="AR673" s="14" t="str">
        <x:v>Resolved from master register</x:v>
      </x:c>
      <x:c r="AS673" s="14" t="str">
        <x:v>No established-register match</x:v>
      </x:c>
      <x:c r="AT673" s="14"/>
      <x:c r="AU673" s="14"/>
      <x:c r="AV673" s="14" t="str">
        <x:v>No established apparent-disability match</x:v>
      </x:c>
      <x:c r="AW673" s="14"/>
      <x:c r="AX673" s="14" t="str">
        <x:v>No</x:v>
      </x:c>
      <x:c r="AY673" s="14" t="str">
        <x:v>Unmatched</x:v>
      </x:c>
      <x:c r="AZ673" s="14" t="str">
        <x:v>Final supplied register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20</x:v>
      </x:c>
      <x:c r="BP673" s="14" t="str">
        <x:v>Maximum eligible IMDb cast-credit total (20), shared by 4 performer(s); not independently verified as a 2021-only episode total.</x:v>
      </x:c>
      <x:c r="BQ673" s="14" t="str">
        <x:v>Medium</x:v>
      </x:c>
      <x:c r="BR673" s="15" t="n">
        <x:v>1</x:v>
      </x:c>
      <x:c r="BS673" s="16" t="n">
        <x:v>0.05</x:v>
      </x:c>
      <x:c r="BT673" s="14" t="str">
        <x:v>One episode</x:v>
      </x:c>
      <x:c r="BU673" s="14" t="str">
        <x:v>Medium</x:v>
      </x:c>
      <x:c r="BV673" s="14" t="str">
        <x:v>Derived from supplied IMDb episode count and the documented production-total proxy.</x:v>
      </x:c>
      <x:c r="BW673" s="14" t="str">
        <x:v>Unable to determine</x:v>
      </x:c>
      <x:c r="BX673" s="14" t="str">
        <x:v>Supplied cast data establishes the credit and episode presence but does not establish narrative prominence.</x:v>
      </x:c>
      <x:c r="BY673" s="14" t="str">
        <x:v>Supplied IMDb cast-list workbook</x:v>
      </x:c>
      <x:c r="BZ673" s="14" t="str">
        <x:v>HYPERLINK is not implemented. linkLocation=https://www.imdb.com/title/tt11639300/fullcredits/, friendlyName=Open source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tt11639300|nm8994060|georgina driver</x:v>
      </x:c>
      <x:c r="B674" s="14" t="str">
        <x:v>02</x:v>
      </x:c>
      <x:c r="C674" s="14" t="str">
        <x:v>2021_IMDb_Cast_Lists_Batch_02(1).xlsx</x:v>
      </x:c>
      <x:c r="D674" s="14" t="str">
        <x:v>Grace</x:v>
      </x:c>
      <x:c r="E674" s="14" t="n">
        <x:v>129</x:v>
      </x:c>
      <x:c r="F674" s="14" t="str">
        <x:v>Grace</x:v>
      </x:c>
      <x:c r="G674" s="14" t="str">
        <x:v>tt11639300</x:v>
      </x:c>
      <x:c r="H674" s="14" t="n">
        <x:v>2021</x:v>
      </x:c>
      <x:c r="I674" s="14" t="n">
        <x:v>2025</x:v>
      </x:c>
      <x:c r="J674" s="14" t="str">
        <x:v>Earlier-Production Carry-In Cohort</x:v>
      </x:c>
      <x:c r="K674" s="14" t="n">
        <x:v>2021</x:v>
      </x:c>
      <x:c r="L674" s="14" t="str">
        <x:v>Available from 2021 analysis</x:v>
      </x:c>
      <x:c r="M674" s="15" t="n">
        <x:v>122</x:v>
      </x:c>
      <x:c r="N674" s="14" t="str">
        <x:v>Sara Matin</x:v>
      </x:c>
      <x:c r="O674" s="14" t="str">
        <x:v>nm8994060</x:v>
      </x:c>
      <x:c r="P674" s="14" t="str">
        <x:v>Georgina Driver</x:v>
      </x:c>
      <x:c r="Q674" s="15" t="n">
        <x:v>1</x:v>
      </x:c>
      <x:c r="R674" s="14" t="str">
        <x:v>2025</x:v>
      </x:c>
      <x:c r="S674" s="14" t="n">
        <x:v>2025</x:v>
      </x:c>
      <x:c r="T674" s="14" t="n">
        <x:v>2025</x:v>
      </x:c>
      <x:c r="U674" s="14" t="str">
        <x:v>Post-2021 casting excluded</x:v>
      </x:c>
      <x:c r="V674" s="14" t="str">
        <x:v>Earliest supplied year is 2025, later than the 2021 study year.</x:v>
      </x:c>
      <x:c r="W674" s="14"/>
      <x:c r="X674" s="14" t="str">
        <x:v>Included</x:v>
      </x:c>
      <x:c r="Y674" s="14"/>
      <x:c r="Z674" s="14" t="str">
        <x:v>Grace.docx</x:v>
      </x:c>
      <x:c r="AA674" s="14" t="str">
        <x:v>HYPERLINK is not implemented. linkLocation=https://www.imdb.com/title/tt11639300/fullcredits/, friendlyName=Open source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ITV / ITVX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7" t="e">
        <x:f>HYPERLINK("https://en.wikipedia.org/wiki/Grace","Open source")</x:f>
        <x:v>HYPERLINK is not implemented. linkLocation=https://en.wikipedia.org/wiki/Grace, friendlyName=Open source</x:v>
      </x:c>
      <x:c r="AN674" s="14" t="str">
        <x:v>No qualifying BBC relationship</x:v>
      </x:c>
      <x:c r="AO674" s="14" t="str">
        <x:v>No</x:v>
      </x:c>
      <x:c r="AP674" s="14" t="str">
        <x:v>Out of scope</x:v>
      </x:c>
      <x:c r="AQ674" s="14" t="str">
        <x:v>No</x:v>
      </x:c>
      <x:c r="AR674" s="14" t="str">
        <x:v>Resolved from master register</x:v>
      </x:c>
      <x:c r="AS674" s="14" t="str">
        <x:v>No established-register match</x:v>
      </x:c>
      <x:c r="AT674" s="14"/>
      <x:c r="AU674" s="14"/>
      <x:c r="AV674" s="14" t="str">
        <x:v>No established apparent-disability match</x:v>
      </x:c>
      <x:c r="AW674" s="14"/>
      <x:c r="AX674" s="14" t="str">
        <x:v>No</x:v>
      </x:c>
      <x:c r="AY674" s="14" t="str">
        <x:v>Unmatched</x:v>
      </x:c>
      <x:c r="AZ674" s="14" t="str">
        <x:v>Final supplied register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20</x:v>
      </x:c>
      <x:c r="BP674" s="14" t="str">
        <x:v>Maximum eligible IMDb cast-credit total (20), shared by 4 performer(s); not independently verified as a 2021-only episode total.</x:v>
      </x:c>
      <x:c r="BQ674" s="14" t="str">
        <x:v>Medium</x:v>
      </x:c>
      <x:c r="BR674" s="15" t="n">
        <x:v>1</x:v>
      </x:c>
      <x:c r="BS674" s="16" t="n">
        <x:v>0.05</x:v>
      </x:c>
      <x:c r="BT674" s="14" t="str">
        <x:v>One episode</x:v>
      </x:c>
      <x:c r="BU674" s="14" t="str">
        <x:v>Medium</x:v>
      </x:c>
      <x:c r="BV674" s="14" t="str">
        <x:v>Derived from supplied IMDb episode count and the documented production-total proxy.</x:v>
      </x:c>
      <x:c r="BW674" s="14" t="str">
        <x:v>Unable to determine</x:v>
      </x:c>
      <x:c r="BX674" s="14" t="str">
        <x:v>Supplied cast data establishes the credit and episode presence but does not establish narrative prominence.</x:v>
      </x:c>
      <x:c r="BY674" s="14" t="str">
        <x:v>Supplied IMDb cast-list workbook</x:v>
      </x:c>
      <x:c r="BZ674" s="14" t="str">
        <x:v>HYPERLINK is not implemented. linkLocation=https://www.imdb.com/title/tt11639300/fullcredits/, friendlyName=Open source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tt11639300|nm14863102|laura</x:v>
      </x:c>
      <x:c r="B675" s="14" t="str">
        <x:v>02</x:v>
      </x:c>
      <x:c r="C675" s="14" t="str">
        <x:v>2021_IMDb_Cast_Lists_Batch_02(1).xlsx</x:v>
      </x:c>
      <x:c r="D675" s="14" t="str">
        <x:v>Grace</x:v>
      </x:c>
      <x:c r="E675" s="14" t="n">
        <x:v>130</x:v>
      </x:c>
      <x:c r="F675" s="14" t="str">
        <x:v>Grace</x:v>
      </x:c>
      <x:c r="G675" s="14" t="str">
        <x:v>tt11639300</x:v>
      </x:c>
      <x:c r="H675" s="14" t="n">
        <x:v>2021</x:v>
      </x:c>
      <x:c r="I675" s="14" t="n">
        <x:v>2025</x:v>
      </x:c>
      <x:c r="J675" s="14" t="str">
        <x:v>Earlier-Production Carry-In Cohort</x:v>
      </x:c>
      <x:c r="K675" s="14" t="n">
        <x:v>2021</x:v>
      </x:c>
      <x:c r="L675" s="14" t="str">
        <x:v>Available from 2021 analysis</x:v>
      </x:c>
      <x:c r="M675" s="15" t="n">
        <x:v>123</x:v>
      </x:c>
      <x:c r="N675" s="14" t="str">
        <x:v>Isabelle Shuka</x:v>
      </x:c>
      <x:c r="O675" s="14" t="str">
        <x:v>nm14863102</x:v>
      </x:c>
      <x:c r="P675" s="14" t="str">
        <x:v>Laura</x:v>
      </x:c>
      <x:c r="Q675" s="15" t="n">
        <x:v>1</x:v>
      </x:c>
      <x:c r="R675" s="14" t="str">
        <x:v>2025</x:v>
      </x:c>
      <x:c r="S675" s="14" t="n">
        <x:v>2025</x:v>
      </x:c>
      <x:c r="T675" s="14" t="n">
        <x:v>2025</x:v>
      </x:c>
      <x:c r="U675" s="14" t="str">
        <x:v>Post-2021 casting excluded</x:v>
      </x:c>
      <x:c r="V675" s="14" t="str">
        <x:v>Earliest supplied year is 2025, later than the 2021 study year.</x:v>
      </x:c>
      <x:c r="W675" s="14"/>
      <x:c r="X675" s="14" t="str">
        <x:v>Included</x:v>
      </x:c>
      <x:c r="Y675" s="14"/>
      <x:c r="Z675" s="14" t="str">
        <x:v>Grace.docx</x:v>
      </x:c>
      <x:c r="AA675" s="14" t="str">
        <x:v>HYPERLINK is not implemented. linkLocation=https://www.imdb.com/title/tt11639300/fullcredits/, friendlyName=Open source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ITV / ITVX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7" t="e">
        <x:f>HYPERLINK("https://en.wikipedia.org/wiki/Grace","Open source")</x:f>
        <x:v>HYPERLINK is not implemented. linkLocation=https://en.wikipedia.org/wiki/Grace, friendlyName=Open source</x:v>
      </x:c>
      <x:c r="AN675" s="14" t="str">
        <x:v>No qualifying BBC relationship</x:v>
      </x:c>
      <x:c r="AO675" s="14" t="str">
        <x:v>No</x:v>
      </x:c>
      <x:c r="AP675" s="14" t="str">
        <x:v>Out of scope</x:v>
      </x:c>
      <x:c r="AQ675" s="14" t="str">
        <x:v>No</x:v>
      </x:c>
      <x:c r="AR675" s="14" t="str">
        <x:v>Resolved from master register</x:v>
      </x:c>
      <x:c r="AS675" s="14" t="str">
        <x:v>No established-register match</x:v>
      </x:c>
      <x:c r="AT675" s="14"/>
      <x:c r="AU675" s="14"/>
      <x:c r="AV675" s="14" t="str">
        <x:v>No established apparent-disability match</x:v>
      </x:c>
      <x:c r="AW675" s="14"/>
      <x:c r="AX675" s="14" t="str">
        <x:v>No</x:v>
      </x:c>
      <x:c r="AY675" s="14" t="str">
        <x:v>Unmatched</x:v>
      </x:c>
      <x:c r="AZ675" s="14" t="str">
        <x:v>Final supplied register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20</x:v>
      </x:c>
      <x:c r="BP675" s="14" t="str">
        <x:v>Maximum eligible IMDb cast-credit total (20), shared by 4 performer(s); not independently verified as a 2021-only episode total.</x:v>
      </x:c>
      <x:c r="BQ675" s="14" t="str">
        <x:v>Medium</x:v>
      </x:c>
      <x:c r="BR675" s="15" t="n">
        <x:v>1</x:v>
      </x:c>
      <x:c r="BS675" s="16" t="n">
        <x:v>0.05</x:v>
      </x:c>
      <x:c r="BT675" s="14" t="str">
        <x:v>One episode</x:v>
      </x:c>
      <x:c r="BU675" s="14" t="str">
        <x:v>Medium</x:v>
      </x:c>
      <x:c r="BV675" s="14" t="str">
        <x:v>Derived from supplied IMDb episode count and the documented production-total proxy.</x:v>
      </x:c>
      <x:c r="BW675" s="14" t="str">
        <x:v>Unable to determine</x:v>
      </x:c>
      <x:c r="BX675" s="14" t="str">
        <x:v>Supplied cast data establishes the credit and episode presence but does not establish narrative prominence.</x:v>
      </x:c>
      <x:c r="BY675" s="14" t="str">
        <x:v>Supplied IMDb cast-list workbook</x:v>
      </x:c>
      <x:c r="BZ675" s="14" t="str">
        <x:v>HYPERLINK is not implemented. linkLocation=https://www.imdb.com/title/tt11639300/fullcredits/, friendlyName=Open source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tt11639300|nm1346211|kipp kavinda</x:v>
      </x:c>
      <x:c r="B676" s="14" t="str">
        <x:v>02</x:v>
      </x:c>
      <x:c r="C676" s="14" t="str">
        <x:v>2021_IMDb_Cast_Lists_Batch_02(1).xlsx</x:v>
      </x:c>
      <x:c r="D676" s="14" t="str">
        <x:v>Grace</x:v>
      </x:c>
      <x:c r="E676" s="14" t="n">
        <x:v>139</x:v>
      </x:c>
      <x:c r="F676" s="14" t="str">
        <x:v>Grace</x:v>
      </x:c>
      <x:c r="G676" s="14" t="str">
        <x:v>tt11639300</x:v>
      </x:c>
      <x:c r="H676" s="14" t="n">
        <x:v>2021</x:v>
      </x:c>
      <x:c r="I676" s="14" t="n">
        <x:v>2025</x:v>
      </x:c>
      <x:c r="J676" s="14" t="str">
        <x:v>Earlier-Production Carry-In Cohort</x:v>
      </x:c>
      <x:c r="K676" s="14" t="n">
        <x:v>2021</x:v>
      </x:c>
      <x:c r="L676" s="14" t="str">
        <x:v>Available from 2021 analysis</x:v>
      </x:c>
      <x:c r="M676" s="15" t="n">
        <x:v>132</x:v>
      </x:c>
      <x:c r="N676" s="14" t="str">
        <x:v>Abhin Galeya</x:v>
      </x:c>
      <x:c r="O676" s="14" t="str">
        <x:v>nm1346211</x:v>
      </x:c>
      <x:c r="P676" s="14" t="str">
        <x:v>Kipp Kavinda</x:v>
      </x:c>
      <x:c r="Q676" s="15" t="n">
        <x:v>1</x:v>
      </x:c>
      <x:c r="R676" s="14" t="str">
        <x:v>2025</x:v>
      </x:c>
      <x:c r="S676" s="14" t="n">
        <x:v>2025</x:v>
      </x:c>
      <x:c r="T676" s="14" t="n">
        <x:v>2025</x:v>
      </x:c>
      <x:c r="U676" s="14" t="str">
        <x:v>Post-2021 casting excluded</x:v>
      </x:c>
      <x:c r="V676" s="14" t="str">
        <x:v>Earliest supplied year is 2025, later than the 2021 study year.</x:v>
      </x:c>
      <x:c r="W676" s="14"/>
      <x:c r="X676" s="14" t="str">
        <x:v>Included</x:v>
      </x:c>
      <x:c r="Y676" s="14"/>
      <x:c r="Z676" s="14" t="str">
        <x:v>Grace.docx</x:v>
      </x:c>
      <x:c r="AA676" s="14" t="str">
        <x:v>HYPERLINK is not implemented. linkLocation=https://www.imdb.com/title/tt11639300/fullcredits/, friendlyName=Open source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ITV / ITVX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7" t="e">
        <x:f>HYPERLINK("https://en.wikipedia.org/wiki/Grace","Open source")</x:f>
        <x:v>HYPERLINK is not implemented. linkLocation=https://en.wikipedia.org/wiki/Grace, friendlyName=Open source</x:v>
      </x:c>
      <x:c r="AN676" s="14" t="str">
        <x:v>No qualifying BBC relationship</x:v>
      </x:c>
      <x:c r="AO676" s="14" t="str">
        <x:v>No</x:v>
      </x:c>
      <x:c r="AP676" s="14" t="str">
        <x:v>Out of scope</x:v>
      </x:c>
      <x:c r="AQ676" s="14" t="str">
        <x:v>No</x:v>
      </x:c>
      <x:c r="AR676" s="14" t="str">
        <x:v>Resolved from master register</x:v>
      </x:c>
      <x:c r="AS676" s="14" t="str">
        <x:v>No established-register match</x:v>
      </x:c>
      <x:c r="AT676" s="14"/>
      <x:c r="AU676" s="14"/>
      <x:c r="AV676" s="14" t="str">
        <x:v>No established apparent-disability match</x:v>
      </x:c>
      <x:c r="AW676" s="14"/>
      <x:c r="AX676" s="14" t="str">
        <x:v>No</x:v>
      </x:c>
      <x:c r="AY676" s="14" t="str">
        <x:v>Unmatched</x:v>
      </x:c>
      <x:c r="AZ676" s="14" t="str">
        <x:v>Final supplied register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20</x:v>
      </x:c>
      <x:c r="BP676" s="14" t="str">
        <x:v>Maximum eligible IMDb cast-credit total (20), shared by 4 performer(s); not independently verified as a 2021-only episode total.</x:v>
      </x:c>
      <x:c r="BQ676" s="14" t="str">
        <x:v>Medium</x:v>
      </x:c>
      <x:c r="BR676" s="15" t="n">
        <x:v>1</x:v>
      </x:c>
      <x:c r="BS676" s="16" t="n">
        <x:v>0.05</x:v>
      </x:c>
      <x:c r="BT676" s="14" t="str">
        <x:v>One episode</x:v>
      </x:c>
      <x:c r="BU676" s="14" t="str">
        <x:v>Medium</x:v>
      </x:c>
      <x:c r="BV676" s="14" t="str">
        <x:v>Derived from supplied IMDb episode count and the documented production-total proxy.</x:v>
      </x:c>
      <x:c r="BW676" s="14" t="str">
        <x:v>Unable to determine</x:v>
      </x:c>
      <x:c r="BX676" s="14" t="str">
        <x:v>Supplied cast data establishes the credit and episode presence but does not establish narrative prominence.</x:v>
      </x:c>
      <x:c r="BY676" s="14" t="str">
        <x:v>Supplied IMDb cast-list workbook</x:v>
      </x:c>
      <x:c r="BZ676" s="14" t="str">
        <x:v>HYPERLINK is not implemented. linkLocation=https://www.imdb.com/title/tt11639300/fullcredits/, friendlyName=Open source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tt11639300|nm8013437|ellen maxwell</x:v>
      </x:c>
      <x:c r="B677" s="14" t="str">
        <x:v>02</x:v>
      </x:c>
      <x:c r="C677" s="14" t="str">
        <x:v>2021_IMDb_Cast_Lists_Batch_02(1).xlsx</x:v>
      </x:c>
      <x:c r="D677" s="14" t="str">
        <x:v>Grace</x:v>
      </x:c>
      <x:c r="E677" s="14" t="n">
        <x:v>140</x:v>
      </x:c>
      <x:c r="F677" s="14" t="str">
        <x:v>Grace</x:v>
      </x:c>
      <x:c r="G677" s="14" t="str">
        <x:v>tt11639300</x:v>
      </x:c>
      <x:c r="H677" s="14" t="n">
        <x:v>2021</x:v>
      </x:c>
      <x:c r="I677" s="14" t="n">
        <x:v>2025</x:v>
      </x:c>
      <x:c r="J677" s="14" t="str">
        <x:v>Earlier-Production Carry-In Cohort</x:v>
      </x:c>
      <x:c r="K677" s="14" t="n">
        <x:v>2021</x:v>
      </x:c>
      <x:c r="L677" s="14" t="str">
        <x:v>Available from 2021 analysis</x:v>
      </x:c>
      <x:c r="M677" s="15" t="n">
        <x:v>133</x:v>
      </x:c>
      <x:c r="N677" s="14" t="str">
        <x:v>Sophie Ablett</x:v>
      </x:c>
      <x:c r="O677" s="14" t="str">
        <x:v>nm8013437</x:v>
      </x:c>
      <x:c r="P677" s="14" t="str">
        <x:v>Ellen Maxwell</x:v>
      </x:c>
      <x:c r="Q677" s="15" t="n">
        <x:v>1</x:v>
      </x:c>
      <x:c r="R677" s="14" t="str">
        <x:v>2025</x:v>
      </x:c>
      <x:c r="S677" s="14" t="n">
        <x:v>2025</x:v>
      </x:c>
      <x:c r="T677" s="14" t="n">
        <x:v>2025</x:v>
      </x:c>
      <x:c r="U677" s="14" t="str">
        <x:v>Post-2021 casting excluded</x:v>
      </x:c>
      <x:c r="V677" s="14" t="str">
        <x:v>Earliest supplied year is 2025, later than the 2021 study year.</x:v>
      </x:c>
      <x:c r="W677" s="14"/>
      <x:c r="X677" s="14" t="str">
        <x:v>Included</x:v>
      </x:c>
      <x:c r="Y677" s="14"/>
      <x:c r="Z677" s="14" t="str">
        <x:v>Grace.docx</x:v>
      </x:c>
      <x:c r="AA677" s="14" t="str">
        <x:v>HYPERLINK is not implemented. linkLocation=https://www.imdb.com/title/tt11639300/fullcredits/, friendlyName=Open source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ITV / ITVX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7" t="e">
        <x:f>HYPERLINK("https://en.wikipedia.org/wiki/Grace","Open source")</x:f>
        <x:v>HYPERLINK is not implemented. linkLocation=https://en.wikipedia.org/wiki/Grace, friendlyName=Open source</x:v>
      </x:c>
      <x:c r="AN677" s="14" t="str">
        <x:v>No qualifying BBC relationship</x:v>
      </x:c>
      <x:c r="AO677" s="14" t="str">
        <x:v>No</x:v>
      </x:c>
      <x:c r="AP677" s="14" t="str">
        <x:v>Out of scope</x:v>
      </x:c>
      <x:c r="AQ677" s="14" t="str">
        <x:v>No</x:v>
      </x:c>
      <x:c r="AR677" s="14" t="str">
        <x:v>Resolved from master register</x:v>
      </x:c>
      <x:c r="AS677" s="14" t="str">
        <x:v>No established-register match</x:v>
      </x:c>
      <x:c r="AT677" s="14"/>
      <x:c r="AU677" s="14"/>
      <x:c r="AV677" s="14" t="str">
        <x:v>No established apparent-disability match</x:v>
      </x:c>
      <x:c r="AW677" s="14"/>
      <x:c r="AX677" s="14" t="str">
        <x:v>No</x:v>
      </x:c>
      <x:c r="AY677" s="14" t="str">
        <x:v>Unmatched</x:v>
      </x:c>
      <x:c r="AZ677" s="14" t="str">
        <x:v>Final supplied register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20</x:v>
      </x:c>
      <x:c r="BP677" s="14" t="str">
        <x:v>Maximum eligible IMDb cast-credit total (20), shared by 4 performer(s); not independently verified as a 2021-only episode total.</x:v>
      </x:c>
      <x:c r="BQ677" s="14" t="str">
        <x:v>Medium</x:v>
      </x:c>
      <x:c r="BR677" s="15" t="n">
        <x:v>1</x:v>
      </x:c>
      <x:c r="BS677" s="16" t="n">
        <x:v>0.05</x:v>
      </x:c>
      <x:c r="BT677" s="14" t="str">
        <x:v>One episode</x:v>
      </x:c>
      <x:c r="BU677" s="14" t="str">
        <x:v>Medium</x:v>
      </x:c>
      <x:c r="BV677" s="14" t="str">
        <x:v>Derived from supplied IMDb episode count and the documented production-total proxy.</x:v>
      </x:c>
      <x:c r="BW677" s="14" t="str">
        <x:v>Unable to determine</x:v>
      </x:c>
      <x:c r="BX677" s="14" t="str">
        <x:v>Supplied cast data establishes the credit and episode presence but does not establish narrative prominence.</x:v>
      </x:c>
      <x:c r="BY677" s="14" t="str">
        <x:v>Supplied IMDb cast-list workbook</x:v>
      </x:c>
      <x:c r="BZ677" s="14" t="str">
        <x:v>HYPERLINK is not implemented. linkLocation=https://www.imdb.com/title/tt11639300/fullcredits/, friendlyName=Open source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tt11639300|nm1873687|meg magellan</x:v>
      </x:c>
      <x:c r="B678" s="14" t="str">
        <x:v>02</x:v>
      </x:c>
      <x:c r="C678" s="14" t="str">
        <x:v>2021_IMDb_Cast_Lists_Batch_02(1).xlsx</x:v>
      </x:c>
      <x:c r="D678" s="14" t="str">
        <x:v>Grace</x:v>
      </x:c>
      <x:c r="E678" s="14" t="n">
        <x:v>147</x:v>
      </x:c>
      <x:c r="F678" s="14" t="str">
        <x:v>Grace</x:v>
      </x:c>
      <x:c r="G678" s="14" t="str">
        <x:v>tt11639300</x:v>
      </x:c>
      <x:c r="H678" s="14" t="n">
        <x:v>2021</x:v>
      </x:c>
      <x:c r="I678" s="14" t="n">
        <x:v>2025</x:v>
      </x:c>
      <x:c r="J678" s="14" t="str">
        <x:v>Earlier-Production Carry-In Cohort</x:v>
      </x:c>
      <x:c r="K678" s="14" t="n">
        <x:v>2021</x:v>
      </x:c>
      <x:c r="L678" s="14" t="str">
        <x:v>Available from 2021 analysis</x:v>
      </x:c>
      <x:c r="M678" s="15" t="n">
        <x:v>140</x:v>
      </x:c>
      <x:c r="N678" s="14" t="str">
        <x:v>Georgina Rich</x:v>
      </x:c>
      <x:c r="O678" s="14" t="str">
        <x:v>nm1873687</x:v>
      </x:c>
      <x:c r="P678" s="14" t="str">
        <x:v>Meg Magellan</x:v>
      </x:c>
      <x:c r="Q678" s="15" t="n">
        <x:v>1</x:v>
      </x:c>
      <x:c r="R678" s="14" t="str">
        <x:v>2025</x:v>
      </x:c>
      <x:c r="S678" s="14" t="n">
        <x:v>2025</x:v>
      </x:c>
      <x:c r="T678" s="14" t="n">
        <x:v>2025</x:v>
      </x:c>
      <x:c r="U678" s="14" t="str">
        <x:v>Post-2021 casting excluded</x:v>
      </x:c>
      <x:c r="V678" s="14" t="str">
        <x:v>Earliest supplied year is 2025, later than the 2021 study year.</x:v>
      </x:c>
      <x:c r="W678" s="14"/>
      <x:c r="X678" s="14" t="str">
        <x:v>Included</x:v>
      </x:c>
      <x:c r="Y678" s="14"/>
      <x:c r="Z678" s="14" t="str">
        <x:v>Grace.docx</x:v>
      </x:c>
      <x:c r="AA678" s="14" t="str">
        <x:v>HYPERLINK is not implemented. linkLocation=https://www.imdb.com/title/tt11639300/fullcredits/, friendlyName=Open source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ITV / ITVX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7" t="e">
        <x:f>HYPERLINK("https://en.wikipedia.org/wiki/Grace","Open source")</x:f>
        <x:v>HYPERLINK is not implemented. linkLocation=https://en.wikipedia.org/wiki/Grace, friendlyName=Open source</x:v>
      </x:c>
      <x:c r="AN678" s="14" t="str">
        <x:v>No qualifying BBC relationship</x:v>
      </x:c>
      <x:c r="AO678" s="14" t="str">
        <x:v>No</x:v>
      </x:c>
      <x:c r="AP678" s="14" t="str">
        <x:v>Out of scope</x:v>
      </x:c>
      <x:c r="AQ678" s="14" t="str">
        <x:v>No</x:v>
      </x:c>
      <x:c r="AR678" s="14" t="str">
        <x:v>Resolved from master register</x:v>
      </x:c>
      <x:c r="AS678" s="14" t="str">
        <x:v>No established-register match</x:v>
      </x:c>
      <x:c r="AT678" s="14"/>
      <x:c r="AU678" s="14"/>
      <x:c r="AV678" s="14" t="str">
        <x:v>No established apparent-disability match</x:v>
      </x:c>
      <x:c r="AW678" s="14"/>
      <x:c r="AX678" s="14" t="str">
        <x:v>No</x:v>
      </x:c>
      <x:c r="AY678" s="14" t="str">
        <x:v>Unmatched</x:v>
      </x:c>
      <x:c r="AZ678" s="14" t="str">
        <x:v>Final supplied register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20</x:v>
      </x:c>
      <x:c r="BP678" s="14" t="str">
        <x:v>Maximum eligible IMDb cast-credit total (20), shared by 4 performer(s); not independently verified as a 2021-only episode total.</x:v>
      </x:c>
      <x:c r="BQ678" s="14" t="str">
        <x:v>Medium</x:v>
      </x:c>
      <x:c r="BR678" s="15" t="n">
        <x:v>1</x:v>
      </x:c>
      <x:c r="BS678" s="16" t="n">
        <x:v>0.05</x:v>
      </x:c>
      <x:c r="BT678" s="14" t="str">
        <x:v>One episode</x:v>
      </x:c>
      <x:c r="BU678" s="14" t="str">
        <x:v>Medium</x:v>
      </x:c>
      <x:c r="BV678" s="14" t="str">
        <x:v>Derived from supplied IMDb episode count and the documented production-total proxy.</x:v>
      </x:c>
      <x:c r="BW678" s="14" t="str">
        <x:v>Unable to determine</x:v>
      </x:c>
      <x:c r="BX678" s="14" t="str">
        <x:v>Supplied cast data establishes the credit and episode presence but does not establish narrative prominence.</x:v>
      </x:c>
      <x:c r="BY678" s="14" t="str">
        <x:v>Supplied IMDb cast-list workbook</x:v>
      </x:c>
      <x:c r="BZ678" s="14" t="str">
        <x:v>HYPERLINK is not implemented. linkLocation=https://www.imdb.com/title/tt11639300/fullcredits/, friendlyName=Open source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tt11639300|nm1859822|dr. zara kavinda</x:v>
      </x:c>
      <x:c r="B679" s="14" t="str">
        <x:v>02</x:v>
      </x:c>
      <x:c r="C679" s="14" t="str">
        <x:v>2021_IMDb_Cast_Lists_Batch_02(1).xlsx</x:v>
      </x:c>
      <x:c r="D679" s="14" t="str">
        <x:v>Grace</x:v>
      </x:c>
      <x:c r="E679" s="14" t="n">
        <x:v>148</x:v>
      </x:c>
      <x:c r="F679" s="14" t="str">
        <x:v>Grace</x:v>
      </x:c>
      <x:c r="G679" s="14" t="str">
        <x:v>tt11639300</x:v>
      </x:c>
      <x:c r="H679" s="14" t="n">
        <x:v>2021</x:v>
      </x:c>
      <x:c r="I679" s="14" t="n">
        <x:v>2025</x:v>
      </x:c>
      <x:c r="J679" s="14" t="str">
        <x:v>Earlier-Production Carry-In Cohort</x:v>
      </x:c>
      <x:c r="K679" s="14" t="n">
        <x:v>2021</x:v>
      </x:c>
      <x:c r="L679" s="14" t="str">
        <x:v>Available from 2021 analysis</x:v>
      </x:c>
      <x:c r="M679" s="15" t="n">
        <x:v>141</x:v>
      </x:c>
      <x:c r="N679" s="14" t="str">
        <x:v>Maya Sondhi</x:v>
      </x:c>
      <x:c r="O679" s="14" t="str">
        <x:v>nm1859822</x:v>
      </x:c>
      <x:c r="P679" s="14" t="str">
        <x:v>Dr. Zara Kavinda</x:v>
      </x:c>
      <x:c r="Q679" s="15" t="n">
        <x:v>1</x:v>
      </x:c>
      <x:c r="R679" s="14" t="str">
        <x:v>2025</x:v>
      </x:c>
      <x:c r="S679" s="14" t="n">
        <x:v>2025</x:v>
      </x:c>
      <x:c r="T679" s="14" t="n">
        <x:v>2025</x:v>
      </x:c>
      <x:c r="U679" s="14" t="str">
        <x:v>Post-2021 casting excluded</x:v>
      </x:c>
      <x:c r="V679" s="14" t="str">
        <x:v>Earliest supplied year is 2025, later than the 2021 study year.</x:v>
      </x:c>
      <x:c r="W679" s="14"/>
      <x:c r="X679" s="14" t="str">
        <x:v>Included</x:v>
      </x:c>
      <x:c r="Y679" s="14"/>
      <x:c r="Z679" s="14" t="str">
        <x:v>Grace.docx</x:v>
      </x:c>
      <x:c r="AA679" s="14" t="str">
        <x:v>HYPERLINK is not implemented. linkLocation=https://www.imdb.com/title/tt11639300/fullcredits/, friendlyName=Open source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ITV / ITVX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7" t="e">
        <x:f>HYPERLINK("https://en.wikipedia.org/wiki/Grace","Open source")</x:f>
        <x:v>HYPERLINK is not implemented. linkLocation=https://en.wikipedia.org/wiki/Grace, friendlyName=Open source</x:v>
      </x:c>
      <x:c r="AN679" s="14" t="str">
        <x:v>No qualifying BBC relationship</x:v>
      </x:c>
      <x:c r="AO679" s="14" t="str">
        <x:v>No</x:v>
      </x:c>
      <x:c r="AP679" s="14" t="str">
        <x:v>Out of scope</x:v>
      </x:c>
      <x:c r="AQ679" s="14" t="str">
        <x:v>No</x:v>
      </x:c>
      <x:c r="AR679" s="14" t="str">
        <x:v>Resolved from master register</x:v>
      </x:c>
      <x:c r="AS679" s="14" t="str">
        <x:v>No established-register match</x:v>
      </x:c>
      <x:c r="AT679" s="14"/>
      <x:c r="AU679" s="14"/>
      <x:c r="AV679" s="14" t="str">
        <x:v>No established apparent-disability match</x:v>
      </x:c>
      <x:c r="AW679" s="14"/>
      <x:c r="AX679" s="14" t="str">
        <x:v>No</x:v>
      </x:c>
      <x:c r="AY679" s="14" t="str">
        <x:v>Unmatched</x:v>
      </x:c>
      <x:c r="AZ679" s="14" t="str">
        <x:v>Final supplied register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20</x:v>
      </x:c>
      <x:c r="BP679" s="14" t="str">
        <x:v>Maximum eligible IMDb cast-credit total (20), shared by 4 performer(s); not independently verified as a 2021-only episode total.</x:v>
      </x:c>
      <x:c r="BQ679" s="14" t="str">
        <x:v>Medium</x:v>
      </x:c>
      <x:c r="BR679" s="15" t="n">
        <x:v>1</x:v>
      </x:c>
      <x:c r="BS679" s="16" t="n">
        <x:v>0.05</x:v>
      </x:c>
      <x:c r="BT679" s="14" t="str">
        <x:v>One episode</x:v>
      </x:c>
      <x:c r="BU679" s="14" t="str">
        <x:v>Medium</x:v>
      </x:c>
      <x:c r="BV679" s="14" t="str">
        <x:v>Derived from supplied IMDb episode count and the documented production-total proxy.</x:v>
      </x:c>
      <x:c r="BW679" s="14" t="str">
        <x:v>Unable to determine</x:v>
      </x:c>
      <x:c r="BX679" s="14" t="str">
        <x:v>Supplied cast data establishes the credit and episode presence but does not establish narrative prominence.</x:v>
      </x:c>
      <x:c r="BY679" s="14" t="str">
        <x:v>Supplied IMDb cast-list workbook</x:v>
      </x:c>
      <x:c r="BZ679" s="14" t="str">
        <x:v>HYPERLINK is not implemented. linkLocation=https://www.imdb.com/title/tt11639300/fullcredits/, friendlyName=Open source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tt11639300|nm10412349|laura magellan</x:v>
      </x:c>
      <x:c r="B680" s="14" t="str">
        <x:v>02</x:v>
      </x:c>
      <x:c r="C680" s="14" t="str">
        <x:v>2021_IMDb_Cast_Lists_Batch_02(1).xlsx</x:v>
      </x:c>
      <x:c r="D680" s="14" t="str">
        <x:v>Grace</x:v>
      </x:c>
      <x:c r="E680" s="14" t="n">
        <x:v>155</x:v>
      </x:c>
      <x:c r="F680" s="14" t="str">
        <x:v>Grace</x:v>
      </x:c>
      <x:c r="G680" s="14" t="str">
        <x:v>tt11639300</x:v>
      </x:c>
      <x:c r="H680" s="14" t="n">
        <x:v>2021</x:v>
      </x:c>
      <x:c r="I680" s="14" t="n">
        <x:v>2025</x:v>
      </x:c>
      <x:c r="J680" s="14" t="str">
        <x:v>Earlier-Production Carry-In Cohort</x:v>
      </x:c>
      <x:c r="K680" s="14" t="n">
        <x:v>2021</x:v>
      </x:c>
      <x:c r="L680" s="14" t="str">
        <x:v>Available from 2021 analysis</x:v>
      </x:c>
      <x:c r="M680" s="15" t="n">
        <x:v>148</x:v>
      </x:c>
      <x:c r="N680" s="14" t="str">
        <x:v>Iona Anderson</x:v>
      </x:c>
      <x:c r="O680" s="14" t="str">
        <x:v>nm10412349</x:v>
      </x:c>
      <x:c r="P680" s="14" t="str">
        <x:v>Laura Magellan</x:v>
      </x:c>
      <x:c r="Q680" s="15" t="n">
        <x:v>1</x:v>
      </x:c>
      <x:c r="R680" s="14" t="str">
        <x:v>2025</x:v>
      </x:c>
      <x:c r="S680" s="14" t="n">
        <x:v>2025</x:v>
      </x:c>
      <x:c r="T680" s="14" t="n">
        <x:v>2025</x:v>
      </x:c>
      <x:c r="U680" s="14" t="str">
        <x:v>Post-2021 casting excluded</x:v>
      </x:c>
      <x:c r="V680" s="14" t="str">
        <x:v>Earliest supplied year is 2025, later than the 2021 study year.</x:v>
      </x:c>
      <x:c r="W680" s="14"/>
      <x:c r="X680" s="14" t="str">
        <x:v>Included</x:v>
      </x:c>
      <x:c r="Y680" s="14"/>
      <x:c r="Z680" s="14" t="str">
        <x:v>Grace.docx</x:v>
      </x:c>
      <x:c r="AA680" s="14" t="str">
        <x:v>HYPERLINK is not implemented. linkLocation=https://www.imdb.com/title/tt11639300/fullcredits/, friendlyName=Open source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ITV / ITVX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7" t="e">
        <x:f>HYPERLINK("https://en.wikipedia.org/wiki/Grace","Open source")</x:f>
        <x:v>HYPERLINK is not implemented. linkLocation=https://en.wikipedia.org/wiki/Grace, friendlyName=Open source</x:v>
      </x:c>
      <x:c r="AN680" s="14" t="str">
        <x:v>No qualifying BBC relationship</x:v>
      </x:c>
      <x:c r="AO680" s="14" t="str">
        <x:v>No</x:v>
      </x:c>
      <x:c r="AP680" s="14" t="str">
        <x:v>Out of scope</x:v>
      </x:c>
      <x:c r="AQ680" s="14" t="str">
        <x:v>No</x:v>
      </x:c>
      <x:c r="AR680" s="14" t="str">
        <x:v>Resolved from master register</x:v>
      </x:c>
      <x:c r="AS680" s="14" t="str">
        <x:v>No established-register match</x:v>
      </x:c>
      <x:c r="AT680" s="14"/>
      <x:c r="AU680" s="14"/>
      <x:c r="AV680" s="14" t="str">
        <x:v>No established apparent-disability match</x:v>
      </x:c>
      <x:c r="AW680" s="14"/>
      <x:c r="AX680" s="14" t="str">
        <x:v>No</x:v>
      </x:c>
      <x:c r="AY680" s="14" t="str">
        <x:v>Unmatched</x:v>
      </x:c>
      <x:c r="AZ680" s="14" t="str">
        <x:v>Final supplied register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20</x:v>
      </x:c>
      <x:c r="BP680" s="14" t="str">
        <x:v>Maximum eligible IMDb cast-credit total (20), shared by 4 performer(s); not independently verified as a 2021-only episode total.</x:v>
      </x:c>
      <x:c r="BQ680" s="14" t="str">
        <x:v>Medium</x:v>
      </x:c>
      <x:c r="BR680" s="15" t="n">
        <x:v>1</x:v>
      </x:c>
      <x:c r="BS680" s="16" t="n">
        <x:v>0.05</x:v>
      </x:c>
      <x:c r="BT680" s="14" t="str">
        <x:v>One episode</x:v>
      </x:c>
      <x:c r="BU680" s="14" t="str">
        <x:v>Medium</x:v>
      </x:c>
      <x:c r="BV680" s="14" t="str">
        <x:v>Derived from supplied IMDb episode count and the documented production-total proxy.</x:v>
      </x:c>
      <x:c r="BW680" s="14" t="str">
        <x:v>Unable to determine</x:v>
      </x:c>
      <x:c r="BX680" s="14" t="str">
        <x:v>Supplied cast data establishes the credit and episode presence but does not establish narrative prominence.</x:v>
      </x:c>
      <x:c r="BY680" s="14" t="str">
        <x:v>Supplied IMDb cast-list workbook</x:v>
      </x:c>
      <x:c r="BZ680" s="14" t="str">
        <x:v>HYPERLINK is not implemented. linkLocation=https://www.imdb.com/title/tt11639300/fullcredits/, friendlyName=Open source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tt11639300|nm12286259|frank kavinda</x:v>
      </x:c>
      <x:c r="B681" s="14" t="str">
        <x:v>02</x:v>
      </x:c>
      <x:c r="C681" s="14" t="str">
        <x:v>2021_IMDb_Cast_Lists_Batch_02(1).xlsx</x:v>
      </x:c>
      <x:c r="D681" s="14" t="str">
        <x:v>Grace</x:v>
      </x:c>
      <x:c r="E681" s="14" t="n">
        <x:v>156</x:v>
      </x:c>
      <x:c r="F681" s="14" t="str">
        <x:v>Grace</x:v>
      </x:c>
      <x:c r="G681" s="14" t="str">
        <x:v>tt11639300</x:v>
      </x:c>
      <x:c r="H681" s="14" t="n">
        <x:v>2021</x:v>
      </x:c>
      <x:c r="I681" s="14" t="n">
        <x:v>2025</x:v>
      </x:c>
      <x:c r="J681" s="14" t="str">
        <x:v>Earlier-Production Carry-In Cohort</x:v>
      </x:c>
      <x:c r="K681" s="14" t="n">
        <x:v>2021</x:v>
      </x:c>
      <x:c r="L681" s="14" t="str">
        <x:v>Available from 2021 analysis</x:v>
      </x:c>
      <x:c r="M681" s="15" t="n">
        <x:v>149</x:v>
      </x:c>
      <x:c r="N681" s="14" t="str">
        <x:v>Tobias Jowett</x:v>
      </x:c>
      <x:c r="O681" s="14" t="str">
        <x:v>nm12286259</x:v>
      </x:c>
      <x:c r="P681" s="14" t="str">
        <x:v>Frank Kavinda</x:v>
      </x:c>
      <x:c r="Q681" s="15" t="n">
        <x:v>1</x:v>
      </x:c>
      <x:c r="R681" s="14" t="str">
        <x:v>2025</x:v>
      </x:c>
      <x:c r="S681" s="14" t="n">
        <x:v>2025</x:v>
      </x:c>
      <x:c r="T681" s="14" t="n">
        <x:v>2025</x:v>
      </x:c>
      <x:c r="U681" s="14" t="str">
        <x:v>Post-2021 casting excluded</x:v>
      </x:c>
      <x:c r="V681" s="14" t="str">
        <x:v>Earliest supplied year is 2025, later than the 2021 study year.</x:v>
      </x:c>
      <x:c r="W681" s="14"/>
      <x:c r="X681" s="14" t="str">
        <x:v>Included</x:v>
      </x:c>
      <x:c r="Y681" s="14"/>
      <x:c r="Z681" s="14" t="str">
        <x:v>Grace.docx</x:v>
      </x:c>
      <x:c r="AA681" s="14" t="str">
        <x:v>HYPERLINK is not implemented. linkLocation=https://www.imdb.com/title/tt11639300/fullcredits/, friendlyName=Open source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ITV / ITVX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7" t="e">
        <x:f>HYPERLINK("https://en.wikipedia.org/wiki/Grace","Open source")</x:f>
        <x:v>HYPERLINK is not implemented. linkLocation=https://en.wikipedia.org/wiki/Grace, friendlyName=Open source</x:v>
      </x:c>
      <x:c r="AN681" s="14" t="str">
        <x:v>No qualifying BBC relationship</x:v>
      </x:c>
      <x:c r="AO681" s="14" t="str">
        <x:v>No</x:v>
      </x:c>
      <x:c r="AP681" s="14" t="str">
        <x:v>Out of scope</x:v>
      </x:c>
      <x:c r="AQ681" s="14" t="str">
        <x:v>No</x:v>
      </x:c>
      <x:c r="AR681" s="14" t="str">
        <x:v>Resolved from master register</x:v>
      </x:c>
      <x:c r="AS681" s="14" t="str">
        <x:v>No established-register match</x:v>
      </x:c>
      <x:c r="AT681" s="14"/>
      <x:c r="AU681" s="14"/>
      <x:c r="AV681" s="14" t="str">
        <x:v>No established apparent-disability match</x:v>
      </x:c>
      <x:c r="AW681" s="14"/>
      <x:c r="AX681" s="14" t="str">
        <x:v>No</x:v>
      </x:c>
      <x:c r="AY681" s="14" t="str">
        <x:v>Unmatched</x:v>
      </x:c>
      <x:c r="AZ681" s="14" t="str">
        <x:v>Final supplied register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20</x:v>
      </x:c>
      <x:c r="BP681" s="14" t="str">
        <x:v>Maximum eligible IMDb cast-credit total (20), shared by 4 performer(s); not independently verified as a 2021-only episode total.</x:v>
      </x:c>
      <x:c r="BQ681" s="14" t="str">
        <x:v>Medium</x:v>
      </x:c>
      <x:c r="BR681" s="15" t="n">
        <x:v>1</x:v>
      </x:c>
      <x:c r="BS681" s="16" t="n">
        <x:v>0.05</x:v>
      </x:c>
      <x:c r="BT681" s="14" t="str">
        <x:v>One episode</x:v>
      </x:c>
      <x:c r="BU681" s="14" t="str">
        <x:v>Medium</x:v>
      </x:c>
      <x:c r="BV681" s="14" t="str">
        <x:v>Derived from supplied IMDb episode count and the documented production-total proxy.</x:v>
      </x:c>
      <x:c r="BW681" s="14" t="str">
        <x:v>Unable to determine</x:v>
      </x:c>
      <x:c r="BX681" s="14" t="str">
        <x:v>Supplied cast data establishes the credit and episode presence but does not establish narrative prominence.</x:v>
      </x:c>
      <x:c r="BY681" s="14" t="str">
        <x:v>Supplied IMDb cast-list workbook</x:v>
      </x:c>
      <x:c r="BZ681" s="14" t="str">
        <x:v>HYPERLINK is not implemented. linkLocation=https://www.imdb.com/title/tt11639300/fullcredits/, friendlyName=Open source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tt11639300|nm9925112|dr. rita josif</x:v>
      </x:c>
      <x:c r="B682" s="14" t="str">
        <x:v>02</x:v>
      </x:c>
      <x:c r="C682" s="14" t="str">
        <x:v>2021_IMDb_Cast_Lists_Batch_02(1).xlsx</x:v>
      </x:c>
      <x:c r="D682" s="14" t="str">
        <x:v>Grace</x:v>
      </x:c>
      <x:c r="E682" s="14" t="n">
        <x:v>157</x:v>
      </x:c>
      <x:c r="F682" s="14" t="str">
        <x:v>Grace</x:v>
      </x:c>
      <x:c r="G682" s="14" t="str">
        <x:v>tt11639300</x:v>
      </x:c>
      <x:c r="H682" s="14" t="n">
        <x:v>2021</x:v>
      </x:c>
      <x:c r="I682" s="14" t="n">
        <x:v>2025</x:v>
      </x:c>
      <x:c r="J682" s="14" t="str">
        <x:v>Earlier-Production Carry-In Cohort</x:v>
      </x:c>
      <x:c r="K682" s="14" t="n">
        <x:v>2021</x:v>
      </x:c>
      <x:c r="L682" s="14" t="str">
        <x:v>Available from 2021 analysis</x:v>
      </x:c>
      <x:c r="M682" s="15" t="n">
        <x:v>150</x:v>
      </x:c>
      <x:c r="N682" s="14" t="str">
        <x:v>Rebecca Banatvala</x:v>
      </x:c>
      <x:c r="O682" s="14" t="str">
        <x:v>nm9925112</x:v>
      </x:c>
      <x:c r="P682" s="14" t="str">
        <x:v>Dr. Rita Josif</x:v>
      </x:c>
      <x:c r="Q682" s="15" t="n">
        <x:v>1</x:v>
      </x:c>
      <x:c r="R682" s="14" t="str">
        <x:v>2025</x:v>
      </x:c>
      <x:c r="S682" s="14" t="n">
        <x:v>2025</x:v>
      </x:c>
      <x:c r="T682" s="14" t="n">
        <x:v>2025</x:v>
      </x:c>
      <x:c r="U682" s="14" t="str">
        <x:v>Post-2021 casting excluded</x:v>
      </x:c>
      <x:c r="V682" s="14" t="str">
        <x:v>Earliest supplied year is 2025, later than the 2021 study year.</x:v>
      </x:c>
      <x:c r="W682" s="14"/>
      <x:c r="X682" s="14" t="str">
        <x:v>Included</x:v>
      </x:c>
      <x:c r="Y682" s="14"/>
      <x:c r="Z682" s="14" t="str">
        <x:v>Grace.docx</x:v>
      </x:c>
      <x:c r="AA682" s="14" t="str">
        <x:v>HYPERLINK is not implemented. linkLocation=https://www.imdb.com/title/tt11639300/fullcredits/, friendlyName=Open source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ITV / ITVX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7" t="e">
        <x:f>HYPERLINK("https://en.wikipedia.org/wiki/Grace","Open source")</x:f>
        <x:v>HYPERLINK is not implemented. linkLocation=https://en.wikipedia.org/wiki/Grace, friendlyName=Open source</x:v>
      </x:c>
      <x:c r="AN682" s="14" t="str">
        <x:v>No qualifying BBC relationship</x:v>
      </x:c>
      <x:c r="AO682" s="14" t="str">
        <x:v>No</x:v>
      </x:c>
      <x:c r="AP682" s="14" t="str">
        <x:v>Out of scope</x:v>
      </x:c>
      <x:c r="AQ682" s="14" t="str">
        <x:v>No</x:v>
      </x:c>
      <x:c r="AR682" s="14" t="str">
        <x:v>Resolved from master register</x:v>
      </x:c>
      <x:c r="AS682" s="14" t="str">
        <x:v>No established-register match</x:v>
      </x:c>
      <x:c r="AT682" s="14"/>
      <x:c r="AU682" s="14"/>
      <x:c r="AV682" s="14" t="str">
        <x:v>No established apparent-disability match</x:v>
      </x:c>
      <x:c r="AW682" s="14"/>
      <x:c r="AX682" s="14" t="str">
        <x:v>No</x:v>
      </x:c>
      <x:c r="AY682" s="14" t="str">
        <x:v>Unmatched</x:v>
      </x:c>
      <x:c r="AZ682" s="14" t="str">
        <x:v>Final supplied register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20</x:v>
      </x:c>
      <x:c r="BP682" s="14" t="str">
        <x:v>Maximum eligible IMDb cast-credit total (20), shared by 4 performer(s); not independently verified as a 2021-only episode total.</x:v>
      </x:c>
      <x:c r="BQ682" s="14" t="str">
        <x:v>Medium</x:v>
      </x:c>
      <x:c r="BR682" s="15" t="n">
        <x:v>1</x:v>
      </x:c>
      <x:c r="BS682" s="16" t="n">
        <x:v>0.05</x:v>
      </x:c>
      <x:c r="BT682" s="14" t="str">
        <x:v>One episode</x:v>
      </x:c>
      <x:c r="BU682" s="14" t="str">
        <x:v>Medium</x:v>
      </x:c>
      <x:c r="BV682" s="14" t="str">
        <x:v>Derived from supplied IMDb episode count and the documented production-total proxy.</x:v>
      </x:c>
      <x:c r="BW682" s="14" t="str">
        <x:v>Unable to determine</x:v>
      </x:c>
      <x:c r="BX682" s="14" t="str">
        <x:v>Supplied cast data establishes the credit and episode presence but does not establish narrative prominence.</x:v>
      </x:c>
      <x:c r="BY682" s="14" t="str">
        <x:v>Supplied IMDb cast-list workbook</x:v>
      </x:c>
      <x:c r="BZ682" s="14" t="str">
        <x:v>HYPERLINK is not implemented. linkLocation=https://www.imdb.com/title/tt11639300/fullcredits/, friendlyName=Open source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tt11639300|nm2059560|stephen wolfe</x:v>
      </x:c>
      <x:c r="B683" s="14" t="str">
        <x:v>02</x:v>
      </x:c>
      <x:c r="C683" s="14" t="str">
        <x:v>2021_IMDb_Cast_Lists_Batch_02(1).xlsx</x:v>
      </x:c>
      <x:c r="D683" s="14" t="str">
        <x:v>Grace</x:v>
      </x:c>
      <x:c r="E683" s="14" t="n">
        <x:v>169</x:v>
      </x:c>
      <x:c r="F683" s="14" t="str">
        <x:v>Grace</x:v>
      </x:c>
      <x:c r="G683" s="14" t="str">
        <x:v>tt11639300</x:v>
      </x:c>
      <x:c r="H683" s="14" t="n">
        <x:v>2021</x:v>
      </x:c>
      <x:c r="I683" s="14" t="n">
        <x:v>2025</x:v>
      </x:c>
      <x:c r="J683" s="14" t="str">
        <x:v>Earlier-Production Carry-In Cohort</x:v>
      </x:c>
      <x:c r="K683" s="14" t="n">
        <x:v>2021</x:v>
      </x:c>
      <x:c r="L683" s="14" t="str">
        <x:v>Available from 2021 analysis</x:v>
      </x:c>
      <x:c r="M683" s="15" t="n">
        <x:v>162</x:v>
      </x:c>
      <x:c r="N683" s="14" t="str">
        <x:v>Sule Rimi</x:v>
      </x:c>
      <x:c r="O683" s="14" t="str">
        <x:v>nm2059560</x:v>
      </x:c>
      <x:c r="P683" s="14" t="str">
        <x:v>Stephen Wolfe</x:v>
      </x:c>
      <x:c r="Q683" s="15" t="n">
        <x:v>1</x:v>
      </x:c>
      <x:c r="R683" s="14" t="str">
        <x:v>2025</x:v>
      </x:c>
      <x:c r="S683" s="14" t="n">
        <x:v>2025</x:v>
      </x:c>
      <x:c r="T683" s="14" t="n">
        <x:v>2025</x:v>
      </x:c>
      <x:c r="U683" s="14" t="str">
        <x:v>Post-2021 casting excluded</x:v>
      </x:c>
      <x:c r="V683" s="14" t="str">
        <x:v>Earliest supplied year is 2025, later than the 2021 study year.</x:v>
      </x:c>
      <x:c r="W683" s="14"/>
      <x:c r="X683" s="14" t="str">
        <x:v>Included</x:v>
      </x:c>
      <x:c r="Y683" s="14"/>
      <x:c r="Z683" s="14" t="str">
        <x:v>Grace.docx</x:v>
      </x:c>
      <x:c r="AA683" s="14" t="str">
        <x:v>HYPERLINK is not implemented. linkLocation=https://www.imdb.com/title/tt11639300/fullcredits/, friendlyName=Open source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ITV / ITVX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7" t="e">
        <x:f>HYPERLINK("https://en.wikipedia.org/wiki/Grace","Open source")</x:f>
        <x:v>HYPERLINK is not implemented. linkLocation=https://en.wikipedia.org/wiki/Grace, friendlyName=Open source</x:v>
      </x:c>
      <x:c r="AN683" s="14" t="str">
        <x:v>No qualifying BBC relationship</x:v>
      </x:c>
      <x:c r="AO683" s="14" t="str">
        <x:v>No</x:v>
      </x:c>
      <x:c r="AP683" s="14" t="str">
        <x:v>Out of scope</x:v>
      </x:c>
      <x:c r="AQ683" s="14" t="str">
        <x:v>No</x:v>
      </x:c>
      <x:c r="AR683" s="14" t="str">
        <x:v>Resolved from master register</x:v>
      </x:c>
      <x:c r="AS683" s="14" t="str">
        <x:v>No established-register match</x:v>
      </x:c>
      <x:c r="AT683" s="14"/>
      <x:c r="AU683" s="14"/>
      <x:c r="AV683" s="14" t="str">
        <x:v>No established apparent-disability match</x:v>
      </x:c>
      <x:c r="AW683" s="14"/>
      <x:c r="AX683" s="14" t="str">
        <x:v>No</x:v>
      </x:c>
      <x:c r="AY683" s="14" t="str">
        <x:v>Unmatched</x:v>
      </x:c>
      <x:c r="AZ683" s="14" t="str">
        <x:v>Final supplied register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20</x:v>
      </x:c>
      <x:c r="BP683" s="14" t="str">
        <x:v>Maximum eligible IMDb cast-credit total (20), shared by 4 performer(s); not independently verified as a 2021-only episode total.</x:v>
      </x:c>
      <x:c r="BQ683" s="14" t="str">
        <x:v>Medium</x:v>
      </x:c>
      <x:c r="BR683" s="15" t="n">
        <x:v>1</x:v>
      </x:c>
      <x:c r="BS683" s="16" t="n">
        <x:v>0.05</x:v>
      </x:c>
      <x:c r="BT683" s="14" t="str">
        <x:v>One episode</x:v>
      </x:c>
      <x:c r="BU683" s="14" t="str">
        <x:v>Medium</x:v>
      </x:c>
      <x:c r="BV683" s="14" t="str">
        <x:v>Derived from supplied IMDb episode count and the documented production-total proxy.</x:v>
      </x:c>
      <x:c r="BW683" s="14" t="str">
        <x:v>Unable to determine</x:v>
      </x:c>
      <x:c r="BX683" s="14" t="str">
        <x:v>Supplied cast data establishes the credit and episode presence but does not establish narrative prominence.</x:v>
      </x:c>
      <x:c r="BY683" s="14" t="str">
        <x:v>Supplied IMDb cast-list workbook</x:v>
      </x:c>
      <x:c r="BZ683" s="14" t="str">
        <x:v>HYPERLINK is not implemented. linkLocation=https://www.imdb.com/title/tt11639300/fullcredits/, friendlyName=Open source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tt11639300|nm0267622|alma starr</x:v>
      </x:c>
      <x:c r="B684" s="14" t="str">
        <x:v>02</x:v>
      </x:c>
      <x:c r="C684" s="14" t="str">
        <x:v>2021_IMDb_Cast_Lists_Batch_02(1).xlsx</x:v>
      </x:c>
      <x:c r="D684" s="14" t="str">
        <x:v>Grace</x:v>
      </x:c>
      <x:c r="E684" s="14" t="n">
        <x:v>179</x:v>
      </x:c>
      <x:c r="F684" s="14" t="str">
        <x:v>Grace</x:v>
      </x:c>
      <x:c r="G684" s="14" t="str">
        <x:v>tt11639300</x:v>
      </x:c>
      <x:c r="H684" s="14" t="n">
        <x:v>2021</x:v>
      </x:c>
      <x:c r="I684" s="14" t="n">
        <x:v>2025</x:v>
      </x:c>
      <x:c r="J684" s="14" t="str">
        <x:v>Earlier-Production Carry-In Cohort</x:v>
      </x:c>
      <x:c r="K684" s="14" t="n">
        <x:v>2021</x:v>
      </x:c>
      <x:c r="L684" s="14" t="str">
        <x:v>Available from 2021 analysis</x:v>
      </x:c>
      <x:c r="M684" s="15" t="n">
        <x:v>172</x:v>
      </x:c>
      <x:c r="N684" s="14" t="str">
        <x:v>Lynn Farleigh</x:v>
      </x:c>
      <x:c r="O684" s="14" t="str">
        <x:v>nm0267622</x:v>
      </x:c>
      <x:c r="P684" s="14" t="str">
        <x:v>Alma Starr</x:v>
      </x:c>
      <x:c r="Q684" s="15" t="n">
        <x:v>1</x:v>
      </x:c>
      <x:c r="R684" s="14" t="str">
        <x:v>2025</x:v>
      </x:c>
      <x:c r="S684" s="14" t="n">
        <x:v>2025</x:v>
      </x:c>
      <x:c r="T684" s="14" t="n">
        <x:v>2025</x:v>
      </x:c>
      <x:c r="U684" s="14" t="str">
        <x:v>Post-2021 casting excluded</x:v>
      </x:c>
      <x:c r="V684" s="14" t="str">
        <x:v>Earliest supplied year is 2025, later than the 2021 study year.</x:v>
      </x:c>
      <x:c r="W684" s="14"/>
      <x:c r="X684" s="14" t="str">
        <x:v>Included</x:v>
      </x:c>
      <x:c r="Y684" s="14"/>
      <x:c r="Z684" s="14" t="str">
        <x:v>Grace.docx</x:v>
      </x:c>
      <x:c r="AA684" s="14" t="str">
        <x:v>HYPERLINK is not implemented. linkLocation=https://www.imdb.com/title/tt11639300/fullcredits/, friendlyName=Open source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ITV / ITVX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7" t="e">
        <x:f>HYPERLINK("https://en.wikipedia.org/wiki/Grace","Open source")</x:f>
        <x:v>HYPERLINK is not implemented. linkLocation=https://en.wikipedia.org/wiki/Grace, friendlyName=Open source</x:v>
      </x:c>
      <x:c r="AN684" s="14" t="str">
        <x:v>No qualifying BBC relationship</x:v>
      </x:c>
      <x:c r="AO684" s="14" t="str">
        <x:v>No</x:v>
      </x:c>
      <x:c r="AP684" s="14" t="str">
        <x:v>Out of scope</x:v>
      </x:c>
      <x:c r="AQ684" s="14" t="str">
        <x:v>No</x:v>
      </x:c>
      <x:c r="AR684" s="14" t="str">
        <x:v>Resolved from master register</x:v>
      </x:c>
      <x:c r="AS684" s="14" t="str">
        <x:v>No established-register match</x:v>
      </x:c>
      <x:c r="AT684" s="14"/>
      <x:c r="AU684" s="14"/>
      <x:c r="AV684" s="14" t="str">
        <x:v>No established apparent-disability match</x:v>
      </x:c>
      <x:c r="AW684" s="14"/>
      <x:c r="AX684" s="14" t="str">
        <x:v>No</x:v>
      </x:c>
      <x:c r="AY684" s="14" t="str">
        <x:v>Unmatched</x:v>
      </x:c>
      <x:c r="AZ684" s="14" t="str">
        <x:v>Final supplied register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20</x:v>
      </x:c>
      <x:c r="BP684" s="14" t="str">
        <x:v>Maximum eligible IMDb cast-credit total (20), shared by 4 performer(s); not independently verified as a 2021-only episode total.</x:v>
      </x:c>
      <x:c r="BQ684" s="14" t="str">
        <x:v>Medium</x:v>
      </x:c>
      <x:c r="BR684" s="15" t="n">
        <x:v>1</x:v>
      </x:c>
      <x:c r="BS684" s="16" t="n">
        <x:v>0.05</x:v>
      </x:c>
      <x:c r="BT684" s="14" t="str">
        <x:v>One episode</x:v>
      </x:c>
      <x:c r="BU684" s="14" t="str">
        <x:v>Medium</x:v>
      </x:c>
      <x:c r="BV684" s="14" t="str">
        <x:v>Derived from supplied IMDb episode count and the documented production-total proxy.</x:v>
      </x:c>
      <x:c r="BW684" s="14" t="str">
        <x:v>Unable to determine</x:v>
      </x:c>
      <x:c r="BX684" s="14" t="str">
        <x:v>Supplied cast data establishes the credit and episode presence but does not establish narrative prominence.</x:v>
      </x:c>
      <x:c r="BY684" s="14" t="str">
        <x:v>Supplied IMDb cast-list workbook</x:v>
      </x:c>
      <x:c r="BZ684" s="14" t="str">
        <x:v>HYPERLINK is not implemented. linkLocation=https://www.imdb.com/title/tt11639300/fullcredits/, friendlyName=Open source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tt11639300|nm0461409|corin belling</x:v>
      </x:c>
      <x:c r="B685" s="14" t="str">
        <x:v>02</x:v>
      </x:c>
      <x:c r="C685" s="14" t="str">
        <x:v>2021_IMDb_Cast_Lists_Batch_02(1).xlsx</x:v>
      </x:c>
      <x:c r="D685" s="14" t="str">
        <x:v>Grace</x:v>
      </x:c>
      <x:c r="E685" s="14" t="n">
        <x:v>191</x:v>
      </x:c>
      <x:c r="F685" s="14" t="str">
        <x:v>Grace</x:v>
      </x:c>
      <x:c r="G685" s="14" t="str">
        <x:v>tt11639300</x:v>
      </x:c>
      <x:c r="H685" s="14" t="n">
        <x:v>2021</x:v>
      </x:c>
      <x:c r="I685" s="14" t="n">
        <x:v>2025</x:v>
      </x:c>
      <x:c r="J685" s="14" t="str">
        <x:v>Earlier-Production Carry-In Cohort</x:v>
      </x:c>
      <x:c r="K685" s="14" t="n">
        <x:v>2021</x:v>
      </x:c>
      <x:c r="L685" s="14" t="str">
        <x:v>Available from 2021 analysis</x:v>
      </x:c>
      <x:c r="M685" s="15" t="n">
        <x:v>184</x:v>
      </x:c>
      <x:c r="N685" s="14" t="str">
        <x:v>Andrew Knott</x:v>
      </x:c>
      <x:c r="O685" s="14" t="str">
        <x:v>nm0461409</x:v>
      </x:c>
      <x:c r="P685" s="14" t="str">
        <x:v>Corin Belling</x:v>
      </x:c>
      <x:c r="Q685" s="15" t="n">
        <x:v>1</x:v>
      </x:c>
      <x:c r="R685" s="14" t="str">
        <x:v>2025</x:v>
      </x:c>
      <x:c r="S685" s="14" t="n">
        <x:v>2025</x:v>
      </x:c>
      <x:c r="T685" s="14" t="n">
        <x:v>2025</x:v>
      </x:c>
      <x:c r="U685" s="14" t="str">
        <x:v>Post-2021 casting excluded</x:v>
      </x:c>
      <x:c r="V685" s="14" t="str">
        <x:v>Earliest supplied year is 2025, later than the 2021 study year.</x:v>
      </x:c>
      <x:c r="W685" s="14"/>
      <x:c r="X685" s="14" t="str">
        <x:v>Included</x:v>
      </x:c>
      <x:c r="Y685" s="14"/>
      <x:c r="Z685" s="14" t="str">
        <x:v>Grace.docx</x:v>
      </x:c>
      <x:c r="AA685" s="14" t="str">
        <x:v>HYPERLINK is not implemented. linkLocation=https://www.imdb.com/title/tt11639300/fullcredits/, friendlyName=Open source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ITV / ITVX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7" t="e">
        <x:f>HYPERLINK("https://en.wikipedia.org/wiki/Grace","Open source")</x:f>
        <x:v>HYPERLINK is not implemented. linkLocation=https://en.wikipedia.org/wiki/Grace, friendlyName=Open source</x:v>
      </x:c>
      <x:c r="AN685" s="14" t="str">
        <x:v>No qualifying BBC relationship</x:v>
      </x:c>
      <x:c r="AO685" s="14" t="str">
        <x:v>No</x:v>
      </x:c>
      <x:c r="AP685" s="14" t="str">
        <x:v>Out of scope</x:v>
      </x:c>
      <x:c r="AQ685" s="14" t="str">
        <x:v>No</x:v>
      </x:c>
      <x:c r="AR685" s="14" t="str">
        <x:v>Resolved from master register</x:v>
      </x:c>
      <x:c r="AS685" s="14" t="str">
        <x:v>No established-register match</x:v>
      </x:c>
      <x:c r="AT685" s="14"/>
      <x:c r="AU685" s="14"/>
      <x:c r="AV685" s="14" t="str">
        <x:v>No established apparent-disability match</x:v>
      </x:c>
      <x:c r="AW685" s="14"/>
      <x:c r="AX685" s="14" t="str">
        <x:v>No</x:v>
      </x:c>
      <x:c r="AY685" s="14" t="str">
        <x:v>Unmatched</x:v>
      </x:c>
      <x:c r="AZ685" s="14" t="str">
        <x:v>Final supplied register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20</x:v>
      </x:c>
      <x:c r="BP685" s="14" t="str">
        <x:v>Maximum eligible IMDb cast-credit total (20), shared by 4 performer(s); not independently verified as a 2021-only episode total.</x:v>
      </x:c>
      <x:c r="BQ685" s="14" t="str">
        <x:v>Medium</x:v>
      </x:c>
      <x:c r="BR685" s="15" t="n">
        <x:v>1</x:v>
      </x:c>
      <x:c r="BS685" s="16" t="n">
        <x:v>0.05</x:v>
      </x:c>
      <x:c r="BT685" s="14" t="str">
        <x:v>One episode</x:v>
      </x:c>
      <x:c r="BU685" s="14" t="str">
        <x:v>Medium</x:v>
      </x:c>
      <x:c r="BV685" s="14" t="str">
        <x:v>Derived from supplied IMDb episode count and the documented production-total proxy.</x:v>
      </x:c>
      <x:c r="BW685" s="14" t="str">
        <x:v>Unable to determine</x:v>
      </x:c>
      <x:c r="BX685" s="14" t="str">
        <x:v>Supplied cast data establishes the credit and episode presence but does not establish narrative prominence.</x:v>
      </x:c>
      <x:c r="BY685" s="14" t="str">
        <x:v>Supplied IMDb cast-list workbook</x:v>
      </x:c>
      <x:c r="BZ685" s="14" t="str">
        <x:v>HYPERLINK is not implemented. linkLocation=https://www.imdb.com/title/tt11639300/fullcredits/, friendlyName=Open source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tt11639300|nm11007815|kona</x:v>
      </x:c>
      <x:c r="B686" s="14" t="str">
        <x:v>02</x:v>
      </x:c>
      <x:c r="C686" s="14" t="str">
        <x:v>2021_IMDb_Cast_Lists_Batch_02(1).xlsx</x:v>
      </x:c>
      <x:c r="D686" s="14" t="str">
        <x:v>Grace</x:v>
      </x:c>
      <x:c r="E686" s="14" t="n">
        <x:v>192</x:v>
      </x:c>
      <x:c r="F686" s="14" t="str">
        <x:v>Grace</x:v>
      </x:c>
      <x:c r="G686" s="14" t="str">
        <x:v>tt11639300</x:v>
      </x:c>
      <x:c r="H686" s="14" t="n">
        <x:v>2021</x:v>
      </x:c>
      <x:c r="I686" s="14" t="n">
        <x:v>2025</x:v>
      </x:c>
      <x:c r="J686" s="14" t="str">
        <x:v>Earlier-Production Carry-In Cohort</x:v>
      </x:c>
      <x:c r="K686" s="14" t="n">
        <x:v>2021</x:v>
      </x:c>
      <x:c r="L686" s="14" t="str">
        <x:v>Available from 2021 analysis</x:v>
      </x:c>
      <x:c r="M686" s="15" t="n">
        <x:v>185</x:v>
      </x:c>
      <x:c r="N686" s="14" t="str">
        <x:v>Eddie Mannon</x:v>
      </x:c>
      <x:c r="O686" s="14" t="str">
        <x:v>nm11007815</x:v>
      </x:c>
      <x:c r="P686" s="14" t="str">
        <x:v>Kona</x:v>
      </x:c>
      <x:c r="Q686" s="15" t="n">
        <x:v>1</x:v>
      </x:c>
      <x:c r="R686" s="14" t="str">
        <x:v>2025</x:v>
      </x:c>
      <x:c r="S686" s="14" t="n">
        <x:v>2025</x:v>
      </x:c>
      <x:c r="T686" s="14" t="n">
        <x:v>2025</x:v>
      </x:c>
      <x:c r="U686" s="14" t="str">
        <x:v>Post-2021 casting excluded</x:v>
      </x:c>
      <x:c r="V686" s="14" t="str">
        <x:v>Earliest supplied year is 2025, later than the 2021 study year.</x:v>
      </x:c>
      <x:c r="W686" s="14"/>
      <x:c r="X686" s="14" t="str">
        <x:v>Included</x:v>
      </x:c>
      <x:c r="Y686" s="14"/>
      <x:c r="Z686" s="14" t="str">
        <x:v>Grace.docx</x:v>
      </x:c>
      <x:c r="AA686" s="14" t="str">
        <x:v>HYPERLINK is not implemented. linkLocation=https://www.imdb.com/title/tt11639300/fullcredits/, friendlyName=Open source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ITV / ITVX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7" t="e">
        <x:f>HYPERLINK("https://en.wikipedia.org/wiki/Grace","Open source")</x:f>
        <x:v>HYPERLINK is not implemented. linkLocation=https://en.wikipedia.org/wiki/Grace, friendlyName=Open source</x:v>
      </x:c>
      <x:c r="AN686" s="14" t="str">
        <x:v>No qualifying BBC relationship</x:v>
      </x:c>
      <x:c r="AO686" s="14" t="str">
        <x:v>No</x:v>
      </x:c>
      <x:c r="AP686" s="14" t="str">
        <x:v>Out of scope</x:v>
      </x:c>
      <x:c r="AQ686" s="14" t="str">
        <x:v>No</x:v>
      </x:c>
      <x:c r="AR686" s="14" t="str">
        <x:v>Resolved from master register</x:v>
      </x:c>
      <x:c r="AS686" s="14" t="str">
        <x:v>No established-register match</x:v>
      </x:c>
      <x:c r="AT686" s="14"/>
      <x:c r="AU686" s="14"/>
      <x:c r="AV686" s="14" t="str">
        <x:v>No established apparent-disability match</x:v>
      </x:c>
      <x:c r="AW686" s="14"/>
      <x:c r="AX686" s="14" t="str">
        <x:v>No</x:v>
      </x:c>
      <x:c r="AY686" s="14" t="str">
        <x:v>Unmatched</x:v>
      </x:c>
      <x:c r="AZ686" s="14" t="str">
        <x:v>Final supplied register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20</x:v>
      </x:c>
      <x:c r="BP686" s="14" t="str">
        <x:v>Maximum eligible IMDb cast-credit total (20), shared by 4 performer(s); not independently verified as a 2021-only episode total.</x:v>
      </x:c>
      <x:c r="BQ686" s="14" t="str">
        <x:v>Medium</x:v>
      </x:c>
      <x:c r="BR686" s="15" t="n">
        <x:v>1</x:v>
      </x:c>
      <x:c r="BS686" s="16" t="n">
        <x:v>0.05</x:v>
      </x:c>
      <x:c r="BT686" s="14" t="str">
        <x:v>One episode</x:v>
      </x:c>
      <x:c r="BU686" s="14" t="str">
        <x:v>Medium</x:v>
      </x:c>
      <x:c r="BV686" s="14" t="str">
        <x:v>Derived from supplied IMDb episode count and the documented production-total proxy.</x:v>
      </x:c>
      <x:c r="BW686" s="14" t="str">
        <x:v>Unable to determine</x:v>
      </x:c>
      <x:c r="BX686" s="14" t="str">
        <x:v>Supplied cast data establishes the credit and episode presence but does not establish narrative prominence.</x:v>
      </x:c>
      <x:c r="BY686" s="14" t="str">
        <x:v>Supplied IMDb cast-list workbook</x:v>
      </x:c>
      <x:c r="BZ686" s="14" t="str">
        <x:v>HYPERLINK is not implemented. linkLocation=https://www.imdb.com/title/tt11639300/fullcredits/, friendlyName=Open source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tt11639300|nm6228755|jessica o'sullivan</x:v>
      </x:c>
      <x:c r="B687" s="14" t="str">
        <x:v>02</x:v>
      </x:c>
      <x:c r="C687" s="14" t="str">
        <x:v>2021_IMDb_Cast_Lists_Batch_02(1).xlsx</x:v>
      </x:c>
      <x:c r="D687" s="14" t="str">
        <x:v>Grace</x:v>
      </x:c>
      <x:c r="E687" s="14" t="n">
        <x:v>201</x:v>
      </x:c>
      <x:c r="F687" s="14" t="str">
        <x:v>Grace</x:v>
      </x:c>
      <x:c r="G687" s="14" t="str">
        <x:v>tt11639300</x:v>
      </x:c>
      <x:c r="H687" s="14" t="n">
        <x:v>2021</x:v>
      </x:c>
      <x:c r="I687" s="14" t="n">
        <x:v>2025</x:v>
      </x:c>
      <x:c r="J687" s="14" t="str">
        <x:v>Earlier-Production Carry-In Cohort</x:v>
      </x:c>
      <x:c r="K687" s="14" t="n">
        <x:v>2021</x:v>
      </x:c>
      <x:c r="L687" s="14" t="str">
        <x:v>Available from 2021 analysis</x:v>
      </x:c>
      <x:c r="M687" s="15" t="n">
        <x:v>194</x:v>
      </x:c>
      <x:c r="N687" s="14" t="str">
        <x:v>Naomi Yang</x:v>
      </x:c>
      <x:c r="O687" s="14" t="str">
        <x:v>nm6228755</x:v>
      </x:c>
      <x:c r="P687" s="14" t="str">
        <x:v>Jessica O'Sullivan</x:v>
      </x:c>
      <x:c r="Q687" s="15" t="n">
        <x:v>1</x:v>
      </x:c>
      <x:c r="R687" s="14" t="str">
        <x:v>2025</x:v>
      </x:c>
      <x:c r="S687" s="14" t="n">
        <x:v>2025</x:v>
      </x:c>
      <x:c r="T687" s="14" t="n">
        <x:v>2025</x:v>
      </x:c>
      <x:c r="U687" s="14" t="str">
        <x:v>Post-2021 casting excluded</x:v>
      </x:c>
      <x:c r="V687" s="14" t="str">
        <x:v>Earliest supplied year is 2025, later than the 2021 study year.</x:v>
      </x:c>
      <x:c r="W687" s="14"/>
      <x:c r="X687" s="14" t="str">
        <x:v>Included</x:v>
      </x:c>
      <x:c r="Y687" s="14"/>
      <x:c r="Z687" s="14" t="str">
        <x:v>Grace.docx</x:v>
      </x:c>
      <x:c r="AA687" s="14" t="str">
        <x:v>HYPERLINK is not implemented. linkLocation=https://www.imdb.com/title/tt11639300/fullcredits/, friendlyName=Open source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ITV / ITVX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7" t="e">
        <x:f>HYPERLINK("https://en.wikipedia.org/wiki/Grace","Open source")</x:f>
        <x:v>HYPERLINK is not implemented. linkLocation=https://en.wikipedia.org/wiki/Grace, friendlyName=Open source</x:v>
      </x:c>
      <x:c r="AN687" s="14" t="str">
        <x:v>No qualifying BBC relationship</x:v>
      </x:c>
      <x:c r="AO687" s="14" t="str">
        <x:v>No</x:v>
      </x:c>
      <x:c r="AP687" s="14" t="str">
        <x:v>Out of scope</x:v>
      </x:c>
      <x:c r="AQ687" s="14" t="str">
        <x:v>No</x:v>
      </x:c>
      <x:c r="AR687" s="14" t="str">
        <x:v>Resolved from master register</x:v>
      </x:c>
      <x:c r="AS687" s="14" t="str">
        <x:v>No established-register match</x:v>
      </x:c>
      <x:c r="AT687" s="14"/>
      <x:c r="AU687" s="14"/>
      <x:c r="AV687" s="14" t="str">
        <x:v>No established apparent-disability match</x:v>
      </x:c>
      <x:c r="AW687" s="14"/>
      <x:c r="AX687" s="14" t="str">
        <x:v>No</x:v>
      </x:c>
      <x:c r="AY687" s="14" t="str">
        <x:v>Unmatched</x:v>
      </x:c>
      <x:c r="AZ687" s="14" t="str">
        <x:v>Final supplied register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20</x:v>
      </x:c>
      <x:c r="BP687" s="14" t="str">
        <x:v>Maximum eligible IMDb cast-credit total (20), shared by 4 performer(s); not independently verified as a 2021-only episode total.</x:v>
      </x:c>
      <x:c r="BQ687" s="14" t="str">
        <x:v>Medium</x:v>
      </x:c>
      <x:c r="BR687" s="15" t="n">
        <x:v>1</x:v>
      </x:c>
      <x:c r="BS687" s="16" t="n">
        <x:v>0.05</x:v>
      </x:c>
      <x:c r="BT687" s="14" t="str">
        <x:v>One episode</x:v>
      </x:c>
      <x:c r="BU687" s="14" t="str">
        <x:v>Medium</x:v>
      </x:c>
      <x:c r="BV687" s="14" t="str">
        <x:v>Derived from supplied IMDb episode count and the documented production-total proxy.</x:v>
      </x:c>
      <x:c r="BW687" s="14" t="str">
        <x:v>Unable to determine</x:v>
      </x:c>
      <x:c r="BX687" s="14" t="str">
        <x:v>Supplied cast data establishes the credit and episode presence but does not establish narrative prominence.</x:v>
      </x:c>
      <x:c r="BY687" s="14" t="str">
        <x:v>Supplied IMDb cast-list workbook</x:v>
      </x:c>
      <x:c r="BZ687" s="14" t="str">
        <x:v>HYPERLINK is not implemented. linkLocation=https://www.imdb.com/title/tt11639300/fullcredits/, friendlyName=Open source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tt11639300|nm3007817|allegra</x:v>
      </x:c>
      <x:c r="B688" s="14" t="str">
        <x:v>02</x:v>
      </x:c>
      <x:c r="C688" s="14" t="str">
        <x:v>2021_IMDb_Cast_Lists_Batch_02(1).xlsx</x:v>
      </x:c>
      <x:c r="D688" s="14" t="str">
        <x:v>Grace</x:v>
      </x:c>
      <x:c r="E688" s="14" t="n">
        <x:v>202</x:v>
      </x:c>
      <x:c r="F688" s="14" t="str">
        <x:v>Grace</x:v>
      </x:c>
      <x:c r="G688" s="14" t="str">
        <x:v>tt11639300</x:v>
      </x:c>
      <x:c r="H688" s="14" t="n">
        <x:v>2021</x:v>
      </x:c>
      <x:c r="I688" s="14" t="n">
        <x:v>2025</x:v>
      </x:c>
      <x:c r="J688" s="14" t="str">
        <x:v>Earlier-Production Carry-In Cohort</x:v>
      </x:c>
      <x:c r="K688" s="14" t="n">
        <x:v>2021</x:v>
      </x:c>
      <x:c r="L688" s="14" t="str">
        <x:v>Available from 2021 analysis</x:v>
      </x:c>
      <x:c r="M688" s="15" t="n">
        <x:v>195</x:v>
      </x:c>
      <x:c r="N688" s="14" t="str">
        <x:v>Maja Bloom</x:v>
      </x:c>
      <x:c r="O688" s="14" t="str">
        <x:v>nm3007817</x:v>
      </x:c>
      <x:c r="P688" s="14" t="str">
        <x:v>Allegra</x:v>
      </x:c>
      <x:c r="Q688" s="15" t="n">
        <x:v>1</x:v>
      </x:c>
      <x:c r="R688" s="14" t="str">
        <x:v>2025</x:v>
      </x:c>
      <x:c r="S688" s="14" t="n">
        <x:v>2025</x:v>
      </x:c>
      <x:c r="T688" s="14" t="n">
        <x:v>2025</x:v>
      </x:c>
      <x:c r="U688" s="14" t="str">
        <x:v>Post-2021 casting excluded</x:v>
      </x:c>
      <x:c r="V688" s="14" t="str">
        <x:v>Earliest supplied year is 2025, later than the 2021 study year.</x:v>
      </x:c>
      <x:c r="W688" s="14"/>
      <x:c r="X688" s="14" t="str">
        <x:v>Included</x:v>
      </x:c>
      <x:c r="Y688" s="14"/>
      <x:c r="Z688" s="14" t="str">
        <x:v>Grace.docx</x:v>
      </x:c>
      <x:c r="AA688" s="14" t="str">
        <x:v>HYPERLINK is not implemented. linkLocation=https://www.imdb.com/title/tt11639300/fullcredits/, friendlyName=Open source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ITV / ITVX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7" t="e">
        <x:f>HYPERLINK("https://en.wikipedia.org/wiki/Grace","Open source")</x:f>
        <x:v>HYPERLINK is not implemented. linkLocation=https://en.wikipedia.org/wiki/Grace, friendlyName=Open source</x:v>
      </x:c>
      <x:c r="AN688" s="14" t="str">
        <x:v>No qualifying BBC relationship</x:v>
      </x:c>
      <x:c r="AO688" s="14" t="str">
        <x:v>No</x:v>
      </x:c>
      <x:c r="AP688" s="14" t="str">
        <x:v>Out of scope</x:v>
      </x:c>
      <x:c r="AQ688" s="14" t="str">
        <x:v>No</x:v>
      </x:c>
      <x:c r="AR688" s="14" t="str">
        <x:v>Resolved from master register</x:v>
      </x:c>
      <x:c r="AS688" s="14" t="str">
        <x:v>No established-register match</x:v>
      </x:c>
      <x:c r="AT688" s="14"/>
      <x:c r="AU688" s="14"/>
      <x:c r="AV688" s="14" t="str">
        <x:v>No established apparent-disability match</x:v>
      </x:c>
      <x:c r="AW688" s="14"/>
      <x:c r="AX688" s="14" t="str">
        <x:v>No</x:v>
      </x:c>
      <x:c r="AY688" s="14" t="str">
        <x:v>Unmatched</x:v>
      </x:c>
      <x:c r="AZ688" s="14" t="str">
        <x:v>Final supplied register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20</x:v>
      </x:c>
      <x:c r="BP688" s="14" t="str">
        <x:v>Maximum eligible IMDb cast-credit total (20), shared by 4 performer(s); not independently verified as a 2021-only episode total.</x:v>
      </x:c>
      <x:c r="BQ688" s="14" t="str">
        <x:v>Medium</x:v>
      </x:c>
      <x:c r="BR688" s="15" t="n">
        <x:v>1</x:v>
      </x:c>
      <x:c r="BS688" s="16" t="n">
        <x:v>0.05</x:v>
      </x:c>
      <x:c r="BT688" s="14" t="str">
        <x:v>One episode</x:v>
      </x:c>
      <x:c r="BU688" s="14" t="str">
        <x:v>Medium</x:v>
      </x:c>
      <x:c r="BV688" s="14" t="str">
        <x:v>Derived from supplied IMDb episode count and the documented production-total proxy.</x:v>
      </x:c>
      <x:c r="BW688" s="14" t="str">
        <x:v>Unable to determine</x:v>
      </x:c>
      <x:c r="BX688" s="14" t="str">
        <x:v>Supplied cast data establishes the credit and episode presence but does not establish narrative prominence.</x:v>
      </x:c>
      <x:c r="BY688" s="14" t="str">
        <x:v>Supplied IMDb cast-list workbook</x:v>
      </x:c>
      <x:c r="BZ688" s="14" t="str">
        <x:v>HYPERLINK is not implemented. linkLocation=https://www.imdb.com/title/tt11639300/fullcredits/, friendlyName=Open source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tt11639300|nm1555396|medical director</x:v>
      </x:c>
      <x:c r="B689" s="14" t="str">
        <x:v>02</x:v>
      </x:c>
      <x:c r="C689" s="14" t="str">
        <x:v>2021_IMDb_Cast_Lists_Batch_02(1).xlsx</x:v>
      </x:c>
      <x:c r="D689" s="14" t="str">
        <x:v>Grace</x:v>
      </x:c>
      <x:c r="E689" s="14" t="n">
        <x:v>203</x:v>
      </x:c>
      <x:c r="F689" s="14" t="str">
        <x:v>Grace</x:v>
      </x:c>
      <x:c r="G689" s="14" t="str">
        <x:v>tt11639300</x:v>
      </x:c>
      <x:c r="H689" s="14" t="n">
        <x:v>2021</x:v>
      </x:c>
      <x:c r="I689" s="14" t="n">
        <x:v>2025</x:v>
      </x:c>
      <x:c r="J689" s="14" t="str">
        <x:v>Earlier-Production Carry-In Cohort</x:v>
      </x:c>
      <x:c r="K689" s="14" t="n">
        <x:v>2021</x:v>
      </x:c>
      <x:c r="L689" s="14" t="str">
        <x:v>Available from 2021 analysis</x:v>
      </x:c>
      <x:c r="M689" s="15" t="n">
        <x:v>196</x:v>
      </x:c>
      <x:c r="N689" s="14" t="str">
        <x:v>Emma Dears</x:v>
      </x:c>
      <x:c r="O689" s="14" t="str">
        <x:v>nm1555396</x:v>
      </x:c>
      <x:c r="P689" s="14" t="str">
        <x:v>Medical Director</x:v>
      </x:c>
      <x:c r="Q689" s="15" t="n">
        <x:v>1</x:v>
      </x:c>
      <x:c r="R689" s="14" t="str">
        <x:v>2025</x:v>
      </x:c>
      <x:c r="S689" s="14" t="n">
        <x:v>2025</x:v>
      </x:c>
      <x:c r="T689" s="14" t="n">
        <x:v>2025</x:v>
      </x:c>
      <x:c r="U689" s="14" t="str">
        <x:v>Post-2021 casting excluded</x:v>
      </x:c>
      <x:c r="V689" s="14" t="str">
        <x:v>Earliest supplied year is 2025, later than the 2021 study year.</x:v>
      </x:c>
      <x:c r="W689" s="14"/>
      <x:c r="X689" s="14" t="str">
        <x:v>Included</x:v>
      </x:c>
      <x:c r="Y689" s="14"/>
      <x:c r="Z689" s="14" t="str">
        <x:v>Grace.docx</x:v>
      </x:c>
      <x:c r="AA689" s="14" t="str">
        <x:v>HYPERLINK is not implemented. linkLocation=https://www.imdb.com/title/tt11639300/fullcredits/, friendlyName=Open source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ITV / ITVX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7" t="e">
        <x:f>HYPERLINK("https://en.wikipedia.org/wiki/Grace","Open source")</x:f>
        <x:v>HYPERLINK is not implemented. linkLocation=https://en.wikipedia.org/wiki/Grace, friendlyName=Open source</x:v>
      </x:c>
      <x:c r="AN689" s="14" t="str">
        <x:v>No qualifying BBC relationship</x:v>
      </x:c>
      <x:c r="AO689" s="14" t="str">
        <x:v>No</x:v>
      </x:c>
      <x:c r="AP689" s="14" t="str">
        <x:v>Out of scope</x:v>
      </x:c>
      <x:c r="AQ689" s="14" t="str">
        <x:v>No</x:v>
      </x:c>
      <x:c r="AR689" s="14" t="str">
        <x:v>Resolved from master register</x:v>
      </x:c>
      <x:c r="AS689" s="14" t="str">
        <x:v>No established-register match</x:v>
      </x:c>
      <x:c r="AT689" s="14"/>
      <x:c r="AU689" s="14"/>
      <x:c r="AV689" s="14" t="str">
        <x:v>No established apparent-disability match</x:v>
      </x:c>
      <x:c r="AW689" s="14"/>
      <x:c r="AX689" s="14" t="str">
        <x:v>No</x:v>
      </x:c>
      <x:c r="AY689" s="14" t="str">
        <x:v>Unmatched</x:v>
      </x:c>
      <x:c r="AZ689" s="14" t="str">
        <x:v>Final supplied register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20</x:v>
      </x:c>
      <x:c r="BP689" s="14" t="str">
        <x:v>Maximum eligible IMDb cast-credit total (20), shared by 4 performer(s); not independently verified as a 2021-only episode total.</x:v>
      </x:c>
      <x:c r="BQ689" s="14" t="str">
        <x:v>Medium</x:v>
      </x:c>
      <x:c r="BR689" s="15" t="n">
        <x:v>1</x:v>
      </x:c>
      <x:c r="BS689" s="16" t="n">
        <x:v>0.05</x:v>
      </x:c>
      <x:c r="BT689" s="14" t="str">
        <x:v>One episode</x:v>
      </x:c>
      <x:c r="BU689" s="14" t="str">
        <x:v>Medium</x:v>
      </x:c>
      <x:c r="BV689" s="14" t="str">
        <x:v>Derived from supplied IMDb episode count and the documented production-total proxy.</x:v>
      </x:c>
      <x:c r="BW689" s="14" t="str">
        <x:v>Unable to determine</x:v>
      </x:c>
      <x:c r="BX689" s="14" t="str">
        <x:v>Supplied cast data establishes the credit and episode presence but does not establish narrative prominence.</x:v>
      </x:c>
      <x:c r="BY689" s="14" t="str">
        <x:v>Supplied IMDb cast-list workbook</x:v>
      </x:c>
      <x:c r="BZ689" s="14" t="str">
        <x:v>HYPERLINK is not implemented. linkLocation=https://www.imdb.com/title/tt11639300/fullcredits/, friendlyName=Open source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tt11639300|nm3009594|noel ludlow</x:v>
      </x:c>
      <x:c r="B690" s="14" t="str">
        <x:v>02</x:v>
      </x:c>
      <x:c r="C690" s="14" t="str">
        <x:v>2021_IMDb_Cast_Lists_Batch_02(1).xlsx</x:v>
      </x:c>
      <x:c r="D690" s="14" t="str">
        <x:v>Grace</x:v>
      </x:c>
      <x:c r="E690" s="14" t="n">
        <x:v>217</x:v>
      </x:c>
      <x:c r="F690" s="14" t="str">
        <x:v>Grace</x:v>
      </x:c>
      <x:c r="G690" s="14" t="str">
        <x:v>tt11639300</x:v>
      </x:c>
      <x:c r="H690" s="14" t="n">
        <x:v>2021</x:v>
      </x:c>
      <x:c r="I690" s="14" t="n">
        <x:v>2025</x:v>
      </x:c>
      <x:c r="J690" s="14" t="str">
        <x:v>Earlier-Production Carry-In Cohort</x:v>
      </x:c>
      <x:c r="K690" s="14" t="n">
        <x:v>2021</x:v>
      </x:c>
      <x:c r="L690" s="14" t="str">
        <x:v>Available from 2021 analysis</x:v>
      </x:c>
      <x:c r="M690" s="15" t="n">
        <x:v>210</x:v>
      </x:c>
      <x:c r="N690" s="14" t="str">
        <x:v>Oaklee Pendergast</x:v>
      </x:c>
      <x:c r="O690" s="14" t="str">
        <x:v>nm3009594</x:v>
      </x:c>
      <x:c r="P690" s="14" t="str">
        <x:v>Noel Ludlow</x:v>
      </x:c>
      <x:c r="Q690" s="15" t="n">
        <x:v>1</x:v>
      </x:c>
      <x:c r="R690" s="14" t="str">
        <x:v>2025</x:v>
      </x:c>
      <x:c r="S690" s="14" t="n">
        <x:v>2025</x:v>
      </x:c>
      <x:c r="T690" s="14" t="n">
        <x:v>2025</x:v>
      </x:c>
      <x:c r="U690" s="14" t="str">
        <x:v>Post-2021 casting excluded</x:v>
      </x:c>
      <x:c r="V690" s="14" t="str">
        <x:v>Earliest supplied year is 2025, later than the 2021 study year.</x:v>
      </x:c>
      <x:c r="W690" s="14"/>
      <x:c r="X690" s="14" t="str">
        <x:v>Included</x:v>
      </x:c>
      <x:c r="Y690" s="14"/>
      <x:c r="Z690" s="14" t="str">
        <x:v>Grace.docx</x:v>
      </x:c>
      <x:c r="AA690" s="14" t="str">
        <x:v>HYPERLINK is not implemented. linkLocation=https://www.imdb.com/title/tt11639300/fullcredits/, friendlyName=Open source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ITV / ITVX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7" t="e">
        <x:f>HYPERLINK("https://en.wikipedia.org/wiki/Grace","Open source")</x:f>
        <x:v>HYPERLINK is not implemented. linkLocation=https://en.wikipedia.org/wiki/Grace, friendlyName=Open source</x:v>
      </x:c>
      <x:c r="AN690" s="14" t="str">
        <x:v>No qualifying BBC relationship</x:v>
      </x:c>
      <x:c r="AO690" s="14" t="str">
        <x:v>No</x:v>
      </x:c>
      <x:c r="AP690" s="14" t="str">
        <x:v>Out of scope</x:v>
      </x:c>
      <x:c r="AQ690" s="14" t="str">
        <x:v>No</x:v>
      </x:c>
      <x:c r="AR690" s="14" t="str">
        <x:v>Resolved from master register</x:v>
      </x:c>
      <x:c r="AS690" s="14" t="str">
        <x:v>No established-register match</x:v>
      </x:c>
      <x:c r="AT690" s="14"/>
      <x:c r="AU690" s="14"/>
      <x:c r="AV690" s="14" t="str">
        <x:v>No established apparent-disability match</x:v>
      </x:c>
      <x:c r="AW690" s="14"/>
      <x:c r="AX690" s="14" t="str">
        <x:v>No</x:v>
      </x:c>
      <x:c r="AY690" s="14" t="str">
        <x:v>Unmatched</x:v>
      </x:c>
      <x:c r="AZ690" s="14" t="str">
        <x:v>Final supplied register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20</x:v>
      </x:c>
      <x:c r="BP690" s="14" t="str">
        <x:v>Maximum eligible IMDb cast-credit total (20), shared by 4 performer(s); not independently verified as a 2021-only episode total.</x:v>
      </x:c>
      <x:c r="BQ690" s="14" t="str">
        <x:v>Medium</x:v>
      </x:c>
      <x:c r="BR690" s="15" t="n">
        <x:v>1</x:v>
      </x:c>
      <x:c r="BS690" s="16" t="n">
        <x:v>0.05</x:v>
      </x:c>
      <x:c r="BT690" s="14" t="str">
        <x:v>One episode</x:v>
      </x:c>
      <x:c r="BU690" s="14" t="str">
        <x:v>Medium</x:v>
      </x:c>
      <x:c r="BV690" s="14" t="str">
        <x:v>Derived from supplied IMDb episode count and the documented production-total proxy.</x:v>
      </x:c>
      <x:c r="BW690" s="14" t="str">
        <x:v>Unable to determine</x:v>
      </x:c>
      <x:c r="BX690" s="14" t="str">
        <x:v>Supplied cast data establishes the credit and episode presence but does not establish narrative prominence.</x:v>
      </x:c>
      <x:c r="BY690" s="14" t="str">
        <x:v>Supplied IMDb cast-list workbook</x:v>
      </x:c>
      <x:c r="BZ690" s="14" t="str">
        <x:v>HYPERLINK is not implemented. linkLocation=https://www.imdb.com/title/tt11639300/fullcredits/, friendlyName=Open source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tt11639300|nm2167445|marcus o'sullivan</x:v>
      </x:c>
      <x:c r="B691" s="14" t="str">
        <x:v>02</x:v>
      </x:c>
      <x:c r="C691" s="14" t="str">
        <x:v>2021_IMDb_Cast_Lists_Batch_02(1).xlsx</x:v>
      </x:c>
      <x:c r="D691" s="14" t="str">
        <x:v>Grace</x:v>
      </x:c>
      <x:c r="E691" s="14" t="n">
        <x:v>218</x:v>
      </x:c>
      <x:c r="F691" s="14" t="str">
        <x:v>Grace</x:v>
      </x:c>
      <x:c r="G691" s="14" t="str">
        <x:v>tt11639300</x:v>
      </x:c>
      <x:c r="H691" s="14" t="n">
        <x:v>2021</x:v>
      </x:c>
      <x:c r="I691" s="14" t="n">
        <x:v>2025</x:v>
      </x:c>
      <x:c r="J691" s="14" t="str">
        <x:v>Earlier-Production Carry-In Cohort</x:v>
      </x:c>
      <x:c r="K691" s="14" t="n">
        <x:v>2021</x:v>
      </x:c>
      <x:c r="L691" s="14" t="str">
        <x:v>Available from 2021 analysis</x:v>
      </x:c>
      <x:c r="M691" s="15" t="n">
        <x:v>211</x:v>
      </x:c>
      <x:c r="N691" s="14" t="str">
        <x:v>Gethin Anthony</x:v>
      </x:c>
      <x:c r="O691" s="14" t="str">
        <x:v>nm2167445</x:v>
      </x:c>
      <x:c r="P691" s="14" t="str">
        <x:v>Marcus O'Sullivan</x:v>
      </x:c>
      <x:c r="Q691" s="15" t="n">
        <x:v>1</x:v>
      </x:c>
      <x:c r="R691" s="14" t="str">
        <x:v>2025</x:v>
      </x:c>
      <x:c r="S691" s="14" t="n">
        <x:v>2025</x:v>
      </x:c>
      <x:c r="T691" s="14" t="n">
        <x:v>2025</x:v>
      </x:c>
      <x:c r="U691" s="14" t="str">
        <x:v>Post-2021 casting excluded</x:v>
      </x:c>
      <x:c r="V691" s="14" t="str">
        <x:v>Earliest supplied year is 2025, later than the 2021 study year.</x:v>
      </x:c>
      <x:c r="W691" s="14"/>
      <x:c r="X691" s="14" t="str">
        <x:v>Included</x:v>
      </x:c>
      <x:c r="Y691" s="14"/>
      <x:c r="Z691" s="14" t="str">
        <x:v>Grace.docx</x:v>
      </x:c>
      <x:c r="AA691" s="14" t="str">
        <x:v>HYPERLINK is not implemented. linkLocation=https://www.imdb.com/title/tt11639300/fullcredits/, friendlyName=Open source</x:v>
      </x:c>
      <x:c r="AB691" s="14" t="str">
        <x:v>No established-register match</x:v>
      </x:c>
      <x:c r="AC691" s="14"/>
      <x:c r="AD691" s="14"/>
      <x:c r="AE691" s="14"/>
      <x:c r="AF691" s="14"/>
      <x:c r="AG691" s="14" t="str">
        <x:v>No qualifying conclusion recorded. Absence from the register is not evidence that the performer is not disabled.</x:v>
      </x:c>
      <x:c r="AH691" s="14" t="str">
        <x:v>ITV / ITVX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7" t="e">
        <x:f>HYPERLINK("https://en.wikipedia.org/wiki/Grace","Open source")</x:f>
        <x:v>HYPERLINK is not implemented. linkLocation=https://en.wikipedia.org/wiki/Grace, friendlyName=Open source</x:v>
      </x:c>
      <x:c r="AN691" s="14" t="str">
        <x:v>No qualifying BBC relationship</x:v>
      </x:c>
      <x:c r="AO691" s="14" t="str">
        <x:v>No</x:v>
      </x:c>
      <x:c r="AP691" s="14" t="str">
        <x:v>Out of scope</x:v>
      </x:c>
      <x:c r="AQ691" s="14" t="str">
        <x:v>No</x:v>
      </x:c>
      <x:c r="AR691" s="14" t="str">
        <x:v>Resolved from master register</x:v>
      </x:c>
      <x:c r="AS691" s="14" t="str">
        <x:v>No established-register match</x:v>
      </x:c>
      <x:c r="AT691" s="14"/>
      <x:c r="AU691" s="14"/>
      <x:c r="AV691" s="14" t="str">
        <x:v>No established apparent-disability match</x:v>
      </x:c>
      <x:c r="AW691" s="14"/>
      <x:c r="AX691" s="14" t="str">
        <x:v>No</x:v>
      </x:c>
      <x:c r="AY691" s="14" t="str">
        <x:v>Unmatched</x:v>
      </x:c>
      <x:c r="AZ691" s="14" t="str">
        <x:v>Final supplied register</x:v>
      </x:c>
      <x:c r="BA691" s="14" t="str">
        <x:v>Absence from the register is not evidence that the performer is not disabled.</x:v>
      </x:c>
      <x:c r="BB691" s="14" t="str">
        <x:v>No established-register match</x:v>
      </x:c>
      <x:c r="BC691" s="14"/>
      <x:c r="BD691" s="14"/>
      <x:c r="BE691" s="14"/>
      <x:c r="BF691" s="14" t="str">
        <x:v>No established apparent-disability match</x:v>
      </x:c>
      <x:c r="BG691" s="14"/>
      <x:c r="BH691" s="14" t="str">
        <x:v>No</x:v>
      </x:c>
      <x:c r="BI691" s="14"/>
      <x:c r="BJ691" s="14"/>
      <x:c r="BK691" s="14"/>
      <x:c r="BL691" s="14" t="str">
        <x:v>Unmatched</x:v>
      </x:c>
      <x:c r="BM691" s="14" t="str">
        <x:v>Final supplied register</x:v>
      </x:c>
      <x:c r="BN691" s="14" t="str">
        <x:v>Absence from the register is not evidence that the performer is not disabled.</x:v>
      </x:c>
      <x:c r="BO691" s="14" t="n">
        <x:v>20</x:v>
      </x:c>
      <x:c r="BP691" s="14" t="str">
        <x:v>Maximum eligible IMDb cast-credit total (20), shared by 4 performer(s); not independently verified as a 2021-only episode total.</x:v>
      </x:c>
      <x:c r="BQ691" s="14" t="str">
        <x:v>Medium</x:v>
      </x:c>
      <x:c r="BR691" s="15" t="n">
        <x:v>1</x:v>
      </x:c>
      <x:c r="BS691" s="16" t="n">
        <x:v>0.05</x:v>
      </x:c>
      <x:c r="BT691" s="14" t="str">
        <x:v>One episode</x:v>
      </x:c>
      <x:c r="BU691" s="14" t="str">
        <x:v>Medium</x:v>
      </x:c>
      <x:c r="BV691" s="14" t="str">
        <x:v>Derived from supplied IMDb episode count and the documented production-total proxy.</x:v>
      </x:c>
      <x:c r="BW691" s="14" t="str">
        <x:v>Unable to determine</x:v>
      </x:c>
      <x:c r="BX691" s="14" t="str">
        <x:v>Supplied cast data establishes the credit and episode presence but does not establish narrative prominence.</x:v>
      </x:c>
      <x:c r="BY691" s="14" t="str">
        <x:v>Supplied IMDb cast-list workbook</x:v>
      </x:c>
      <x:c r="BZ691" s="14" t="str">
        <x:v>HYPERLINK is not implemented. linkLocation=https://www.imdb.com/title/tt11639300/fullcredits/, friendlyName=Open source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tt11639300|nm3149086|maisy waller</x:v>
      </x:c>
      <x:c r="B692" s="14" t="str">
        <x:v>02</x:v>
      </x:c>
      <x:c r="C692" s="14" t="str">
        <x:v>2021_IMDb_Cast_Lists_Batch_02(1).xlsx</x:v>
      </x:c>
      <x:c r="D692" s="14" t="str">
        <x:v>Grace</x:v>
      </x:c>
      <x:c r="E692" s="14" t="n">
        <x:v>219</x:v>
      </x:c>
      <x:c r="F692" s="14" t="str">
        <x:v>Grace</x:v>
      </x:c>
      <x:c r="G692" s="14" t="str">
        <x:v>tt11639300</x:v>
      </x:c>
      <x:c r="H692" s="14" t="n">
        <x:v>2021</x:v>
      </x:c>
      <x:c r="I692" s="14" t="n">
        <x:v>2025</x:v>
      </x:c>
      <x:c r="J692" s="14" t="str">
        <x:v>Earlier-Production Carry-In Cohort</x:v>
      </x:c>
      <x:c r="K692" s="14" t="n">
        <x:v>2021</x:v>
      </x:c>
      <x:c r="L692" s="14" t="str">
        <x:v>Available from 2021 analysis</x:v>
      </x:c>
      <x:c r="M692" s="15" t="n">
        <x:v>212</x:v>
      </x:c>
      <x:c r="N692" s="14" t="str">
        <x:v>Julie Barclay</x:v>
      </x:c>
      <x:c r="O692" s="14" t="str">
        <x:v>nm3149086</x:v>
      </x:c>
      <x:c r="P692" s="14" t="str">
        <x:v>Maisy Waller</x:v>
      </x:c>
      <x:c r="Q692" s="15" t="n">
        <x:v>1</x:v>
      </x:c>
      <x:c r="R692" s="14" t="str">
        <x:v>2025</x:v>
      </x:c>
      <x:c r="S692" s="14" t="n">
        <x:v>2025</x:v>
      </x:c>
      <x:c r="T692" s="14" t="n">
        <x:v>2025</x:v>
      </x:c>
      <x:c r="U692" s="14" t="str">
        <x:v>Post-2021 casting excluded</x:v>
      </x:c>
      <x:c r="V692" s="14" t="str">
        <x:v>Earliest supplied year is 2025, later than the 2021 study year.</x:v>
      </x:c>
      <x:c r="W692" s="14"/>
      <x:c r="X692" s="14" t="str">
        <x:v>Included</x:v>
      </x:c>
      <x:c r="Y692" s="14"/>
      <x:c r="Z692" s="14" t="str">
        <x:v>Grace.docx</x:v>
      </x:c>
      <x:c r="AA692" s="14" t="str">
        <x:v>HYPERLINK is not implemented. linkLocation=https://www.imdb.com/title/tt11639300/fullcredits/, friendlyName=Open source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ITV / ITVX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7" t="e">
        <x:f>HYPERLINK("https://en.wikipedia.org/wiki/Grace","Open source")</x:f>
        <x:v>HYPERLINK is not implemented. linkLocation=https://en.wikipedia.org/wiki/Grace, friendlyName=Open source</x:v>
      </x:c>
      <x:c r="AN692" s="14" t="str">
        <x:v>No qualifying BBC relationship</x:v>
      </x:c>
      <x:c r="AO692" s="14" t="str">
        <x:v>No</x:v>
      </x:c>
      <x:c r="AP692" s="14" t="str">
        <x:v>Out of scope</x:v>
      </x:c>
      <x:c r="AQ692" s="14" t="str">
        <x:v>No</x:v>
      </x:c>
      <x:c r="AR692" s="14" t="str">
        <x:v>Resolved from master register</x:v>
      </x:c>
      <x:c r="AS692" s="14" t="str">
        <x:v>No established-register match</x:v>
      </x:c>
      <x:c r="AT692" s="14"/>
      <x:c r="AU692" s="14"/>
      <x:c r="AV692" s="14" t="str">
        <x:v>No established apparent-disability match</x:v>
      </x:c>
      <x:c r="AW692" s="14"/>
      <x:c r="AX692" s="14" t="str">
        <x:v>No</x:v>
      </x:c>
      <x:c r="AY692" s="14" t="str">
        <x:v>Unmatched</x:v>
      </x:c>
      <x:c r="AZ692" s="14" t="str">
        <x:v>Final supplied register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20</x:v>
      </x:c>
      <x:c r="BP692" s="14" t="str">
        <x:v>Maximum eligible IMDb cast-credit total (20), shared by 4 performer(s); not independently verified as a 2021-only episode total.</x:v>
      </x:c>
      <x:c r="BQ692" s="14" t="str">
        <x:v>Medium</x:v>
      </x:c>
      <x:c r="BR692" s="15" t="n">
        <x:v>1</x:v>
      </x:c>
      <x:c r="BS692" s="16" t="n">
        <x:v>0.05</x:v>
      </x:c>
      <x:c r="BT692" s="14" t="str">
        <x:v>One episode</x:v>
      </x:c>
      <x:c r="BU692" s="14" t="str">
        <x:v>Medium</x:v>
      </x:c>
      <x:c r="BV692" s="14" t="str">
        <x:v>Derived from supplied IMDb episode count and the documented production-total proxy.</x:v>
      </x:c>
      <x:c r="BW692" s="14" t="str">
        <x:v>Unable to determine</x:v>
      </x:c>
      <x:c r="BX692" s="14" t="str">
        <x:v>Supplied cast data establishes the credit and episode presence but does not establish narrative prominence.</x:v>
      </x:c>
      <x:c r="BY692" s="14" t="str">
        <x:v>Supplied IMDb cast-list workbook</x:v>
      </x:c>
      <x:c r="BZ692" s="14" t="str">
        <x:v>HYPERLINK is not implemented. linkLocation=https://www.imdb.com/title/tt11639300/fullcredits/, friendlyName=Open source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tt11639300|nm1060758|head of surgery</x:v>
      </x:c>
      <x:c r="B693" s="14" t="str">
        <x:v>02</x:v>
      </x:c>
      <x:c r="C693" s="14" t="str">
        <x:v>2021_IMDb_Cast_Lists_Batch_02(1).xlsx</x:v>
      </x:c>
      <x:c r="D693" s="14" t="str">
        <x:v>Grace</x:v>
      </x:c>
      <x:c r="E693" s="14" t="n">
        <x:v>220</x:v>
      </x:c>
      <x:c r="F693" s="14" t="str">
        <x:v>Grace</x:v>
      </x:c>
      <x:c r="G693" s="14" t="str">
        <x:v>tt11639300</x:v>
      </x:c>
      <x:c r="H693" s="14" t="n">
        <x:v>2021</x:v>
      </x:c>
      <x:c r="I693" s="14" t="n">
        <x:v>2025</x:v>
      </x:c>
      <x:c r="J693" s="14" t="str">
        <x:v>Earlier-Production Carry-In Cohort</x:v>
      </x:c>
      <x:c r="K693" s="14" t="n">
        <x:v>2021</x:v>
      </x:c>
      <x:c r="L693" s="14" t="str">
        <x:v>Available from 2021 analysis</x:v>
      </x:c>
      <x:c r="M693" s="15" t="n">
        <x:v>213</x:v>
      </x:c>
      <x:c r="N693" s="14" t="str">
        <x:v>Emily Swain</x:v>
      </x:c>
      <x:c r="O693" s="14" t="str">
        <x:v>nm1060758</x:v>
      </x:c>
      <x:c r="P693" s="14" t="str">
        <x:v>Head of Surgery</x:v>
      </x:c>
      <x:c r="Q693" s="15" t="n">
        <x:v>1</x:v>
      </x:c>
      <x:c r="R693" s="14" t="str">
        <x:v>2025</x:v>
      </x:c>
      <x:c r="S693" s="14" t="n">
        <x:v>2025</x:v>
      </x:c>
      <x:c r="T693" s="14" t="n">
        <x:v>2025</x:v>
      </x:c>
      <x:c r="U693" s="14" t="str">
        <x:v>Post-2021 casting excluded</x:v>
      </x:c>
      <x:c r="V693" s="14" t="str">
        <x:v>Earliest supplied year is 2025, later than the 2021 study year.</x:v>
      </x:c>
      <x:c r="W693" s="14"/>
      <x:c r="X693" s="14" t="str">
        <x:v>Included</x:v>
      </x:c>
      <x:c r="Y693" s="14"/>
      <x:c r="Z693" s="14" t="str">
        <x:v>Grace.docx</x:v>
      </x:c>
      <x:c r="AA693" s="14" t="str">
        <x:v>HYPERLINK is not implemented. linkLocation=https://www.imdb.com/title/tt11639300/fullcredits/, friendlyName=Open source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ITV / ITVX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7" t="e">
        <x:f>HYPERLINK("https://en.wikipedia.org/wiki/Grace","Open source")</x:f>
        <x:v>HYPERLINK is not implemented. linkLocation=https://en.wikipedia.org/wiki/Grace, friendlyName=Open source</x:v>
      </x:c>
      <x:c r="AN693" s="14" t="str">
        <x:v>No qualifying BBC relationship</x:v>
      </x:c>
      <x:c r="AO693" s="14" t="str">
        <x:v>No</x:v>
      </x:c>
      <x:c r="AP693" s="14" t="str">
        <x:v>Out of scope</x:v>
      </x:c>
      <x:c r="AQ693" s="14" t="str">
        <x:v>No</x:v>
      </x:c>
      <x:c r="AR693" s="14" t="str">
        <x:v>Resolved from master register</x:v>
      </x:c>
      <x:c r="AS693" s="14" t="str">
        <x:v>No established-register match</x:v>
      </x:c>
      <x:c r="AT693" s="14"/>
      <x:c r="AU693" s="14"/>
      <x:c r="AV693" s="14" t="str">
        <x:v>No established apparent-disability match</x:v>
      </x:c>
      <x:c r="AW693" s="14"/>
      <x:c r="AX693" s="14" t="str">
        <x:v>No</x:v>
      </x:c>
      <x:c r="AY693" s="14" t="str">
        <x:v>Unmatched</x:v>
      </x:c>
      <x:c r="AZ693" s="14" t="str">
        <x:v>Final supplied register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20</x:v>
      </x:c>
      <x:c r="BP693" s="14" t="str">
        <x:v>Maximum eligible IMDb cast-credit total (20), shared by 4 performer(s); not independently verified as a 2021-only episode total.</x:v>
      </x:c>
      <x:c r="BQ693" s="14" t="str">
        <x:v>Medium</x:v>
      </x:c>
      <x:c r="BR693" s="15" t="n">
        <x:v>1</x:v>
      </x:c>
      <x:c r="BS693" s="16" t="n">
        <x:v>0.05</x:v>
      </x:c>
      <x:c r="BT693" s="14" t="str">
        <x:v>One episode</x:v>
      </x:c>
      <x:c r="BU693" s="14" t="str">
        <x:v>Medium</x:v>
      </x:c>
      <x:c r="BV693" s="14" t="str">
        <x:v>Derived from supplied IMDb episode count and the documented production-total proxy.</x:v>
      </x:c>
      <x:c r="BW693" s="14" t="str">
        <x:v>Unable to determine</x:v>
      </x:c>
      <x:c r="BX693" s="14" t="str">
        <x:v>Supplied cast data establishes the credit and episode presence but does not establish narrative prominence.</x:v>
      </x:c>
      <x:c r="BY693" s="14" t="str">
        <x:v>Supplied IMDb cast-list workbook</x:v>
      </x:c>
      <x:c r="BZ693" s="14" t="str">
        <x:v>HYPERLINK is not implemented. linkLocation=https://www.imdb.com/title/tt11639300/fullcredits/, friendlyName=Open source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tt11639300|nm1475071|sam makerson</x:v>
      </x:c>
      <x:c r="B694" s="14" t="str">
        <x:v>02</x:v>
      </x:c>
      <x:c r="C694" s="14" t="str">
        <x:v>2021_IMDb_Cast_Lists_Batch_02(1).xlsx</x:v>
      </x:c>
      <x:c r="D694" s="14" t="str">
        <x:v>Grace</x:v>
      </x:c>
      <x:c r="E694" s="14" t="n">
        <x:v>231</x:v>
      </x:c>
      <x:c r="F694" s="14" t="str">
        <x:v>Grace</x:v>
      </x:c>
      <x:c r="G694" s="14" t="str">
        <x:v>tt11639300</x:v>
      </x:c>
      <x:c r="H694" s="14" t="n">
        <x:v>2021</x:v>
      </x:c>
      <x:c r="I694" s="14" t="n">
        <x:v>2025</x:v>
      </x:c>
      <x:c r="J694" s="14" t="str">
        <x:v>Earlier-Production Carry-In Cohort</x:v>
      </x:c>
      <x:c r="K694" s="14" t="n">
        <x:v>2021</x:v>
      </x:c>
      <x:c r="L694" s="14" t="str">
        <x:v>Available from 2021 analysis</x:v>
      </x:c>
      <x:c r="M694" s="15" t="n">
        <x:v>224</x:v>
      </x:c>
      <x:c r="N694" s="14" t="str">
        <x:v>Howard Saddler</x:v>
      </x:c>
      <x:c r="O694" s="14" t="str">
        <x:v>nm1475071</x:v>
      </x:c>
      <x:c r="P694" s="14" t="str">
        <x:v>Sam Makerson</x:v>
      </x:c>
      <x:c r="Q694" s="15" t="n">
        <x:v>1</x:v>
      </x:c>
      <x:c r="R694" s="14" t="str">
        <x:v>2025</x:v>
      </x:c>
      <x:c r="S694" s="14" t="n">
        <x:v>2025</x:v>
      </x:c>
      <x:c r="T694" s="14" t="n">
        <x:v>2025</x:v>
      </x:c>
      <x:c r="U694" s="14" t="str">
        <x:v>Post-2021 casting excluded</x:v>
      </x:c>
      <x:c r="V694" s="14" t="str">
        <x:v>Earliest supplied year is 2025, later than the 2021 study year.</x:v>
      </x:c>
      <x:c r="W694" s="14"/>
      <x:c r="X694" s="14" t="str">
        <x:v>Included</x:v>
      </x:c>
      <x:c r="Y694" s="14"/>
      <x:c r="Z694" s="14" t="str">
        <x:v>Grace.docx</x:v>
      </x:c>
      <x:c r="AA694" s="14" t="str">
        <x:v>HYPERLINK is not implemented. linkLocation=https://www.imdb.com/title/tt11639300/fullcredits/, friendlyName=Open source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ITV / ITVX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7" t="e">
        <x:f>HYPERLINK("https://en.wikipedia.org/wiki/Grace","Open source")</x:f>
        <x:v>HYPERLINK is not implemented. linkLocation=https://en.wikipedia.org/wiki/Grace, friendlyName=Open source</x:v>
      </x:c>
      <x:c r="AN694" s="14" t="str">
        <x:v>No qualifying BBC relationship</x:v>
      </x:c>
      <x:c r="AO694" s="14" t="str">
        <x:v>No</x:v>
      </x:c>
      <x:c r="AP694" s="14" t="str">
        <x:v>Out of scope</x:v>
      </x:c>
      <x:c r="AQ694" s="14" t="str">
        <x:v>No</x:v>
      </x:c>
      <x:c r="AR694" s="14" t="str">
        <x:v>Resolved from master register</x:v>
      </x:c>
      <x:c r="AS694" s="14" t="str">
        <x:v>No established-register match</x:v>
      </x:c>
      <x:c r="AT694" s="14"/>
      <x:c r="AU694" s="14"/>
      <x:c r="AV694" s="14" t="str">
        <x:v>No established apparent-disability match</x:v>
      </x:c>
      <x:c r="AW694" s="14"/>
      <x:c r="AX694" s="14" t="str">
        <x:v>No</x:v>
      </x:c>
      <x:c r="AY694" s="14" t="str">
        <x:v>Unmatched</x:v>
      </x:c>
      <x:c r="AZ694" s="14" t="str">
        <x:v>Final supplied register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20</x:v>
      </x:c>
      <x:c r="BP694" s="14" t="str">
        <x:v>Maximum eligible IMDb cast-credit total (20), shared by 4 performer(s); not independently verified as a 2021-only episode total.</x:v>
      </x:c>
      <x:c r="BQ694" s="14" t="str">
        <x:v>Medium</x:v>
      </x:c>
      <x:c r="BR694" s="15" t="n">
        <x:v>1</x:v>
      </x:c>
      <x:c r="BS694" s="16" t="n">
        <x:v>0.05</x:v>
      </x:c>
      <x:c r="BT694" s="14" t="str">
        <x:v>One episode</x:v>
      </x:c>
      <x:c r="BU694" s="14" t="str">
        <x:v>Medium</x:v>
      </x:c>
      <x:c r="BV694" s="14" t="str">
        <x:v>Derived from supplied IMDb episode count and the documented production-total proxy.</x:v>
      </x:c>
      <x:c r="BW694" s="14" t="str">
        <x:v>Unable to determine</x:v>
      </x:c>
      <x:c r="BX694" s="14" t="str">
        <x:v>Supplied cast data establishes the credit and episode presence but does not establish narrative prominence.</x:v>
      </x:c>
      <x:c r="BY694" s="14" t="str">
        <x:v>Supplied IMDb cast-list workbook</x:v>
      </x:c>
      <x:c r="BZ694" s="14" t="str">
        <x:v>HYPERLINK is not implemented. linkLocation=https://www.imdb.com/title/tt11639300/fullcredits/, friendlyName=Open source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tt11639300|nm0047257|patrick morris</x:v>
      </x:c>
      <x:c r="B695" s="14" t="str">
        <x:v>02</x:v>
      </x:c>
      <x:c r="C695" s="14" t="str">
        <x:v>2021_IMDb_Cast_Lists_Batch_02(1).xlsx</x:v>
      </x:c>
      <x:c r="D695" s="14" t="str">
        <x:v>Grace</x:v>
      </x:c>
      <x:c r="E695" s="14" t="n">
        <x:v>232</x:v>
      </x:c>
      <x:c r="F695" s="14" t="str">
        <x:v>Grace</x:v>
      </x:c>
      <x:c r="G695" s="14" t="str">
        <x:v>tt11639300</x:v>
      </x:c>
      <x:c r="H695" s="14" t="n">
        <x:v>2021</x:v>
      </x:c>
      <x:c r="I695" s="14" t="n">
        <x:v>2025</x:v>
      </x:c>
      <x:c r="J695" s="14" t="str">
        <x:v>Earlier-Production Carry-In Cohort</x:v>
      </x:c>
      <x:c r="K695" s="14" t="n">
        <x:v>2021</x:v>
      </x:c>
      <x:c r="L695" s="14" t="str">
        <x:v>Available from 2021 analysis</x:v>
      </x:c>
      <x:c r="M695" s="15" t="n">
        <x:v>225</x:v>
      </x:c>
      <x:c r="N695" s="14" t="str">
        <x:v>Ewan Bailey</x:v>
      </x:c>
      <x:c r="O695" s="14" t="str">
        <x:v>nm0047257</x:v>
      </x:c>
      <x:c r="P695" s="14" t="str">
        <x:v>Patrick Morris</x:v>
      </x:c>
      <x:c r="Q695" s="15" t="n">
        <x:v>1</x:v>
      </x:c>
      <x:c r="R695" s="14" t="str">
        <x:v>2025</x:v>
      </x:c>
      <x:c r="S695" s="14" t="n">
        <x:v>2025</x:v>
      </x:c>
      <x:c r="T695" s="14" t="n">
        <x:v>2025</x:v>
      </x:c>
      <x:c r="U695" s="14" t="str">
        <x:v>Post-2021 casting excluded</x:v>
      </x:c>
      <x:c r="V695" s="14" t="str">
        <x:v>Earliest supplied year is 2025, later than the 2021 study year.</x:v>
      </x:c>
      <x:c r="W695" s="14"/>
      <x:c r="X695" s="14" t="str">
        <x:v>Included</x:v>
      </x:c>
      <x:c r="Y695" s="14"/>
      <x:c r="Z695" s="14" t="str">
        <x:v>Grace.docx</x:v>
      </x:c>
      <x:c r="AA695" s="14" t="str">
        <x:v>HYPERLINK is not implemented. linkLocation=https://www.imdb.com/title/tt11639300/fullcredits/, friendlyName=Open source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ITV / ITVX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7" t="e">
        <x:f>HYPERLINK("https://en.wikipedia.org/wiki/Grace","Open source")</x:f>
        <x:v>HYPERLINK is not implemented. linkLocation=https://en.wikipedia.org/wiki/Grace, friendlyName=Open source</x:v>
      </x:c>
      <x:c r="AN695" s="14" t="str">
        <x:v>No qualifying BBC relationship</x:v>
      </x:c>
      <x:c r="AO695" s="14" t="str">
        <x:v>No</x:v>
      </x:c>
      <x:c r="AP695" s="14" t="str">
        <x:v>Out of scope</x:v>
      </x:c>
      <x:c r="AQ695" s="14" t="str">
        <x:v>No</x:v>
      </x:c>
      <x:c r="AR695" s="14" t="str">
        <x:v>Resolved from master register</x:v>
      </x:c>
      <x:c r="AS695" s="14" t="str">
        <x:v>No established-register match</x:v>
      </x:c>
      <x:c r="AT695" s="14"/>
      <x:c r="AU695" s="14"/>
      <x:c r="AV695" s="14" t="str">
        <x:v>No established apparent-disability match</x:v>
      </x:c>
      <x:c r="AW695" s="14"/>
      <x:c r="AX695" s="14" t="str">
        <x:v>No</x:v>
      </x:c>
      <x:c r="AY695" s="14" t="str">
        <x:v>Unmatched</x:v>
      </x:c>
      <x:c r="AZ695" s="14" t="str">
        <x:v>Final supplied register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20</x:v>
      </x:c>
      <x:c r="BP695" s="14" t="str">
        <x:v>Maximum eligible IMDb cast-credit total (20), shared by 4 performer(s); not independently verified as a 2021-only episode total.</x:v>
      </x:c>
      <x:c r="BQ695" s="14" t="str">
        <x:v>Medium</x:v>
      </x:c>
      <x:c r="BR695" s="15" t="n">
        <x:v>1</x:v>
      </x:c>
      <x:c r="BS695" s="16" t="n">
        <x:v>0.05</x:v>
      </x:c>
      <x:c r="BT695" s="14" t="str">
        <x:v>One episode</x:v>
      </x:c>
      <x:c r="BU695" s="14" t="str">
        <x:v>Medium</x:v>
      </x:c>
      <x:c r="BV695" s="14" t="str">
        <x:v>Derived from supplied IMDb episode count and the documented production-total proxy.</x:v>
      </x:c>
      <x:c r="BW695" s="14" t="str">
        <x:v>Unable to determine</x:v>
      </x:c>
      <x:c r="BX695" s="14" t="str">
        <x:v>Supplied cast data establishes the credit and episode presence but does not establish narrative prominence.</x:v>
      </x:c>
      <x:c r="BY695" s="14" t="str">
        <x:v>Supplied IMDb cast-list workbook</x:v>
      </x:c>
      <x:c r="BZ695" s="14" t="str">
        <x:v>HYPERLINK is not implemented. linkLocation=https://www.imdb.com/title/tt11639300/fullcredits/, friendlyName=Open source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tt11639300|nm9217699|chloe o'sullivan</x:v>
      </x:c>
      <x:c r="B696" s="14" t="str">
        <x:v>02</x:v>
      </x:c>
      <x:c r="C696" s="14" t="str">
        <x:v>2021_IMDb_Cast_Lists_Batch_02(1).xlsx</x:v>
      </x:c>
      <x:c r="D696" s="14" t="str">
        <x:v>Grace</x:v>
      </x:c>
      <x:c r="E696" s="14" t="n">
        <x:v>233</x:v>
      </x:c>
      <x:c r="F696" s="14" t="str">
        <x:v>Grace</x:v>
      </x:c>
      <x:c r="G696" s="14" t="str">
        <x:v>tt11639300</x:v>
      </x:c>
      <x:c r="H696" s="14" t="n">
        <x:v>2021</x:v>
      </x:c>
      <x:c r="I696" s="14" t="n">
        <x:v>2025</x:v>
      </x:c>
      <x:c r="J696" s="14" t="str">
        <x:v>Earlier-Production Carry-In Cohort</x:v>
      </x:c>
      <x:c r="K696" s="14" t="n">
        <x:v>2021</x:v>
      </x:c>
      <x:c r="L696" s="14" t="str">
        <x:v>Available from 2021 analysis</x:v>
      </x:c>
      <x:c r="M696" s="15" t="n">
        <x:v>226</x:v>
      </x:c>
      <x:c r="N696" s="14" t="str">
        <x:v>Tazmyn-May Gebbett</x:v>
      </x:c>
      <x:c r="O696" s="14" t="str">
        <x:v>nm9217699</x:v>
      </x:c>
      <x:c r="P696" s="14" t="str">
        <x:v>Chloe O'Sullivan</x:v>
      </x:c>
      <x:c r="Q696" s="15" t="n">
        <x:v>1</x:v>
      </x:c>
      <x:c r="R696" s="14" t="str">
        <x:v>2025</x:v>
      </x:c>
      <x:c r="S696" s="14" t="n">
        <x:v>2025</x:v>
      </x:c>
      <x:c r="T696" s="14" t="n">
        <x:v>2025</x:v>
      </x:c>
      <x:c r="U696" s="14" t="str">
        <x:v>Post-2021 casting excluded</x:v>
      </x:c>
      <x:c r="V696" s="14" t="str">
        <x:v>Earliest supplied year is 2025, later than the 2021 study year.</x:v>
      </x:c>
      <x:c r="W696" s="14"/>
      <x:c r="X696" s="14" t="str">
        <x:v>Included</x:v>
      </x:c>
      <x:c r="Y696" s="14" t="str">
        <x:v>(as Tazmyn-Mei Gebbett)</x:v>
      </x:c>
      <x:c r="Z696" s="14" t="str">
        <x:v>Grace.docx</x:v>
      </x:c>
      <x:c r="AA696" s="14" t="str">
        <x:v>HYPERLINK is not implemented. linkLocation=https://www.imdb.com/title/tt11639300/fullcredits/, friendlyName=Open source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ITV / ITVX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7" t="e">
        <x:f>HYPERLINK("https://en.wikipedia.org/wiki/Grace","Open source")</x:f>
        <x:v>HYPERLINK is not implemented. linkLocation=https://en.wikipedia.org/wiki/Grace, friendlyName=Open source</x:v>
      </x:c>
      <x:c r="AN696" s="14" t="str">
        <x:v>No qualifying BBC relationship</x:v>
      </x:c>
      <x:c r="AO696" s="14" t="str">
        <x:v>No</x:v>
      </x:c>
      <x:c r="AP696" s="14" t="str">
        <x:v>Out of scope</x:v>
      </x:c>
      <x:c r="AQ696" s="14" t="str">
        <x:v>No</x:v>
      </x:c>
      <x:c r="AR696" s="14" t="str">
        <x:v>Resolved from master register</x:v>
      </x:c>
      <x:c r="AS696" s="14" t="str">
        <x:v>No established-register match</x:v>
      </x:c>
      <x:c r="AT696" s="14"/>
      <x:c r="AU696" s="14"/>
      <x:c r="AV696" s="14" t="str">
        <x:v>No established apparent-disability match</x:v>
      </x:c>
      <x:c r="AW696" s="14"/>
      <x:c r="AX696" s="14" t="str">
        <x:v>No</x:v>
      </x:c>
      <x:c r="AY696" s="14" t="str">
        <x:v>Unmatched</x:v>
      </x:c>
      <x:c r="AZ696" s="14" t="str">
        <x:v>Final supplied register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20</x:v>
      </x:c>
      <x:c r="BP696" s="14" t="str">
        <x:v>Maximum eligible IMDb cast-credit total (20), shared by 4 performer(s); not independently verified as a 2021-only episode total.</x:v>
      </x:c>
      <x:c r="BQ696" s="14" t="str">
        <x:v>Medium</x:v>
      </x:c>
      <x:c r="BR696" s="15" t="n">
        <x:v>1</x:v>
      </x:c>
      <x:c r="BS696" s="16" t="n">
        <x:v>0.05</x:v>
      </x:c>
      <x:c r="BT696" s="14" t="str">
        <x:v>One episode</x:v>
      </x:c>
      <x:c r="BU696" s="14" t="str">
        <x:v>Medium</x:v>
      </x:c>
      <x:c r="BV696" s="14" t="str">
        <x:v>Derived from supplied IMDb episode count and the documented production-total proxy.</x:v>
      </x:c>
      <x:c r="BW696" s="14" t="str">
        <x:v>Unable to determine</x:v>
      </x:c>
      <x:c r="BX696" s="14" t="str">
        <x:v>Supplied cast data establishes the credit and episode presence but does not establish narrative prominence.</x:v>
      </x:c>
      <x:c r="BY696" s="14" t="str">
        <x:v>Supplied IMDb cast-list workbook</x:v>
      </x:c>
      <x:c r="BZ696" s="14" t="str">
        <x:v>HYPERLINK is not implemented. linkLocation=https://www.imdb.com/title/tt11639300/fullcredits/, friendlyName=Open source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tt11639300|nm12992479|bobby</x:v>
      </x:c>
      <x:c r="B697" s="14" t="str">
        <x:v>02</x:v>
      </x:c>
      <x:c r="C697" s="14" t="str">
        <x:v>2021_IMDb_Cast_Lists_Batch_02(1).xlsx</x:v>
      </x:c>
      <x:c r="D697" s="14" t="str">
        <x:v>Grace</x:v>
      </x:c>
      <x:c r="E697" s="14" t="n">
        <x:v>234</x:v>
      </x:c>
      <x:c r="F697" s="14" t="str">
        <x:v>Grace</x:v>
      </x:c>
      <x:c r="G697" s="14" t="str">
        <x:v>tt11639300</x:v>
      </x:c>
      <x:c r="H697" s="14" t="n">
        <x:v>2021</x:v>
      </x:c>
      <x:c r="I697" s="14" t="n">
        <x:v>2025</x:v>
      </x:c>
      <x:c r="J697" s="14" t="str">
        <x:v>Earlier-Production Carry-In Cohort</x:v>
      </x:c>
      <x:c r="K697" s="14" t="n">
        <x:v>2021</x:v>
      </x:c>
      <x:c r="L697" s="14" t="str">
        <x:v>Available from 2021 analysis</x:v>
      </x:c>
      <x:c r="M697" s="15" t="n">
        <x:v>227</x:v>
      </x:c>
      <x:c r="N697" s="14" t="str">
        <x:v>Jessica Whitehurst</x:v>
      </x:c>
      <x:c r="O697" s="14" t="str">
        <x:v>nm12992479</x:v>
      </x:c>
      <x:c r="P697" s="14" t="str">
        <x:v>Bobby</x:v>
      </x:c>
      <x:c r="Q697" s="15" t="n">
        <x:v>1</x:v>
      </x:c>
      <x:c r="R697" s="14" t="str">
        <x:v>2025</x:v>
      </x:c>
      <x:c r="S697" s="14" t="n">
        <x:v>2025</x:v>
      </x:c>
      <x:c r="T697" s="14" t="n">
        <x:v>2025</x:v>
      </x:c>
      <x:c r="U697" s="14" t="str">
        <x:v>Post-2021 casting excluded</x:v>
      </x:c>
      <x:c r="V697" s="14" t="str">
        <x:v>Earliest supplied year is 2025, later than the 2021 study year.</x:v>
      </x:c>
      <x:c r="W697" s="14"/>
      <x:c r="X697" s="14" t="str">
        <x:v>Included</x:v>
      </x:c>
      <x:c r="Y697" s="14"/>
      <x:c r="Z697" s="14" t="str">
        <x:v>Grace.docx</x:v>
      </x:c>
      <x:c r="AA697" s="14" t="str">
        <x:v>HYPERLINK is not implemented. linkLocation=https://www.imdb.com/title/tt11639300/fullcredits/, friendlyName=Open source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ITV / ITVX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7" t="e">
        <x:f>HYPERLINK("https://en.wikipedia.org/wiki/Grace","Open source")</x:f>
        <x:v>HYPERLINK is not implemented. linkLocation=https://en.wikipedia.org/wiki/Grace, friendlyName=Open source</x:v>
      </x:c>
      <x:c r="AN697" s="14" t="str">
        <x:v>No qualifying BBC relationship</x:v>
      </x:c>
      <x:c r="AO697" s="14" t="str">
        <x:v>No</x:v>
      </x:c>
      <x:c r="AP697" s="14" t="str">
        <x:v>Out of scope</x:v>
      </x:c>
      <x:c r="AQ697" s="14" t="str">
        <x:v>No</x:v>
      </x:c>
      <x:c r="AR697" s="14" t="str">
        <x:v>Resolved from master register</x:v>
      </x:c>
      <x:c r="AS697" s="14" t="str">
        <x:v>No established-register match</x:v>
      </x:c>
      <x:c r="AT697" s="14"/>
      <x:c r="AU697" s="14"/>
      <x:c r="AV697" s="14" t="str">
        <x:v>No established apparent-disability match</x:v>
      </x:c>
      <x:c r="AW697" s="14"/>
      <x:c r="AX697" s="14" t="str">
        <x:v>No</x:v>
      </x:c>
      <x:c r="AY697" s="14" t="str">
        <x:v>Unmatched</x:v>
      </x:c>
      <x:c r="AZ697" s="14" t="str">
        <x:v>Final supplied register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20</x:v>
      </x:c>
      <x:c r="BP697" s="14" t="str">
        <x:v>Maximum eligible IMDb cast-credit total (20), shared by 4 performer(s); not independently verified as a 2021-only episode total.</x:v>
      </x:c>
      <x:c r="BQ697" s="14" t="str">
        <x:v>Medium</x:v>
      </x:c>
      <x:c r="BR697" s="15" t="n">
        <x:v>1</x:v>
      </x:c>
      <x:c r="BS697" s="16" t="n">
        <x:v>0.05</x:v>
      </x:c>
      <x:c r="BT697" s="14" t="str">
        <x:v>One episode</x:v>
      </x:c>
      <x:c r="BU697" s="14" t="str">
        <x:v>Medium</x:v>
      </x:c>
      <x:c r="BV697" s="14" t="str">
        <x:v>Derived from supplied IMDb episode count and the documented production-total proxy.</x:v>
      </x:c>
      <x:c r="BW697" s="14" t="str">
        <x:v>Unable to determine</x:v>
      </x:c>
      <x:c r="BX697" s="14" t="str">
        <x:v>Supplied cast data establishes the credit and episode presence but does not establish narrative prominence.</x:v>
      </x:c>
      <x:c r="BY697" s="14" t="str">
        <x:v>Supplied IMDb cast-list workbook</x:v>
      </x:c>
      <x:c r="BZ697" s="14" t="str">
        <x:v>HYPERLINK is not implemented. linkLocation=https://www.imdb.com/title/tt11639300/fullcredits/, friendlyName=Open source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tt11639300|nm8472159|lauren packham</x:v>
      </x:c>
      <x:c r="B698" s="14" t="str">
        <x:v>02</x:v>
      </x:c>
      <x:c r="C698" s="14" t="str">
        <x:v>2021_IMDb_Cast_Lists_Batch_02(1).xlsx</x:v>
      </x:c>
      <x:c r="D698" s="14" t="str">
        <x:v>Grace</x:v>
      </x:c>
      <x:c r="E698" s="14" t="n">
        <x:v>245</x:v>
      </x:c>
      <x:c r="F698" s="14" t="str">
        <x:v>Grace</x:v>
      </x:c>
      <x:c r="G698" s="14" t="str">
        <x:v>tt11639300</x:v>
      </x:c>
      <x:c r="H698" s="14" t="n">
        <x:v>2021</x:v>
      </x:c>
      <x:c r="I698" s="14" t="n">
        <x:v>2025</x:v>
      </x:c>
      <x:c r="J698" s="14" t="str">
        <x:v>Earlier-Production Carry-In Cohort</x:v>
      </x:c>
      <x:c r="K698" s="14" t="n">
        <x:v>2021</x:v>
      </x:c>
      <x:c r="L698" s="14" t="str">
        <x:v>Available from 2021 analysis</x:v>
      </x:c>
      <x:c r="M698" s="15" t="n">
        <x:v>238</x:v>
      </x:c>
      <x:c r="N698" s="14" t="str">
        <x:v>Loreece Harrison</x:v>
      </x:c>
      <x:c r="O698" s="14" t="str">
        <x:v>nm8472159</x:v>
      </x:c>
      <x:c r="P698" s="14" t="str">
        <x:v>Lauren Packham</x:v>
      </x:c>
      <x:c r="Q698" s="15" t="n">
        <x:v>1</x:v>
      </x:c>
      <x:c r="R698" s="14" t="str">
        <x:v>2025</x:v>
      </x:c>
      <x:c r="S698" s="14" t="n">
        <x:v>2025</x:v>
      </x:c>
      <x:c r="T698" s="14" t="n">
        <x:v>2025</x:v>
      </x:c>
      <x:c r="U698" s="14" t="str">
        <x:v>Post-2021 casting excluded</x:v>
      </x:c>
      <x:c r="V698" s="14" t="str">
        <x:v>Earliest supplied year is 2025, later than the 2021 study year.</x:v>
      </x:c>
      <x:c r="W698" s="14"/>
      <x:c r="X698" s="14" t="str">
        <x:v>Included</x:v>
      </x:c>
      <x:c r="Y698" s="14"/>
      <x:c r="Z698" s="14" t="str">
        <x:v>Grace.docx</x:v>
      </x:c>
      <x:c r="AA698" s="14" t="str">
        <x:v>HYPERLINK is not implemented. linkLocation=https://www.imdb.com/title/tt11639300/fullcredits/, friendlyName=Open source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ITV / ITVX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7" t="e">
        <x:f>HYPERLINK("https://en.wikipedia.org/wiki/Grace","Open source")</x:f>
        <x:v>HYPERLINK is not implemented. linkLocation=https://en.wikipedia.org/wiki/Grace, friendlyName=Open source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 t="str">
        <x:v>No established-register match</x:v>
      </x:c>
      <x:c r="AT698" s="14"/>
      <x:c r="AU698" s="14"/>
      <x:c r="AV698" s="14" t="str">
        <x:v>No established apparent-disability match</x:v>
      </x:c>
      <x:c r="AW698" s="14"/>
      <x:c r="AX698" s="14" t="str">
        <x:v>No</x:v>
      </x:c>
      <x:c r="AY698" s="14" t="str">
        <x:v>Unmatched</x:v>
      </x:c>
      <x:c r="AZ698" s="14" t="str">
        <x:v>Final supplied register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20</x:v>
      </x:c>
      <x:c r="BP698" s="14" t="str">
        <x:v>Maximum eligible IMDb cast-credit total (20), shared by 4 performer(s); not independently verified as a 2021-only episode total.</x:v>
      </x:c>
      <x:c r="BQ698" s="14" t="str">
        <x:v>Medium</x:v>
      </x:c>
      <x:c r="BR698" s="15" t="n">
        <x:v>1</x:v>
      </x:c>
      <x:c r="BS698" s="16" t="n">
        <x:v>0.05</x:v>
      </x:c>
      <x:c r="BT698" s="14" t="str">
        <x:v>One episode</x:v>
      </x:c>
      <x:c r="BU698" s="14" t="str">
        <x:v>Medium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4" t="str">
        <x:v>HYPERLINK is not implemented. linkLocation=https://www.imdb.com/title/tt11639300/fullcredits/, friendlyName=Open source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tt11639300|nm7224652|harold trout</x:v>
      </x:c>
      <x:c r="B699" s="14" t="str">
        <x:v>02</x:v>
      </x:c>
      <x:c r="C699" s="14" t="str">
        <x:v>2021_IMDb_Cast_Lists_Batch_02(1).xlsx</x:v>
      </x:c>
      <x:c r="D699" s="14" t="str">
        <x:v>Grace</x:v>
      </x:c>
      <x:c r="E699" s="14" t="n">
        <x:v>246</x:v>
      </x:c>
      <x:c r="F699" s="14" t="str">
        <x:v>Grace</x:v>
      </x:c>
      <x:c r="G699" s="14" t="str">
        <x:v>tt11639300</x:v>
      </x:c>
      <x:c r="H699" s="14" t="n">
        <x:v>2021</x:v>
      </x:c>
      <x:c r="I699" s="14" t="n">
        <x:v>2025</x:v>
      </x:c>
      <x:c r="J699" s="14" t="str">
        <x:v>Earlier-Production Carry-In Cohort</x:v>
      </x:c>
      <x:c r="K699" s="14" t="n">
        <x:v>2021</x:v>
      </x:c>
      <x:c r="L699" s="14" t="str">
        <x:v>Available from 2021 analysis</x:v>
      </x:c>
      <x:c r="M699" s="15" t="n">
        <x:v>239</x:v>
      </x:c>
      <x:c r="N699" s="14" t="str">
        <x:v>Bill Blackwood</x:v>
      </x:c>
      <x:c r="O699" s="14" t="str">
        <x:v>nm7224652</x:v>
      </x:c>
      <x:c r="P699" s="14" t="str">
        <x:v>Harold Trout</x:v>
      </x:c>
      <x:c r="Q699" s="15" t="n">
        <x:v>1</x:v>
      </x:c>
      <x:c r="R699" s="14" t="str">
        <x:v>2025</x:v>
      </x:c>
      <x:c r="S699" s="14" t="n">
        <x:v>2025</x:v>
      </x:c>
      <x:c r="T699" s="14" t="n">
        <x:v>2025</x:v>
      </x:c>
      <x:c r="U699" s="14" t="str">
        <x:v>Post-2021 casting excluded</x:v>
      </x:c>
      <x:c r="V699" s="14" t="str">
        <x:v>Earliest supplied year is 2025, later than the 2021 study year.</x:v>
      </x:c>
      <x:c r="W699" s="14"/>
      <x:c r="X699" s="14" t="str">
        <x:v>Included</x:v>
      </x:c>
      <x:c r="Y699" s="14"/>
      <x:c r="Z699" s="14" t="str">
        <x:v>Grace.docx</x:v>
      </x:c>
      <x:c r="AA699" s="14" t="str">
        <x:v>HYPERLINK is not implemented. linkLocation=https://www.imdb.com/title/tt11639300/fullcredits/, friendlyName=Open source</x:v>
      </x:c>
      <x:c r="AB699" s="14" t="str">
        <x:v>Existing established-register match</x:v>
      </x:c>
      <x:c r="AC699" s="14" t="str">
        <x:v>Physical disability</x:v>
      </x:c>
      <x:c r="AD699" s="14" t="str">
        <x:v>Existing register classification: Physical disability</x:v>
      </x:c>
      <x:c r="AE699" s="14" t="str">
        <x:v>Established_Disability_Category_Register V1.1.xlsx</x:v>
      </x:c>
      <x:c r="AF699" s="14"/>
      <x:c r="AG699" s="14" t="str">
        <x:v>Established user-supplied classification retained for deduplication; evidence was not re-researched in this batch.</x:v>
      </x:c>
      <x:c r="AH699" s="14" t="str">
        <x:v>ITV / ITVX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7" t="e">
        <x:f>HYPERLINK("https://en.wikipedia.org/wiki/Grace","Open source")</x:f>
        <x:v>HYPERLINK is not implemented. linkLocation=https://en.wikipedia.org/wiki/Grace, friendlyName=Open source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 t="str">
        <x:v>Exact IMDb performer ID match</x:v>
      </x:c>
      <x:c r="AT699" s="14" t="str">
        <x:v>nm7224652</x:v>
      </x:c>
      <x:c r="AU699" s="14" t="str">
        <x:v>Physical disability</x:v>
      </x:c>
      <x:c r="AV699" s="14" t="str">
        <x:v>Yes</x:v>
      </x:c>
      <x:c r="AW699" s="14" t="str">
        <x:v>Physical disability</x:v>
      </x:c>
      <x:c r="AX699" s="14" t="str">
        <x:v>No</x:v>
      </x:c>
      <x:c r="AY699" s="14" t="str">
        <x:v>Matched</x:v>
      </x:c>
      <x:c r="AZ699" s="14" t="str">
        <x:v>Final supplied register</x:v>
      </x:c>
      <x:c r="BA699" s="14"/>
      <x:c r="BB699" s="14" t="str">
        <x:v>Exact IMDb performer ID match</x:v>
      </x:c>
      <x:c r="BC699" s="14" t="str">
        <x:v>nm7224652</x:v>
      </x:c>
      <x:c r="BD699" s="14" t="str">
        <x:v>Bill Blackwood</x:v>
      </x:c>
      <x:c r="BE699" s="14" t="str">
        <x:v>Physical disability</x:v>
      </x:c>
      <x:c r="BF699" s="14" t="str">
        <x:v>Yes</x:v>
      </x:c>
      <x:c r="BG699" s="14" t="str">
        <x:v>Physical disability</x:v>
      </x:c>
      <x:c r="BH699" s="14" t="str">
        <x:v>No</x:v>
      </x:c>
      <x:c r="BI699" s="14" t="str">
        <x:v>User-supplied established classification</x:v>
      </x:c>
      <x:c r="BJ699" s="14" t="str">
        <x:v>04_Physical_disability.csv</x:v>
      </x:c>
      <x:c r="BK699" s="14"/>
      <x:c r="BL699" s="14" t="str">
        <x:v>Matched</x:v>
      </x:c>
      <x:c r="BM699" s="14" t="str">
        <x:v>Final supplied register</x:v>
      </x:c>
      <x:c r="BN699" s="14"/>
      <x:c r="BO699" s="14" t="n">
        <x:v>20</x:v>
      </x:c>
      <x:c r="BP699" s="14" t="str">
        <x:v>Maximum eligible IMDb cast-credit total (20), shared by 4 performer(s); not independently verified as a 2021-only episode total.</x:v>
      </x:c>
      <x:c r="BQ699" s="14" t="str">
        <x:v>Medium</x:v>
      </x:c>
      <x:c r="BR699" s="15" t="n">
        <x:v>1</x:v>
      </x:c>
      <x:c r="BS699" s="16" t="n">
        <x:v>0.05</x:v>
      </x:c>
      <x:c r="BT699" s="14" t="str">
        <x:v>One episode</x:v>
      </x:c>
      <x:c r="BU699" s="14" t="str">
        <x:v>Medium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4" t="str">
        <x:v>HYPERLINK is not implemented. linkLocation=https://www.imdb.com/title/tt11639300/fullcredits/, friendlyName=Open source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tt11639300|nm3456623|tom driver</x:v>
      </x:c>
      <x:c r="B700" s="14" t="str">
        <x:v>02</x:v>
      </x:c>
      <x:c r="C700" s="14" t="str">
        <x:v>2021_IMDb_Cast_Lists_Batch_02(1).xlsx</x:v>
      </x:c>
      <x:c r="D700" s="14" t="str">
        <x:v>Grace</x:v>
      </x:c>
      <x:c r="E700" s="14" t="n">
        <x:v>247</x:v>
      </x:c>
      <x:c r="F700" s="14" t="str">
        <x:v>Grace</x:v>
      </x:c>
      <x:c r="G700" s="14" t="str">
        <x:v>tt11639300</x:v>
      </x:c>
      <x:c r="H700" s="14" t="n">
        <x:v>2021</x:v>
      </x:c>
      <x:c r="I700" s="14" t="n">
        <x:v>2025</x:v>
      </x:c>
      <x:c r="J700" s="14" t="str">
        <x:v>Earlier-Production Carry-In Cohort</x:v>
      </x:c>
      <x:c r="K700" s="14" t="n">
        <x:v>2021</x:v>
      </x:c>
      <x:c r="L700" s="14" t="str">
        <x:v>Available from 2021 analysis</x:v>
      </x:c>
      <x:c r="M700" s="15" t="n">
        <x:v>240</x:v>
      </x:c>
      <x:c r="N700" s="14" t="str">
        <x:v>Hasan Dixon</x:v>
      </x:c>
      <x:c r="O700" s="14" t="str">
        <x:v>nm3456623</x:v>
      </x:c>
      <x:c r="P700" s="14" t="str">
        <x:v>Tom Driver</x:v>
      </x:c>
      <x:c r="Q700" s="15" t="n">
        <x:v>1</x:v>
      </x:c>
      <x:c r="R700" s="14" t="str">
        <x:v>2025</x:v>
      </x:c>
      <x:c r="S700" s="14" t="n">
        <x:v>2025</x:v>
      </x:c>
      <x:c r="T700" s="14" t="n">
        <x:v>2025</x:v>
      </x:c>
      <x:c r="U700" s="14" t="str">
        <x:v>Post-2021 casting excluded</x:v>
      </x:c>
      <x:c r="V700" s="14" t="str">
        <x:v>Earliest supplied year is 2025, later than the 2021 study year.</x:v>
      </x:c>
      <x:c r="W700" s="14"/>
      <x:c r="X700" s="14" t="str">
        <x:v>Included</x:v>
      </x:c>
      <x:c r="Y700" s="14"/>
      <x:c r="Z700" s="14" t="str">
        <x:v>Grace.docx</x:v>
      </x:c>
      <x:c r="AA700" s="14" t="str">
        <x:v>HYPERLINK is not implemented. linkLocation=https://www.imdb.com/title/tt11639300/fullcredits/, friendlyName=Open source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ITV / ITVX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7" t="e">
        <x:f>HYPERLINK("https://en.wikipedia.org/wiki/Grace","Open source")</x:f>
        <x:v>HYPERLINK is not implemented. linkLocation=https://en.wikipedia.org/wiki/Grace, friendlyName=Open source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 t="str">
        <x:v>No established-register match</x:v>
      </x:c>
      <x:c r="AT700" s="14"/>
      <x:c r="AU700" s="14"/>
      <x:c r="AV700" s="14" t="str">
        <x:v>No established apparent-disability match</x:v>
      </x:c>
      <x:c r="AW700" s="14"/>
      <x:c r="AX700" s="14" t="str">
        <x:v>No</x:v>
      </x:c>
      <x:c r="AY700" s="14" t="str">
        <x:v>Unmatched</x:v>
      </x:c>
      <x:c r="AZ700" s="14" t="str">
        <x:v>Final supplied register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20</x:v>
      </x:c>
      <x:c r="BP700" s="14" t="str">
        <x:v>Maximum eligible IMDb cast-credit total (20), shared by 4 performer(s); not independently verified as a 2021-only episode total.</x:v>
      </x:c>
      <x:c r="BQ700" s="14" t="str">
        <x:v>Medium</x:v>
      </x:c>
      <x:c r="BR700" s="15" t="n">
        <x:v>1</x:v>
      </x:c>
      <x:c r="BS700" s="16" t="n">
        <x:v>0.05</x:v>
      </x:c>
      <x:c r="BT700" s="14" t="str">
        <x:v>One episode</x:v>
      </x:c>
      <x:c r="BU700" s="14" t="str">
        <x:v>Medium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4" t="str">
        <x:v>HYPERLINK is not implemented. linkLocation=https://www.imdb.com/title/tt11639300/fullcredits/, friendlyName=Open source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tt11639300|nm4411162|hugo pink</x:v>
      </x:c>
      <x:c r="B701" s="14" t="str">
        <x:v>02</x:v>
      </x:c>
      <x:c r="C701" s="14" t="str">
        <x:v>2021_IMDb_Cast_Lists_Batch_02(1).xlsx</x:v>
      </x:c>
      <x:c r="D701" s="14" t="str">
        <x:v>Grace</x:v>
      </x:c>
      <x:c r="E701" s="14" t="n">
        <x:v>260</x:v>
      </x:c>
      <x:c r="F701" s="14" t="str">
        <x:v>Grace</x:v>
      </x:c>
      <x:c r="G701" s="14" t="str">
        <x:v>tt11639300</x:v>
      </x:c>
      <x:c r="H701" s="14" t="n">
        <x:v>2021</x:v>
      </x:c>
      <x:c r="I701" s="14" t="n">
        <x:v>2025</x:v>
      </x:c>
      <x:c r="J701" s="14" t="str">
        <x:v>Earlier-Production Carry-In Cohort</x:v>
      </x:c>
      <x:c r="K701" s="14" t="n">
        <x:v>2021</x:v>
      </x:c>
      <x:c r="L701" s="14" t="str">
        <x:v>Available from 2021 analysis</x:v>
      </x:c>
      <x:c r="M701" s="15" t="n">
        <x:v>253</x:v>
      </x:c>
      <x:c r="N701" s="14" t="str">
        <x:v>Danny Mac</x:v>
      </x:c>
      <x:c r="O701" s="14" t="str">
        <x:v>nm4411162</x:v>
      </x:c>
      <x:c r="P701" s="14" t="str">
        <x:v>Hugo Pink</x:v>
      </x:c>
      <x:c r="Q701" s="15" t="n">
        <x:v>1</x:v>
      </x:c>
      <x:c r="R701" s="14" t="str">
        <x:v>2025</x:v>
      </x:c>
      <x:c r="S701" s="14" t="n">
        <x:v>2025</x:v>
      </x:c>
      <x:c r="T701" s="14" t="n">
        <x:v>2025</x:v>
      </x:c>
      <x:c r="U701" s="14" t="str">
        <x:v>Post-2021 casting excluded</x:v>
      </x:c>
      <x:c r="V701" s="14" t="str">
        <x:v>Earliest supplied year is 2025, later than the 2021 study year.</x:v>
      </x:c>
      <x:c r="W701" s="14"/>
      <x:c r="X701" s="14" t="str">
        <x:v>Included</x:v>
      </x:c>
      <x:c r="Y701" s="14"/>
      <x:c r="Z701" s="14" t="str">
        <x:v>Grace.docx</x:v>
      </x:c>
      <x:c r="AA701" s="14" t="str">
        <x:v>HYPERLINK is not implemented. linkLocation=https://www.imdb.com/title/tt11639300/fullcredits/, friendlyName=Open source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ITV / ITVX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7" t="e">
        <x:f>HYPERLINK("https://en.wikipedia.org/wiki/Grace","Open source")</x:f>
        <x:v>HYPERLINK is not implemented. linkLocation=https://en.wikipedia.org/wiki/Grace, friendlyName=Open source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 t="str">
        <x:v>No established-register match</x:v>
      </x:c>
      <x:c r="AT701" s="14"/>
      <x:c r="AU701" s="14"/>
      <x:c r="AV701" s="14" t="str">
        <x:v>No established apparent-disability match</x:v>
      </x:c>
      <x:c r="AW701" s="14"/>
      <x:c r="AX701" s="14" t="str">
        <x:v>No</x:v>
      </x:c>
      <x:c r="AY701" s="14" t="str">
        <x:v>Unmatched</x:v>
      </x:c>
      <x:c r="AZ701" s="14" t="str">
        <x:v>Final supplied register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20</x:v>
      </x:c>
      <x:c r="BP701" s="14" t="str">
        <x:v>Maximum eligible IMDb cast-credit total (20), shared by 4 performer(s); not independently verified as a 2021-only episode total.</x:v>
      </x:c>
      <x:c r="BQ701" s="14" t="str">
        <x:v>Medium</x:v>
      </x:c>
      <x:c r="BR701" s="15" t="n">
        <x:v>1</x:v>
      </x:c>
      <x:c r="BS701" s="16" t="n">
        <x:v>0.05</x:v>
      </x:c>
      <x:c r="BT701" s="14" t="str">
        <x:v>One episode</x:v>
      </x:c>
      <x:c r="BU701" s="14" t="str">
        <x:v>Medium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4" t="str">
        <x:v>HYPERLINK is not implemented. linkLocation=https://www.imdb.com/title/tt11639300/fullcredits/, friendlyName=Open source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tt11639300|nm2929105|elena ludlow</x:v>
      </x:c>
      <x:c r="B702" s="14" t="str">
        <x:v>02</x:v>
      </x:c>
      <x:c r="C702" s="14" t="str">
        <x:v>2021_IMDb_Cast_Lists_Batch_02(1).xlsx</x:v>
      </x:c>
      <x:c r="D702" s="14" t="str">
        <x:v>Grace</x:v>
      </x:c>
      <x:c r="E702" s="14" t="n">
        <x:v>261</x:v>
      </x:c>
      <x:c r="F702" s="14" t="str">
        <x:v>Grace</x:v>
      </x:c>
      <x:c r="G702" s="14" t="str">
        <x:v>tt11639300</x:v>
      </x:c>
      <x:c r="H702" s="14" t="n">
        <x:v>2021</x:v>
      </x:c>
      <x:c r="I702" s="14" t="n">
        <x:v>2025</x:v>
      </x:c>
      <x:c r="J702" s="14" t="str">
        <x:v>Earlier-Production Carry-In Cohort</x:v>
      </x:c>
      <x:c r="K702" s="14" t="n">
        <x:v>2021</x:v>
      </x:c>
      <x:c r="L702" s="14" t="str">
        <x:v>Available from 2021 analysis</x:v>
      </x:c>
      <x:c r="M702" s="15" t="n">
        <x:v>254</x:v>
      </x:c>
      <x:c r="N702" s="14" t="str">
        <x:v>Kaisa Hammarlund</x:v>
      </x:c>
      <x:c r="O702" s="14" t="str">
        <x:v>nm2929105</x:v>
      </x:c>
      <x:c r="P702" s="14" t="str">
        <x:v>Elena Ludlow</x:v>
      </x:c>
      <x:c r="Q702" s="15" t="n">
        <x:v>1</x:v>
      </x:c>
      <x:c r="R702" s="14" t="str">
        <x:v>2025</x:v>
      </x:c>
      <x:c r="S702" s="14" t="n">
        <x:v>2025</x:v>
      </x:c>
      <x:c r="T702" s="14" t="n">
        <x:v>2025</x:v>
      </x:c>
      <x:c r="U702" s="14" t="str">
        <x:v>Post-2021 casting excluded</x:v>
      </x:c>
      <x:c r="V702" s="14" t="str">
        <x:v>Earliest supplied year is 2025, later than the 2021 study year.</x:v>
      </x:c>
      <x:c r="W702" s="14"/>
      <x:c r="X702" s="14" t="str">
        <x:v>Included</x:v>
      </x:c>
      <x:c r="Y702" s="14"/>
      <x:c r="Z702" s="14" t="str">
        <x:v>Grace.docx</x:v>
      </x:c>
      <x:c r="AA702" s="14" t="str">
        <x:v>HYPERLINK is not implemented. linkLocation=https://www.imdb.com/title/tt11639300/fullcredits/, friendlyName=Open source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ITV / ITVX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7" t="e">
        <x:f>HYPERLINK("https://en.wikipedia.org/wiki/Grace","Open source")</x:f>
        <x:v>HYPERLINK is not implemented. linkLocation=https://en.wikipedia.org/wiki/Grace, friendlyName=Open source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 t="str">
        <x:v>No established-register match</x:v>
      </x:c>
      <x:c r="AT702" s="14"/>
      <x:c r="AU702" s="14"/>
      <x:c r="AV702" s="14" t="str">
        <x:v>No established apparent-disability match</x:v>
      </x:c>
      <x:c r="AW702" s="14"/>
      <x:c r="AX702" s="14" t="str">
        <x:v>No</x:v>
      </x:c>
      <x:c r="AY702" s="14" t="str">
        <x:v>Unmatched</x:v>
      </x:c>
      <x:c r="AZ702" s="14" t="str">
        <x:v>Final supplied register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20</x:v>
      </x:c>
      <x:c r="BP702" s="14" t="str">
        <x:v>Maximum eligible IMDb cast-credit total (20), shared by 4 performer(s); not independently verified as a 2021-only episode total.</x:v>
      </x:c>
      <x:c r="BQ702" s="14" t="str">
        <x:v>Medium</x:v>
      </x:c>
      <x:c r="BR702" s="15" t="n">
        <x:v>1</x:v>
      </x:c>
      <x:c r="BS702" s="16" t="n">
        <x:v>0.05</x:v>
      </x:c>
      <x:c r="BT702" s="14" t="str">
        <x:v>One episode</x:v>
      </x:c>
      <x:c r="BU702" s="14" t="str">
        <x:v>Medium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4" t="str">
        <x:v>HYPERLINK is not implemented. linkLocation=https://www.imdb.com/title/tt11639300/fullcredits/, friendlyName=Open source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tt11639300|nm9962079|aisha</x:v>
      </x:c>
      <x:c r="B703" s="14" t="str">
        <x:v>02</x:v>
      </x:c>
      <x:c r="C703" s="14" t="str">
        <x:v>2021_IMDb_Cast_Lists_Batch_02(1).xlsx</x:v>
      </x:c>
      <x:c r="D703" s="14" t="str">
        <x:v>Grace</x:v>
      </x:c>
      <x:c r="E703" s="14" t="n">
        <x:v>262</x:v>
      </x:c>
      <x:c r="F703" s="14" t="str">
        <x:v>Grace</x:v>
      </x:c>
      <x:c r="G703" s="14" t="str">
        <x:v>tt11639300</x:v>
      </x:c>
      <x:c r="H703" s="14" t="n">
        <x:v>2021</x:v>
      </x:c>
      <x:c r="I703" s="14" t="n">
        <x:v>2025</x:v>
      </x:c>
      <x:c r="J703" s="14" t="str">
        <x:v>Earlier-Production Carry-In Cohort</x:v>
      </x:c>
      <x:c r="K703" s="14" t="n">
        <x:v>2021</x:v>
      </x:c>
      <x:c r="L703" s="14" t="str">
        <x:v>Available from 2021 analysis</x:v>
      </x:c>
      <x:c r="M703" s="15" t="n">
        <x:v>255</x:v>
      </x:c>
      <x:c r="N703" s="14" t="str">
        <x:v>Briony Scarlett</x:v>
      </x:c>
      <x:c r="O703" s="14" t="str">
        <x:v>nm9962079</x:v>
      </x:c>
      <x:c r="P703" s="14" t="str">
        <x:v>Aisha</x:v>
      </x:c>
      <x:c r="Q703" s="15" t="n">
        <x:v>1</x:v>
      </x:c>
      <x:c r="R703" s="14" t="str">
        <x:v>2025</x:v>
      </x:c>
      <x:c r="S703" s="14" t="n">
        <x:v>2025</x:v>
      </x:c>
      <x:c r="T703" s="14" t="n">
        <x:v>2025</x:v>
      </x:c>
      <x:c r="U703" s="14" t="str">
        <x:v>Post-2021 casting excluded</x:v>
      </x:c>
      <x:c r="V703" s="14" t="str">
        <x:v>Earliest supplied year is 2025, later than the 2021 study year.</x:v>
      </x:c>
      <x:c r="W703" s="14"/>
      <x:c r="X703" s="14" t="str">
        <x:v>Included</x:v>
      </x:c>
      <x:c r="Y703" s="14"/>
      <x:c r="Z703" s="14" t="str">
        <x:v>Grace.docx</x:v>
      </x:c>
      <x:c r="AA703" s="14" t="str">
        <x:v>HYPERLINK is not implemented. linkLocation=https://www.imdb.com/title/tt11639300/fullcredits/, friendlyName=Open source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ITV / ITVX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7" t="e">
        <x:f>HYPERLINK("https://en.wikipedia.org/wiki/Grace","Open source")</x:f>
        <x:v>HYPERLINK is not implemented. linkLocation=https://en.wikipedia.org/wiki/Grace, friendlyName=Open source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 t="str">
        <x:v>No established-register match</x:v>
      </x:c>
      <x:c r="AT703" s="14"/>
      <x:c r="AU703" s="14"/>
      <x:c r="AV703" s="14" t="str">
        <x:v>No established apparent-disability match</x:v>
      </x:c>
      <x:c r="AW703" s="14"/>
      <x:c r="AX703" s="14" t="str">
        <x:v>No</x:v>
      </x:c>
      <x:c r="AY703" s="14" t="str">
        <x:v>Unmatched</x:v>
      </x:c>
      <x:c r="AZ703" s="14" t="str">
        <x:v>Final supplied register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20</x:v>
      </x:c>
      <x:c r="BP703" s="14" t="str">
        <x:v>Maximum eligible IMDb cast-credit total (20), shared by 4 performer(s); not independently verified as a 2021-only episode total.</x:v>
      </x:c>
      <x:c r="BQ703" s="14" t="str">
        <x:v>Medium</x:v>
      </x:c>
      <x:c r="BR703" s="15" t="n">
        <x:v>1</x:v>
      </x:c>
      <x:c r="BS703" s="16" t="n">
        <x:v>0.05</x:v>
      </x:c>
      <x:c r="BT703" s="14" t="str">
        <x:v>One episode</x:v>
      </x:c>
      <x:c r="BU703" s="14" t="str">
        <x:v>Medium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4" t="str">
        <x:v>HYPERLINK is not implemented. linkLocation=https://www.imdb.com/title/tt11639300/fullcredits/, friendlyName=Open source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tt11639300|nm13794517|ava packham</x:v>
      </x:c>
      <x:c r="B704" s="14" t="str">
        <x:v>02</x:v>
      </x:c>
      <x:c r="C704" s="14" t="str">
        <x:v>2021_IMDb_Cast_Lists_Batch_02(1).xlsx</x:v>
      </x:c>
      <x:c r="D704" s="14" t="str">
        <x:v>Grace</x:v>
      </x:c>
      <x:c r="E704" s="14" t="n">
        <x:v>263</x:v>
      </x:c>
      <x:c r="F704" s="14" t="str">
        <x:v>Grace</x:v>
      </x:c>
      <x:c r="G704" s="14" t="str">
        <x:v>tt11639300</x:v>
      </x:c>
      <x:c r="H704" s="14" t="n">
        <x:v>2021</x:v>
      </x:c>
      <x:c r="I704" s="14" t="n">
        <x:v>2025</x:v>
      </x:c>
      <x:c r="J704" s="14" t="str">
        <x:v>Earlier-Production Carry-In Cohort</x:v>
      </x:c>
      <x:c r="K704" s="14" t="n">
        <x:v>2021</x:v>
      </x:c>
      <x:c r="L704" s="14" t="str">
        <x:v>Available from 2021 analysis</x:v>
      </x:c>
      <x:c r="M704" s="15" t="n">
        <x:v>256</x:v>
      </x:c>
      <x:c r="N704" s="14" t="str">
        <x:v>Luna Blue Delandro-Abraham</x:v>
      </x:c>
      <x:c r="O704" s="14" t="str">
        <x:v>nm13794517</x:v>
      </x:c>
      <x:c r="P704" s="14" t="str">
        <x:v>Ava Packham</x:v>
      </x:c>
      <x:c r="Q704" s="15" t="n">
        <x:v>1</x:v>
      </x:c>
      <x:c r="R704" s="14" t="str">
        <x:v>2025</x:v>
      </x:c>
      <x:c r="S704" s="14" t="n">
        <x:v>2025</x:v>
      </x:c>
      <x:c r="T704" s="14" t="n">
        <x:v>2025</x:v>
      </x:c>
      <x:c r="U704" s="14" t="str">
        <x:v>Post-2021 casting excluded</x:v>
      </x:c>
      <x:c r="V704" s="14" t="str">
        <x:v>Earliest supplied year is 2025, later than the 2021 study year.</x:v>
      </x:c>
      <x:c r="W704" s="14"/>
      <x:c r="X704" s="14" t="str">
        <x:v>Included</x:v>
      </x:c>
      <x:c r="Y704" s="14"/>
      <x:c r="Z704" s="14" t="str">
        <x:v>Grace.docx</x:v>
      </x:c>
      <x:c r="AA704" s="14" t="str">
        <x:v>HYPERLINK is not implemented. linkLocation=https://www.imdb.com/title/tt11639300/fullcredits/, friendlyName=Open source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ITV / ITVX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7" t="e">
        <x:f>HYPERLINK("https://en.wikipedia.org/wiki/Grace","Open source")</x:f>
        <x:v>HYPERLINK is not implemented. linkLocation=https://en.wikipedia.org/wiki/Grace, friendlyName=Open source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 t="str">
        <x:v>No established-register match</x:v>
      </x:c>
      <x:c r="AT704" s="14"/>
      <x:c r="AU704" s="14"/>
      <x:c r="AV704" s="14" t="str">
        <x:v>No established apparent-disability match</x:v>
      </x:c>
      <x:c r="AW704" s="14"/>
      <x:c r="AX704" s="14" t="str">
        <x:v>No</x:v>
      </x:c>
      <x:c r="AY704" s="14" t="str">
        <x:v>Unmatched</x:v>
      </x:c>
      <x:c r="AZ704" s="14" t="str">
        <x:v>Final supplied register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20</x:v>
      </x:c>
      <x:c r="BP704" s="14" t="str">
        <x:v>Maximum eligible IMDb cast-credit total (20), shared by 4 performer(s); not independently verified as a 2021-only episode total.</x:v>
      </x:c>
      <x:c r="BQ704" s="14" t="str">
        <x:v>Medium</x:v>
      </x:c>
      <x:c r="BR704" s="15" t="n">
        <x:v>1</x:v>
      </x:c>
      <x:c r="BS704" s="16" t="n">
        <x:v>0.05</x:v>
      </x:c>
      <x:c r="BT704" s="14" t="str">
        <x:v>One episode</x:v>
      </x:c>
      <x:c r="BU704" s="14" t="str">
        <x:v>Medium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4" t="str">
        <x:v>HYPERLINK is not implemented. linkLocation=https://www.imdb.com/title/tt11639300/fullcredits/, friendlyName=Open source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tt11639300|nm4024520|sam fordwater</x:v>
      </x:c>
      <x:c r="B705" s="14" t="str">
        <x:v>02</x:v>
      </x:c>
      <x:c r="C705" s="14" t="str">
        <x:v>2021_IMDb_Cast_Lists_Batch_02(1).xlsx</x:v>
      </x:c>
      <x:c r="D705" s="14" t="str">
        <x:v>Grace</x:v>
      </x:c>
      <x:c r="E705" s="14" t="n">
        <x:v>276</x:v>
      </x:c>
      <x:c r="F705" s="14" t="str">
        <x:v>Grace</x:v>
      </x:c>
      <x:c r="G705" s="14" t="str">
        <x:v>tt11639300</x:v>
      </x:c>
      <x:c r="H705" s="14" t="n">
        <x:v>2021</x:v>
      </x:c>
      <x:c r="I705" s="14" t="n">
        <x:v>2025</x:v>
      </x:c>
      <x:c r="J705" s="14" t="str">
        <x:v>Earlier-Production Carry-In Cohort</x:v>
      </x:c>
      <x:c r="K705" s="14" t="n">
        <x:v>2021</x:v>
      </x:c>
      <x:c r="L705" s="14" t="str">
        <x:v>Available from 2021 analysis</x:v>
      </x:c>
      <x:c r="M705" s="15" t="n">
        <x:v>269</x:v>
      </x:c>
      <x:c r="N705" s="14" t="str">
        <x:v>Holli Dempsey</x:v>
      </x:c>
      <x:c r="O705" s="14" t="str">
        <x:v>nm4024520</x:v>
      </x:c>
      <x:c r="P705" s="14" t="str">
        <x:v>Sam Fordwater</x:v>
      </x:c>
      <x:c r="Q705" s="15" t="n">
        <x:v>1</x:v>
      </x:c>
      <x:c r="R705" s="14" t="str">
        <x:v>2025</x:v>
      </x:c>
      <x:c r="S705" s="14" t="n">
        <x:v>2025</x:v>
      </x:c>
      <x:c r="T705" s="14" t="n">
        <x:v>2025</x:v>
      </x:c>
      <x:c r="U705" s="14" t="str">
        <x:v>Post-2021 casting excluded</x:v>
      </x:c>
      <x:c r="V705" s="14" t="str">
        <x:v>Earliest supplied year is 2025, later than the 2021 study year.</x:v>
      </x:c>
      <x:c r="W705" s="14"/>
      <x:c r="X705" s="14" t="str">
        <x:v>Included</x:v>
      </x:c>
      <x:c r="Y705" s="14"/>
      <x:c r="Z705" s="14" t="str">
        <x:v>Grace.docx</x:v>
      </x:c>
      <x:c r="AA705" s="14" t="str">
        <x:v>HYPERLINK is not implemented. linkLocation=https://www.imdb.com/title/tt11639300/fullcredits/, friendlyName=Open source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ITV / ITVX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7" t="e">
        <x:f>HYPERLINK("https://en.wikipedia.org/wiki/Grace","Open source")</x:f>
        <x:v>HYPERLINK is not implemented. linkLocation=https://en.wikipedia.org/wiki/Grace, friendlyName=Open source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 t="str">
        <x:v>No established-register match</x:v>
      </x:c>
      <x:c r="AT705" s="14"/>
      <x:c r="AU705" s="14"/>
      <x:c r="AV705" s="14" t="str">
        <x:v>No established apparent-disability match</x:v>
      </x:c>
      <x:c r="AW705" s="14"/>
      <x:c r="AX705" s="14" t="str">
        <x:v>No</x:v>
      </x:c>
      <x:c r="AY705" s="14" t="str">
        <x:v>Unmatched</x:v>
      </x:c>
      <x:c r="AZ705" s="14" t="str">
        <x:v>Final supplied register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20</x:v>
      </x:c>
      <x:c r="BP705" s="14" t="str">
        <x:v>Maximum eligible IMDb cast-credit total (20), shared by 4 performer(s); not independently verified as a 2021-only episode total.</x:v>
      </x:c>
      <x:c r="BQ705" s="14" t="str">
        <x:v>Medium</x:v>
      </x:c>
      <x:c r="BR705" s="15" t="n">
        <x:v>1</x:v>
      </x:c>
      <x:c r="BS705" s="16" t="n">
        <x:v>0.05</x:v>
      </x:c>
      <x:c r="BT705" s="14" t="str">
        <x:v>One episode</x:v>
      </x:c>
      <x:c r="BU705" s="14" t="str">
        <x:v>Medium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4" t="str">
        <x:v>HYPERLINK is not implemented. linkLocation=https://www.imdb.com/title/tt11639300/fullcredits/, friendlyName=Open source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tt11639300|nm0227681|joseph ludlow</x:v>
      </x:c>
      <x:c r="B706" s="14" t="str">
        <x:v>02</x:v>
      </x:c>
      <x:c r="C706" s="14" t="str">
        <x:v>2021_IMDb_Cast_Lists_Batch_02(1).xlsx</x:v>
      </x:c>
      <x:c r="D706" s="14" t="str">
        <x:v>Grace</x:v>
      </x:c>
      <x:c r="E706" s="14" t="n">
        <x:v>277</x:v>
      </x:c>
      <x:c r="F706" s="14" t="str">
        <x:v>Grace</x:v>
      </x:c>
      <x:c r="G706" s="14" t="str">
        <x:v>tt11639300</x:v>
      </x:c>
      <x:c r="H706" s="14" t="n">
        <x:v>2021</x:v>
      </x:c>
      <x:c r="I706" s="14" t="n">
        <x:v>2025</x:v>
      </x:c>
      <x:c r="J706" s="14" t="str">
        <x:v>Earlier-Production Carry-In Cohort</x:v>
      </x:c>
      <x:c r="K706" s="14" t="n">
        <x:v>2021</x:v>
      </x:c>
      <x:c r="L706" s="14" t="str">
        <x:v>Available from 2021 analysis</x:v>
      </x:c>
      <x:c r="M706" s="15" t="n">
        <x:v>270</x:v>
      </x:c>
      <x:c r="N706" s="14" t="str">
        <x:v>Shaun Dingwall</x:v>
      </x:c>
      <x:c r="O706" s="14" t="str">
        <x:v>nm0227681</x:v>
      </x:c>
      <x:c r="P706" s="14" t="str">
        <x:v>Joseph Ludlow</x:v>
      </x:c>
      <x:c r="Q706" s="15" t="n">
        <x:v>1</x:v>
      </x:c>
      <x:c r="R706" s="14" t="str">
        <x:v>2025</x:v>
      </x:c>
      <x:c r="S706" s="14" t="n">
        <x:v>2025</x:v>
      </x:c>
      <x:c r="T706" s="14" t="n">
        <x:v>2025</x:v>
      </x:c>
      <x:c r="U706" s="14" t="str">
        <x:v>Post-2021 casting excluded</x:v>
      </x:c>
      <x:c r="V706" s="14" t="str">
        <x:v>Earliest supplied year is 2025, later than the 2021 study year.</x:v>
      </x:c>
      <x:c r="W706" s="14"/>
      <x:c r="X706" s="14" t="str">
        <x:v>Included</x:v>
      </x:c>
      <x:c r="Y706" s="14"/>
      <x:c r="Z706" s="14" t="str">
        <x:v>Grace.docx</x:v>
      </x:c>
      <x:c r="AA706" s="14" t="str">
        <x:v>HYPERLINK is not implemented. linkLocation=https://www.imdb.com/title/tt11639300/fullcredits/, friendlyName=Open source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ITV / ITVX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7" t="e">
        <x:f>HYPERLINK("https://en.wikipedia.org/wiki/Grace","Open source")</x:f>
        <x:v>HYPERLINK is not implemented. linkLocation=https://en.wikipedia.org/wiki/Grace, friendlyName=Open source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 t="str">
        <x:v>No established-register match</x:v>
      </x:c>
      <x:c r="AT706" s="14"/>
      <x:c r="AU706" s="14"/>
      <x:c r="AV706" s="14" t="str">
        <x:v>No established apparent-disability match</x:v>
      </x:c>
      <x:c r="AW706" s="14"/>
      <x:c r="AX706" s="14" t="str">
        <x:v>No</x:v>
      </x:c>
      <x:c r="AY706" s="14" t="str">
        <x:v>Unmatched</x:v>
      </x:c>
      <x:c r="AZ706" s="14" t="str">
        <x:v>Final supplied register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20</x:v>
      </x:c>
      <x:c r="BP706" s="14" t="str">
        <x:v>Maximum eligible IMDb cast-credit total (20), shared by 4 performer(s); not independently verified as a 2021-only episode total.</x:v>
      </x:c>
      <x:c r="BQ706" s="14" t="str">
        <x:v>Medium</x:v>
      </x:c>
      <x:c r="BR706" s="15" t="n">
        <x:v>1</x:v>
      </x:c>
      <x:c r="BS706" s="16" t="n">
        <x:v>0.05</x:v>
      </x:c>
      <x:c r="BT706" s="14" t="str">
        <x:v>One episode</x:v>
      </x:c>
      <x:c r="BU706" s="14" t="str">
        <x:v>Medium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4" t="str">
        <x:v>HYPERLINK is not implemented. linkLocation=https://www.imdb.com/title/tt11639300/fullcredits/, friendlyName=Open source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tt11639300|nm0545324|margaret packham</x:v>
      </x:c>
      <x:c r="B707" s="14" t="str">
        <x:v>02</x:v>
      </x:c>
      <x:c r="C707" s="14" t="str">
        <x:v>2021_IMDb_Cast_Lists_Batch_02(1).xlsx</x:v>
      </x:c>
      <x:c r="D707" s="14" t="str">
        <x:v>Grace</x:v>
      </x:c>
      <x:c r="E707" s="14" t="n">
        <x:v>278</x:v>
      </x:c>
      <x:c r="F707" s="14" t="str">
        <x:v>Grace</x:v>
      </x:c>
      <x:c r="G707" s="14" t="str">
        <x:v>tt11639300</x:v>
      </x:c>
      <x:c r="H707" s="14" t="n">
        <x:v>2021</x:v>
      </x:c>
      <x:c r="I707" s="14" t="n">
        <x:v>2025</x:v>
      </x:c>
      <x:c r="J707" s="14" t="str">
        <x:v>Earlier-Production Carry-In Cohort</x:v>
      </x:c>
      <x:c r="K707" s="14" t="n">
        <x:v>2021</x:v>
      </x:c>
      <x:c r="L707" s="14" t="str">
        <x:v>Available from 2021 analysis</x:v>
      </x:c>
      <x:c r="M707" s="15" t="n">
        <x:v>271</x:v>
      </x:c>
      <x:c r="N707" s="14" t="str">
        <x:v>Nimmy March</x:v>
      </x:c>
      <x:c r="O707" s="14" t="str">
        <x:v>nm0545324</x:v>
      </x:c>
      <x:c r="P707" s="14" t="str">
        <x:v>Margaret Packham</x:v>
      </x:c>
      <x:c r="Q707" s="15" t="n">
        <x:v>1</x:v>
      </x:c>
      <x:c r="R707" s="14" t="str">
        <x:v>2025</x:v>
      </x:c>
      <x:c r="S707" s="14" t="n">
        <x:v>2025</x:v>
      </x:c>
      <x:c r="T707" s="14" t="n">
        <x:v>2025</x:v>
      </x:c>
      <x:c r="U707" s="14" t="str">
        <x:v>Post-2021 casting excluded</x:v>
      </x:c>
      <x:c r="V707" s="14" t="str">
        <x:v>Earliest supplied year is 2025, later than the 2021 study year.</x:v>
      </x:c>
      <x:c r="W707" s="14"/>
      <x:c r="X707" s="14" t="str">
        <x:v>Included</x:v>
      </x:c>
      <x:c r="Y707" s="14"/>
      <x:c r="Z707" s="14" t="str">
        <x:v>Grace.docx</x:v>
      </x:c>
      <x:c r="AA707" s="14" t="str">
        <x:v>HYPERLINK is not implemented. linkLocation=https://www.imdb.com/title/tt11639300/fullcredits/, friendlyName=Open source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ITV / ITVX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7" t="e">
        <x:f>HYPERLINK("https://en.wikipedia.org/wiki/Grace","Open source")</x:f>
        <x:v>HYPERLINK is not implemented. linkLocation=https://en.wikipedia.org/wiki/Grace, friendlyName=Open source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 t="str">
        <x:v>No established-register match</x:v>
      </x:c>
      <x:c r="AT707" s="14"/>
      <x:c r="AU707" s="14"/>
      <x:c r="AV707" s="14" t="str">
        <x:v>No established apparent-disability match</x:v>
      </x:c>
      <x:c r="AW707" s="14"/>
      <x:c r="AX707" s="14" t="str">
        <x:v>No</x:v>
      </x:c>
      <x:c r="AY707" s="14" t="str">
        <x:v>Unmatched</x:v>
      </x:c>
      <x:c r="AZ707" s="14" t="str">
        <x:v>Final supplied register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20</x:v>
      </x:c>
      <x:c r="BP707" s="14" t="str">
        <x:v>Maximum eligible IMDb cast-credit total (20), shared by 4 performer(s); not independently verified as a 2021-only episode total.</x:v>
      </x:c>
      <x:c r="BQ707" s="14" t="str">
        <x:v>Medium</x:v>
      </x:c>
      <x:c r="BR707" s="15" t="n">
        <x:v>1</x:v>
      </x:c>
      <x:c r="BS707" s="16" t="n">
        <x:v>0.05</x:v>
      </x:c>
      <x:c r="BT707" s="14" t="str">
        <x:v>One episode</x:v>
      </x:c>
      <x:c r="BU707" s="14" t="str">
        <x:v>Medium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4" t="str">
        <x:v>HYPERLINK is not implemented. linkLocation=https://www.imdb.com/title/tt11639300/fullcredits/, friendlyName=Open source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tt11639300|nm1646345|johnny fordwater</x:v>
      </x:c>
      <x:c r="B708" s="14" t="str">
        <x:v>02</x:v>
      </x:c>
      <x:c r="C708" s="14" t="str">
        <x:v>2021_IMDb_Cast_Lists_Batch_02(1).xlsx</x:v>
      </x:c>
      <x:c r="D708" s="14" t="str">
        <x:v>Grace</x:v>
      </x:c>
      <x:c r="E708" s="14" t="n">
        <x:v>288</x:v>
      </x:c>
      <x:c r="F708" s="14" t="str">
        <x:v>Grace</x:v>
      </x:c>
      <x:c r="G708" s="14" t="str">
        <x:v>tt11639300</x:v>
      </x:c>
      <x:c r="H708" s="14" t="n">
        <x:v>2021</x:v>
      </x:c>
      <x:c r="I708" s="14" t="n">
        <x:v>2025</x:v>
      </x:c>
      <x:c r="J708" s="14" t="str">
        <x:v>Earlier-Production Carry-In Cohort</x:v>
      </x:c>
      <x:c r="K708" s="14" t="n">
        <x:v>2021</x:v>
      </x:c>
      <x:c r="L708" s="14" t="str">
        <x:v>Available from 2021 analysis</x:v>
      </x:c>
      <x:c r="M708" s="15" t="n">
        <x:v>281</x:v>
      </x:c>
      <x:c r="N708" s="14" t="str">
        <x:v>Mark Noble</x:v>
      </x:c>
      <x:c r="O708" s="14" t="str">
        <x:v>nm1646345</x:v>
      </x:c>
      <x:c r="P708" s="14" t="str">
        <x:v>Johnny Fordwater</x:v>
      </x:c>
      <x:c r="Q708" s="15" t="n">
        <x:v>1</x:v>
      </x:c>
      <x:c r="R708" s="14" t="str">
        <x:v>2025</x:v>
      </x:c>
      <x:c r="S708" s="14" t="n">
        <x:v>2025</x:v>
      </x:c>
      <x:c r="T708" s="14" t="n">
        <x:v>2025</x:v>
      </x:c>
      <x:c r="U708" s="14" t="str">
        <x:v>Post-2021 casting excluded</x:v>
      </x:c>
      <x:c r="V708" s="14" t="str">
        <x:v>Earliest supplied year is 2025, later than the 2021 study year.</x:v>
      </x:c>
      <x:c r="W708" s="14"/>
      <x:c r="X708" s="14" t="str">
        <x:v>Included</x:v>
      </x:c>
      <x:c r="Y708" s="14"/>
      <x:c r="Z708" s="14" t="str">
        <x:v>Grace.docx</x:v>
      </x:c>
      <x:c r="AA708" s="14" t="str">
        <x:v>HYPERLINK is not implemented. linkLocation=https://www.imdb.com/title/tt11639300/fullcredits/, friendlyName=Open source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ITV / ITVX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7" t="e">
        <x:f>HYPERLINK("https://en.wikipedia.org/wiki/Grace","Open source")</x:f>
        <x:v>HYPERLINK is not implemented. linkLocation=https://en.wikipedia.org/wiki/Grace, friendlyName=Open source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 t="str">
        <x:v>No established-register match</x:v>
      </x:c>
      <x:c r="AT708" s="14"/>
      <x:c r="AU708" s="14"/>
      <x:c r="AV708" s="14" t="str">
        <x:v>No established apparent-disability match</x:v>
      </x:c>
      <x:c r="AW708" s="14"/>
      <x:c r="AX708" s="14" t="str">
        <x:v>No</x:v>
      </x:c>
      <x:c r="AY708" s="14" t="str">
        <x:v>Unmatched</x:v>
      </x:c>
      <x:c r="AZ708" s="14" t="str">
        <x:v>Final supplied register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20</x:v>
      </x:c>
      <x:c r="BP708" s="14" t="str">
        <x:v>Maximum eligible IMDb cast-credit total (20), shared by 4 performer(s); not independently verified as a 2021-only episode total.</x:v>
      </x:c>
      <x:c r="BQ708" s="14" t="str">
        <x:v>Medium</x:v>
      </x:c>
      <x:c r="BR708" s="15" t="n">
        <x:v>1</x:v>
      </x:c>
      <x:c r="BS708" s="16" t="n">
        <x:v>0.05</x:v>
      </x:c>
      <x:c r="BT708" s="14" t="str">
        <x:v>One episode</x:v>
      </x:c>
      <x:c r="BU708" s="14" t="str">
        <x:v>Medium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4" t="str">
        <x:v>HYPERLINK is not implemented. linkLocation=https://www.imdb.com/title/tt11639300/fullcredits/, friendlyName=Open source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tt11639300|nm3618494|woman in van</x:v>
      </x:c>
      <x:c r="B709" s="14" t="str">
        <x:v>02</x:v>
      </x:c>
      <x:c r="C709" s="14" t="str">
        <x:v>2021_IMDb_Cast_Lists_Batch_02(1).xlsx</x:v>
      </x:c>
      <x:c r="D709" s="14" t="str">
        <x:v>Grace</x:v>
      </x:c>
      <x:c r="E709" s="14" t="n">
        <x:v>289</x:v>
      </x:c>
      <x:c r="F709" s="14" t="str">
        <x:v>Grace</x:v>
      </x:c>
      <x:c r="G709" s="14" t="str">
        <x:v>tt11639300</x:v>
      </x:c>
      <x:c r="H709" s="14" t="n">
        <x:v>2021</x:v>
      </x:c>
      <x:c r="I709" s="14" t="n">
        <x:v>2025</x:v>
      </x:c>
      <x:c r="J709" s="14" t="str">
        <x:v>Earlier-Production Carry-In Cohort</x:v>
      </x:c>
      <x:c r="K709" s="14" t="n">
        <x:v>2021</x:v>
      </x:c>
      <x:c r="L709" s="14" t="str">
        <x:v>Available from 2021 analysis</x:v>
      </x:c>
      <x:c r="M709" s="15" t="n">
        <x:v>282</x:v>
      </x:c>
      <x:c r="N709" s="14" t="str">
        <x:v>Rebecca Crankshaw</x:v>
      </x:c>
      <x:c r="O709" s="14" t="str">
        <x:v>nm3618494</x:v>
      </x:c>
      <x:c r="P709" s="14" t="str">
        <x:v>Woman in Van</x:v>
      </x:c>
      <x:c r="Q709" s="15" t="n">
        <x:v>1</x:v>
      </x:c>
      <x:c r="R709" s="14" t="str">
        <x:v>2025</x:v>
      </x:c>
      <x:c r="S709" s="14" t="n">
        <x:v>2025</x:v>
      </x:c>
      <x:c r="T709" s="14" t="n">
        <x:v>2025</x:v>
      </x:c>
      <x:c r="U709" s="14" t="str">
        <x:v>Post-2021 casting excluded</x:v>
      </x:c>
      <x:c r="V709" s="14" t="str">
        <x:v>Earliest supplied year is 2025, later than the 2021 study year.</x:v>
      </x:c>
      <x:c r="W709" s="14"/>
      <x:c r="X709" s="14" t="str">
        <x:v>Included</x:v>
      </x:c>
      <x:c r="Y709" s="14"/>
      <x:c r="Z709" s="14" t="str">
        <x:v>Grace.docx</x:v>
      </x:c>
      <x:c r="AA709" s="14" t="str">
        <x:v>HYPERLINK is not implemented. linkLocation=https://www.imdb.com/title/tt11639300/fullcredits/, friendlyName=Open source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ITV / ITVX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7" t="e">
        <x:f>HYPERLINK("https://en.wikipedia.org/wiki/Grace","Open source")</x:f>
        <x:v>HYPERLINK is not implemented. linkLocation=https://en.wikipedia.org/wiki/Grace, friendlyName=Open source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 t="str">
        <x:v>No established-register match</x:v>
      </x:c>
      <x:c r="AT709" s="14"/>
      <x:c r="AU709" s="14"/>
      <x:c r="AV709" s="14" t="str">
        <x:v>No established apparent-disability match</x:v>
      </x:c>
      <x:c r="AW709" s="14"/>
      <x:c r="AX709" s="14" t="str">
        <x:v>No</x:v>
      </x:c>
      <x:c r="AY709" s="14" t="str">
        <x:v>Unmatched</x:v>
      </x:c>
      <x:c r="AZ709" s="14" t="str">
        <x:v>Final supplied register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20</x:v>
      </x:c>
      <x:c r="BP709" s="14" t="str">
        <x:v>Maximum eligible IMDb cast-credit total (20), shared by 4 performer(s); not independently verified as a 2021-only episode total.</x:v>
      </x:c>
      <x:c r="BQ709" s="14" t="str">
        <x:v>Medium</x:v>
      </x:c>
      <x:c r="BR709" s="15" t="n">
        <x:v>1</x:v>
      </x:c>
      <x:c r="BS709" s="16" t="n">
        <x:v>0.05</x:v>
      </x:c>
      <x:c r="BT709" s="14" t="str">
        <x:v>One episode</x:v>
      </x:c>
      <x:c r="BU709" s="14" t="str">
        <x:v>Medium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4" t="str">
        <x:v>HYPERLINK is not implemented. linkLocation=https://www.imdb.com/title/tt11639300/fullcredits/, friendlyName=Open source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tt11639300|nm0038526|janet smythson</x:v>
      </x:c>
      <x:c r="B710" s="14" t="str">
        <x:v>02</x:v>
      </x:c>
      <x:c r="C710" s="14" t="str">
        <x:v>2021_IMDb_Cast_Lists_Batch_02(1).xlsx</x:v>
      </x:c>
      <x:c r="D710" s="14" t="str">
        <x:v>Grace</x:v>
      </x:c>
      <x:c r="E710" s="14" t="n">
        <x:v>297</x:v>
      </x:c>
      <x:c r="F710" s="14" t="str">
        <x:v>Grace</x:v>
      </x:c>
      <x:c r="G710" s="14" t="str">
        <x:v>tt11639300</x:v>
      </x:c>
      <x:c r="H710" s="14" t="n">
        <x:v>2021</x:v>
      </x:c>
      <x:c r="I710" s="14" t="n">
        <x:v>2025</x:v>
      </x:c>
      <x:c r="J710" s="14" t="str">
        <x:v>Earlier-Production Carry-In Cohort</x:v>
      </x:c>
      <x:c r="K710" s="14" t="n">
        <x:v>2021</x:v>
      </x:c>
      <x:c r="L710" s="14" t="str">
        <x:v>Available from 2021 analysis</x:v>
      </x:c>
      <x:c r="M710" s="15" t="n">
        <x:v>290</x:v>
      </x:c>
      <x:c r="N710" s="14" t="str">
        <x:v>Karen Ascoe</x:v>
      </x:c>
      <x:c r="O710" s="14" t="str">
        <x:v>nm0038526</x:v>
      </x:c>
      <x:c r="P710" s="14" t="str">
        <x:v>Janet Smythson</x:v>
      </x:c>
      <x:c r="Q710" s="15" t="n">
        <x:v>1</x:v>
      </x:c>
      <x:c r="R710" s="14" t="str">
        <x:v>2025</x:v>
      </x:c>
      <x:c r="S710" s="14" t="n">
        <x:v>2025</x:v>
      </x:c>
      <x:c r="T710" s="14" t="n">
        <x:v>2025</x:v>
      </x:c>
      <x:c r="U710" s="14" t="str">
        <x:v>Post-2021 casting excluded</x:v>
      </x:c>
      <x:c r="V710" s="14" t="str">
        <x:v>Earliest supplied year is 2025, later than the 2021 study year.</x:v>
      </x:c>
      <x:c r="W710" s="14"/>
      <x:c r="X710" s="14" t="str">
        <x:v>Included</x:v>
      </x:c>
      <x:c r="Y710" s="14"/>
      <x:c r="Z710" s="14" t="str">
        <x:v>Grace.docx</x:v>
      </x:c>
      <x:c r="AA710" s="14" t="str">
        <x:v>HYPERLINK is not implemented. linkLocation=https://www.imdb.com/title/tt11639300/fullcredits/, friendlyName=Open source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ITV / ITVX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7" t="e">
        <x:f>HYPERLINK("https://en.wikipedia.org/wiki/Grace","Open source")</x:f>
        <x:v>HYPERLINK is not implemented. linkLocation=https://en.wikipedia.org/wiki/Grace, friendlyName=Open source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 t="str">
        <x:v>No established-register match</x:v>
      </x:c>
      <x:c r="AT710" s="14"/>
      <x:c r="AU710" s="14"/>
      <x:c r="AV710" s="14" t="str">
        <x:v>No established apparent-disability match</x:v>
      </x:c>
      <x:c r="AW710" s="14"/>
      <x:c r="AX710" s="14" t="str">
        <x:v>No</x:v>
      </x:c>
      <x:c r="AY710" s="14" t="str">
        <x:v>Unmatched</x:v>
      </x:c>
      <x:c r="AZ710" s="14" t="str">
        <x:v>Final supplied register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20</x:v>
      </x:c>
      <x:c r="BP710" s="14" t="str">
        <x:v>Maximum eligible IMDb cast-credit total (20), shared by 4 performer(s); not independently verified as a 2021-only episode total.</x:v>
      </x:c>
      <x:c r="BQ710" s="14" t="str">
        <x:v>Medium</x:v>
      </x:c>
      <x:c r="BR710" s="15" t="n">
        <x:v>1</x:v>
      </x:c>
      <x:c r="BS710" s="16" t="n">
        <x:v>0.05</x:v>
      </x:c>
      <x:c r="BT710" s="14" t="str">
        <x:v>One episode</x:v>
      </x:c>
      <x:c r="BU710" s="14" t="str">
        <x:v>Medium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4" t="str">
        <x:v>HYPERLINK is not implemented. linkLocation=https://www.imdb.com/title/tt11639300/fullcredits/, friendlyName=Open source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tt11639300|nm7478688|louise fordwater</x:v>
      </x:c>
      <x:c r="B711" s="14" t="str">
        <x:v>02</x:v>
      </x:c>
      <x:c r="C711" s="14" t="str">
        <x:v>2021_IMDb_Cast_Lists_Batch_02(1).xlsx</x:v>
      </x:c>
      <x:c r="D711" s="14" t="str">
        <x:v>Grace</x:v>
      </x:c>
      <x:c r="E711" s="14" t="n">
        <x:v>298</x:v>
      </x:c>
      <x:c r="F711" s="14" t="str">
        <x:v>Grace</x:v>
      </x:c>
      <x:c r="G711" s="14" t="str">
        <x:v>tt11639300</x:v>
      </x:c>
      <x:c r="H711" s="14" t="n">
        <x:v>2021</x:v>
      </x:c>
      <x:c r="I711" s="14" t="n">
        <x:v>2025</x:v>
      </x:c>
      <x:c r="J711" s="14" t="str">
        <x:v>Earlier-Production Carry-In Cohort</x:v>
      </x:c>
      <x:c r="K711" s="14" t="n">
        <x:v>2021</x:v>
      </x:c>
      <x:c r="L711" s="14" t="str">
        <x:v>Available from 2021 analysis</x:v>
      </x:c>
      <x:c r="M711" s="15" t="n">
        <x:v>291</x:v>
      </x:c>
      <x:c r="N711" s="14" t="str">
        <x:v>Amy Trigg</x:v>
      </x:c>
      <x:c r="O711" s="14" t="str">
        <x:v>nm7478688</x:v>
      </x:c>
      <x:c r="P711" s="14" t="str">
        <x:v>Louise Fordwater</x:v>
      </x:c>
      <x:c r="Q711" s="15" t="n">
        <x:v>1</x:v>
      </x:c>
      <x:c r="R711" s="14" t="str">
        <x:v>2025</x:v>
      </x:c>
      <x:c r="S711" s="14" t="n">
        <x:v>2025</x:v>
      </x:c>
      <x:c r="T711" s="14" t="n">
        <x:v>2025</x:v>
      </x:c>
      <x:c r="U711" s="14" t="str">
        <x:v>Post-2021 casting excluded</x:v>
      </x:c>
      <x:c r="V711" s="14" t="str">
        <x:v>Earliest supplied year is 2025, later than the 2021 study year.</x:v>
      </x:c>
      <x:c r="W711" s="14"/>
      <x:c r="X711" s="14" t="str">
        <x:v>Included</x:v>
      </x:c>
      <x:c r="Y711" s="14"/>
      <x:c r="Z711" s="14" t="str">
        <x:v>Grace.docx</x:v>
      </x:c>
      <x:c r="AA711" s="14" t="str">
        <x:v>HYPERLINK is not implemented. linkLocation=https://www.imdb.com/title/tt11639300/fullcredits/, friendlyName=Open source</x:v>
      </x:c>
      <x:c r="AB711" s="14" t="str">
        <x:v>Existing established-register match</x:v>
      </x:c>
      <x:c r="AC711" s="14" t="str">
        <x:v>Wheelchair user | Physical disability</x:v>
      </x:c>
      <x:c r="AD711" s="14" t="str">
        <x:v>Existing register classification: Wheelchair user | Physical disability</x:v>
      </x:c>
      <x:c r="AE711" s="14" t="str">
        <x:v>Established_Disability_Category_Register V1.1.xlsx</x:v>
      </x:c>
      <x:c r="AF711" s="14"/>
      <x:c r="AG711" s="14" t="str">
        <x:v>Established user-supplied classification retained for deduplication; evidence was not re-researched in this batch.</x:v>
      </x:c>
      <x:c r="AH711" s="14" t="str">
        <x:v>ITV / ITVX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7" t="e">
        <x:f>HYPERLINK("https://en.wikipedia.org/wiki/Grace","Open source")</x:f>
        <x:v>HYPERLINK is not implemented. linkLocation=https://en.wikipedia.org/wiki/Grace, friendlyName=Open source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Exact IMDb performer ID match</x:v>
      </x:c>
      <x:c r="AT711" s="14" t="str">
        <x:v>nm7478688</x:v>
      </x:c>
      <x:c r="AU711" s="14" t="str">
        <x:v>Wheelchair user | Physical disability</x:v>
      </x:c>
      <x:c r="AV711" s="14" t="str">
        <x:v>Yes</x:v>
      </x:c>
      <x:c r="AW711" s="14" t="str">
        <x:v>Wheelchair user | Physical disability</x:v>
      </x:c>
      <x:c r="AX711" s="14" t="str">
        <x:v>No</x:v>
      </x:c>
      <x:c r="AY711" s="14" t="str">
        <x:v>Matched</x:v>
      </x:c>
      <x:c r="AZ711" s="14" t="str">
        <x:v>Final supplied register</x:v>
      </x:c>
      <x:c r="BA711" s="14"/>
      <x:c r="BB711" s="14" t="str">
        <x:v>Exact IMDb performer ID match</x:v>
      </x:c>
      <x:c r="BC711" s="14" t="str">
        <x:v>nm7478688</x:v>
      </x:c>
      <x:c r="BD711" s="14" t="str">
        <x:v>Amy Trigg</x:v>
      </x:c>
      <x:c r="BE711" s="14" t="str">
        <x:v>Wheelchair user | Physical disability</x:v>
      </x:c>
      <x:c r="BF711" s="14" t="str">
        <x:v>Yes</x:v>
      </x:c>
      <x:c r="BG711" s="14" t="str">
        <x:v>Wheelchair user | Physical disability</x:v>
      </x:c>
      <x:c r="BH711" s="14" t="str">
        <x:v>No</x:v>
      </x:c>
      <x:c r="BI711" s="14" t="str">
        <x:v>User-supplied established classification</x:v>
      </x:c>
      <x:c r="BJ711" s="14" t="str">
        <x:v>03_Wheelchair_user.csv | 04_Physical_disability.csv</x:v>
      </x:c>
      <x:c r="BK711" s="14"/>
      <x:c r="BL711" s="14" t="str">
        <x:v>Matched</x:v>
      </x:c>
      <x:c r="BM711" s="14" t="str">
        <x:v>Final supplied register</x:v>
      </x:c>
      <x:c r="BN711" s="14"/>
      <x:c r="BO711" s="14" t="n">
        <x:v>20</x:v>
      </x:c>
      <x:c r="BP711" s="14" t="str">
        <x:v>Maximum eligible IMDb cast-credit total (20), shared by 4 performer(s); not independently verified as a 2021-only episode total.</x:v>
      </x:c>
      <x:c r="BQ711" s="14" t="str">
        <x:v>Medium</x:v>
      </x:c>
      <x:c r="BR711" s="15" t="n">
        <x:v>1</x:v>
      </x:c>
      <x:c r="BS711" s="16" t="n">
        <x:v>0.05</x:v>
      </x:c>
      <x:c r="BT711" s="14" t="str">
        <x:v>One episode</x:v>
      </x:c>
      <x:c r="BU711" s="14" t="str">
        <x:v>Medium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4" t="str">
        <x:v>HYPERLINK is not implemented. linkLocation=https://www.imdb.com/title/tt11639300/fullcredits/, friendlyName=Open source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tt11639300|nm2247681|nora davis</x:v>
      </x:c>
      <x:c r="B712" s="14" t="str">
        <x:v>02</x:v>
      </x:c>
      <x:c r="C712" s="14" t="str">
        <x:v>2021_IMDb_Cast_Lists_Batch_02(1).xlsx</x:v>
      </x:c>
      <x:c r="D712" s="14" t="str">
        <x:v>Grace</x:v>
      </x:c>
      <x:c r="E712" s="14" t="n">
        <x:v>299</x:v>
      </x:c>
      <x:c r="F712" s="14" t="str">
        <x:v>Grace</x:v>
      </x:c>
      <x:c r="G712" s="14" t="str">
        <x:v>tt11639300</x:v>
      </x:c>
      <x:c r="H712" s="14" t="n">
        <x:v>2021</x:v>
      </x:c>
      <x:c r="I712" s="14" t="n">
        <x:v>2025</x:v>
      </x:c>
      <x:c r="J712" s="14" t="str">
        <x:v>Earlier-Production Carry-In Cohort</x:v>
      </x:c>
      <x:c r="K712" s="14" t="n">
        <x:v>2021</x:v>
      </x:c>
      <x:c r="L712" s="14" t="str">
        <x:v>Available from 2021 analysis</x:v>
      </x:c>
      <x:c r="M712" s="15" t="n">
        <x:v>292</x:v>
      </x:c>
      <x:c r="N712" s="14" t="str">
        <x:v>Anne Kavanagh</x:v>
      </x:c>
      <x:c r="O712" s="14" t="str">
        <x:v>nm2247681</x:v>
      </x:c>
      <x:c r="P712" s="14" t="str">
        <x:v>Nora Davis</x:v>
      </x:c>
      <x:c r="Q712" s="15" t="n">
        <x:v>1</x:v>
      </x:c>
      <x:c r="R712" s="14" t="str">
        <x:v>2025</x:v>
      </x:c>
      <x:c r="S712" s="14" t="n">
        <x:v>2025</x:v>
      </x:c>
      <x:c r="T712" s="14" t="n">
        <x:v>2025</x:v>
      </x:c>
      <x:c r="U712" s="14" t="str">
        <x:v>Post-2021 casting excluded</x:v>
      </x:c>
      <x:c r="V712" s="14" t="str">
        <x:v>Earliest supplied year is 2025, later than the 2021 study year.</x:v>
      </x:c>
      <x:c r="W712" s="14"/>
      <x:c r="X712" s="14" t="str">
        <x:v>Included</x:v>
      </x:c>
      <x:c r="Y712" s="14"/>
      <x:c r="Z712" s="14" t="str">
        <x:v>Grace.docx</x:v>
      </x:c>
      <x:c r="AA712" s="14" t="str">
        <x:v>HYPERLINK is not implemented. linkLocation=https://www.imdb.com/title/tt11639300/fullcredits/, friendlyName=Open source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ITV / ITVX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7" t="e">
        <x:f>HYPERLINK("https://en.wikipedia.org/wiki/Grace","Open source")</x:f>
        <x:v>HYPERLINK is not implemented. linkLocation=https://en.wikipedia.org/wiki/Grace, friendlyName=Open source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 t="str">
        <x:v>No established-register match</x:v>
      </x:c>
      <x:c r="AT712" s="14"/>
      <x:c r="AU712" s="14"/>
      <x:c r="AV712" s="14" t="str">
        <x:v>No established apparent-disability match</x:v>
      </x:c>
      <x:c r="AW712" s="14"/>
      <x:c r="AX712" s="14" t="str">
        <x:v>No</x:v>
      </x:c>
      <x:c r="AY712" s="14" t="str">
        <x:v>Unmatched</x:v>
      </x:c>
      <x:c r="AZ712" s="14" t="str">
        <x:v>Final supplied register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20</x:v>
      </x:c>
      <x:c r="BP712" s="14" t="str">
        <x:v>Maximum eligible IMDb cast-credit total (20), shared by 4 performer(s); not independently verified as a 2021-only episode total.</x:v>
      </x:c>
      <x:c r="BQ712" s="14" t="str">
        <x:v>Medium</x:v>
      </x:c>
      <x:c r="BR712" s="15" t="n">
        <x:v>1</x:v>
      </x:c>
      <x:c r="BS712" s="16" t="n">
        <x:v>0.05</x:v>
      </x:c>
      <x:c r="BT712" s="14" t="str">
        <x:v>One episode</x:v>
      </x:c>
      <x:c r="BU712" s="14" t="str">
        <x:v>Medium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4" t="str">
        <x:v>HYPERLINK is not implemented. linkLocation=https://www.imdb.com/title/tt11639300/fullcredits/, friendlyName=Open source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tt11639300|nm1225475|gym staff member</x:v>
      </x:c>
      <x:c r="B713" s="14" t="str">
        <x:v>02</x:v>
      </x:c>
      <x:c r="C713" s="14" t="str">
        <x:v>2021_IMDb_Cast_Lists_Batch_02(1).xlsx</x:v>
      </x:c>
      <x:c r="D713" s="14" t="str">
        <x:v>Grace</x:v>
      </x:c>
      <x:c r="E713" s="14" t="n">
        <x:v>306</x:v>
      </x:c>
      <x:c r="F713" s="14" t="str">
        <x:v>Grace</x:v>
      </x:c>
      <x:c r="G713" s="14" t="str">
        <x:v>tt11639300</x:v>
      </x:c>
      <x:c r="H713" s="14" t="n">
        <x:v>2021</x:v>
      </x:c>
      <x:c r="I713" s="14" t="n">
        <x:v>2025</x:v>
      </x:c>
      <x:c r="J713" s="14" t="str">
        <x:v>Earlier-Production Carry-In Cohort</x:v>
      </x:c>
      <x:c r="K713" s="14" t="n">
        <x:v>2021</x:v>
      </x:c>
      <x:c r="L713" s="14" t="str">
        <x:v>Available from 2021 analysis</x:v>
      </x:c>
      <x:c r="M713" s="15" t="n">
        <x:v>299</x:v>
      </x:c>
      <x:c r="N713" s="14" t="str">
        <x:v>Bobby Lockwood</x:v>
      </x:c>
      <x:c r="O713" s="14" t="str">
        <x:v>nm1225475</x:v>
      </x:c>
      <x:c r="P713" s="14" t="str">
        <x:v>Gym Staff Member</x:v>
      </x:c>
      <x:c r="Q713" s="15" t="n">
        <x:v>1</x:v>
      </x:c>
      <x:c r="R713" s="14" t="str">
        <x:v>2025</x:v>
      </x:c>
      <x:c r="S713" s="14" t="n">
        <x:v>2025</x:v>
      </x:c>
      <x:c r="T713" s="14" t="n">
        <x:v>2025</x:v>
      </x:c>
      <x:c r="U713" s="14" t="str">
        <x:v>Post-2021 casting excluded</x:v>
      </x:c>
      <x:c r="V713" s="14" t="str">
        <x:v>Earliest supplied year is 2025, later than the 2021 study year.</x:v>
      </x:c>
      <x:c r="W713" s="14"/>
      <x:c r="X713" s="14" t="str">
        <x:v>Included</x:v>
      </x:c>
      <x:c r="Y713" s="14"/>
      <x:c r="Z713" s="14" t="str">
        <x:v>Grace.docx</x:v>
      </x:c>
      <x:c r="AA713" s="14" t="str">
        <x:v>HYPERLINK is not implemented. linkLocation=https://www.imdb.com/title/tt11639300/fullcredits/, friendlyName=Open source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ITV / ITVX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7" t="e">
        <x:f>HYPERLINK("https://en.wikipedia.org/wiki/Grace","Open source")</x:f>
        <x:v>HYPERLINK is not implemented. linkLocation=https://en.wikipedia.org/wiki/Grace, friendlyName=Open source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 t="str">
        <x:v>No established-register match</x:v>
      </x:c>
      <x:c r="AT713" s="14"/>
      <x:c r="AU713" s="14"/>
      <x:c r="AV713" s="14" t="str">
        <x:v>No established apparent-disability match</x:v>
      </x:c>
      <x:c r="AW713" s="14"/>
      <x:c r="AX713" s="14" t="str">
        <x:v>No</x:v>
      </x:c>
      <x:c r="AY713" s="14" t="str">
        <x:v>Unmatched</x:v>
      </x:c>
      <x:c r="AZ713" s="14" t="str">
        <x:v>Final supplied register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20</x:v>
      </x:c>
      <x:c r="BP713" s="14" t="str">
        <x:v>Maximum eligible IMDb cast-credit total (20), shared by 4 performer(s); not independently verified as a 2021-only episode total.</x:v>
      </x:c>
      <x:c r="BQ713" s="14" t="str">
        <x:v>Medium</x:v>
      </x:c>
      <x:c r="BR713" s="15" t="n">
        <x:v>1</x:v>
      </x:c>
      <x:c r="BS713" s="16" t="n">
        <x:v>0.05</x:v>
      </x:c>
      <x:c r="BT713" s="14" t="str">
        <x:v>One episode</x:v>
      </x:c>
      <x:c r="BU713" s="14" t="str">
        <x:v>Medium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4" t="str">
        <x:v>HYPERLINK is not implemented. linkLocation=https://www.imdb.com/title/tt11639300/fullcredits/, friendlyName=Open source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tt11639300|nm0167334|primrose morley kc</x:v>
      </x:c>
      <x:c r="B714" s="14" t="str">
        <x:v>02</x:v>
      </x:c>
      <x:c r="C714" s="14" t="str">
        <x:v>2021_IMDb_Cast_Lists_Batch_02(1).xlsx</x:v>
      </x:c>
      <x:c r="D714" s="14" t="str">
        <x:v>Grace</x:v>
      </x:c>
      <x:c r="E714" s="14" t="n">
        <x:v>307</x:v>
      </x:c>
      <x:c r="F714" s="14" t="str">
        <x:v>Grace</x:v>
      </x:c>
      <x:c r="G714" s="14" t="str">
        <x:v>tt11639300</x:v>
      </x:c>
      <x:c r="H714" s="14" t="n">
        <x:v>2021</x:v>
      </x:c>
      <x:c r="I714" s="14" t="n">
        <x:v>2025</x:v>
      </x:c>
      <x:c r="J714" s="14" t="str">
        <x:v>Earlier-Production Carry-In Cohort</x:v>
      </x:c>
      <x:c r="K714" s="14" t="n">
        <x:v>2021</x:v>
      </x:c>
      <x:c r="L714" s="14" t="str">
        <x:v>Available from 2021 analysis</x:v>
      </x:c>
      <x:c r="M714" s="15" t="n">
        <x:v>300</x:v>
      </x:c>
      <x:c r="N714" s="14" t="str">
        <x:v>Jackie Clune</x:v>
      </x:c>
      <x:c r="O714" s="14" t="str">
        <x:v>nm0167334</x:v>
      </x:c>
      <x:c r="P714" s="14" t="str">
        <x:v>Primrose Morley KC</x:v>
      </x:c>
      <x:c r="Q714" s="15" t="n">
        <x:v>1</x:v>
      </x:c>
      <x:c r="R714" s="14" t="str">
        <x:v>2025</x:v>
      </x:c>
      <x:c r="S714" s="14" t="n">
        <x:v>2025</x:v>
      </x:c>
      <x:c r="T714" s="14" t="n">
        <x:v>2025</x:v>
      </x:c>
      <x:c r="U714" s="14" t="str">
        <x:v>Post-2021 casting excluded</x:v>
      </x:c>
      <x:c r="V714" s="14" t="str">
        <x:v>Earliest supplied year is 2025, later than the 2021 study year.</x:v>
      </x:c>
      <x:c r="W714" s="14"/>
      <x:c r="X714" s="14" t="str">
        <x:v>Included</x:v>
      </x:c>
      <x:c r="Y714" s="14"/>
      <x:c r="Z714" s="14" t="str">
        <x:v>Grace.docx</x:v>
      </x:c>
      <x:c r="AA714" s="14" t="str">
        <x:v>HYPERLINK is not implemented. linkLocation=https://www.imdb.com/title/tt11639300/fullcredits/, friendlyName=Open source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ITV / ITVX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7" t="e">
        <x:f>HYPERLINK("https://en.wikipedia.org/wiki/Grace","Open source")</x:f>
        <x:v>HYPERLINK is not implemented. linkLocation=https://en.wikipedia.org/wiki/Grace, friendlyName=Open source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 t="str">
        <x:v>No established-register match</x:v>
      </x:c>
      <x:c r="AT714" s="14"/>
      <x:c r="AU714" s="14"/>
      <x:c r="AV714" s="14" t="str">
        <x:v>No established apparent-disability match</x:v>
      </x:c>
      <x:c r="AW714" s="14"/>
      <x:c r="AX714" s="14" t="str">
        <x:v>No</x:v>
      </x:c>
      <x:c r="AY714" s="14" t="str">
        <x:v>Unmatched</x:v>
      </x:c>
      <x:c r="AZ714" s="14" t="str">
        <x:v>Final supplied register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20</x:v>
      </x:c>
      <x:c r="BP714" s="14" t="str">
        <x:v>Maximum eligible IMDb cast-credit total (20), shared by 4 performer(s); not independently verified as a 2021-only episode total.</x:v>
      </x:c>
      <x:c r="BQ714" s="14" t="str">
        <x:v>Medium</x:v>
      </x:c>
      <x:c r="BR714" s="15" t="n">
        <x:v>1</x:v>
      </x:c>
      <x:c r="BS714" s="16" t="n">
        <x:v>0.05</x:v>
      </x:c>
      <x:c r="BT714" s="14" t="str">
        <x:v>One episode</x:v>
      </x:c>
      <x:c r="BU714" s="14" t="str">
        <x:v>Medium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4" t="str">
        <x:v>HYPERLINK is not implemented. linkLocation=https://www.imdb.com/title/tt11639300/fullcredits/, friendlyName=Open source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tt11639300|nm0942682|angela</x:v>
      </x:c>
      <x:c r="B715" s="14" t="str">
        <x:v>02</x:v>
      </x:c>
      <x:c r="C715" s="14" t="str">
        <x:v>2021_IMDb_Cast_Lists_Batch_02(1).xlsx</x:v>
      </x:c>
      <x:c r="D715" s="14" t="str">
        <x:v>Grace</x:v>
      </x:c>
      <x:c r="E715" s="14" t="n">
        <x:v>313</x:v>
      </x:c>
      <x:c r="F715" s="14" t="str">
        <x:v>Grace</x:v>
      </x:c>
      <x:c r="G715" s="14" t="str">
        <x:v>tt11639300</x:v>
      </x:c>
      <x:c r="H715" s="14" t="n">
        <x:v>2021</x:v>
      </x:c>
      <x:c r="I715" s="14" t="n">
        <x:v>2025</x:v>
      </x:c>
      <x:c r="J715" s="14" t="str">
        <x:v>Earlier-Production Carry-In Cohort</x:v>
      </x:c>
      <x:c r="K715" s="14" t="n">
        <x:v>2021</x:v>
      </x:c>
      <x:c r="L715" s="14" t="str">
        <x:v>Available from 2021 analysis</x:v>
      </x:c>
      <x:c r="M715" s="15" t="n">
        <x:v>306</x:v>
      </x:c>
      <x:c r="N715" s="14" t="str">
        <x:v>Nicola Wright</x:v>
      </x:c>
      <x:c r="O715" s="14" t="str">
        <x:v>nm0942682</x:v>
      </x:c>
      <x:c r="P715" s="14" t="str">
        <x:v>Angela</x:v>
      </x:c>
      <x:c r="Q715" s="15" t="n">
        <x:v>1</x:v>
      </x:c>
      <x:c r="R715" s="14" t="str">
        <x:v>2025</x:v>
      </x:c>
      <x:c r="S715" s="14" t="n">
        <x:v>2025</x:v>
      </x:c>
      <x:c r="T715" s="14" t="n">
        <x:v>2025</x:v>
      </x:c>
      <x:c r="U715" s="14" t="str">
        <x:v>Post-2021 casting excluded</x:v>
      </x:c>
      <x:c r="V715" s="14" t="str">
        <x:v>Earliest supplied year is 2025, later than the 2021 study year.</x:v>
      </x:c>
      <x:c r="W715" s="14"/>
      <x:c r="X715" s="14" t="str">
        <x:v>Included</x:v>
      </x:c>
      <x:c r="Y715" s="14"/>
      <x:c r="Z715" s="14" t="str">
        <x:v>Grace.docx</x:v>
      </x:c>
      <x:c r="AA715" s="14" t="str">
        <x:v>HYPERLINK is not implemented. linkLocation=https://www.imdb.com/title/tt11639300/fullcredits/, friendlyName=Open source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ITV / ITVX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7" t="e">
        <x:f>HYPERLINK("https://en.wikipedia.org/wiki/Grace","Open source")</x:f>
        <x:v>HYPERLINK is not implemented. linkLocation=https://en.wikipedia.org/wiki/Grace, friendlyName=Open source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 t="str">
        <x:v>No established-register match</x:v>
      </x:c>
      <x:c r="AT715" s="14"/>
      <x:c r="AU715" s="14"/>
      <x:c r="AV715" s="14" t="str">
        <x:v>No established apparent-disability match</x:v>
      </x:c>
      <x:c r="AW715" s="14"/>
      <x:c r="AX715" s="14" t="str">
        <x:v>No</x:v>
      </x:c>
      <x:c r="AY715" s="14" t="str">
        <x:v>Unmatched</x:v>
      </x:c>
      <x:c r="AZ715" s="14" t="str">
        <x:v>Final supplied register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20</x:v>
      </x:c>
      <x:c r="BP715" s="14" t="str">
        <x:v>Maximum eligible IMDb cast-credit total (20), shared by 4 performer(s); not independently verified as a 2021-only episode total.</x:v>
      </x:c>
      <x:c r="BQ715" s="14" t="str">
        <x:v>Medium</x:v>
      </x:c>
      <x:c r="BR715" s="15" t="n">
        <x:v>1</x:v>
      </x:c>
      <x:c r="BS715" s="16" t="n">
        <x:v>0.05</x:v>
      </x:c>
      <x:c r="BT715" s="14" t="str">
        <x:v>One episode</x:v>
      </x:c>
      <x:c r="BU715" s="14" t="str">
        <x:v>Medium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4" t="str">
        <x:v>HYPERLINK is not implemented. linkLocation=https://www.imdb.com/title/tt11639300/fullcredits/, friendlyName=Open source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tt11639300|nm5854936|deepak singh</x:v>
      </x:c>
      <x:c r="B716" s="14" t="str">
        <x:v>02</x:v>
      </x:c>
      <x:c r="C716" s="14" t="str">
        <x:v>2021_IMDb_Cast_Lists_Batch_02(1).xlsx</x:v>
      </x:c>
      <x:c r="D716" s="14" t="str">
        <x:v>Grace</x:v>
      </x:c>
      <x:c r="E716" s="14" t="n">
        <x:v>314</x:v>
      </x:c>
      <x:c r="F716" s="14" t="str">
        <x:v>Grace</x:v>
      </x:c>
      <x:c r="G716" s="14" t="str">
        <x:v>tt11639300</x:v>
      </x:c>
      <x:c r="H716" s="14" t="n">
        <x:v>2021</x:v>
      </x:c>
      <x:c r="I716" s="14" t="n">
        <x:v>2025</x:v>
      </x:c>
      <x:c r="J716" s="14" t="str">
        <x:v>Earlier-Production Carry-In Cohort</x:v>
      </x:c>
      <x:c r="K716" s="14" t="n">
        <x:v>2021</x:v>
      </x:c>
      <x:c r="L716" s="14" t="str">
        <x:v>Available from 2021 analysis</x:v>
      </x:c>
      <x:c r="M716" s="15" t="n">
        <x:v>307</x:v>
      </x:c>
      <x:c r="N716" s="14" t="str">
        <x:v>Mikhael DeVille</x:v>
      </x:c>
      <x:c r="O716" s="14" t="str">
        <x:v>nm5854936</x:v>
      </x:c>
      <x:c r="P716" s="14" t="str">
        <x:v>Deepak Singh</x:v>
      </x:c>
      <x:c r="Q716" s="15" t="n">
        <x:v>1</x:v>
      </x:c>
      <x:c r="R716" s="14" t="str">
        <x:v>2025</x:v>
      </x:c>
      <x:c r="S716" s="14" t="n">
        <x:v>2025</x:v>
      </x:c>
      <x:c r="T716" s="14" t="n">
        <x:v>2025</x:v>
      </x:c>
      <x:c r="U716" s="14" t="str">
        <x:v>Post-2021 casting excluded</x:v>
      </x:c>
      <x:c r="V716" s="14" t="str">
        <x:v>Earliest supplied year is 2025, later than the 2021 study year.</x:v>
      </x:c>
      <x:c r="W716" s="14"/>
      <x:c r="X716" s="14" t="str">
        <x:v>Included</x:v>
      </x:c>
      <x:c r="Y716" s="14"/>
      <x:c r="Z716" s="14" t="str">
        <x:v>Grace.docx</x:v>
      </x:c>
      <x:c r="AA716" s="14" t="str">
        <x:v>HYPERLINK is not implemented. linkLocation=https://www.imdb.com/title/tt11639300/fullcredits/, friendlyName=Open source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ITV / ITVX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7" t="e">
        <x:f>HYPERLINK("https://en.wikipedia.org/wiki/Grace","Open source")</x:f>
        <x:v>HYPERLINK is not implemented. linkLocation=https://en.wikipedia.org/wiki/Grace, friendlyName=Open source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 t="str">
        <x:v>No established-register match</x:v>
      </x:c>
      <x:c r="AT716" s="14"/>
      <x:c r="AU716" s="14"/>
      <x:c r="AV716" s="14" t="str">
        <x:v>No established apparent-disability match</x:v>
      </x:c>
      <x:c r="AW716" s="14"/>
      <x:c r="AX716" s="14" t="str">
        <x:v>No</x:v>
      </x:c>
      <x:c r="AY716" s="14" t="str">
        <x:v>Unmatched</x:v>
      </x:c>
      <x:c r="AZ716" s="14" t="str">
        <x:v>Final supplied register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20</x:v>
      </x:c>
      <x:c r="BP716" s="14" t="str">
        <x:v>Maximum eligible IMDb cast-credit total (20), shared by 4 performer(s); not independently verified as a 2021-only episode total.</x:v>
      </x:c>
      <x:c r="BQ716" s="14" t="str">
        <x:v>Medium</x:v>
      </x:c>
      <x:c r="BR716" s="15" t="n">
        <x:v>1</x:v>
      </x:c>
      <x:c r="BS716" s="16" t="n">
        <x:v>0.05</x:v>
      </x:c>
      <x:c r="BT716" s="14" t="str">
        <x:v>One episode</x:v>
      </x:c>
      <x:c r="BU716" s="14" t="str">
        <x:v>Medium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4" t="str">
        <x:v>HYPERLINK is not implemented. linkLocation=https://www.imdb.com/title/tt11639300/fullcredits/, friendlyName=Open source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tt11639300|nm0165757|judge channing</x:v>
      </x:c>
      <x:c r="B717" s="14" t="str">
        <x:v>02</x:v>
      </x:c>
      <x:c r="C717" s="14" t="str">
        <x:v>2021_IMDb_Cast_Lists_Batch_02(1).xlsx</x:v>
      </x:c>
      <x:c r="D717" s="14" t="str">
        <x:v>Grace</x:v>
      </x:c>
      <x:c r="E717" s="14" t="n">
        <x:v>321</x:v>
      </x:c>
      <x:c r="F717" s="14" t="str">
        <x:v>Grace</x:v>
      </x:c>
      <x:c r="G717" s="14" t="str">
        <x:v>tt11639300</x:v>
      </x:c>
      <x:c r="H717" s="14" t="n">
        <x:v>2021</x:v>
      </x:c>
      <x:c r="I717" s="14" t="n">
        <x:v>2025</x:v>
      </x:c>
      <x:c r="J717" s="14" t="str">
        <x:v>Earlier-Production Carry-In Cohort</x:v>
      </x:c>
      <x:c r="K717" s="14" t="n">
        <x:v>2021</x:v>
      </x:c>
      <x:c r="L717" s="14" t="str">
        <x:v>Available from 2021 analysis</x:v>
      </x:c>
      <x:c r="M717" s="15" t="n">
        <x:v>314</x:v>
      </x:c>
      <x:c r="N717" s="14" t="str">
        <x:v>Paul Clayton</x:v>
      </x:c>
      <x:c r="O717" s="14" t="str">
        <x:v>nm0165757</x:v>
      </x:c>
      <x:c r="P717" s="14" t="str">
        <x:v>Judge Channing</x:v>
      </x:c>
      <x:c r="Q717" s="15" t="n">
        <x:v>1</x:v>
      </x:c>
      <x:c r="R717" s="14" t="str">
        <x:v>2025</x:v>
      </x:c>
      <x:c r="S717" s="14" t="n">
        <x:v>2025</x:v>
      </x:c>
      <x:c r="T717" s="14" t="n">
        <x:v>2025</x:v>
      </x:c>
      <x:c r="U717" s="14" t="str">
        <x:v>Post-2021 casting excluded</x:v>
      </x:c>
      <x:c r="V717" s="14" t="str">
        <x:v>Earliest supplied year is 2025, later than the 2021 study year.</x:v>
      </x:c>
      <x:c r="W717" s="14"/>
      <x:c r="X717" s="14" t="str">
        <x:v>Included</x:v>
      </x:c>
      <x:c r="Y717" s="14"/>
      <x:c r="Z717" s="14" t="str">
        <x:v>Grace.docx</x:v>
      </x:c>
      <x:c r="AA717" s="14" t="str">
        <x:v>HYPERLINK is not implemented. linkLocation=https://www.imdb.com/title/tt11639300/fullcredits/, friendlyName=Open source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ITV / ITVX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7" t="e">
        <x:f>HYPERLINK("https://en.wikipedia.org/wiki/Grace","Open source")</x:f>
        <x:v>HYPERLINK is not implemented. linkLocation=https://en.wikipedia.org/wiki/Grace, friendlyName=Open source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 t="str">
        <x:v>No established-register match</x:v>
      </x:c>
      <x:c r="AT717" s="14"/>
      <x:c r="AU717" s="14"/>
      <x:c r="AV717" s="14" t="str">
        <x:v>No established apparent-disability match</x:v>
      </x:c>
      <x:c r="AW717" s="14"/>
      <x:c r="AX717" s="14" t="str">
        <x:v>No</x:v>
      </x:c>
      <x:c r="AY717" s="14" t="str">
        <x:v>Unmatched</x:v>
      </x:c>
      <x:c r="AZ717" s="14" t="str">
        <x:v>Final supplied register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20</x:v>
      </x:c>
      <x:c r="BP717" s="14" t="str">
        <x:v>Maximum eligible IMDb cast-credit total (20), shared by 4 performer(s); not independently verified as a 2021-only episode total.</x:v>
      </x:c>
      <x:c r="BQ717" s="14" t="str">
        <x:v>Medium</x:v>
      </x:c>
      <x:c r="BR717" s="15" t="n">
        <x:v>1</x:v>
      </x:c>
      <x:c r="BS717" s="16" t="n">
        <x:v>0.05</x:v>
      </x:c>
      <x:c r="BT717" s="14" t="str">
        <x:v>One episode</x:v>
      </x:c>
      <x:c r="BU717" s="14" t="str">
        <x:v>Medium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4" t="str">
        <x:v>HYPERLINK is not implemented. linkLocation=https://www.imdb.com/title/tt11639300/fullcredits/, friendlyName=Open source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tt11639300|nm6457179|ben close / rupert thomas</x:v>
      </x:c>
      <x:c r="B718" s="14" t="str">
        <x:v>02</x:v>
      </x:c>
      <x:c r="C718" s="14" t="str">
        <x:v>2021_IMDb_Cast_Lists_Batch_02(1).xlsx</x:v>
      </x:c>
      <x:c r="D718" s="14" t="str">
        <x:v>Grace</x:v>
      </x:c>
      <x:c r="E718" s="14" t="n">
        <x:v>322</x:v>
      </x:c>
      <x:c r="F718" s="14" t="str">
        <x:v>Grace</x:v>
      </x:c>
      <x:c r="G718" s="14" t="str">
        <x:v>tt11639300</x:v>
      </x:c>
      <x:c r="H718" s="14" t="n">
        <x:v>2021</x:v>
      </x:c>
      <x:c r="I718" s="14" t="n">
        <x:v>2025</x:v>
      </x:c>
      <x:c r="J718" s="14" t="str">
        <x:v>Earlier-Production Carry-In Cohort</x:v>
      </x:c>
      <x:c r="K718" s="14" t="n">
        <x:v>2021</x:v>
      </x:c>
      <x:c r="L718" s="14" t="str">
        <x:v>Available from 2021 analysis</x:v>
      </x:c>
      <x:c r="M718" s="15" t="n">
        <x:v>315</x:v>
      </x:c>
      <x:c r="N718" s="14" t="str">
        <x:v>Michael Shea</x:v>
      </x:c>
      <x:c r="O718" s="14" t="str">
        <x:v>nm6457179</x:v>
      </x:c>
      <x:c r="P718" s="14" t="str">
        <x:v>Ben Close / Rupert Thomas</x:v>
      </x:c>
      <x:c r="Q718" s="15" t="n">
        <x:v>1</x:v>
      </x:c>
      <x:c r="R718" s="14" t="str">
        <x:v>2025</x:v>
      </x:c>
      <x:c r="S718" s="14" t="n">
        <x:v>2025</x:v>
      </x:c>
      <x:c r="T718" s="14" t="n">
        <x:v>2025</x:v>
      </x:c>
      <x:c r="U718" s="14" t="str">
        <x:v>Post-2021 casting excluded</x:v>
      </x:c>
      <x:c r="V718" s="14" t="str">
        <x:v>Earliest supplied year is 2025, later than the 2021 study year.</x:v>
      </x:c>
      <x:c r="W718" s="14"/>
      <x:c r="X718" s="14" t="str">
        <x:v>Included</x:v>
      </x:c>
      <x:c r="Y718" s="14"/>
      <x:c r="Z718" s="14" t="str">
        <x:v>Grace.docx</x:v>
      </x:c>
      <x:c r="AA718" s="14" t="str">
        <x:v>HYPERLINK is not implemented. linkLocation=https://www.imdb.com/title/tt11639300/fullcredits/, friendlyName=Open source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ITV / ITVX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7" t="e">
        <x:f>HYPERLINK("https://en.wikipedia.org/wiki/Grace","Open source")</x:f>
        <x:v>HYPERLINK is not implemented. linkLocation=https://en.wikipedia.org/wiki/Grace, friendlyName=Open source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 t="str">
        <x:v>No established-register match</x:v>
      </x:c>
      <x:c r="AT718" s="14"/>
      <x:c r="AU718" s="14"/>
      <x:c r="AV718" s="14" t="str">
        <x:v>No established apparent-disability match</x:v>
      </x:c>
      <x:c r="AW718" s="14"/>
      <x:c r="AX718" s="14" t="str">
        <x:v>No</x:v>
      </x:c>
      <x:c r="AY718" s="14" t="str">
        <x:v>Unmatched</x:v>
      </x:c>
      <x:c r="AZ718" s="14" t="str">
        <x:v>Final supplied register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20</x:v>
      </x:c>
      <x:c r="BP718" s="14" t="str">
        <x:v>Maximum eligible IMDb cast-credit total (20), shared by 4 performer(s); not independently verified as a 2021-only episode total.</x:v>
      </x:c>
      <x:c r="BQ718" s="14" t="str">
        <x:v>Medium</x:v>
      </x:c>
      <x:c r="BR718" s="15" t="n">
        <x:v>1</x:v>
      </x:c>
      <x:c r="BS718" s="16" t="n">
        <x:v>0.05</x:v>
      </x:c>
      <x:c r="BT718" s="14" t="str">
        <x:v>One episode</x:v>
      </x:c>
      <x:c r="BU718" s="14" t="str">
        <x:v>Medium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4" t="str">
        <x:v>HYPERLINK is not implemented. linkLocation=https://www.imdb.com/title/tt11639300/fullcredits/, friendlyName=Open source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tt11639300|nm1683073|chris hadcock</x:v>
      </x:c>
      <x:c r="B719" s="14" t="str">
        <x:v>02</x:v>
      </x:c>
      <x:c r="C719" s="14" t="str">
        <x:v>2021_IMDb_Cast_Lists_Batch_02(1).xlsx</x:v>
      </x:c>
      <x:c r="D719" s="14" t="str">
        <x:v>Grace</x:v>
      </x:c>
      <x:c r="E719" s="14" t="n">
        <x:v>323</x:v>
      </x:c>
      <x:c r="F719" s="14" t="str">
        <x:v>Grace</x:v>
      </x:c>
      <x:c r="G719" s="14" t="str">
        <x:v>tt11639300</x:v>
      </x:c>
      <x:c r="H719" s="14" t="n">
        <x:v>2021</x:v>
      </x:c>
      <x:c r="I719" s="14" t="n">
        <x:v>2025</x:v>
      </x:c>
      <x:c r="J719" s="14" t="str">
        <x:v>Earlier-Production Carry-In Cohort</x:v>
      </x:c>
      <x:c r="K719" s="14" t="n">
        <x:v>2021</x:v>
      </x:c>
      <x:c r="L719" s="14" t="str">
        <x:v>Available from 2021 analysis</x:v>
      </x:c>
      <x:c r="M719" s="15" t="n">
        <x:v>316</x:v>
      </x:c>
      <x:c r="N719" s="14" t="str">
        <x:v>Tony Wadham</x:v>
      </x:c>
      <x:c r="O719" s="14" t="str">
        <x:v>nm1683073</x:v>
      </x:c>
      <x:c r="P719" s="14" t="str">
        <x:v>Chris Hadcock</x:v>
      </x:c>
      <x:c r="Q719" s="15" t="n">
        <x:v>1</x:v>
      </x:c>
      <x:c r="R719" s="14" t="str">
        <x:v>2025</x:v>
      </x:c>
      <x:c r="S719" s="14" t="n">
        <x:v>2025</x:v>
      </x:c>
      <x:c r="T719" s="14" t="n">
        <x:v>2025</x:v>
      </x:c>
      <x:c r="U719" s="14" t="str">
        <x:v>Post-2021 casting excluded</x:v>
      </x:c>
      <x:c r="V719" s="14" t="str">
        <x:v>Earliest supplied year is 2025, later than the 2021 study year.</x:v>
      </x:c>
      <x:c r="W719" s="14"/>
      <x:c r="X719" s="14" t="str">
        <x:v>Included</x:v>
      </x:c>
      <x:c r="Y719" s="14"/>
      <x:c r="Z719" s="14" t="str">
        <x:v>Grace.docx</x:v>
      </x:c>
      <x:c r="AA719" s="14" t="str">
        <x:v>HYPERLINK is not implemented. linkLocation=https://www.imdb.com/title/tt11639300/fullcredits/, friendlyName=Open source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ITV / ITVX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7" t="e">
        <x:f>HYPERLINK("https://en.wikipedia.org/wiki/Grace","Open source")</x:f>
        <x:v>HYPERLINK is not implemented. linkLocation=https://en.wikipedia.org/wiki/Grace, friendlyName=Open source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 t="str">
        <x:v>No established-register match</x:v>
      </x:c>
      <x:c r="AT719" s="14"/>
      <x:c r="AU719" s="14"/>
      <x:c r="AV719" s="14" t="str">
        <x:v>No established apparent-disability match</x:v>
      </x:c>
      <x:c r="AW719" s="14"/>
      <x:c r="AX719" s="14" t="str">
        <x:v>No</x:v>
      </x:c>
      <x:c r="AY719" s="14" t="str">
        <x:v>Unmatched</x:v>
      </x:c>
      <x:c r="AZ719" s="14" t="str">
        <x:v>Final supplied register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20</x:v>
      </x:c>
      <x:c r="BP719" s="14" t="str">
        <x:v>Maximum eligible IMDb cast-credit total (20), shared by 4 performer(s); not independently verified as a 2021-only episode total.</x:v>
      </x:c>
      <x:c r="BQ719" s="14" t="str">
        <x:v>Medium</x:v>
      </x:c>
      <x:c r="BR719" s="15" t="n">
        <x:v>1</x:v>
      </x:c>
      <x:c r="BS719" s="16" t="n">
        <x:v>0.05</x:v>
      </x:c>
      <x:c r="BT719" s="14" t="str">
        <x:v>One episode</x:v>
      </x:c>
      <x:c r="BU719" s="14" t="str">
        <x:v>Medium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4" t="str">
        <x:v>HYPERLINK is not implemented. linkLocation=https://www.imdb.com/title/tt11639300/fullcredits/, friendlyName=Open source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tt11639300|nm9186401|forensic scientist</x:v>
      </x:c>
      <x:c r="B720" s="14" t="str">
        <x:v>02</x:v>
      </x:c>
      <x:c r="C720" s="14" t="str">
        <x:v>2021_IMDb_Cast_Lists_Batch_02(1).xlsx</x:v>
      </x:c>
      <x:c r="D720" s="14" t="str">
        <x:v>Grace</x:v>
      </x:c>
      <x:c r="E720" s="14" t="n">
        <x:v>330</x:v>
      </x:c>
      <x:c r="F720" s="14" t="str">
        <x:v>Grace</x:v>
      </x:c>
      <x:c r="G720" s="14" t="str">
        <x:v>tt11639300</x:v>
      </x:c>
      <x:c r="H720" s="14" t="n">
        <x:v>2021</x:v>
      </x:c>
      <x:c r="I720" s="14" t="n">
        <x:v>2025</x:v>
      </x:c>
      <x:c r="J720" s="14" t="str">
        <x:v>Earlier-Production Carry-In Cohort</x:v>
      </x:c>
      <x:c r="K720" s="14" t="n">
        <x:v>2021</x:v>
      </x:c>
      <x:c r="L720" s="14" t="str">
        <x:v>Available from 2021 analysis</x:v>
      </x:c>
      <x:c r="M720" s="15" t="n">
        <x:v>323</x:v>
      </x:c>
      <x:c r="N720" s="14" t="str">
        <x:v>Cavan Clarke</x:v>
      </x:c>
      <x:c r="O720" s="14" t="str">
        <x:v>nm9186401</x:v>
      </x:c>
      <x:c r="P720" s="14" t="str">
        <x:v>Forensic Scientist</x:v>
      </x:c>
      <x:c r="Q720" s="15" t="n">
        <x:v>1</x:v>
      </x:c>
      <x:c r="R720" s="14" t="str">
        <x:v>2025</x:v>
      </x:c>
      <x:c r="S720" s="14" t="n">
        <x:v>2025</x:v>
      </x:c>
      <x:c r="T720" s="14" t="n">
        <x:v>2025</x:v>
      </x:c>
      <x:c r="U720" s="14" t="str">
        <x:v>Post-2021 casting excluded</x:v>
      </x:c>
      <x:c r="V720" s="14" t="str">
        <x:v>Earliest supplied year is 2025, later than the 2021 study year.</x:v>
      </x:c>
      <x:c r="W720" s="14"/>
      <x:c r="X720" s="14" t="str">
        <x:v>Included</x:v>
      </x:c>
      <x:c r="Y720" s="14"/>
      <x:c r="Z720" s="14" t="str">
        <x:v>Grace.docx</x:v>
      </x:c>
      <x:c r="AA720" s="14" t="str">
        <x:v>HYPERLINK is not implemented. linkLocation=https://www.imdb.com/title/tt11639300/fullcredits/, friendlyName=Open source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ITV / ITVX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7" t="e">
        <x:f>HYPERLINK("https://en.wikipedia.org/wiki/Grace","Open source")</x:f>
        <x:v>HYPERLINK is not implemented. linkLocation=https://en.wikipedia.org/wiki/Grace, friendlyName=Open source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 t="str">
        <x:v>No established-register match</x:v>
      </x:c>
      <x:c r="AT720" s="14"/>
      <x:c r="AU720" s="14"/>
      <x:c r="AV720" s="14" t="str">
        <x:v>No established apparent-disability match</x:v>
      </x:c>
      <x:c r="AW720" s="14"/>
      <x:c r="AX720" s="14" t="str">
        <x:v>No</x:v>
      </x:c>
      <x:c r="AY720" s="14" t="str">
        <x:v>Unmatched</x:v>
      </x:c>
      <x:c r="AZ720" s="14" t="str">
        <x:v>Final supplied register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20</x:v>
      </x:c>
      <x:c r="BP720" s="14" t="str">
        <x:v>Maximum eligible IMDb cast-credit total (20), shared by 4 performer(s); not independently verified as a 2021-only episode total.</x:v>
      </x:c>
      <x:c r="BQ720" s="14" t="str">
        <x:v>Medium</x:v>
      </x:c>
      <x:c r="BR720" s="15" t="n">
        <x:v>1</x:v>
      </x:c>
      <x:c r="BS720" s="16" t="n">
        <x:v>0.05</x:v>
      </x:c>
      <x:c r="BT720" s="14" t="str">
        <x:v>One episode</x:v>
      </x:c>
      <x:c r="BU720" s="14" t="str">
        <x:v>Medium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4" t="str">
        <x:v>HYPERLINK is not implemented. linkLocation=https://www.imdb.com/title/tt11639300/fullcredits/, friendlyName=Open source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tt11639300|nm1056798|brendan drewett</x:v>
      </x:c>
      <x:c r="B721" s="14" t="str">
        <x:v>02</x:v>
      </x:c>
      <x:c r="C721" s="14" t="str">
        <x:v>2021_IMDb_Cast_Lists_Batch_02(1).xlsx</x:v>
      </x:c>
      <x:c r="D721" s="14" t="str">
        <x:v>Grace</x:v>
      </x:c>
      <x:c r="E721" s="14" t="n">
        <x:v>331</x:v>
      </x:c>
      <x:c r="F721" s="14" t="str">
        <x:v>Grace</x:v>
      </x:c>
      <x:c r="G721" s="14" t="str">
        <x:v>tt11639300</x:v>
      </x:c>
      <x:c r="H721" s="14" t="n">
        <x:v>2021</x:v>
      </x:c>
      <x:c r="I721" s="14" t="n">
        <x:v>2025</x:v>
      </x:c>
      <x:c r="J721" s="14" t="str">
        <x:v>Earlier-Production Carry-In Cohort</x:v>
      </x:c>
      <x:c r="K721" s="14" t="n">
        <x:v>2021</x:v>
      </x:c>
      <x:c r="L721" s="14" t="str">
        <x:v>Available from 2021 analysis</x:v>
      </x:c>
      <x:c r="M721" s="15" t="n">
        <x:v>324</x:v>
      </x:c>
      <x:c r="N721" s="14" t="str">
        <x:v>Andonis Anthony</x:v>
      </x:c>
      <x:c r="O721" s="14" t="str">
        <x:v>nm1056798</x:v>
      </x:c>
      <x:c r="P721" s="14" t="str">
        <x:v>Brendan Drewett</x:v>
      </x:c>
      <x:c r="Q721" s="15" t="n">
        <x:v>1</x:v>
      </x:c>
      <x:c r="R721" s="14" t="str">
        <x:v>2025</x:v>
      </x:c>
      <x:c r="S721" s="14" t="n">
        <x:v>2025</x:v>
      </x:c>
      <x:c r="T721" s="14" t="n">
        <x:v>2025</x:v>
      </x:c>
      <x:c r="U721" s="14" t="str">
        <x:v>Post-2021 casting excluded</x:v>
      </x:c>
      <x:c r="V721" s="14" t="str">
        <x:v>Earliest supplied year is 2025, later than the 2021 study year.</x:v>
      </x:c>
      <x:c r="W721" s="14"/>
      <x:c r="X721" s="14" t="str">
        <x:v>Included</x:v>
      </x:c>
      <x:c r="Y721" s="14" t="str">
        <x:v>(as Adonis James Anthony)</x:v>
      </x:c>
      <x:c r="Z721" s="14" t="str">
        <x:v>Grace.docx</x:v>
      </x:c>
      <x:c r="AA721" s="14" t="str">
        <x:v>HYPERLINK is not implemented. linkLocation=https://www.imdb.com/title/tt11639300/fullcredits/, friendlyName=Open source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ITV / ITVX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7" t="e">
        <x:f>HYPERLINK("https://en.wikipedia.org/wiki/Grace","Open source")</x:f>
        <x:v>HYPERLINK is not implemented. linkLocation=https://en.wikipedia.org/wiki/Grace, friendlyName=Open source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 t="str">
        <x:v>No established-register match</x:v>
      </x:c>
      <x:c r="AT721" s="14"/>
      <x:c r="AU721" s="14"/>
      <x:c r="AV721" s="14" t="str">
        <x:v>No established apparent-disability match</x:v>
      </x:c>
      <x:c r="AW721" s="14"/>
      <x:c r="AX721" s="14" t="str">
        <x:v>No</x:v>
      </x:c>
      <x:c r="AY721" s="14" t="str">
        <x:v>Unmatched</x:v>
      </x:c>
      <x:c r="AZ721" s="14" t="str">
        <x:v>Final supplied register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20</x:v>
      </x:c>
      <x:c r="BP721" s="14" t="str">
        <x:v>Maximum eligible IMDb cast-credit total (20), shared by 4 performer(s); not independently verified as a 2021-only episode total.</x:v>
      </x:c>
      <x:c r="BQ721" s="14" t="str">
        <x:v>Medium</x:v>
      </x:c>
      <x:c r="BR721" s="15" t="n">
        <x:v>1</x:v>
      </x:c>
      <x:c r="BS721" s="16" t="n">
        <x:v>0.05</x:v>
      </x:c>
      <x:c r="BT721" s="14" t="str">
        <x:v>One episode</x:v>
      </x:c>
      <x:c r="BU721" s="14" t="str">
        <x:v>Medium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4" t="str">
        <x:v>HYPERLINK is not implemented. linkLocation=https://www.imdb.com/title/tt11639300/fullcredits/, friendlyName=Open source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tt11639300|nm6359524|dan</x:v>
      </x:c>
      <x:c r="B722" s="14" t="str">
        <x:v>02</x:v>
      </x:c>
      <x:c r="C722" s="14" t="str">
        <x:v>2021_IMDb_Cast_Lists_Batch_02(1).xlsx</x:v>
      </x:c>
      <x:c r="D722" s="14" t="str">
        <x:v>Grace</x:v>
      </x:c>
      <x:c r="E722" s="14" t="n">
        <x:v>332</x:v>
      </x:c>
      <x:c r="F722" s="14" t="str">
        <x:v>Grace</x:v>
      </x:c>
      <x:c r="G722" s="14" t="str">
        <x:v>tt11639300</x:v>
      </x:c>
      <x:c r="H722" s="14" t="n">
        <x:v>2021</x:v>
      </x:c>
      <x:c r="I722" s="14" t="n">
        <x:v>2025</x:v>
      </x:c>
      <x:c r="J722" s="14" t="str">
        <x:v>Earlier-Production Carry-In Cohort</x:v>
      </x:c>
      <x:c r="K722" s="14" t="n">
        <x:v>2021</x:v>
      </x:c>
      <x:c r="L722" s="14" t="str">
        <x:v>Available from 2021 analysis</x:v>
      </x:c>
      <x:c r="M722" s="15" t="n">
        <x:v>325</x:v>
      </x:c>
      <x:c r="N722" s="14" t="str">
        <x:v>Rob Compton</x:v>
      </x:c>
      <x:c r="O722" s="14" t="str">
        <x:v>nm6359524</x:v>
      </x:c>
      <x:c r="P722" s="14" t="str">
        <x:v>Dan</x:v>
      </x:c>
      <x:c r="Q722" s="15" t="n">
        <x:v>1</x:v>
      </x:c>
      <x:c r="R722" s="14" t="str">
        <x:v>2025</x:v>
      </x:c>
      <x:c r="S722" s="14" t="n">
        <x:v>2025</x:v>
      </x:c>
      <x:c r="T722" s="14" t="n">
        <x:v>2025</x:v>
      </x:c>
      <x:c r="U722" s="14" t="str">
        <x:v>Post-2021 casting excluded</x:v>
      </x:c>
      <x:c r="V722" s="14" t="str">
        <x:v>Earliest supplied year is 2025, later than the 2021 study year.</x:v>
      </x:c>
      <x:c r="W722" s="14"/>
      <x:c r="X722" s="14" t="str">
        <x:v>Included</x:v>
      </x:c>
      <x:c r="Y722" s="14"/>
      <x:c r="Z722" s="14" t="str">
        <x:v>Grace.docx</x:v>
      </x:c>
      <x:c r="AA722" s="14" t="str">
        <x:v>HYPERLINK is not implemented. linkLocation=https://www.imdb.com/title/tt11639300/fullcredits/, friendlyName=Open source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ITV / ITVX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7" t="e">
        <x:f>HYPERLINK("https://en.wikipedia.org/wiki/Grace","Open source")</x:f>
        <x:v>HYPERLINK is not implemented. linkLocation=https://en.wikipedia.org/wiki/Grace, friendlyName=Open source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 t="str">
        <x:v>No established-register match</x:v>
      </x:c>
      <x:c r="AT722" s="14"/>
      <x:c r="AU722" s="14"/>
      <x:c r="AV722" s="14" t="str">
        <x:v>No established apparent-disability match</x:v>
      </x:c>
      <x:c r="AW722" s="14"/>
      <x:c r="AX722" s="14" t="str">
        <x:v>No</x:v>
      </x:c>
      <x:c r="AY722" s="14" t="str">
        <x:v>Unmatched</x:v>
      </x:c>
      <x:c r="AZ722" s="14" t="str">
        <x:v>Final supplied register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20</x:v>
      </x:c>
      <x:c r="BP722" s="14" t="str">
        <x:v>Maximum eligible IMDb cast-credit total (20), shared by 4 performer(s); not independently verified as a 2021-only episode total.</x:v>
      </x:c>
      <x:c r="BQ722" s="14" t="str">
        <x:v>Medium</x:v>
      </x:c>
      <x:c r="BR722" s="15" t="n">
        <x:v>1</x:v>
      </x:c>
      <x:c r="BS722" s="16" t="n">
        <x:v>0.05</x:v>
      </x:c>
      <x:c r="BT722" s="14" t="str">
        <x:v>One episode</x:v>
      </x:c>
      <x:c r="BU722" s="14" t="str">
        <x:v>Medium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4" t="str">
        <x:v>HYPERLINK is not implemented. linkLocation=https://www.imdb.com/title/tt11639300/fullcredits/, friendlyName=Open source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tt11639300|nm6177817|tim weatherley</x:v>
      </x:c>
      <x:c r="B723" s="14" t="str">
        <x:v>02</x:v>
      </x:c>
      <x:c r="C723" s="14" t="str">
        <x:v>2021_IMDb_Cast_Lists_Batch_02(1).xlsx</x:v>
      </x:c>
      <x:c r="D723" s="14" t="str">
        <x:v>Grace</x:v>
      </x:c>
      <x:c r="E723" s="14" t="n">
        <x:v>338</x:v>
      </x:c>
      <x:c r="F723" s="14" t="str">
        <x:v>Grace</x:v>
      </x:c>
      <x:c r="G723" s="14" t="str">
        <x:v>tt11639300</x:v>
      </x:c>
      <x:c r="H723" s="14" t="n">
        <x:v>2021</x:v>
      </x:c>
      <x:c r="I723" s="14" t="n">
        <x:v>2025</x:v>
      </x:c>
      <x:c r="J723" s="14" t="str">
        <x:v>Earlier-Production Carry-In Cohort</x:v>
      </x:c>
      <x:c r="K723" s="14" t="n">
        <x:v>2021</x:v>
      </x:c>
      <x:c r="L723" s="14" t="str">
        <x:v>Available from 2021 analysis</x:v>
      </x:c>
      <x:c r="M723" s="15" t="n">
        <x:v>331</x:v>
      </x:c>
      <x:c r="N723" s="14" t="str">
        <x:v>Joseph Potter</x:v>
      </x:c>
      <x:c r="O723" s="14" t="str">
        <x:v>nm6177817</x:v>
      </x:c>
      <x:c r="P723" s="14" t="str">
        <x:v>Tim Weatherley</x:v>
      </x:c>
      <x:c r="Q723" s="15" t="n">
        <x:v>1</x:v>
      </x:c>
      <x:c r="R723" s="14" t="str">
        <x:v>2025</x:v>
      </x:c>
      <x:c r="S723" s="14" t="n">
        <x:v>2025</x:v>
      </x:c>
      <x:c r="T723" s="14" t="n">
        <x:v>2025</x:v>
      </x:c>
      <x:c r="U723" s="14" t="str">
        <x:v>Post-2021 casting excluded</x:v>
      </x:c>
      <x:c r="V723" s="14" t="str">
        <x:v>Earliest supplied year is 2025, later than the 2021 study year.</x:v>
      </x:c>
      <x:c r="W723" s="14"/>
      <x:c r="X723" s="14" t="str">
        <x:v>Included</x:v>
      </x:c>
      <x:c r="Y723" s="14"/>
      <x:c r="Z723" s="14" t="str">
        <x:v>Grace.docx</x:v>
      </x:c>
      <x:c r="AA723" s="14" t="str">
        <x:v>HYPERLINK is not implemented. linkLocation=https://www.imdb.com/title/tt11639300/fullcredits/, friendlyName=Open source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ITV / ITVX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7" t="e">
        <x:f>HYPERLINK("https://en.wikipedia.org/wiki/Grace","Open source")</x:f>
        <x:v>HYPERLINK is not implemented. linkLocation=https://en.wikipedia.org/wiki/Grace, friendlyName=Open source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 t="str">
        <x:v>No established-register match</x:v>
      </x:c>
      <x:c r="AT723" s="14"/>
      <x:c r="AU723" s="14"/>
      <x:c r="AV723" s="14" t="str">
        <x:v>No established apparent-disability match</x:v>
      </x:c>
      <x:c r="AW723" s="14"/>
      <x:c r="AX723" s="14" t="str">
        <x:v>No</x:v>
      </x:c>
      <x:c r="AY723" s="14" t="str">
        <x:v>Unmatched</x:v>
      </x:c>
      <x:c r="AZ723" s="14" t="str">
        <x:v>Final supplied register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20</x:v>
      </x:c>
      <x:c r="BP723" s="14" t="str">
        <x:v>Maximum eligible IMDb cast-credit total (20), shared by 4 performer(s); not independently verified as a 2021-only episode total.</x:v>
      </x:c>
      <x:c r="BQ723" s="14" t="str">
        <x:v>Medium</x:v>
      </x:c>
      <x:c r="BR723" s="15" t="n">
        <x:v>1</x:v>
      </x:c>
      <x:c r="BS723" s="16" t="n">
        <x:v>0.05</x:v>
      </x:c>
      <x:c r="BT723" s="14" t="str">
        <x:v>One episode</x:v>
      </x:c>
      <x:c r="BU723" s="14" t="str">
        <x:v>Medium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4" t="str">
        <x:v>HYPERLINK is not implemented. linkLocation=https://www.imdb.com/title/tt11639300/fullcredits/, friendlyName=Open source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tt11639300|nm1765971|colin</x:v>
      </x:c>
      <x:c r="B724" s="14" t="str">
        <x:v>02</x:v>
      </x:c>
      <x:c r="C724" s="14" t="str">
        <x:v>2021_IMDb_Cast_Lists_Batch_02(1).xlsx</x:v>
      </x:c>
      <x:c r="D724" s="14" t="str">
        <x:v>Grace</x:v>
      </x:c>
      <x:c r="E724" s="14" t="n">
        <x:v>339</x:v>
      </x:c>
      <x:c r="F724" s="14" t="str">
        <x:v>Grace</x:v>
      </x:c>
      <x:c r="G724" s="14" t="str">
        <x:v>tt11639300</x:v>
      </x:c>
      <x:c r="H724" s="14" t="n">
        <x:v>2021</x:v>
      </x:c>
      <x:c r="I724" s="14" t="n">
        <x:v>2025</x:v>
      </x:c>
      <x:c r="J724" s="14" t="str">
        <x:v>Earlier-Production Carry-In Cohort</x:v>
      </x:c>
      <x:c r="K724" s="14" t="n">
        <x:v>2021</x:v>
      </x:c>
      <x:c r="L724" s="14" t="str">
        <x:v>Available from 2021 analysis</x:v>
      </x:c>
      <x:c r="M724" s="15" t="n">
        <x:v>332</x:v>
      </x:c>
      <x:c r="N724" s="14" t="str">
        <x:v>Russell Barnett</x:v>
      </x:c>
      <x:c r="O724" s="14" t="str">
        <x:v>nm1765971</x:v>
      </x:c>
      <x:c r="P724" s="14" t="str">
        <x:v>Colin</x:v>
      </x:c>
      <x:c r="Q724" s="15" t="n">
        <x:v>1</x:v>
      </x:c>
      <x:c r="R724" s="14" t="str">
        <x:v>2025</x:v>
      </x:c>
      <x:c r="S724" s="14" t="n">
        <x:v>2025</x:v>
      </x:c>
      <x:c r="T724" s="14" t="n">
        <x:v>2025</x:v>
      </x:c>
      <x:c r="U724" s="14" t="str">
        <x:v>Post-2021 casting excluded</x:v>
      </x:c>
      <x:c r="V724" s="14" t="str">
        <x:v>Earliest supplied year is 2025, later than the 2021 study year.</x:v>
      </x:c>
      <x:c r="W724" s="14"/>
      <x:c r="X724" s="14" t="str">
        <x:v>Included</x:v>
      </x:c>
      <x:c r="Y724" s="14"/>
      <x:c r="Z724" s="14" t="str">
        <x:v>Grace.docx</x:v>
      </x:c>
      <x:c r="AA724" s="14" t="str">
        <x:v>HYPERLINK is not implemented. linkLocation=https://www.imdb.com/title/tt11639300/fullcredits/, friendlyName=Open source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ITV / ITVX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7" t="e">
        <x:f>HYPERLINK("https://en.wikipedia.org/wiki/Grace","Open source")</x:f>
        <x:v>HYPERLINK is not implemented. linkLocation=https://en.wikipedia.org/wiki/Grace, friendlyName=Open source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 t="str">
        <x:v>No established-register match</x:v>
      </x:c>
      <x:c r="AT724" s="14"/>
      <x:c r="AU724" s="14"/>
      <x:c r="AV724" s="14" t="str">
        <x:v>No established apparent-disability match</x:v>
      </x:c>
      <x:c r="AW724" s="14"/>
      <x:c r="AX724" s="14" t="str">
        <x:v>No</x:v>
      </x:c>
      <x:c r="AY724" s="14" t="str">
        <x:v>Unmatched</x:v>
      </x:c>
      <x:c r="AZ724" s="14" t="str">
        <x:v>Final supplied register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20</x:v>
      </x:c>
      <x:c r="BP724" s="14" t="str">
        <x:v>Maximum eligible IMDb cast-credit total (20), shared by 4 performer(s); not independently verified as a 2021-only episode total.</x:v>
      </x:c>
      <x:c r="BQ724" s="14" t="str">
        <x:v>Medium</x:v>
      </x:c>
      <x:c r="BR724" s="15" t="n">
        <x:v>1</x:v>
      </x:c>
      <x:c r="BS724" s="16" t="n">
        <x:v>0.05</x:v>
      </x:c>
      <x:c r="BT724" s="14" t="str">
        <x:v>One episode</x:v>
      </x:c>
      <x:c r="BU724" s="14" t="str">
        <x:v>Medium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4" t="str">
        <x:v>HYPERLINK is not implemented. linkLocation=https://www.imdb.com/title/tt11639300/fullcredits/, friendlyName=Open source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tt11639300|nm0086324|colin mackaye</x:v>
      </x:c>
      <x:c r="B725" s="14" t="str">
        <x:v>02</x:v>
      </x:c>
      <x:c r="C725" s="14" t="str">
        <x:v>2021_IMDb_Cast_Lists_Batch_02(1).xlsx</x:v>
      </x:c>
      <x:c r="D725" s="14" t="str">
        <x:v>Grace</x:v>
      </x:c>
      <x:c r="E725" s="14" t="n">
        <x:v>345</x:v>
      </x:c>
      <x:c r="F725" s="14" t="str">
        <x:v>Grace</x:v>
      </x:c>
      <x:c r="G725" s="14" t="str">
        <x:v>tt11639300</x:v>
      </x:c>
      <x:c r="H725" s="14" t="n">
        <x:v>2021</x:v>
      </x:c>
      <x:c r="I725" s="14" t="n">
        <x:v>2025</x:v>
      </x:c>
      <x:c r="J725" s="14" t="str">
        <x:v>Earlier-Production Carry-In Cohort</x:v>
      </x:c>
      <x:c r="K725" s="14" t="n">
        <x:v>2021</x:v>
      </x:c>
      <x:c r="L725" s="14" t="str">
        <x:v>Available from 2021 analysis</x:v>
      </x:c>
      <x:c r="M725" s="15" t="n">
        <x:v>338</x:v>
      </x:c>
      <x:c r="N725" s="14" t="str">
        <x:v>Paul Blair</x:v>
      </x:c>
      <x:c r="O725" s="14" t="str">
        <x:v>nm0086324</x:v>
      </x:c>
      <x:c r="P725" s="14" t="str">
        <x:v>Colin MacKaye</x:v>
      </x:c>
      <x:c r="Q725" s="15" t="n">
        <x:v>1</x:v>
      </x:c>
      <x:c r="R725" s="14" t="str">
        <x:v>2025</x:v>
      </x:c>
      <x:c r="S725" s="14" t="n">
        <x:v>2025</x:v>
      </x:c>
      <x:c r="T725" s="14" t="n">
        <x:v>2025</x:v>
      </x:c>
      <x:c r="U725" s="14" t="str">
        <x:v>Post-2021 casting excluded</x:v>
      </x:c>
      <x:c r="V725" s="14" t="str">
        <x:v>Earliest supplied year is 2025, later than the 2021 study year.</x:v>
      </x:c>
      <x:c r="W725" s="14"/>
      <x:c r="X725" s="14" t="str">
        <x:v>Included</x:v>
      </x:c>
      <x:c r="Y725" s="14"/>
      <x:c r="Z725" s="14" t="str">
        <x:v>Grace.docx</x:v>
      </x:c>
      <x:c r="AA725" s="14" t="str">
        <x:v>HYPERLINK is not implemented. linkLocation=https://www.imdb.com/title/tt11639300/fullcredits/, friendlyName=Open source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ITV / ITVX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7" t="e">
        <x:f>HYPERLINK("https://en.wikipedia.org/wiki/Grace","Open source")</x:f>
        <x:v>HYPERLINK is not implemented. linkLocation=https://en.wikipedia.org/wiki/Grace, friendlyName=Open source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 t="str">
        <x:v>No established-register match</x:v>
      </x:c>
      <x:c r="AT725" s="14"/>
      <x:c r="AU725" s="14"/>
      <x:c r="AV725" s="14" t="str">
        <x:v>No established apparent-disability match</x:v>
      </x:c>
      <x:c r="AW725" s="14"/>
      <x:c r="AX725" s="14" t="str">
        <x:v>No</x:v>
      </x:c>
      <x:c r="AY725" s="14" t="str">
        <x:v>Unmatched</x:v>
      </x:c>
      <x:c r="AZ725" s="14" t="str">
        <x:v>Final supplied register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20</x:v>
      </x:c>
      <x:c r="BP725" s="14" t="str">
        <x:v>Maximum eligible IMDb cast-credit total (20), shared by 4 performer(s); not independently verified as a 2021-only episode total.</x:v>
      </x:c>
      <x:c r="BQ725" s="14" t="str">
        <x:v>Medium</x:v>
      </x:c>
      <x:c r="BR725" s="15" t="n">
        <x:v>1</x:v>
      </x:c>
      <x:c r="BS725" s="16" t="n">
        <x:v>0.05</x:v>
      </x:c>
      <x:c r="BT725" s="14" t="str">
        <x:v>One episode</x:v>
      </x:c>
      <x:c r="BU725" s="14" t="str">
        <x:v>Medium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4" t="str">
        <x:v>HYPERLINK is not implemented. linkLocation=https://www.imdb.com/title/tt11639300/fullcredits/, friendlyName=Open source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tt11639300|nm0382657|chaplain</x:v>
      </x:c>
      <x:c r="B726" s="14" t="str">
        <x:v>02</x:v>
      </x:c>
      <x:c r="C726" s="14" t="str">
        <x:v>2021_IMDb_Cast_Lists_Batch_02(1).xlsx</x:v>
      </x:c>
      <x:c r="D726" s="14" t="str">
        <x:v>Grace</x:v>
      </x:c>
      <x:c r="E726" s="14" t="n">
        <x:v>351</x:v>
      </x:c>
      <x:c r="F726" s="14" t="str">
        <x:v>Grace</x:v>
      </x:c>
      <x:c r="G726" s="14" t="str">
        <x:v>tt11639300</x:v>
      </x:c>
      <x:c r="H726" s="14" t="n">
        <x:v>2021</x:v>
      </x:c>
      <x:c r="I726" s="14" t="n">
        <x:v>2025</x:v>
      </x:c>
      <x:c r="J726" s="14" t="str">
        <x:v>Earlier-Production Carry-In Cohort</x:v>
      </x:c>
      <x:c r="K726" s="14" t="n">
        <x:v>2021</x:v>
      </x:c>
      <x:c r="L726" s="14" t="str">
        <x:v>Available from 2021 analysis</x:v>
      </x:c>
      <x:c r="M726" s="15" t="n">
        <x:v>344</x:v>
      </x:c>
      <x:c r="N726" s="14" t="str">
        <x:v>Paul Hickey</x:v>
      </x:c>
      <x:c r="O726" s="14" t="str">
        <x:v>nm0382657</x:v>
      </x:c>
      <x:c r="P726" s="14" t="str">
        <x:v>Chaplain</x:v>
      </x:c>
      <x:c r="Q726" s="15" t="n">
        <x:v>1</x:v>
      </x:c>
      <x:c r="R726" s="14" t="str">
        <x:v>2025</x:v>
      </x:c>
      <x:c r="S726" s="14" t="n">
        <x:v>2025</x:v>
      </x:c>
      <x:c r="T726" s="14" t="n">
        <x:v>2025</x:v>
      </x:c>
      <x:c r="U726" s="14" t="str">
        <x:v>Post-2021 casting excluded</x:v>
      </x:c>
      <x:c r="V726" s="14" t="str">
        <x:v>Earliest supplied year is 2025, later than the 2021 study year.</x:v>
      </x:c>
      <x:c r="W726" s="14"/>
      <x:c r="X726" s="14" t="str">
        <x:v>Included</x:v>
      </x:c>
      <x:c r="Y726" s="14"/>
      <x:c r="Z726" s="14" t="str">
        <x:v>Grace.docx</x:v>
      </x:c>
      <x:c r="AA726" s="14" t="str">
        <x:v>HYPERLINK is not implemented. linkLocation=https://www.imdb.com/title/tt11639300/fullcredits/, friendlyName=Open source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ITV / ITVX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7" t="e">
        <x:f>HYPERLINK("https://en.wikipedia.org/wiki/Grace","Open source")</x:f>
        <x:v>HYPERLINK is not implemented. linkLocation=https://en.wikipedia.org/wiki/Grace, friendlyName=Open source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 t="str">
        <x:v>No established-register match</x:v>
      </x:c>
      <x:c r="AT726" s="14"/>
      <x:c r="AU726" s="14"/>
      <x:c r="AV726" s="14" t="str">
        <x:v>No established apparent-disability match</x:v>
      </x:c>
      <x:c r="AW726" s="14"/>
      <x:c r="AX726" s="14" t="str">
        <x:v>No</x:v>
      </x:c>
      <x:c r="AY726" s="14" t="str">
        <x:v>Unmatched</x:v>
      </x:c>
      <x:c r="AZ726" s="14" t="str">
        <x:v>Final supplied register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20</x:v>
      </x:c>
      <x:c r="BP726" s="14" t="str">
        <x:v>Maximum eligible IMDb cast-credit total (20), shared by 4 performer(s); not independently verified as a 2021-only episode total.</x:v>
      </x:c>
      <x:c r="BQ726" s="14" t="str">
        <x:v>Medium</x:v>
      </x:c>
      <x:c r="BR726" s="15" t="n">
        <x:v>1</x:v>
      </x:c>
      <x:c r="BS726" s="16" t="n">
        <x:v>0.05</x:v>
      </x:c>
      <x:c r="BT726" s="14" t="str">
        <x:v>One episode</x:v>
      </x:c>
      <x:c r="BU726" s="14" t="str">
        <x:v>Medium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4" t="str">
        <x:v>HYPERLINK is not implemented. linkLocation=https://www.imdb.com/title/tt11639300/fullcredits/, friendlyName=Open source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tt11639300|nm1986581|ronnie close</x:v>
      </x:c>
      <x:c r="B727" s="14" t="str">
        <x:v>02</x:v>
      </x:c>
      <x:c r="C727" s="14" t="str">
        <x:v>2021_IMDb_Cast_Lists_Batch_02(1).xlsx</x:v>
      </x:c>
      <x:c r="D727" s="14" t="str">
        <x:v>Grace</x:v>
      </x:c>
      <x:c r="E727" s="14" t="n">
        <x:v>356</x:v>
      </x:c>
      <x:c r="F727" s="14" t="str">
        <x:v>Grace</x:v>
      </x:c>
      <x:c r="G727" s="14" t="str">
        <x:v>tt11639300</x:v>
      </x:c>
      <x:c r="H727" s="14" t="n">
        <x:v>2021</x:v>
      </x:c>
      <x:c r="I727" s="14" t="n">
        <x:v>2025</x:v>
      </x:c>
      <x:c r="J727" s="14" t="str">
        <x:v>Earlier-Production Carry-In Cohort</x:v>
      </x:c>
      <x:c r="K727" s="14" t="n">
        <x:v>2021</x:v>
      </x:c>
      <x:c r="L727" s="14" t="str">
        <x:v>Available from 2021 analysis</x:v>
      </x:c>
      <x:c r="M727" s="15" t="n">
        <x:v>349</x:v>
      </x:c>
      <x:c r="N727" s="14" t="str">
        <x:v>Liam Smith</x:v>
      </x:c>
      <x:c r="O727" s="14" t="str">
        <x:v>nm1986581</x:v>
      </x:c>
      <x:c r="P727" s="14" t="str">
        <x:v>Ronnie Close</x:v>
      </x:c>
      <x:c r="Q727" s="15" t="n">
        <x:v>1</x:v>
      </x:c>
      <x:c r="R727" s="14" t="str">
        <x:v>2025</x:v>
      </x:c>
      <x:c r="S727" s="14" t="n">
        <x:v>2025</x:v>
      </x:c>
      <x:c r="T727" s="14" t="n">
        <x:v>2025</x:v>
      </x:c>
      <x:c r="U727" s="14" t="str">
        <x:v>Post-2021 casting excluded</x:v>
      </x:c>
      <x:c r="V727" s="14" t="str">
        <x:v>Earliest supplied year is 2025, later than the 2021 study year.</x:v>
      </x:c>
      <x:c r="W727" s="14"/>
      <x:c r="X727" s="14" t="str">
        <x:v>Included</x:v>
      </x:c>
      <x:c r="Y727" s="14"/>
      <x:c r="Z727" s="14" t="str">
        <x:v>Grace.docx</x:v>
      </x:c>
      <x:c r="AA727" s="14" t="str">
        <x:v>HYPERLINK is not implemented. linkLocation=https://www.imdb.com/title/tt11639300/fullcredits/, friendlyName=Open source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ITV / ITVX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7" t="e">
        <x:f>HYPERLINK("https://en.wikipedia.org/wiki/Grace","Open source")</x:f>
        <x:v>HYPERLINK is not implemented. linkLocation=https://en.wikipedia.org/wiki/Grace, friendlyName=Open source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 t="str">
        <x:v>No established-register match</x:v>
      </x:c>
      <x:c r="AT727" s="14"/>
      <x:c r="AU727" s="14"/>
      <x:c r="AV727" s="14" t="str">
        <x:v>No established apparent-disability match</x:v>
      </x:c>
      <x:c r="AW727" s="14"/>
      <x:c r="AX727" s="14" t="str">
        <x:v>No</x:v>
      </x:c>
      <x:c r="AY727" s="14" t="str">
        <x:v>Unmatched</x:v>
      </x:c>
      <x:c r="AZ727" s="14" t="str">
        <x:v>Final supplied register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20</x:v>
      </x:c>
      <x:c r="BP727" s="14" t="str">
        <x:v>Maximum eligible IMDb cast-credit total (20), shared by 4 performer(s); not independently verified as a 2021-only episode total.</x:v>
      </x:c>
      <x:c r="BQ727" s="14" t="str">
        <x:v>Medium</x:v>
      </x:c>
      <x:c r="BR727" s="15" t="n">
        <x:v>1</x:v>
      </x:c>
      <x:c r="BS727" s="16" t="n">
        <x:v>0.05</x:v>
      </x:c>
      <x:c r="BT727" s="14" t="str">
        <x:v>One episode</x:v>
      </x:c>
      <x:c r="BU727" s="14" t="str">
        <x:v>Medium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4" t="str">
        <x:v>HYPERLINK is not implemented. linkLocation=https://www.imdb.com/title/tt11639300/fullcredits/, friendlyName=Open source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tt11639300|nm7551452|nurse</x:v>
      </x:c>
      <x:c r="B728" s="14" t="str">
        <x:v>02</x:v>
      </x:c>
      <x:c r="C728" s="14" t="str">
        <x:v>2021_IMDb_Cast_Lists_Batch_02(1).xlsx</x:v>
      </x:c>
      <x:c r="D728" s="14" t="str">
        <x:v>Grace</x:v>
      </x:c>
      <x:c r="E728" s="14" t="n">
        <x:v>360</x:v>
      </x:c>
      <x:c r="F728" s="14" t="str">
        <x:v>Grace</x:v>
      </x:c>
      <x:c r="G728" s="14" t="str">
        <x:v>tt11639300</x:v>
      </x:c>
      <x:c r="H728" s="14" t="n">
        <x:v>2021</x:v>
      </x:c>
      <x:c r="I728" s="14" t="n">
        <x:v>2025</x:v>
      </x:c>
      <x:c r="J728" s="14" t="str">
        <x:v>Earlier-Production Carry-In Cohort</x:v>
      </x:c>
      <x:c r="K728" s="14" t="n">
        <x:v>2021</x:v>
      </x:c>
      <x:c r="L728" s="14" t="str">
        <x:v>Available from 2021 analysis</x:v>
      </x:c>
      <x:c r="M728" s="15" t="n">
        <x:v>353</x:v>
      </x:c>
      <x:c r="N728" s="14" t="str">
        <x:v>Kate Kelly Flood</x:v>
      </x:c>
      <x:c r="O728" s="14" t="str">
        <x:v>nm7551452</x:v>
      </x:c>
      <x:c r="P728" s="14" t="str">
        <x:v>Nurse</x:v>
      </x:c>
      <x:c r="Q728" s="15" t="n">
        <x:v>1</x:v>
      </x:c>
      <x:c r="R728" s="14" t="str">
        <x:v>2025</x:v>
      </x:c>
      <x:c r="S728" s="14" t="n">
        <x:v>2025</x:v>
      </x:c>
      <x:c r="T728" s="14" t="n">
        <x:v>2025</x:v>
      </x:c>
      <x:c r="U728" s="14" t="str">
        <x:v>Post-2021 casting excluded</x:v>
      </x:c>
      <x:c r="V728" s="14" t="str">
        <x:v>Earliest supplied year is 2025, later than the 2021 study year.</x:v>
      </x:c>
      <x:c r="W728" s="14"/>
      <x:c r="X728" s="14" t="str">
        <x:v>Included</x:v>
      </x:c>
      <x:c r="Y728" s="14"/>
      <x:c r="Z728" s="14" t="str">
        <x:v>Grace.docx</x:v>
      </x:c>
      <x:c r="AA728" s="14" t="str">
        <x:v>HYPERLINK is not implemented. linkLocation=https://www.imdb.com/title/tt11639300/fullcredits/, friendlyName=Open source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ITV / ITVX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7" t="e">
        <x:f>HYPERLINK("https://en.wikipedia.org/wiki/Grace","Open source")</x:f>
        <x:v>HYPERLINK is not implemented. linkLocation=https://en.wikipedia.org/wiki/Grace, friendlyName=Open source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 t="str">
        <x:v>No established-register match</x:v>
      </x:c>
      <x:c r="AT728" s="14"/>
      <x:c r="AU728" s="14"/>
      <x:c r="AV728" s="14" t="str">
        <x:v>No established apparent-disability match</x:v>
      </x:c>
      <x:c r="AW728" s="14"/>
      <x:c r="AX728" s="14" t="str">
        <x:v>No</x:v>
      </x:c>
      <x:c r="AY728" s="14" t="str">
        <x:v>Unmatched</x:v>
      </x:c>
      <x:c r="AZ728" s="14" t="str">
        <x:v>Final supplied register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20</x:v>
      </x:c>
      <x:c r="BP728" s="14" t="str">
        <x:v>Maximum eligible IMDb cast-credit total (20), shared by 4 performer(s); not independently verified as a 2021-only episode total.</x:v>
      </x:c>
      <x:c r="BQ728" s="14" t="str">
        <x:v>Medium</x:v>
      </x:c>
      <x:c r="BR728" s="15" t="n">
        <x:v>1</x:v>
      </x:c>
      <x:c r="BS728" s="16" t="n">
        <x:v>0.05</x:v>
      </x:c>
      <x:c r="BT728" s="14" t="str">
        <x:v>One episode</x:v>
      </x:c>
      <x:c r="BU728" s="14" t="str">
        <x:v>Medium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4" t="str">
        <x:v>HYPERLINK is not implemented. linkLocation=https://www.imdb.com/title/tt11639300/fullcredits/, friendlyName=Open source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tt11639300|nm16434628|richard bailey</x:v>
      </x:c>
      <x:c r="B729" s="14" t="str">
        <x:v>02</x:v>
      </x:c>
      <x:c r="C729" s="14" t="str">
        <x:v>2021_IMDb_Cast_Lists_Batch_02(1).xlsx</x:v>
      </x:c>
      <x:c r="D729" s="14" t="str">
        <x:v>Grace</x:v>
      </x:c>
      <x:c r="E729" s="14" t="n">
        <x:v>361</x:v>
      </x:c>
      <x:c r="F729" s="14" t="str">
        <x:v>Grace</x:v>
      </x:c>
      <x:c r="G729" s="14" t="str">
        <x:v>tt11639300</x:v>
      </x:c>
      <x:c r="H729" s="14" t="n">
        <x:v>2021</x:v>
      </x:c>
      <x:c r="I729" s="14" t="n">
        <x:v>2025</x:v>
      </x:c>
      <x:c r="J729" s="14" t="str">
        <x:v>Earlier-Production Carry-In Cohort</x:v>
      </x:c>
      <x:c r="K729" s="14" t="n">
        <x:v>2021</x:v>
      </x:c>
      <x:c r="L729" s="14" t="str">
        <x:v>Available from 2021 analysis</x:v>
      </x:c>
      <x:c r="M729" s="15" t="n">
        <x:v>354</x:v>
      </x:c>
      <x:c r="N729" s="14" t="str">
        <x:v>Luke Azille</x:v>
      </x:c>
      <x:c r="O729" s="14" t="str">
        <x:v>nm16434628</x:v>
      </x:c>
      <x:c r="P729" s="14" t="str">
        <x:v>Richard Bailey</x:v>
      </x:c>
      <x:c r="Q729" s="15" t="n">
        <x:v>1</x:v>
      </x:c>
      <x:c r="R729" s="14" t="str">
        <x:v>2025</x:v>
      </x:c>
      <x:c r="S729" s="14" t="n">
        <x:v>2025</x:v>
      </x:c>
      <x:c r="T729" s="14" t="n">
        <x:v>2025</x:v>
      </x:c>
      <x:c r="U729" s="14" t="str">
        <x:v>Post-2021 casting excluded</x:v>
      </x:c>
      <x:c r="V729" s="14" t="str">
        <x:v>Earliest supplied year is 2025, later than the 2021 study year.</x:v>
      </x:c>
      <x:c r="W729" s="14"/>
      <x:c r="X729" s="14" t="str">
        <x:v>Included</x:v>
      </x:c>
      <x:c r="Y729" s="14"/>
      <x:c r="Z729" s="14" t="str">
        <x:v>Grace.docx</x:v>
      </x:c>
      <x:c r="AA729" s="14" t="str">
        <x:v>HYPERLINK is not implemented. linkLocation=https://www.imdb.com/title/tt11639300/fullcredits/, friendlyName=Open source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ITV / ITVX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7" t="e">
        <x:f>HYPERLINK("https://en.wikipedia.org/wiki/Grace","Open source")</x:f>
        <x:v>HYPERLINK is not implemented. linkLocation=https://en.wikipedia.org/wiki/Grace, friendlyName=Open source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 t="str">
        <x:v>No established-register match</x:v>
      </x:c>
      <x:c r="AT729" s="14"/>
      <x:c r="AU729" s="14"/>
      <x:c r="AV729" s="14" t="str">
        <x:v>No established apparent-disability match</x:v>
      </x:c>
      <x:c r="AW729" s="14"/>
      <x:c r="AX729" s="14" t="str">
        <x:v>No</x:v>
      </x:c>
      <x:c r="AY729" s="14" t="str">
        <x:v>Unmatched</x:v>
      </x:c>
      <x:c r="AZ729" s="14" t="str">
        <x:v>Final supplied register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20</x:v>
      </x:c>
      <x:c r="BP729" s="14" t="str">
        <x:v>Maximum eligible IMDb cast-credit total (20), shared by 4 performer(s); not independently verified as a 2021-only episode total.</x:v>
      </x:c>
      <x:c r="BQ729" s="14" t="str">
        <x:v>Medium</x:v>
      </x:c>
      <x:c r="BR729" s="15" t="n">
        <x:v>1</x:v>
      </x:c>
      <x:c r="BS729" s="16" t="n">
        <x:v>0.05</x:v>
      </x:c>
      <x:c r="BT729" s="14" t="str">
        <x:v>One episode</x:v>
      </x:c>
      <x:c r="BU729" s="14" t="str">
        <x:v>Medium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4" t="str">
        <x:v>HYPERLINK is not implemented. linkLocation=https://www.imdb.com/title/tt11639300/fullcredits/, friendlyName=Open source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tt11639300|nm8073026|sally jacobs</x:v>
      </x:c>
      <x:c r="B730" s="14" t="str">
        <x:v>02</x:v>
      </x:c>
      <x:c r="C730" s="14" t="str">
        <x:v>2021_IMDb_Cast_Lists_Batch_02(1).xlsx</x:v>
      </x:c>
      <x:c r="D730" s="14" t="str">
        <x:v>Grace</x:v>
      </x:c>
      <x:c r="E730" s="14" t="n">
        <x:v>364</x:v>
      </x:c>
      <x:c r="F730" s="14" t="str">
        <x:v>Grace</x:v>
      </x:c>
      <x:c r="G730" s="14" t="str">
        <x:v>tt11639300</x:v>
      </x:c>
      <x:c r="H730" s="14" t="n">
        <x:v>2021</x:v>
      </x:c>
      <x:c r="I730" s="14" t="n">
        <x:v>2025</x:v>
      </x:c>
      <x:c r="J730" s="14" t="str">
        <x:v>Earlier-Production Carry-In Cohort</x:v>
      </x:c>
      <x:c r="K730" s="14" t="n">
        <x:v>2021</x:v>
      </x:c>
      <x:c r="L730" s="14" t="str">
        <x:v>Available from 2021 analysis</x:v>
      </x:c>
      <x:c r="M730" s="15" t="n">
        <x:v>357</x:v>
      </x:c>
      <x:c r="N730" s="14" t="str">
        <x:v>Connie Jenkins-Greig</x:v>
      </x:c>
      <x:c r="O730" s="14" t="str">
        <x:v>nm8073026</x:v>
      </x:c>
      <x:c r="P730" s="14" t="str">
        <x:v>Sally Jacobs</x:v>
      </x:c>
      <x:c r="Q730" s="15" t="n">
        <x:v>1</x:v>
      </x:c>
      <x:c r="R730" s="14" t="str">
        <x:v>2025</x:v>
      </x:c>
      <x:c r="S730" s="14" t="n">
        <x:v>2025</x:v>
      </x:c>
      <x:c r="T730" s="14" t="n">
        <x:v>2025</x:v>
      </x:c>
      <x:c r="U730" s="14" t="str">
        <x:v>Post-2021 casting excluded</x:v>
      </x:c>
      <x:c r="V730" s="14" t="str">
        <x:v>Earliest supplied year is 2025, later than the 2021 study year.</x:v>
      </x:c>
      <x:c r="W730" s="14"/>
      <x:c r="X730" s="14" t="str">
        <x:v>Included</x:v>
      </x:c>
      <x:c r="Y730" s="14"/>
      <x:c r="Z730" s="14" t="str">
        <x:v>Grace.docx</x:v>
      </x:c>
      <x:c r="AA730" s="14" t="str">
        <x:v>HYPERLINK is not implemented. linkLocation=https://www.imdb.com/title/tt11639300/fullcredits/, friendlyName=Open source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ITV / ITVX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7" t="e">
        <x:f>HYPERLINK("https://en.wikipedia.org/wiki/Grace","Open source")</x:f>
        <x:v>HYPERLINK is not implemented. linkLocation=https://en.wikipedia.org/wiki/Grace, friendlyName=Open source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 t="str">
        <x:v>No established-register match</x:v>
      </x:c>
      <x:c r="AT730" s="14"/>
      <x:c r="AU730" s="14"/>
      <x:c r="AV730" s="14" t="str">
        <x:v>No established apparent-disability match</x:v>
      </x:c>
      <x:c r="AW730" s="14"/>
      <x:c r="AX730" s="14" t="str">
        <x:v>No</x:v>
      </x:c>
      <x:c r="AY730" s="14" t="str">
        <x:v>Unmatched</x:v>
      </x:c>
      <x:c r="AZ730" s="14" t="str">
        <x:v>Final supplied register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20</x:v>
      </x:c>
      <x:c r="BP730" s="14" t="str">
        <x:v>Maximum eligible IMDb cast-credit total (20), shared by 4 performer(s); not independently verified as a 2021-only episode total.</x:v>
      </x:c>
      <x:c r="BQ730" s="14" t="str">
        <x:v>Medium</x:v>
      </x:c>
      <x:c r="BR730" s="15" t="n">
        <x:v>1</x:v>
      </x:c>
      <x:c r="BS730" s="16" t="n">
        <x:v>0.05</x:v>
      </x:c>
      <x:c r="BT730" s="14" t="str">
        <x:v>One episode</x:v>
      </x:c>
      <x:c r="BU730" s="14" t="str">
        <x:v>Medium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4" t="str">
        <x:v>HYPERLINK is not implemented. linkLocation=https://www.imdb.com/title/tt11639300/fullcredits/, friendlyName=Open source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tt11639300|nm4745270|kirsty mackaye</x:v>
      </x:c>
      <x:c r="B731" s="14" t="str">
        <x:v>02</x:v>
      </x:c>
      <x:c r="C731" s="14" t="str">
        <x:v>2021_IMDb_Cast_Lists_Batch_02(1).xlsx</x:v>
      </x:c>
      <x:c r="D731" s="14" t="str">
        <x:v>Grace</x:v>
      </x:c>
      <x:c r="E731" s="14" t="n">
        <x:v>365</x:v>
      </x:c>
      <x:c r="F731" s="14" t="str">
        <x:v>Grace</x:v>
      </x:c>
      <x:c r="G731" s="14" t="str">
        <x:v>tt11639300</x:v>
      </x:c>
      <x:c r="H731" s="14" t="n">
        <x:v>2021</x:v>
      </x:c>
      <x:c r="I731" s="14" t="n">
        <x:v>2025</x:v>
      </x:c>
      <x:c r="J731" s="14" t="str">
        <x:v>Earlier-Production Carry-In Cohort</x:v>
      </x:c>
      <x:c r="K731" s="14" t="n">
        <x:v>2021</x:v>
      </x:c>
      <x:c r="L731" s="14" t="str">
        <x:v>Available from 2021 analysis</x:v>
      </x:c>
      <x:c r="M731" s="15" t="n">
        <x:v>358</x:v>
      </x:c>
      <x:c r="N731" s="14" t="str">
        <x:v>Ashley Hope Allan</x:v>
      </x:c>
      <x:c r="O731" s="14" t="str">
        <x:v>nm4745270</x:v>
      </x:c>
      <x:c r="P731" s="14" t="str">
        <x:v>Kirsty MacKaye</x:v>
      </x:c>
      <x:c r="Q731" s="15" t="n">
        <x:v>1</x:v>
      </x:c>
      <x:c r="R731" s="14" t="str">
        <x:v>2025</x:v>
      </x:c>
      <x:c r="S731" s="14" t="n">
        <x:v>2025</x:v>
      </x:c>
      <x:c r="T731" s="14" t="n">
        <x:v>2025</x:v>
      </x:c>
      <x:c r="U731" s="14" t="str">
        <x:v>Post-2021 casting excluded</x:v>
      </x:c>
      <x:c r="V731" s="14" t="str">
        <x:v>Earliest supplied year is 2025, later than the 2021 study year.</x:v>
      </x:c>
      <x:c r="W731" s="14"/>
      <x:c r="X731" s="14" t="str">
        <x:v>Included</x:v>
      </x:c>
      <x:c r="Y731" s="14"/>
      <x:c r="Z731" s="14" t="str">
        <x:v>Grace.docx</x:v>
      </x:c>
      <x:c r="AA731" s="14" t="str">
        <x:v>HYPERLINK is not implemented. linkLocation=https://www.imdb.com/title/tt11639300/fullcredits/, friendlyName=Open source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ITV / ITVX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7" t="e">
        <x:f>HYPERLINK("https://en.wikipedia.org/wiki/Grace","Open source")</x:f>
        <x:v>HYPERLINK is not implemented. linkLocation=https://en.wikipedia.org/wiki/Grace, friendlyName=Open source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 t="str">
        <x:v>No established-register match</x:v>
      </x:c>
      <x:c r="AT731" s="14"/>
      <x:c r="AU731" s="14"/>
      <x:c r="AV731" s="14" t="str">
        <x:v>No established apparent-disability match</x:v>
      </x:c>
      <x:c r="AW731" s="14"/>
      <x:c r="AX731" s="14" t="str">
        <x:v>No</x:v>
      </x:c>
      <x:c r="AY731" s="14" t="str">
        <x:v>Unmatched</x:v>
      </x:c>
      <x:c r="AZ731" s="14" t="str">
        <x:v>Final supplied register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20</x:v>
      </x:c>
      <x:c r="BP731" s="14" t="str">
        <x:v>Maximum eligible IMDb cast-credit total (20), shared by 4 performer(s); not independently verified as a 2021-only episode total.</x:v>
      </x:c>
      <x:c r="BQ731" s="14" t="str">
        <x:v>Medium</x:v>
      </x:c>
      <x:c r="BR731" s="15" t="n">
        <x:v>1</x:v>
      </x:c>
      <x:c r="BS731" s="16" t="n">
        <x:v>0.05</x:v>
      </x:c>
      <x:c r="BT731" s="14" t="str">
        <x:v>One episode</x:v>
      </x:c>
      <x:c r="BU731" s="14" t="str">
        <x:v>Medium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4" t="str">
        <x:v>HYPERLINK is not implemented. linkLocation=https://www.imdb.com/title/tt11639300/fullcredits/, friendlyName=Open source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tt11639300|nm6879878|ali</x:v>
      </x:c>
      <x:c r="B732" s="14" t="str">
        <x:v>02</x:v>
      </x:c>
      <x:c r="C732" s="14" t="str">
        <x:v>2021_IMDb_Cast_Lists_Batch_02(1).xlsx</x:v>
      </x:c>
      <x:c r="D732" s="14" t="str">
        <x:v>Grace</x:v>
      </x:c>
      <x:c r="E732" s="14" t="n">
        <x:v>367</x:v>
      </x:c>
      <x:c r="F732" s="14" t="str">
        <x:v>Grace</x:v>
      </x:c>
      <x:c r="G732" s="14" t="str">
        <x:v>tt11639300</x:v>
      </x:c>
      <x:c r="H732" s="14" t="n">
        <x:v>2021</x:v>
      </x:c>
      <x:c r="I732" s="14" t="n">
        <x:v>2025</x:v>
      </x:c>
      <x:c r="J732" s="14" t="str">
        <x:v>Earlier-Production Carry-In Cohort</x:v>
      </x:c>
      <x:c r="K732" s="14" t="n">
        <x:v>2021</x:v>
      </x:c>
      <x:c r="L732" s="14" t="str">
        <x:v>Available from 2021 analysis</x:v>
      </x:c>
      <x:c r="M732" s="15" t="n">
        <x:v>360</x:v>
      </x:c>
      <x:c r="N732" s="14" t="str">
        <x:v>Laura Hanna</x:v>
      </x:c>
      <x:c r="O732" s="14" t="str">
        <x:v>nm6879878</x:v>
      </x:c>
      <x:c r="P732" s="14" t="str">
        <x:v>Ali</x:v>
      </x:c>
      <x:c r="Q732" s="15" t="n">
        <x:v>1</x:v>
      </x:c>
      <x:c r="R732" s="14" t="str">
        <x:v>2025</x:v>
      </x:c>
      <x:c r="S732" s="14" t="n">
        <x:v>2025</x:v>
      </x:c>
      <x:c r="T732" s="14" t="n">
        <x:v>2025</x:v>
      </x:c>
      <x:c r="U732" s="14" t="str">
        <x:v>Post-2021 casting excluded</x:v>
      </x:c>
      <x:c r="V732" s="14" t="str">
        <x:v>Earliest supplied year is 2025, later than the 2021 study year.</x:v>
      </x:c>
      <x:c r="W732" s="14"/>
      <x:c r="X732" s="14" t="str">
        <x:v>Included</x:v>
      </x:c>
      <x:c r="Y732" s="14"/>
      <x:c r="Z732" s="14" t="str">
        <x:v>Grace.docx</x:v>
      </x:c>
      <x:c r="AA732" s="14" t="str">
        <x:v>HYPERLINK is not implemented. linkLocation=https://www.imdb.com/title/tt11639300/fullcredits/, friendlyName=Open source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ITV / ITVX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7" t="e">
        <x:f>HYPERLINK("https://en.wikipedia.org/wiki/Grace","Open source")</x:f>
        <x:v>HYPERLINK is not implemented. linkLocation=https://en.wikipedia.org/wiki/Grace, friendlyName=Open source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 t="str">
        <x:v>No established-register match</x:v>
      </x:c>
      <x:c r="AT732" s="14"/>
      <x:c r="AU732" s="14"/>
      <x:c r="AV732" s="14" t="str">
        <x:v>No established apparent-disability match</x:v>
      </x:c>
      <x:c r="AW732" s="14"/>
      <x:c r="AX732" s="14" t="str">
        <x:v>No</x:v>
      </x:c>
      <x:c r="AY732" s="14" t="str">
        <x:v>Unmatched</x:v>
      </x:c>
      <x:c r="AZ732" s="14" t="str">
        <x:v>Final supplied register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20</x:v>
      </x:c>
      <x:c r="BP732" s="14" t="str">
        <x:v>Maximum eligible IMDb cast-credit total (20), shared by 4 performer(s); not independently verified as a 2021-only episode total.</x:v>
      </x:c>
      <x:c r="BQ732" s="14" t="str">
        <x:v>Medium</x:v>
      </x:c>
      <x:c r="BR732" s="15" t="n">
        <x:v>1</x:v>
      </x:c>
      <x:c r="BS732" s="16" t="n">
        <x:v>0.05</x:v>
      </x:c>
      <x:c r="BT732" s="14" t="str">
        <x:v>One episode</x:v>
      </x:c>
      <x:c r="BU732" s="14" t="str">
        <x:v>Medium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4" t="str">
        <x:v>HYPERLINK is not implemented. linkLocation=https://www.imdb.com/title/tt11639300/fullcredits/, friendlyName=Open source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tt11639300|nm2553899|derren skinner</x:v>
      </x:c>
      <x:c r="B733" s="14" t="str">
        <x:v>02</x:v>
      </x:c>
      <x:c r="C733" s="14" t="str">
        <x:v>2021_IMDb_Cast_Lists_Batch_02(1).xlsx</x:v>
      </x:c>
      <x:c r="D733" s="14" t="str">
        <x:v>Grace</x:v>
      </x:c>
      <x:c r="E733" s="14" t="n">
        <x:v>369</x:v>
      </x:c>
      <x:c r="F733" s="14" t="str">
        <x:v>Grace</x:v>
      </x:c>
      <x:c r="G733" s="14" t="str">
        <x:v>tt11639300</x:v>
      </x:c>
      <x:c r="H733" s="14" t="n">
        <x:v>2021</x:v>
      </x:c>
      <x:c r="I733" s="14" t="n">
        <x:v>2025</x:v>
      </x:c>
      <x:c r="J733" s="14" t="str">
        <x:v>Earlier-Production Carry-In Cohort</x:v>
      </x:c>
      <x:c r="K733" s="14" t="n">
        <x:v>2021</x:v>
      </x:c>
      <x:c r="L733" s="14" t="str">
        <x:v>Available from 2021 analysis</x:v>
      </x:c>
      <x:c r="M733" s="15" t="n">
        <x:v>362</x:v>
      </x:c>
      <x:c r="N733" s="14" t="str">
        <x:v>Paul Marlon</x:v>
      </x:c>
      <x:c r="O733" s="14" t="str">
        <x:v>nm2553899</x:v>
      </x:c>
      <x:c r="P733" s="14" t="str">
        <x:v>Derren Skinner</x:v>
      </x:c>
      <x:c r="Q733" s="15" t="n">
        <x:v>1</x:v>
      </x:c>
      <x:c r="R733" s="14" t="str">
        <x:v>2025</x:v>
      </x:c>
      <x:c r="S733" s="14" t="n">
        <x:v>2025</x:v>
      </x:c>
      <x:c r="T733" s="14" t="n">
        <x:v>2025</x:v>
      </x:c>
      <x:c r="U733" s="14" t="str">
        <x:v>Post-2021 casting excluded</x:v>
      </x:c>
      <x:c r="V733" s="14" t="str">
        <x:v>Earliest supplied year is 2025, later than the 2021 study year.</x:v>
      </x:c>
      <x:c r="W733" s="14"/>
      <x:c r="X733" s="14" t="str">
        <x:v>Included</x:v>
      </x:c>
      <x:c r="Y733" s="14"/>
      <x:c r="Z733" s="14" t="str">
        <x:v>Grace.docx</x:v>
      </x:c>
      <x:c r="AA733" s="14" t="str">
        <x:v>HYPERLINK is not implemented. linkLocation=https://www.imdb.com/title/tt11639300/fullcredits/, friendlyName=Open source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ITV / ITVX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7" t="e">
        <x:f>HYPERLINK("https://en.wikipedia.org/wiki/Grace","Open source")</x:f>
        <x:v>HYPERLINK is not implemented. linkLocation=https://en.wikipedia.org/wiki/Grace, friendlyName=Open source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 t="str">
        <x:v>No established-register match</x:v>
      </x:c>
      <x:c r="AT733" s="14"/>
      <x:c r="AU733" s="14"/>
      <x:c r="AV733" s="14" t="str">
        <x:v>No established apparent-disability match</x:v>
      </x:c>
      <x:c r="AW733" s="14"/>
      <x:c r="AX733" s="14" t="str">
        <x:v>No</x:v>
      </x:c>
      <x:c r="AY733" s="14" t="str">
        <x:v>Unmatched</x:v>
      </x:c>
      <x:c r="AZ733" s="14" t="str">
        <x:v>Final supplied register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20</x:v>
      </x:c>
      <x:c r="BP733" s="14" t="str">
        <x:v>Maximum eligible IMDb cast-credit total (20), shared by 4 performer(s); not independently verified as a 2021-only episode total.</x:v>
      </x:c>
      <x:c r="BQ733" s="14" t="str">
        <x:v>Medium</x:v>
      </x:c>
      <x:c r="BR733" s="15" t="n">
        <x:v>1</x:v>
      </x:c>
      <x:c r="BS733" s="16" t="n">
        <x:v>0.05</x:v>
      </x:c>
      <x:c r="BT733" s="14" t="str">
        <x:v>One episode</x:v>
      </x:c>
      <x:c r="BU733" s="14" t="str">
        <x:v>Medium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4" t="str">
        <x:v>HYPERLINK is not implemented. linkLocation=https://www.imdb.com/title/tt11639300/fullcredits/, friendlyName=Open source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tt11981644|nm9955820|dc chloe highsmith / chloe highsmith</x:v>
      </x:c>
      <x:c r="B734" s="14" t="str">
        <x:v>02</x:v>
      </x:c>
      <x:c r="C734" s="14" t="str">
        <x:v>2021_IMDb_Cast_Lists_Batch_02(1).xlsx</x:v>
      </x:c>
      <x:c r="D734" s="14" t="str">
        <x:v>Professor T</x:v>
      </x:c>
      <x:c r="E734" s="14" t="n">
        <x:v>18</x:v>
      </x:c>
      <x:c r="F734" s="14" t="str">
        <x:v>Professor T</x:v>
      </x:c>
      <x:c r="G734" s="14" t="str">
        <x:v>tt11981644</x:v>
      </x:c>
      <x:c r="H734" s="14" t="n">
        <x:v>2021</x:v>
      </x:c>
      <x:c r="I734" s="14" t="n">
        <x:v>2025</x:v>
      </x:c>
      <x:c r="J734" s="14" t="str">
        <x:v>Earlier-Production Carry-In Cohort</x:v>
      </x:c>
      <x:c r="K734" s="14" t="n">
        <x:v>2021</x:v>
      </x:c>
      <x:c r="L734" s="14" t="str">
        <x:v>Available from 2021 analysis</x:v>
      </x:c>
      <x:c r="M734" s="15" t="n">
        <x:v>11</x:v>
      </x:c>
      <x:c r="N734" s="14" t="str">
        <x:v>Rhian Blundell</x:v>
      </x:c>
      <x:c r="O734" s="14" t="str">
        <x:v>nm9955820</x:v>
      </x:c>
      <x:c r="P734" s="14" t="str">
        <x:v>DC Chloe Highsmith / Chloe Highsmith</x:v>
      </x:c>
      <x:c r="Q734" s="15" t="n">
        <x:v>12</x:v>
      </x:c>
      <x:c r="R734" s="14" t="str">
        <x:v>2025–2026</x:v>
      </x:c>
      <x:c r="S734" s="14" t="n">
        <x:v>2025</x:v>
      </x:c>
      <x:c r="T734" s="14" t="n">
        <x:v>2025</x:v>
      </x:c>
      <x:c r="U734" s="14" t="str">
        <x:v>Post-2021 casting excluded</x:v>
      </x:c>
      <x:c r="V734" s="14" t="str">
        <x:v>Earliest supplied year is 2025, later than the 2021 study year.</x:v>
      </x:c>
      <x:c r="W734" s="14"/>
      <x:c r="X734" s="14" t="str">
        <x:v>Included</x:v>
      </x:c>
      <x:c r="Y734" s="14"/>
      <x:c r="Z734" s="14" t="str">
        <x:v>Professor T.docx</x:v>
      </x:c>
      <x:c r="AA734" s="14" t="str">
        <x:v>HYPERLINK is not implemented. linkLocation=https://www.imdb.com/title/tt11981644/fullcredits/, friendlyName=Open source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ITV / ITVX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7" t="e">
        <x:f>HYPERLINK("https://en.wikipedia.org/wiki/Professor_T.","Open source")</x:f>
        <x:v>HYPERLINK is not implemented. linkLocation=https://en.wikipedia.org/wiki/Professor_T., friendlyName=Open source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 t="str">
        <x:v>No established-register match</x:v>
      </x:c>
      <x:c r="AT734" s="14"/>
      <x:c r="AU734" s="14"/>
      <x:c r="AV734" s="14" t="str">
        <x:v>No established apparent-disability match</x:v>
      </x:c>
      <x:c r="AW734" s="14"/>
      <x:c r="AX734" s="14" t="str">
        <x:v>No</x:v>
      </x:c>
      <x:c r="AY734" s="14" t="str">
        <x:v>Unmatched</x:v>
      </x:c>
      <x:c r="AZ734" s="14" t="str">
        <x:v>Final supplied register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30</x:v>
      </x:c>
      <x:c r="BP734" s="14" t="str">
        <x:v>Maximum eligible IMDb cast-credit total (30), shared by 2 performer(s); not independently verified as a 2021-only episode total.</x:v>
      </x:c>
      <x:c r="BQ734" s="14" t="str">
        <x:v>Medium</x:v>
      </x:c>
      <x:c r="BR734" s="15" t="n">
        <x:v>12</x:v>
      </x:c>
      <x:c r="BS734" s="16" t="n">
        <x:v>0.4</x:v>
      </x:c>
      <x:c r="BT734" s="14" t="str">
        <x:v>Minority of episodes</x:v>
      </x:c>
      <x:c r="BU734" s="14" t="str">
        <x:v>Medium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4" t="str">
        <x:v>HYPERLINK is not implemented. linkLocation=https://www.imdb.com/title/tt11981644/fullcredits/, friendlyName=Open source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tt11981644|nm0910738|zelda radclyffe</x:v>
      </x:c>
      <x:c r="B735" s="14" t="str">
        <x:v>02</x:v>
      </x:c>
      <x:c r="C735" s="14" t="str">
        <x:v>2021_IMDb_Cast_Lists_Batch_02(1).xlsx</x:v>
      </x:c>
      <x:c r="D735" s="14" t="str">
        <x:v>Professor T</x:v>
      </x:c>
      <x:c r="E735" s="14" t="n">
        <x:v>21</x:v>
      </x:c>
      <x:c r="F735" s="14" t="str">
        <x:v>Professor T</x:v>
      </x:c>
      <x:c r="G735" s="14" t="str">
        <x:v>tt11981644</x:v>
      </x:c>
      <x:c r="H735" s="14" t="n">
        <x:v>2021</x:v>
      </x:c>
      <x:c r="I735" s="14" t="n">
        <x:v>2025</x:v>
      </x:c>
      <x:c r="J735" s="14" t="str">
        <x:v>Earlier-Production Carry-In Cohort</x:v>
      </x:c>
      <x:c r="K735" s="14" t="n">
        <x:v>2021</x:v>
      </x:c>
      <x:c r="L735" s="14" t="str">
        <x:v>Available from 2021 analysis</x:v>
      </x:c>
      <x:c r="M735" s="15" t="n">
        <x:v>14</x:v>
      </x:c>
      <x:c r="N735" s="14" t="str">
        <x:v>Zoë Wanamaker</x:v>
      </x:c>
      <x:c r="O735" s="14" t="str">
        <x:v>nm0910738</x:v>
      </x:c>
      <x:c r="P735" s="14" t="str">
        <x:v>Zelda Radclyffe</x:v>
      </x:c>
      <x:c r="Q735" s="15" t="n">
        <x:v>10</x:v>
      </x:c>
      <x:c r="R735" s="14" t="str">
        <x:v>2025–2026</x:v>
      </x:c>
      <x:c r="S735" s="14" t="n">
        <x:v>2025</x:v>
      </x:c>
      <x:c r="T735" s="14" t="n">
        <x:v>2025</x:v>
      </x:c>
      <x:c r="U735" s="14" t="str">
        <x:v>Post-2021 casting excluded</x:v>
      </x:c>
      <x:c r="V735" s="14" t="str">
        <x:v>Earliest supplied year is 2025, later than the 2021 study year.</x:v>
      </x:c>
      <x:c r="W735" s="14"/>
      <x:c r="X735" s="14" t="str">
        <x:v>Included</x:v>
      </x:c>
      <x:c r="Y735" s="14"/>
      <x:c r="Z735" s="14" t="str">
        <x:v>Professor T.docx</x:v>
      </x:c>
      <x:c r="AA735" s="14" t="str">
        <x:v>HYPERLINK is not implemented. linkLocation=https://www.imdb.com/title/tt11981644/fullcredits/, friendlyName=Open source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ITV / ITVX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7" t="e">
        <x:f>HYPERLINK("https://en.wikipedia.org/wiki/Professor_T.","Open source")</x:f>
        <x:v>HYPERLINK is not implemented. linkLocation=https://en.wikipedia.org/wiki/Professor_T., friendlyName=Open source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 t="str">
        <x:v>No established-register match</x:v>
      </x:c>
      <x:c r="AT735" s="14"/>
      <x:c r="AU735" s="14"/>
      <x:c r="AV735" s="14" t="str">
        <x:v>No established apparent-disability match</x:v>
      </x:c>
      <x:c r="AW735" s="14"/>
      <x:c r="AX735" s="14" t="str">
        <x:v>No</x:v>
      </x:c>
      <x:c r="AY735" s="14" t="str">
        <x:v>Unmatched</x:v>
      </x:c>
      <x:c r="AZ735" s="14" t="str">
        <x:v>Final supplied register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30</x:v>
      </x:c>
      <x:c r="BP735" s="14" t="str">
        <x:v>Maximum eligible IMDb cast-credit total (30), shared by 2 performer(s); not independently verified as a 2021-only episode total.</x:v>
      </x:c>
      <x:c r="BQ735" s="14" t="str">
        <x:v>Medium</x:v>
      </x:c>
      <x:c r="BR735" s="15" t="n">
        <x:v>10</x:v>
      </x:c>
      <x:c r="BS735" s="16" t="n">
        <x:v>0.3333333333333333</x:v>
      </x:c>
      <x:c r="BT735" s="14" t="str">
        <x:v>Minority of episodes</x:v>
      </x:c>
      <x:c r="BU735" s="14" t="str">
        <x:v>Medium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4" t="str">
        <x:v>HYPERLINK is not implemented. linkLocation=https://www.imdb.com/title/tt11981644/fullcredits/, friendlyName=Open source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tt11981644|nm0428933|peter snares</x:v>
      </x:c>
      <x:c r="B736" s="14" t="str">
        <x:v>02</x:v>
      </x:c>
      <x:c r="C736" s="14" t="str">
        <x:v>2021_IMDb_Cast_Lists_Batch_02(1).xlsx</x:v>
      </x:c>
      <x:c r="D736" s="14" t="str">
        <x:v>Professor T</x:v>
      </x:c>
      <x:c r="E736" s="14" t="n">
        <x:v>28</x:v>
      </x:c>
      <x:c r="F736" s="14" t="str">
        <x:v>Professor T</x:v>
      </x:c>
      <x:c r="G736" s="14" t="str">
        <x:v>tt11981644</x:v>
      </x:c>
      <x:c r="H736" s="14" t="n">
        <x:v>2021</x:v>
      </x:c>
      <x:c r="I736" s="14" t="n">
        <x:v>2025</x:v>
      </x:c>
      <x:c r="J736" s="14" t="str">
        <x:v>Earlier-Production Carry-In Cohort</x:v>
      </x:c>
      <x:c r="K736" s="14" t="n">
        <x:v>2021</x:v>
      </x:c>
      <x:c r="L736" s="14" t="str">
        <x:v>Available from 2021 analysis</x:v>
      </x:c>
      <x:c r="M736" s="15" t="n">
        <x:v>21</x:v>
      </x:c>
      <x:c r="N736" s="14" t="str">
        <x:v>Nicholas Jones</x:v>
      </x:c>
      <x:c r="O736" s="14" t="str">
        <x:v>nm0428933</x:v>
      </x:c>
      <x:c r="P736" s="14" t="str">
        <x:v>Peter Snares</x:v>
      </x:c>
      <x:c r="Q736" s="15" t="n">
        <x:v>4</x:v>
      </x:c>
      <x:c r="R736" s="14" t="str">
        <x:v>2025</x:v>
      </x:c>
      <x:c r="S736" s="14" t="n">
        <x:v>2025</x:v>
      </x:c>
      <x:c r="T736" s="14" t="n">
        <x:v>2025</x:v>
      </x:c>
      <x:c r="U736" s="14" t="str">
        <x:v>Post-2021 casting excluded</x:v>
      </x:c>
      <x:c r="V736" s="14" t="str">
        <x:v>Earliest supplied year is 2025, later than the 2021 study year.</x:v>
      </x:c>
      <x:c r="W736" s="14"/>
      <x:c r="X736" s="14" t="str">
        <x:v>Included</x:v>
      </x:c>
      <x:c r="Y736" s="14"/>
      <x:c r="Z736" s="14" t="str">
        <x:v>Professor T.docx</x:v>
      </x:c>
      <x:c r="AA736" s="14" t="str">
        <x:v>HYPERLINK is not implemented. linkLocation=https://www.imdb.com/title/tt11981644/fullcredits/, friendlyName=Open source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ITV / ITVX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7" t="e">
        <x:f>HYPERLINK("https://en.wikipedia.org/wiki/Professor_T.","Open source")</x:f>
        <x:v>HYPERLINK is not implemented. linkLocation=https://en.wikipedia.org/wiki/Professor_T., friendlyName=Open source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 t="str">
        <x:v>No established-register match</x:v>
      </x:c>
      <x:c r="AT736" s="14"/>
      <x:c r="AU736" s="14"/>
      <x:c r="AV736" s="14" t="str">
        <x:v>No established apparent-disability match</x:v>
      </x:c>
      <x:c r="AW736" s="14"/>
      <x:c r="AX736" s="14" t="str">
        <x:v>No</x:v>
      </x:c>
      <x:c r="AY736" s="14" t="str">
        <x:v>Unmatched</x:v>
      </x:c>
      <x:c r="AZ736" s="14" t="str">
        <x:v>Final supplied register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30</x:v>
      </x:c>
      <x:c r="BP736" s="14" t="str">
        <x:v>Maximum eligible IMDb cast-credit total (30), shared by 2 performer(s); not independently verified as a 2021-only episode total.</x:v>
      </x:c>
      <x:c r="BQ736" s="14" t="str">
        <x:v>Medium</x:v>
      </x:c>
      <x:c r="BR736" s="15" t="n">
        <x:v>4</x:v>
      </x:c>
      <x:c r="BS736" s="16" t="n">
        <x:v>0.1333333333333333</x:v>
      </x:c>
      <x:c r="BT736" s="14" t="str">
        <x:v>Minority of episodes</x:v>
      </x:c>
      <x:c r="BU736" s="14" t="str">
        <x:v>Medium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4" t="str">
        <x:v>HYPERLINK is not implemented. linkLocation=https://www.imdb.com/title/tt11981644/fullcredits/, friendlyName=Open source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tt11981644|nm0688275|imelda</x:v>
      </x:c>
      <x:c r="B737" s="14" t="str">
        <x:v>02</x:v>
      </x:c>
      <x:c r="C737" s="14" t="str">
        <x:v>2021_IMDb_Cast_Lists_Batch_02(1).xlsx</x:v>
      </x:c>
      <x:c r="D737" s="14" t="str">
        <x:v>Professor T</x:v>
      </x:c>
      <x:c r="E737" s="14" t="n">
        <x:v>32</x:v>
      </x:c>
      <x:c r="F737" s="14" t="str">
        <x:v>Professor T</x:v>
      </x:c>
      <x:c r="G737" s="14" t="str">
        <x:v>tt11981644</x:v>
      </x:c>
      <x:c r="H737" s="14" t="n">
        <x:v>2021</x:v>
      </x:c>
      <x:c r="I737" s="14" t="n">
        <x:v>2025</x:v>
      </x:c>
      <x:c r="J737" s="14" t="str">
        <x:v>Earlier-Production Carry-In Cohort</x:v>
      </x:c>
      <x:c r="K737" s="14" t="n">
        <x:v>2021</x:v>
      </x:c>
      <x:c r="L737" s="14" t="str">
        <x:v>Available from 2021 analysis</x:v>
      </x:c>
      <x:c r="M737" s="15" t="n">
        <x:v>25</x:v>
      </x:c>
      <x:c r="N737" s="14" t="str">
        <x:v>Kathryn Pogson</x:v>
      </x:c>
      <x:c r="O737" s="14" t="str">
        <x:v>nm0688275</x:v>
      </x:c>
      <x:c r="P737" s="14" t="str">
        <x:v>Imelda</x:v>
      </x:c>
      <x:c r="Q737" s="15" t="n">
        <x:v>4</x:v>
      </x:c>
      <x:c r="R737" s="14" t="str">
        <x:v>2025–2026</x:v>
      </x:c>
      <x:c r="S737" s="14" t="n">
        <x:v>2025</x:v>
      </x:c>
      <x:c r="T737" s="14" t="n">
        <x:v>2025</x:v>
      </x:c>
      <x:c r="U737" s="14" t="str">
        <x:v>Post-2021 casting excluded</x:v>
      </x:c>
      <x:c r="V737" s="14" t="str">
        <x:v>Earliest supplied year is 2025, later than the 2021 study year.</x:v>
      </x:c>
      <x:c r="W737" s="14"/>
      <x:c r="X737" s="14" t="str">
        <x:v>Included</x:v>
      </x:c>
      <x:c r="Y737" s="14"/>
      <x:c r="Z737" s="14" t="str">
        <x:v>Professor T.docx</x:v>
      </x:c>
      <x:c r="AA737" s="14" t="str">
        <x:v>HYPERLINK is not implemented. linkLocation=https://www.imdb.com/title/tt11981644/fullcredits/, friendlyName=Open source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ITV / ITVX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7" t="e">
        <x:f>HYPERLINK("https://en.wikipedia.org/wiki/Professor_T.","Open source")</x:f>
        <x:v>HYPERLINK is not implemented. linkLocation=https://en.wikipedia.org/wiki/Professor_T., friendlyName=Open source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 t="str">
        <x:v>No established-register match</x:v>
      </x:c>
      <x:c r="AT737" s="14"/>
      <x:c r="AU737" s="14"/>
      <x:c r="AV737" s="14" t="str">
        <x:v>No established apparent-disability match</x:v>
      </x:c>
      <x:c r="AW737" s="14"/>
      <x:c r="AX737" s="14" t="str">
        <x:v>No</x:v>
      </x:c>
      <x:c r="AY737" s="14" t="str">
        <x:v>Unmatched</x:v>
      </x:c>
      <x:c r="AZ737" s="14" t="str">
        <x:v>Final supplied register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30</x:v>
      </x:c>
      <x:c r="BP737" s="14" t="str">
        <x:v>Maximum eligible IMDb cast-credit total (30), shared by 2 performer(s); not independently verified as a 2021-only episode total.</x:v>
      </x:c>
      <x:c r="BQ737" s="14" t="str">
        <x:v>Medium</x:v>
      </x:c>
      <x:c r="BR737" s="15" t="n">
        <x:v>4</x:v>
      </x:c>
      <x:c r="BS737" s="16" t="n">
        <x:v>0.1333333333333333</x:v>
      </x:c>
      <x:c r="BT737" s="14" t="str">
        <x:v>Minority of episodes</x:v>
      </x:c>
      <x:c r="BU737" s="14" t="str">
        <x:v>Medium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4" t="str">
        <x:v>HYPERLINK is not implemented. linkLocation=https://www.imdb.com/title/tt11981644/fullcredits/, friendlyName=Open source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tt11981644|nm0141324|lyndon collins</x:v>
      </x:c>
      <x:c r="B738" s="14" t="str">
        <x:v>02</x:v>
      </x:c>
      <x:c r="C738" s="14" t="str">
        <x:v>2021_IMDb_Cast_Lists_Batch_02(1).xlsx</x:v>
      </x:c>
      <x:c r="D738" s="14" t="str">
        <x:v>Professor T</x:v>
      </x:c>
      <x:c r="E738" s="14" t="n">
        <x:v>37</x:v>
      </x:c>
      <x:c r="F738" s="14" t="str">
        <x:v>Professor T</x:v>
      </x:c>
      <x:c r="G738" s="14" t="str">
        <x:v>tt11981644</x:v>
      </x:c>
      <x:c r="H738" s="14" t="n">
        <x:v>2021</x:v>
      </x:c>
      <x:c r="I738" s="14" t="n">
        <x:v>2025</x:v>
      </x:c>
      <x:c r="J738" s="14" t="str">
        <x:v>Earlier-Production Carry-In Cohort</x:v>
      </x:c>
      <x:c r="K738" s="14" t="n">
        <x:v>2021</x:v>
      </x:c>
      <x:c r="L738" s="14" t="str">
        <x:v>Available from 2021 analysis</x:v>
      </x:c>
      <x:c r="M738" s="15" t="n">
        <x:v>30</x:v>
      </x:c>
      <x:c r="N738" s="14" t="str">
        <x:v>Silas Carson</x:v>
      </x:c>
      <x:c r="O738" s="14" t="str">
        <x:v>nm0141324</x:v>
      </x:c>
      <x:c r="P738" s="14" t="str">
        <x:v>Lyndon Collins</x:v>
      </x:c>
      <x:c r="Q738" s="15" t="n">
        <x:v>3</x:v>
      </x:c>
      <x:c r="R738" s="14" t="str">
        <x:v>2025</x:v>
      </x:c>
      <x:c r="S738" s="14" t="n">
        <x:v>2025</x:v>
      </x:c>
      <x:c r="T738" s="14" t="n">
        <x:v>2025</x:v>
      </x:c>
      <x:c r="U738" s="14" t="str">
        <x:v>Post-2021 casting excluded</x:v>
      </x:c>
      <x:c r="V738" s="14" t="str">
        <x:v>Earliest supplied year is 2025, later than the 2021 study year.</x:v>
      </x:c>
      <x:c r="W738" s="14"/>
      <x:c r="X738" s="14" t="str">
        <x:v>Included</x:v>
      </x:c>
      <x:c r="Y738" s="14"/>
      <x:c r="Z738" s="14" t="str">
        <x:v>Professor T.docx</x:v>
      </x:c>
      <x:c r="AA738" s="14" t="str">
        <x:v>HYPERLINK is not implemented. linkLocation=https://www.imdb.com/title/tt11981644/fullcredits/, friendlyName=Open source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ITV / ITVX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7" t="e">
        <x:f>HYPERLINK("https://en.wikipedia.org/wiki/Professor_T.","Open source")</x:f>
        <x:v>HYPERLINK is not implemented. linkLocation=https://en.wikipedia.org/wiki/Professor_T., friendlyName=Open source</x:v>
      </x:c>
      <x:c r="AN738" s="14" t="str">
        <x:v>No qualifying BBC relationship</x:v>
      </x:c>
      <x:c r="AO738" s="14" t="str">
        <x:v>No</x:v>
      </x:c>
      <x:c r="AP738" s="14" t="str">
        <x:v>Out of scope</x:v>
      </x:c>
      <x:c r="AQ738" s="14" t="str">
        <x:v>No</x:v>
      </x:c>
      <x:c r="AR738" s="14" t="str">
        <x:v>Resolved from master register</x:v>
      </x:c>
      <x:c r="AS738" s="14" t="str">
        <x:v>No established-register match</x:v>
      </x:c>
      <x:c r="AT738" s="14"/>
      <x:c r="AU738" s="14"/>
      <x:c r="AV738" s="14" t="str">
        <x:v>No established apparent-disability match</x:v>
      </x:c>
      <x:c r="AW738" s="14"/>
      <x:c r="AX738" s="14" t="str">
        <x:v>No</x:v>
      </x:c>
      <x:c r="AY738" s="14" t="str">
        <x:v>Unmatched</x:v>
      </x:c>
      <x:c r="AZ738" s="14" t="str">
        <x:v>Final supplied register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30</x:v>
      </x:c>
      <x:c r="BP738" s="14" t="str">
        <x:v>Maximum eligible IMDb cast-credit total (30), shared by 2 performer(s); not independently verified as a 2021-only episode total.</x:v>
      </x:c>
      <x:c r="BQ738" s="14" t="str">
        <x:v>Medium</x:v>
      </x:c>
      <x:c r="BR738" s="15" t="n">
        <x:v>3</x:v>
      </x:c>
      <x:c r="BS738" s="16" t="n">
        <x:v>0.1</x:v>
      </x:c>
      <x:c r="BT738" s="14" t="str">
        <x:v>Minority of episodes</x:v>
      </x:c>
      <x:c r="BU738" s="14" t="str">
        <x:v>Medium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4" t="str">
        <x:v>HYPERLINK is not implemented. linkLocation=https://www.imdb.com/title/tt11981644/fullcredits/, friendlyName=Open source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tt11981644|nm4115473|lydia birdsong</x:v>
      </x:c>
      <x:c r="B739" s="14" t="str">
        <x:v>02</x:v>
      </x:c>
      <x:c r="C739" s="14" t="str">
        <x:v>2021_IMDb_Cast_Lists_Batch_02(1).xlsx</x:v>
      </x:c>
      <x:c r="D739" s="14" t="str">
        <x:v>Professor T</x:v>
      </x:c>
      <x:c r="E739" s="14" t="n">
        <x:v>40</x:v>
      </x:c>
      <x:c r="F739" s="14" t="str">
        <x:v>Professor T</x:v>
      </x:c>
      <x:c r="G739" s="14" t="str">
        <x:v>tt11981644</x:v>
      </x:c>
      <x:c r="H739" s="14" t="n">
        <x:v>2021</x:v>
      </x:c>
      <x:c r="I739" s="14" t="n">
        <x:v>2025</x:v>
      </x:c>
      <x:c r="J739" s="14" t="str">
        <x:v>Earlier-Production Carry-In Cohort</x:v>
      </x:c>
      <x:c r="K739" s="14" t="n">
        <x:v>2021</x:v>
      </x:c>
      <x:c r="L739" s="14" t="str">
        <x:v>Available from 2021 analysis</x:v>
      </x:c>
      <x:c r="M739" s="15" t="n">
        <x:v>33</x:v>
      </x:c>
      <x:c r="N739" s="14" t="str">
        <x:v>Kerry Bennett</x:v>
      </x:c>
      <x:c r="O739" s="14" t="str">
        <x:v>nm4115473</x:v>
      </x:c>
      <x:c r="P739" s="14" t="str">
        <x:v>Lydia Birdsong</x:v>
      </x:c>
      <x:c r="Q739" s="15" t="n">
        <x:v>3</x:v>
      </x:c>
      <x:c r="R739" s="14" t="str">
        <x:v>2025</x:v>
      </x:c>
      <x:c r="S739" s="14" t="n">
        <x:v>2025</x:v>
      </x:c>
      <x:c r="T739" s="14" t="n">
        <x:v>2025</x:v>
      </x:c>
      <x:c r="U739" s="14" t="str">
        <x:v>Post-2021 casting excluded</x:v>
      </x:c>
      <x:c r="V739" s="14" t="str">
        <x:v>Earliest supplied year is 2025, later than the 2021 study year.</x:v>
      </x:c>
      <x:c r="W739" s="14"/>
      <x:c r="X739" s="14" t="str">
        <x:v>Included</x:v>
      </x:c>
      <x:c r="Y739" s="14"/>
      <x:c r="Z739" s="14" t="str">
        <x:v>Professor T.docx</x:v>
      </x:c>
      <x:c r="AA739" s="14" t="str">
        <x:v>HYPERLINK is not implemented. linkLocation=https://www.imdb.com/title/tt11981644/fullcredits/, friendlyName=Open source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ITV / ITVX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7" t="e">
        <x:f>HYPERLINK("https://en.wikipedia.org/wiki/Professor_T.","Open source")</x:f>
        <x:v>HYPERLINK is not implemented. linkLocation=https://en.wikipedia.org/wiki/Professor_T., friendlyName=Open source</x:v>
      </x:c>
      <x:c r="AN739" s="14" t="str">
        <x:v>No qualifying BBC relationship</x:v>
      </x:c>
      <x:c r="AO739" s="14" t="str">
        <x:v>No</x:v>
      </x:c>
      <x:c r="AP739" s="14" t="str">
        <x:v>Out of scope</x:v>
      </x:c>
      <x:c r="AQ739" s="14" t="str">
        <x:v>No</x:v>
      </x:c>
      <x:c r="AR739" s="14" t="str">
        <x:v>Resolved from master register</x:v>
      </x:c>
      <x:c r="AS739" s="14" t="str">
        <x:v>No established-register match</x:v>
      </x:c>
      <x:c r="AT739" s="14"/>
      <x:c r="AU739" s="14"/>
      <x:c r="AV739" s="14" t="str">
        <x:v>No established apparent-disability match</x:v>
      </x:c>
      <x:c r="AW739" s="14"/>
      <x:c r="AX739" s="14" t="str">
        <x:v>No</x:v>
      </x:c>
      <x:c r="AY739" s="14" t="str">
        <x:v>Unmatched</x:v>
      </x:c>
      <x:c r="AZ739" s="14" t="str">
        <x:v>Final supplied register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30</x:v>
      </x:c>
      <x:c r="BP739" s="14" t="str">
        <x:v>Maximum eligible IMDb cast-credit total (30), shared by 2 performer(s); not independently verified as a 2021-only episode total.</x:v>
      </x:c>
      <x:c r="BQ739" s="14" t="str">
        <x:v>Medium</x:v>
      </x:c>
      <x:c r="BR739" s="15" t="n">
        <x:v>3</x:v>
      </x:c>
      <x:c r="BS739" s="16" t="n">
        <x:v>0.1</x:v>
      </x:c>
      <x:c r="BT739" s="14" t="str">
        <x:v>Minority of episodes</x:v>
      </x:c>
      <x:c r="BU739" s="14" t="str">
        <x:v>Medium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4" t="str">
        <x:v>HYPERLINK is not implemented. linkLocation=https://www.imdb.com/title/tt11981644/fullcredits/, friendlyName=Open source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tt11981644|nm3956491|nolan demarco</x:v>
      </x:c>
      <x:c r="B740" s="14" t="str">
        <x:v>02</x:v>
      </x:c>
      <x:c r="C740" s="14" t="str">
        <x:v>2021_IMDb_Cast_Lists_Batch_02(1).xlsx</x:v>
      </x:c>
      <x:c r="D740" s="14" t="str">
        <x:v>Professor T</x:v>
      </x:c>
      <x:c r="E740" s="14" t="n">
        <x:v>58</x:v>
      </x:c>
      <x:c r="F740" s="14" t="str">
        <x:v>Professor T</x:v>
      </x:c>
      <x:c r="G740" s="14" t="str">
        <x:v>tt11981644</x:v>
      </x:c>
      <x:c r="H740" s="14" t="n">
        <x:v>2021</x:v>
      </x:c>
      <x:c r="I740" s="14" t="n">
        <x:v>2025</x:v>
      </x:c>
      <x:c r="J740" s="14" t="str">
        <x:v>Earlier-Production Carry-In Cohort</x:v>
      </x:c>
      <x:c r="K740" s="14" t="n">
        <x:v>2021</x:v>
      </x:c>
      <x:c r="L740" s="14" t="str">
        <x:v>Available from 2021 analysis</x:v>
      </x:c>
      <x:c r="M740" s="15" t="n">
        <x:v>51</x:v>
      </x:c>
      <x:c r="N740" s="14" t="str">
        <x:v>Conor Donelan</x:v>
      </x:c>
      <x:c r="O740" s="14" t="str">
        <x:v>nm3956491</x:v>
      </x:c>
      <x:c r="P740" s="14" t="str">
        <x:v>Nolan DeMarco</x:v>
      </x:c>
      <x:c r="Q740" s="15" t="n">
        <x:v>1</x:v>
      </x:c>
      <x:c r="R740" s="14" t="str">
        <x:v>2025</x:v>
      </x:c>
      <x:c r="S740" s="14" t="n">
        <x:v>2025</x:v>
      </x:c>
      <x:c r="T740" s="14" t="n">
        <x:v>2025</x:v>
      </x:c>
      <x:c r="U740" s="14" t="str">
        <x:v>Post-2021 casting excluded</x:v>
      </x:c>
      <x:c r="V740" s="14" t="str">
        <x:v>Earliest supplied year is 2025, later than the 2021 study year.</x:v>
      </x:c>
      <x:c r="W740" s="14"/>
      <x:c r="X740" s="14" t="str">
        <x:v>Included</x:v>
      </x:c>
      <x:c r="Y740" s="14"/>
      <x:c r="Z740" s="14" t="str">
        <x:v>Professor T.docx</x:v>
      </x:c>
      <x:c r="AA740" s="14" t="str">
        <x:v>HYPERLINK is not implemented. linkLocation=https://www.imdb.com/title/tt11981644/fullcredits/, friendlyName=Open source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ITV / ITVX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7" t="e">
        <x:f>HYPERLINK("https://en.wikipedia.org/wiki/Professor_T.","Open source")</x:f>
        <x:v>HYPERLINK is not implemented. linkLocation=https://en.wikipedia.org/wiki/Professor_T., friendlyName=Open source</x:v>
      </x:c>
      <x:c r="AN740" s="14" t="str">
        <x:v>No qualifying BBC relationship</x:v>
      </x:c>
      <x:c r="AO740" s="14" t="str">
        <x:v>No</x:v>
      </x:c>
      <x:c r="AP740" s="14" t="str">
        <x:v>Out of scope</x:v>
      </x:c>
      <x:c r="AQ740" s="14" t="str">
        <x:v>No</x:v>
      </x:c>
      <x:c r="AR740" s="14" t="str">
        <x:v>Resolved from master register</x:v>
      </x:c>
      <x:c r="AS740" s="14" t="str">
        <x:v>No established-register match</x:v>
      </x:c>
      <x:c r="AT740" s="14"/>
      <x:c r="AU740" s="14"/>
      <x:c r="AV740" s="14" t="str">
        <x:v>No established apparent-disability match</x:v>
      </x:c>
      <x:c r="AW740" s="14"/>
      <x:c r="AX740" s="14" t="str">
        <x:v>No</x:v>
      </x:c>
      <x:c r="AY740" s="14" t="str">
        <x:v>Unmatched</x:v>
      </x:c>
      <x:c r="AZ740" s="14" t="str">
        <x:v>Final supplied register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30</x:v>
      </x:c>
      <x:c r="BP740" s="14" t="str">
        <x:v>Maximum eligible IMDb cast-credit total (30), shared by 2 performer(s); not independently verified as a 2021-only episode total.</x:v>
      </x:c>
      <x:c r="BQ740" s="14" t="str">
        <x:v>Medium</x:v>
      </x:c>
      <x:c r="BR740" s="15" t="n">
        <x:v>1</x:v>
      </x:c>
      <x:c r="BS740" s="16" t="n">
        <x:v>0.03333333333333333</x:v>
      </x:c>
      <x:c r="BT740" s="14" t="str">
        <x:v>One episode</x:v>
      </x:c>
      <x:c r="BU740" s="14" t="str">
        <x:v>Medium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4" t="str">
        <x:v>HYPERLINK is not implemented. linkLocation=https://www.imdb.com/title/tt11981644/fullcredits/, friendlyName=Open source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tt11981644|nm10130390|student</x:v>
      </x:c>
      <x:c r="B741" s="14" t="str">
        <x:v>02</x:v>
      </x:c>
      <x:c r="C741" s="14" t="str">
        <x:v>2021_IMDb_Cast_Lists_Batch_02(1).xlsx</x:v>
      </x:c>
      <x:c r="D741" s="14" t="str">
        <x:v>Professor T</x:v>
      </x:c>
      <x:c r="E741" s="14" t="n">
        <x:v>63</x:v>
      </x:c>
      <x:c r="F741" s="14" t="str">
        <x:v>Professor T</x:v>
      </x:c>
      <x:c r="G741" s="14" t="str">
        <x:v>tt11981644</x:v>
      </x:c>
      <x:c r="H741" s="14" t="n">
        <x:v>2021</x:v>
      </x:c>
      <x:c r="I741" s="14" t="n">
        <x:v>2025</x:v>
      </x:c>
      <x:c r="J741" s="14" t="str">
        <x:v>Earlier-Production Carry-In Cohort</x:v>
      </x:c>
      <x:c r="K741" s="14" t="n">
        <x:v>2021</x:v>
      </x:c>
      <x:c r="L741" s="14" t="str">
        <x:v>Available from 2021 analysis</x:v>
      </x:c>
      <x:c r="M741" s="15" t="n">
        <x:v>56</x:v>
      </x:c>
      <x:c r="N741" s="14" t="str">
        <x:v>Junes Callaert</x:v>
      </x:c>
      <x:c r="O741" s="14" t="str">
        <x:v>nm10130390</x:v>
      </x:c>
      <x:c r="P741" s="14" t="str">
        <x:v>Student</x:v>
      </x:c>
      <x:c r="Q741" s="15" t="n">
        <x:v>1</x:v>
      </x:c>
      <x:c r="R741" s="14" t="str">
        <x:v>2025</x:v>
      </x:c>
      <x:c r="S741" s="14" t="n">
        <x:v>2025</x:v>
      </x:c>
      <x:c r="T741" s="14" t="n">
        <x:v>2025</x:v>
      </x:c>
      <x:c r="U741" s="14" t="str">
        <x:v>Post-2021 casting excluded</x:v>
      </x:c>
      <x:c r="V741" s="14" t="str">
        <x:v>Earliest supplied year is 2025, later than the 2021 study year.</x:v>
      </x:c>
      <x:c r="W741" s="14"/>
      <x:c r="X741" s="14" t="str">
        <x:v>Included</x:v>
      </x:c>
      <x:c r="Y741" s="14"/>
      <x:c r="Z741" s="14" t="str">
        <x:v>Professor T.docx</x:v>
      </x:c>
      <x:c r="AA741" s="14" t="str">
        <x:v>HYPERLINK is not implemented. linkLocation=https://www.imdb.com/title/tt11981644/fullcredits/, friendlyName=Open source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ITV / ITVX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7" t="e">
        <x:f>HYPERLINK("https://en.wikipedia.org/wiki/Professor_T.","Open source")</x:f>
        <x:v>HYPERLINK is not implemented. linkLocation=https://en.wikipedia.org/wiki/Professor_T., friendlyName=Open source</x:v>
      </x:c>
      <x:c r="AN741" s="14" t="str">
        <x:v>No qualifying BBC relationship</x:v>
      </x:c>
      <x:c r="AO741" s="14" t="str">
        <x:v>No</x:v>
      </x:c>
      <x:c r="AP741" s="14" t="str">
        <x:v>Out of scope</x:v>
      </x:c>
      <x:c r="AQ741" s="14" t="str">
        <x:v>No</x:v>
      </x:c>
      <x:c r="AR741" s="14" t="str">
        <x:v>Resolved from master register</x:v>
      </x:c>
      <x:c r="AS741" s="14" t="str">
        <x:v>No established-register match</x:v>
      </x:c>
      <x:c r="AT741" s="14"/>
      <x:c r="AU741" s="14"/>
      <x:c r="AV741" s="14" t="str">
        <x:v>No established apparent-disability match</x:v>
      </x:c>
      <x:c r="AW741" s="14"/>
      <x:c r="AX741" s="14" t="str">
        <x:v>No</x:v>
      </x:c>
      <x:c r="AY741" s="14" t="str">
        <x:v>Unmatched</x:v>
      </x:c>
      <x:c r="AZ741" s="14" t="str">
        <x:v>Final supplied register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30</x:v>
      </x:c>
      <x:c r="BP741" s="14" t="str">
        <x:v>Maximum eligible IMDb cast-credit total (30), shared by 2 performer(s); not independently verified as a 2021-only episode total.</x:v>
      </x:c>
      <x:c r="BQ741" s="14" t="str">
        <x:v>Medium</x:v>
      </x:c>
      <x:c r="BR741" s="15" t="n">
        <x:v>1</x:v>
      </x:c>
      <x:c r="BS741" s="16" t="n">
        <x:v>0.03333333333333333</x:v>
      </x:c>
      <x:c r="BT741" s="14" t="str">
        <x:v>One episode</x:v>
      </x:c>
      <x:c r="BU741" s="14" t="str">
        <x:v>Medium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4" t="str">
        <x:v>HYPERLINK is not implemented. linkLocation=https://www.imdb.com/title/tt11981644/fullcredits/, friendlyName=Open source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tt11981644|nm0799850|kate bryant</x:v>
      </x:c>
      <x:c r="B742" s="14" t="str">
        <x:v>02</x:v>
      </x:c>
      <x:c r="C742" s="14" t="str">
        <x:v>2021_IMDb_Cast_Lists_Batch_02(1).xlsx</x:v>
      </x:c>
      <x:c r="D742" s="14" t="str">
        <x:v>Professor T</x:v>
      </x:c>
      <x:c r="E742" s="14" t="n">
        <x:v>66</x:v>
      </x:c>
      <x:c r="F742" s="14" t="str">
        <x:v>Professor T</x:v>
      </x:c>
      <x:c r="G742" s="14" t="str">
        <x:v>tt11981644</x:v>
      </x:c>
      <x:c r="H742" s="14" t="n">
        <x:v>2021</x:v>
      </x:c>
      <x:c r="I742" s="14" t="n">
        <x:v>2025</x:v>
      </x:c>
      <x:c r="J742" s="14" t="str">
        <x:v>Earlier-Production Carry-In Cohort</x:v>
      </x:c>
      <x:c r="K742" s="14" t="n">
        <x:v>2021</x:v>
      </x:c>
      <x:c r="L742" s="14" t="str">
        <x:v>Available from 2021 analysis</x:v>
      </x:c>
      <x:c r="M742" s="15" t="n">
        <x:v>59</x:v>
      </x:c>
      <x:c r="N742" s="14" t="str">
        <x:v>Mika Simmons</x:v>
      </x:c>
      <x:c r="O742" s="14" t="str">
        <x:v>nm0799850</x:v>
      </x:c>
      <x:c r="P742" s="14" t="str">
        <x:v>Kate Bryant</x:v>
      </x:c>
      <x:c r="Q742" s="15" t="n">
        <x:v>1</x:v>
      </x:c>
      <x:c r="R742" s="14" t="str">
        <x:v>2025</x:v>
      </x:c>
      <x:c r="S742" s="14" t="n">
        <x:v>2025</x:v>
      </x:c>
      <x:c r="T742" s="14" t="n">
        <x:v>2025</x:v>
      </x:c>
      <x:c r="U742" s="14" t="str">
        <x:v>Post-2021 casting excluded</x:v>
      </x:c>
      <x:c r="V742" s="14" t="str">
        <x:v>Earliest supplied year is 2025, later than the 2021 study year.</x:v>
      </x:c>
      <x:c r="W742" s="14"/>
      <x:c r="X742" s="14" t="str">
        <x:v>Included</x:v>
      </x:c>
      <x:c r="Y742" s="14"/>
      <x:c r="Z742" s="14" t="str">
        <x:v>Professor T.docx</x:v>
      </x:c>
      <x:c r="AA742" s="14" t="str">
        <x:v>HYPERLINK is not implemented. linkLocation=https://www.imdb.com/title/tt11981644/fullcredits/, friendlyName=Open source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ITV / ITVX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7" t="e">
        <x:f>HYPERLINK("https://en.wikipedia.org/wiki/Professor_T.","Open source")</x:f>
        <x:v>HYPERLINK is not implemented. linkLocation=https://en.wikipedia.org/wiki/Professor_T., friendlyName=Open source</x:v>
      </x:c>
      <x:c r="AN742" s="14" t="str">
        <x:v>No qualifying BBC relationship</x:v>
      </x:c>
      <x:c r="AO742" s="14" t="str">
        <x:v>No</x:v>
      </x:c>
      <x:c r="AP742" s="14" t="str">
        <x:v>Out of scope</x:v>
      </x:c>
      <x:c r="AQ742" s="14" t="str">
        <x:v>No</x:v>
      </x:c>
      <x:c r="AR742" s="14" t="str">
        <x:v>Resolved from master register</x:v>
      </x:c>
      <x:c r="AS742" s="14" t="str">
        <x:v>No established-register match</x:v>
      </x:c>
      <x:c r="AT742" s="14"/>
      <x:c r="AU742" s="14"/>
      <x:c r="AV742" s="14" t="str">
        <x:v>No established apparent-disability match</x:v>
      </x:c>
      <x:c r="AW742" s="14"/>
      <x:c r="AX742" s="14" t="str">
        <x:v>No</x:v>
      </x:c>
      <x:c r="AY742" s="14" t="str">
        <x:v>Unmatched</x:v>
      </x:c>
      <x:c r="AZ742" s="14" t="str">
        <x:v>Final supplied register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30</x:v>
      </x:c>
      <x:c r="BP742" s="14" t="str">
        <x:v>Maximum eligible IMDb cast-credit total (30), shared by 2 performer(s); not independently verified as a 2021-only episode total.</x:v>
      </x:c>
      <x:c r="BQ742" s="14" t="str">
        <x:v>Medium</x:v>
      </x:c>
      <x:c r="BR742" s="15" t="n">
        <x:v>1</x:v>
      </x:c>
      <x:c r="BS742" s="16" t="n">
        <x:v>0.03333333333333333</x:v>
      </x:c>
      <x:c r="BT742" s="14" t="str">
        <x:v>One episode</x:v>
      </x:c>
      <x:c r="BU742" s="14" t="str">
        <x:v>Medium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4" t="str">
        <x:v>HYPERLINK is not implemented. linkLocation=https://www.imdb.com/title/tt11981644/fullcredits/, friendlyName=Open source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tt11981644|nm0562116|vance markham</x:v>
      </x:c>
      <x:c r="B743" s="14" t="str">
        <x:v>02</x:v>
      </x:c>
      <x:c r="C743" s="14" t="str">
        <x:v>2021_IMDb_Cast_Lists_Batch_02(1).xlsx</x:v>
      </x:c>
      <x:c r="D743" s="14" t="str">
        <x:v>Professor T</x:v>
      </x:c>
      <x:c r="E743" s="14" t="n">
        <x:v>67</x:v>
      </x:c>
      <x:c r="F743" s="14" t="str">
        <x:v>Professor T</x:v>
      </x:c>
      <x:c r="G743" s="14" t="str">
        <x:v>tt11981644</x:v>
      </x:c>
      <x:c r="H743" s="14" t="n">
        <x:v>2021</x:v>
      </x:c>
      <x:c r="I743" s="14" t="n">
        <x:v>2025</x:v>
      </x:c>
      <x:c r="J743" s="14" t="str">
        <x:v>Earlier-Production Carry-In Cohort</x:v>
      </x:c>
      <x:c r="K743" s="14" t="n">
        <x:v>2021</x:v>
      </x:c>
      <x:c r="L743" s="14" t="str">
        <x:v>Available from 2021 analysis</x:v>
      </x:c>
      <x:c r="M743" s="15" t="n">
        <x:v>60</x:v>
      </x:c>
      <x:c r="N743" s="14" t="str">
        <x:v>Roger May</x:v>
      </x:c>
      <x:c r="O743" s="14" t="str">
        <x:v>nm0562116</x:v>
      </x:c>
      <x:c r="P743" s="14" t="str">
        <x:v>Vance Markham</x:v>
      </x:c>
      <x:c r="Q743" s="15" t="n">
        <x:v>1</x:v>
      </x:c>
      <x:c r="R743" s="14" t="str">
        <x:v>2025</x:v>
      </x:c>
      <x:c r="S743" s="14" t="n">
        <x:v>2025</x:v>
      </x:c>
      <x:c r="T743" s="14" t="n">
        <x:v>2025</x:v>
      </x:c>
      <x:c r="U743" s="14" t="str">
        <x:v>Post-2021 casting excluded</x:v>
      </x:c>
      <x:c r="V743" s="14" t="str">
        <x:v>Earliest supplied year is 2025, later than the 2021 study year.</x:v>
      </x:c>
      <x:c r="W743" s="14"/>
      <x:c r="X743" s="14" t="str">
        <x:v>Included</x:v>
      </x:c>
      <x:c r="Y743" s="14"/>
      <x:c r="Z743" s="14" t="str">
        <x:v>Professor T.docx</x:v>
      </x:c>
      <x:c r="AA743" s="14" t="str">
        <x:v>HYPERLINK is not implemented. linkLocation=https://www.imdb.com/title/tt11981644/fullcredits/, friendlyName=Open source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ITV / ITVX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7" t="e">
        <x:f>HYPERLINK("https://en.wikipedia.org/wiki/Professor_T.","Open source")</x:f>
        <x:v>HYPERLINK is not implemented. linkLocation=https://en.wikipedia.org/wiki/Professor_T., friendlyName=Open source</x:v>
      </x:c>
      <x:c r="AN743" s="14" t="str">
        <x:v>No qualifying BBC relationship</x:v>
      </x:c>
      <x:c r="AO743" s="14" t="str">
        <x:v>No</x:v>
      </x:c>
      <x:c r="AP743" s="14" t="str">
        <x:v>Out of scope</x:v>
      </x:c>
      <x:c r="AQ743" s="14" t="str">
        <x:v>No</x:v>
      </x:c>
      <x:c r="AR743" s="14" t="str">
        <x:v>Resolved from master register</x:v>
      </x:c>
      <x:c r="AS743" s="14" t="str">
        <x:v>No established-register match</x:v>
      </x:c>
      <x:c r="AT743" s="14"/>
      <x:c r="AU743" s="14"/>
      <x:c r="AV743" s="14" t="str">
        <x:v>No established apparent-disability match</x:v>
      </x:c>
      <x:c r="AW743" s="14"/>
      <x:c r="AX743" s="14" t="str">
        <x:v>No</x:v>
      </x:c>
      <x:c r="AY743" s="14" t="str">
        <x:v>Unmatched</x:v>
      </x:c>
      <x:c r="AZ743" s="14" t="str">
        <x:v>Final supplied register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30</x:v>
      </x:c>
      <x:c r="BP743" s="14" t="str">
        <x:v>Maximum eligible IMDb cast-credit total (30), shared by 2 performer(s); not independently verified as a 2021-only episode total.</x:v>
      </x:c>
      <x:c r="BQ743" s="14" t="str">
        <x:v>Medium</x:v>
      </x:c>
      <x:c r="BR743" s="15" t="n">
        <x:v>1</x:v>
      </x:c>
      <x:c r="BS743" s="16" t="n">
        <x:v>0.03333333333333333</x:v>
      </x:c>
      <x:c r="BT743" s="14" t="str">
        <x:v>One episode</x:v>
      </x:c>
      <x:c r="BU743" s="14" t="str">
        <x:v>Medium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4" t="str">
        <x:v>HYPERLINK is not implemented. linkLocation=https://www.imdb.com/title/tt11981644/fullcredits/, friendlyName=Open source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tt11981644|nm9010877|henry doyle</x:v>
      </x:c>
      <x:c r="B744" s="14" t="str">
        <x:v>02</x:v>
      </x:c>
      <x:c r="C744" s="14" t="str">
        <x:v>2021_IMDb_Cast_Lists_Batch_02(1).xlsx</x:v>
      </x:c>
      <x:c r="D744" s="14" t="str">
        <x:v>Professor T</x:v>
      </x:c>
      <x:c r="E744" s="14" t="n">
        <x:v>68</x:v>
      </x:c>
      <x:c r="F744" s="14" t="str">
        <x:v>Professor T</x:v>
      </x:c>
      <x:c r="G744" s="14" t="str">
        <x:v>tt11981644</x:v>
      </x:c>
      <x:c r="H744" s="14" t="n">
        <x:v>2021</x:v>
      </x:c>
      <x:c r="I744" s="14" t="n">
        <x:v>2025</x:v>
      </x:c>
      <x:c r="J744" s="14" t="str">
        <x:v>Earlier-Production Carry-In Cohort</x:v>
      </x:c>
      <x:c r="K744" s="14" t="n">
        <x:v>2021</x:v>
      </x:c>
      <x:c r="L744" s="14" t="str">
        <x:v>Available from 2021 analysis</x:v>
      </x:c>
      <x:c r="M744" s="15" t="n">
        <x:v>61</x:v>
      </x:c>
      <x:c r="N744" s="14" t="str">
        <x:v>Merch Husey</x:v>
      </x:c>
      <x:c r="O744" s="14" t="str">
        <x:v>nm9010877</x:v>
      </x:c>
      <x:c r="P744" s="14" t="str">
        <x:v>Henry Doyle</x:v>
      </x:c>
      <x:c r="Q744" s="15" t="n">
        <x:v>1</x:v>
      </x:c>
      <x:c r="R744" s="14" t="str">
        <x:v>2025</x:v>
      </x:c>
      <x:c r="S744" s="14" t="n">
        <x:v>2025</x:v>
      </x:c>
      <x:c r="T744" s="14" t="n">
        <x:v>2025</x:v>
      </x:c>
      <x:c r="U744" s="14" t="str">
        <x:v>Post-2021 casting excluded</x:v>
      </x:c>
      <x:c r="V744" s="14" t="str">
        <x:v>Earliest supplied year is 2025, later than the 2021 study year.</x:v>
      </x:c>
      <x:c r="W744" s="14"/>
      <x:c r="X744" s="14" t="str">
        <x:v>Included</x:v>
      </x:c>
      <x:c r="Y744" s="14" t="str">
        <x:v>(as MerchHüsey)</x:v>
      </x:c>
      <x:c r="Z744" s="14" t="str">
        <x:v>Professor T.docx</x:v>
      </x:c>
      <x:c r="AA744" s="14" t="str">
        <x:v>HYPERLINK is not implemented. linkLocation=https://www.imdb.com/title/tt11981644/fullcredits/, friendlyName=Open source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ITV / ITVX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7" t="e">
        <x:f>HYPERLINK("https://en.wikipedia.org/wiki/Professor_T.","Open source")</x:f>
        <x:v>HYPERLINK is not implemented. linkLocation=https://en.wikipedia.org/wiki/Professor_T., friendlyName=Open source</x:v>
      </x:c>
      <x:c r="AN744" s="14" t="str">
        <x:v>No qualifying BBC relationship</x:v>
      </x:c>
      <x:c r="AO744" s="14" t="str">
        <x:v>No</x:v>
      </x:c>
      <x:c r="AP744" s="14" t="str">
        <x:v>Out of scope</x:v>
      </x:c>
      <x:c r="AQ744" s="14" t="str">
        <x:v>No</x:v>
      </x:c>
      <x:c r="AR744" s="14" t="str">
        <x:v>Resolved from master register</x:v>
      </x:c>
      <x:c r="AS744" s="14" t="str">
        <x:v>No established-register match</x:v>
      </x:c>
      <x:c r="AT744" s="14"/>
      <x:c r="AU744" s="14"/>
      <x:c r="AV744" s="14" t="str">
        <x:v>No established apparent-disability match</x:v>
      </x:c>
      <x:c r="AW744" s="14"/>
      <x:c r="AX744" s="14" t="str">
        <x:v>No</x:v>
      </x:c>
      <x:c r="AY744" s="14" t="str">
        <x:v>Unmatched</x:v>
      </x:c>
      <x:c r="AZ744" s="14" t="str">
        <x:v>Final supplied register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30</x:v>
      </x:c>
      <x:c r="BP744" s="14" t="str">
        <x:v>Maximum eligible IMDb cast-credit total (30), shared by 2 performer(s); not independently verified as a 2021-only episode total.</x:v>
      </x:c>
      <x:c r="BQ744" s="14" t="str">
        <x:v>Medium</x:v>
      </x:c>
      <x:c r="BR744" s="15" t="n">
        <x:v>1</x:v>
      </x:c>
      <x:c r="BS744" s="16" t="n">
        <x:v>0.03333333333333333</x:v>
      </x:c>
      <x:c r="BT744" s="14" t="str">
        <x:v>One episode</x:v>
      </x:c>
      <x:c r="BU744" s="14" t="str">
        <x:v>Medium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4" t="str">
        <x:v>HYPERLINK is not implemented. linkLocation=https://www.imdb.com/title/tt11981644/fullcredits/, friendlyName=Open source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tt11981644|nm8832545|pc1</x:v>
      </x:c>
      <x:c r="B745" s="14" t="str">
        <x:v>02</x:v>
      </x:c>
      <x:c r="C745" s="14" t="str">
        <x:v>2021_IMDb_Cast_Lists_Batch_02(1).xlsx</x:v>
      </x:c>
      <x:c r="D745" s="14" t="str">
        <x:v>Professor T</x:v>
      </x:c>
      <x:c r="E745" s="14" t="n">
        <x:v>69</x:v>
      </x:c>
      <x:c r="F745" s="14" t="str">
        <x:v>Professor T</x:v>
      </x:c>
      <x:c r="G745" s="14" t="str">
        <x:v>tt11981644</x:v>
      </x:c>
      <x:c r="H745" s="14" t="n">
        <x:v>2021</x:v>
      </x:c>
      <x:c r="I745" s="14" t="n">
        <x:v>2025</x:v>
      </x:c>
      <x:c r="J745" s="14" t="str">
        <x:v>Earlier-Production Carry-In Cohort</x:v>
      </x:c>
      <x:c r="K745" s="14" t="n">
        <x:v>2021</x:v>
      </x:c>
      <x:c r="L745" s="14" t="str">
        <x:v>Available from 2021 analysis</x:v>
      </x:c>
      <x:c r="M745" s="15" t="n">
        <x:v>62</x:v>
      </x:c>
      <x:c r="N745" s="14" t="str">
        <x:v>Steven Morgan</x:v>
      </x:c>
      <x:c r="O745" s="14" t="str">
        <x:v>nm8832545</x:v>
      </x:c>
      <x:c r="P745" s="14" t="str">
        <x:v>PC1</x:v>
      </x:c>
      <x:c r="Q745" s="15" t="n">
        <x:v>1</x:v>
      </x:c>
      <x:c r="R745" s="14" t="str">
        <x:v>2025</x:v>
      </x:c>
      <x:c r="S745" s="14" t="n">
        <x:v>2025</x:v>
      </x:c>
      <x:c r="T745" s="14" t="n">
        <x:v>2025</x:v>
      </x:c>
      <x:c r="U745" s="14" t="str">
        <x:v>Post-2021 casting excluded</x:v>
      </x:c>
      <x:c r="V745" s="14" t="str">
        <x:v>Earliest supplied year is 2025, later than the 2021 study year.</x:v>
      </x:c>
      <x:c r="W745" s="14"/>
      <x:c r="X745" s="14" t="str">
        <x:v>Included</x:v>
      </x:c>
      <x:c r="Y745" s="14"/>
      <x:c r="Z745" s="14" t="str">
        <x:v>Professor T.docx</x:v>
      </x:c>
      <x:c r="AA745" s="14" t="str">
        <x:v>HYPERLINK is not implemented. linkLocation=https://www.imdb.com/title/tt11981644/fullcredits/, friendlyName=Open source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ITV / ITVX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7" t="e">
        <x:f>HYPERLINK("https://en.wikipedia.org/wiki/Professor_T.","Open source")</x:f>
        <x:v>HYPERLINK is not implemented. linkLocation=https://en.wikipedia.org/wiki/Professor_T., friendlyName=Open source</x:v>
      </x:c>
      <x:c r="AN745" s="14" t="str">
        <x:v>No qualifying BBC relationship</x:v>
      </x:c>
      <x:c r="AO745" s="14" t="str">
        <x:v>No</x:v>
      </x:c>
      <x:c r="AP745" s="14" t="str">
        <x:v>Out of scope</x:v>
      </x:c>
      <x:c r="AQ745" s="14" t="str">
        <x:v>No</x:v>
      </x:c>
      <x:c r="AR745" s="14" t="str">
        <x:v>Resolved from master register</x:v>
      </x:c>
      <x:c r="AS745" s="14" t="str">
        <x:v>No established-register match</x:v>
      </x:c>
      <x:c r="AT745" s="14"/>
      <x:c r="AU745" s="14"/>
      <x:c r="AV745" s="14" t="str">
        <x:v>No established apparent-disability match</x:v>
      </x:c>
      <x:c r="AW745" s="14"/>
      <x:c r="AX745" s="14" t="str">
        <x:v>No</x:v>
      </x:c>
      <x:c r="AY745" s="14" t="str">
        <x:v>Unmatched</x:v>
      </x:c>
      <x:c r="AZ745" s="14" t="str">
        <x:v>Final supplied register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30</x:v>
      </x:c>
      <x:c r="BP745" s="14" t="str">
        <x:v>Maximum eligible IMDb cast-credit total (30), shared by 2 performer(s); not independently verified as a 2021-only episode total.</x:v>
      </x:c>
      <x:c r="BQ745" s="14" t="str">
        <x:v>Medium</x:v>
      </x:c>
      <x:c r="BR745" s="15" t="n">
        <x:v>1</x:v>
      </x:c>
      <x:c r="BS745" s="16" t="n">
        <x:v>0.03333333333333333</x:v>
      </x:c>
      <x:c r="BT745" s="14" t="str">
        <x:v>One episode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4" t="str">
        <x:v>HYPERLINK is not implemented. linkLocation=https://www.imdb.com/title/tt11981644/fullcredits/, friendlyName=Open source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tt11981644|nm2393646|bruno sommers</x:v>
      </x:c>
      <x:c r="B746" s="14" t="str">
        <x:v>02</x:v>
      </x:c>
      <x:c r="C746" s="14" t="str">
        <x:v>2021_IMDb_Cast_Lists_Batch_02(1).xlsx</x:v>
      </x:c>
      <x:c r="D746" s="14" t="str">
        <x:v>Professor T</x:v>
      </x:c>
      <x:c r="E746" s="14" t="n">
        <x:v>72</x:v>
      </x:c>
      <x:c r="F746" s="14" t="str">
        <x:v>Professor T</x:v>
      </x:c>
      <x:c r="G746" s="14" t="str">
        <x:v>tt11981644</x:v>
      </x:c>
      <x:c r="H746" s="14" t="n">
        <x:v>2021</x:v>
      </x:c>
      <x:c r="I746" s="14" t="n">
        <x:v>2025</x:v>
      </x:c>
      <x:c r="J746" s="14" t="str">
        <x:v>Earlier-Production Carry-In Cohort</x:v>
      </x:c>
      <x:c r="K746" s="14" t="n">
        <x:v>2021</x:v>
      </x:c>
      <x:c r="L746" s="14" t="str">
        <x:v>Available from 2021 analysis</x:v>
      </x:c>
      <x:c r="M746" s="15" t="n">
        <x:v>65</x:v>
      </x:c>
      <x:c r="N746" s="14" t="str">
        <x:v>James Anderson</x:v>
      </x:c>
      <x:c r="O746" s="14" t="str">
        <x:v>nm2393646</x:v>
      </x:c>
      <x:c r="P746" s="14" t="str">
        <x:v>Bruno Sommers</x:v>
      </x:c>
      <x:c r="Q746" s="15" t="n">
        <x:v>1</x:v>
      </x:c>
      <x:c r="R746" s="14" t="str">
        <x:v>2025</x:v>
      </x:c>
      <x:c r="S746" s="14" t="n">
        <x:v>2025</x:v>
      </x:c>
      <x:c r="T746" s="14" t="n">
        <x:v>2025</x:v>
      </x:c>
      <x:c r="U746" s="14" t="str">
        <x:v>Post-2021 casting excluded</x:v>
      </x:c>
      <x:c r="V746" s="14" t="str">
        <x:v>Earliest supplied year is 2025, later than the 2021 study year.</x:v>
      </x:c>
      <x:c r="W746" s="14"/>
      <x:c r="X746" s="14" t="str">
        <x:v>Included</x:v>
      </x:c>
      <x:c r="Y746" s="14"/>
      <x:c r="Z746" s="14" t="str">
        <x:v>Professor T.docx</x:v>
      </x:c>
      <x:c r="AA746" s="14" t="str">
        <x:v>HYPERLINK is not implemented. linkLocation=https://www.imdb.com/title/tt11981644/fullcredits/, friendlyName=Open source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ITV / ITVX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7" t="e">
        <x:f>HYPERLINK("https://en.wikipedia.org/wiki/Professor_T.","Open source")</x:f>
        <x:v>HYPERLINK is not implemented. linkLocation=https://en.wikipedia.org/wiki/Professor_T., friendlyName=Open source</x:v>
      </x:c>
      <x:c r="AN746" s="14" t="str">
        <x:v>No qualifying BBC relationship</x:v>
      </x:c>
      <x:c r="AO746" s="14" t="str">
        <x:v>No</x:v>
      </x:c>
      <x:c r="AP746" s="14" t="str">
        <x:v>Out of scope</x:v>
      </x:c>
      <x:c r="AQ746" s="14" t="str">
        <x:v>No</x:v>
      </x:c>
      <x:c r="AR746" s="14" t="str">
        <x:v>Resolved from master register</x:v>
      </x:c>
      <x:c r="AS746" s="14" t="str">
        <x:v>No established-register match</x:v>
      </x:c>
      <x:c r="AT746" s="14"/>
      <x:c r="AU746" s="14"/>
      <x:c r="AV746" s="14" t="str">
        <x:v>No established apparent-disability match</x:v>
      </x:c>
      <x:c r="AW746" s="14"/>
      <x:c r="AX746" s="14" t="str">
        <x:v>No</x:v>
      </x:c>
      <x:c r="AY746" s="14" t="str">
        <x:v>Unmatched</x:v>
      </x:c>
      <x:c r="AZ746" s="14" t="str">
        <x:v>Final supplied register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30</x:v>
      </x:c>
      <x:c r="BP746" s="14" t="str">
        <x:v>Maximum eligible IMDb cast-credit total (30), shared by 2 performer(s); not independently verified as a 2021-only episode total.</x:v>
      </x:c>
      <x:c r="BQ746" s="14" t="str">
        <x:v>Medium</x:v>
      </x:c>
      <x:c r="BR746" s="15" t="n">
        <x:v>1</x:v>
      </x:c>
      <x:c r="BS746" s="16" t="n">
        <x:v>0.03333333333333333</x:v>
      </x:c>
      <x:c r="BT746" s="14" t="str">
        <x:v>One episode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4" t="str">
        <x:v>HYPERLINK is not implemented. linkLocation=https://www.imdb.com/title/tt11981644/fullcredits/, friendlyName=Open source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tt11981644|nm9944131|jc lewis</x:v>
      </x:c>
      <x:c r="B747" s="14" t="str">
        <x:v>02</x:v>
      </x:c>
      <x:c r="C747" s="14" t="str">
        <x:v>2021_IMDb_Cast_Lists_Batch_02(1).xlsx</x:v>
      </x:c>
      <x:c r="D747" s="14" t="str">
        <x:v>Professor T</x:v>
      </x:c>
      <x:c r="E747" s="14" t="n">
        <x:v>73</x:v>
      </x:c>
      <x:c r="F747" s="14" t="str">
        <x:v>Professor T</x:v>
      </x:c>
      <x:c r="G747" s="14" t="str">
        <x:v>tt11981644</x:v>
      </x:c>
      <x:c r="H747" s="14" t="n">
        <x:v>2021</x:v>
      </x:c>
      <x:c r="I747" s="14" t="n">
        <x:v>2025</x:v>
      </x:c>
      <x:c r="J747" s="14" t="str">
        <x:v>Earlier-Production Carry-In Cohort</x:v>
      </x:c>
      <x:c r="K747" s="14" t="n">
        <x:v>2021</x:v>
      </x:c>
      <x:c r="L747" s="14" t="str">
        <x:v>Available from 2021 analysis</x:v>
      </x:c>
      <x:c r="M747" s="15" t="n">
        <x:v>66</x:v>
      </x:c>
      <x:c r="N747" s="14" t="str">
        <x:v>Angus Yellowlees</x:v>
      </x:c>
      <x:c r="O747" s="14" t="str">
        <x:v>nm9944131</x:v>
      </x:c>
      <x:c r="P747" s="14" t="str">
        <x:v>JC Lewis</x:v>
      </x:c>
      <x:c r="Q747" s="15" t="n">
        <x:v>1</x:v>
      </x:c>
      <x:c r="R747" s="14" t="str">
        <x:v>2025</x:v>
      </x:c>
      <x:c r="S747" s="14" t="n">
        <x:v>2025</x:v>
      </x:c>
      <x:c r="T747" s="14" t="n">
        <x:v>2025</x:v>
      </x:c>
      <x:c r="U747" s="14" t="str">
        <x:v>Post-2021 casting excluded</x:v>
      </x:c>
      <x:c r="V747" s="14" t="str">
        <x:v>Earliest supplied year is 2025, later than the 2021 study year.</x:v>
      </x:c>
      <x:c r="W747" s="14"/>
      <x:c r="X747" s="14" t="str">
        <x:v>Included</x:v>
      </x:c>
      <x:c r="Y747" s="14"/>
      <x:c r="Z747" s="14" t="str">
        <x:v>Professor T.docx</x:v>
      </x:c>
      <x:c r="AA747" s="14" t="str">
        <x:v>HYPERLINK is not implemented. linkLocation=https://www.imdb.com/title/tt11981644/fullcredits/, friendlyName=Open source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ITV / ITVX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7" t="e">
        <x:f>HYPERLINK("https://en.wikipedia.org/wiki/Professor_T.","Open source")</x:f>
        <x:v>HYPERLINK is not implemented. linkLocation=https://en.wikipedia.org/wiki/Professor_T., friendlyName=Open source</x:v>
      </x:c>
      <x:c r="AN747" s="14" t="str">
        <x:v>No qualifying BBC relationship</x:v>
      </x:c>
      <x:c r="AO747" s="14" t="str">
        <x:v>No</x:v>
      </x:c>
      <x:c r="AP747" s="14" t="str">
        <x:v>Out of scope</x:v>
      </x:c>
      <x:c r="AQ747" s="14" t="str">
        <x:v>No</x:v>
      </x:c>
      <x:c r="AR747" s="14" t="str">
        <x:v>Resolved from master register</x:v>
      </x:c>
      <x:c r="AS747" s="14" t="str">
        <x:v>No established-register match</x:v>
      </x:c>
      <x:c r="AT747" s="14"/>
      <x:c r="AU747" s="14"/>
      <x:c r="AV747" s="14" t="str">
        <x:v>No established apparent-disability match</x:v>
      </x:c>
      <x:c r="AW747" s="14"/>
      <x:c r="AX747" s="14" t="str">
        <x:v>No</x:v>
      </x:c>
      <x:c r="AY747" s="14" t="str">
        <x:v>Unmatched</x:v>
      </x:c>
      <x:c r="AZ747" s="14" t="str">
        <x:v>Final supplied register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30</x:v>
      </x:c>
      <x:c r="BP747" s="14" t="str">
        <x:v>Maximum eligible IMDb cast-credit total (30), shared by 2 performer(s); not independently verified as a 2021-only episode total.</x:v>
      </x:c>
      <x:c r="BQ747" s="14" t="str">
        <x:v>Medium</x:v>
      </x:c>
      <x:c r="BR747" s="15" t="n">
        <x:v>1</x:v>
      </x:c>
      <x:c r="BS747" s="16" t="n">
        <x:v>0.03333333333333333</x:v>
      </x:c>
      <x:c r="BT747" s="14" t="str">
        <x:v>One episode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4" t="str">
        <x:v>HYPERLINK is not implemented. linkLocation=https://www.imdb.com/title/tt11981644/fullcredits/, friendlyName=Open source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tt11981644|nm12832881|tanya loomis</x:v>
      </x:c>
      <x:c r="B748" s="14" t="str">
        <x:v>02</x:v>
      </x:c>
      <x:c r="C748" s="14" t="str">
        <x:v>2021_IMDb_Cast_Lists_Batch_02(1).xlsx</x:v>
      </x:c>
      <x:c r="D748" s="14" t="str">
        <x:v>Professor T</x:v>
      </x:c>
      <x:c r="E748" s="14" t="n">
        <x:v>74</x:v>
      </x:c>
      <x:c r="F748" s="14" t="str">
        <x:v>Professor T</x:v>
      </x:c>
      <x:c r="G748" s="14" t="str">
        <x:v>tt11981644</x:v>
      </x:c>
      <x:c r="H748" s="14" t="n">
        <x:v>2021</x:v>
      </x:c>
      <x:c r="I748" s="14" t="n">
        <x:v>2025</x:v>
      </x:c>
      <x:c r="J748" s="14" t="str">
        <x:v>Earlier-Production Carry-In Cohort</x:v>
      </x:c>
      <x:c r="K748" s="14" t="n">
        <x:v>2021</x:v>
      </x:c>
      <x:c r="L748" s="14" t="str">
        <x:v>Available from 2021 analysis</x:v>
      </x:c>
      <x:c r="M748" s="15" t="n">
        <x:v>67</x:v>
      </x:c>
      <x:c r="N748" s="14" t="str">
        <x:v>Sinay Bavurhe</x:v>
      </x:c>
      <x:c r="O748" s="14" t="str">
        <x:v>nm12832881</x:v>
      </x:c>
      <x:c r="P748" s="14" t="str">
        <x:v>Tanya Loomis</x:v>
      </x:c>
      <x:c r="Q748" s="15" t="n">
        <x:v>1</x:v>
      </x:c>
      <x:c r="R748" s="14" t="str">
        <x:v>2025</x:v>
      </x:c>
      <x:c r="S748" s="14" t="n">
        <x:v>2025</x:v>
      </x:c>
      <x:c r="T748" s="14" t="n">
        <x:v>2025</x:v>
      </x:c>
      <x:c r="U748" s="14" t="str">
        <x:v>Post-2021 casting excluded</x:v>
      </x:c>
      <x:c r="V748" s="14" t="str">
        <x:v>Earliest supplied year is 2025, later than the 2021 study year.</x:v>
      </x:c>
      <x:c r="W748" s="14"/>
      <x:c r="X748" s="14" t="str">
        <x:v>Included</x:v>
      </x:c>
      <x:c r="Y748" s="14"/>
      <x:c r="Z748" s="14" t="str">
        <x:v>Professor T.docx</x:v>
      </x:c>
      <x:c r="AA748" s="14" t="str">
        <x:v>HYPERLINK is not implemented. linkLocation=https://www.imdb.com/title/tt11981644/fullcredits/, friendlyName=Open source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ITV / ITVX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7" t="e">
        <x:f>HYPERLINK("https://en.wikipedia.org/wiki/Professor_T.","Open source")</x:f>
        <x:v>HYPERLINK is not implemented. linkLocation=https://en.wikipedia.org/wiki/Professor_T., friendlyName=Open source</x:v>
      </x:c>
      <x:c r="AN748" s="14" t="str">
        <x:v>No qualifying BBC relationship</x:v>
      </x:c>
      <x:c r="AO748" s="14" t="str">
        <x:v>No</x:v>
      </x:c>
      <x:c r="AP748" s="14" t="str">
        <x:v>Out of scope</x:v>
      </x:c>
      <x:c r="AQ748" s="14" t="str">
        <x:v>No</x:v>
      </x:c>
      <x:c r="AR748" s="14" t="str">
        <x:v>Resolved from master register</x:v>
      </x:c>
      <x:c r="AS748" s="14" t="str">
        <x:v>No established-register match</x:v>
      </x:c>
      <x:c r="AT748" s="14"/>
      <x:c r="AU748" s="14"/>
      <x:c r="AV748" s="14" t="str">
        <x:v>No established apparent-disability match</x:v>
      </x:c>
      <x:c r="AW748" s="14"/>
      <x:c r="AX748" s="14" t="str">
        <x:v>No</x:v>
      </x:c>
      <x:c r="AY748" s="14" t="str">
        <x:v>Unmatched</x:v>
      </x:c>
      <x:c r="AZ748" s="14" t="str">
        <x:v>Final supplied register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30</x:v>
      </x:c>
      <x:c r="BP748" s="14" t="str">
        <x:v>Maximum eligible IMDb cast-credit total (30), shared by 2 performer(s); not independently verified as a 2021-only episode total.</x:v>
      </x:c>
      <x:c r="BQ748" s="14" t="str">
        <x:v>Medium</x:v>
      </x:c>
      <x:c r="BR748" s="15" t="n">
        <x:v>1</x:v>
      </x:c>
      <x:c r="BS748" s="16" t="n">
        <x:v>0.03333333333333333</x:v>
      </x:c>
      <x:c r="BT748" s="14" t="str">
        <x:v>One episode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4" t="str">
        <x:v>HYPERLINK is not implemented. linkLocation=https://www.imdb.com/title/tt11981644/fullcredits/, friendlyName=Open source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tt11981644|nm17593077|jay morgan</x:v>
      </x:c>
      <x:c r="B749" s="14" t="str">
        <x:v>02</x:v>
      </x:c>
      <x:c r="C749" s="14" t="str">
        <x:v>2021_IMDb_Cast_Lists_Batch_02(1).xlsx</x:v>
      </x:c>
      <x:c r="D749" s="14" t="str">
        <x:v>Professor T</x:v>
      </x:c>
      <x:c r="E749" s="14" t="n">
        <x:v>75</x:v>
      </x:c>
      <x:c r="F749" s="14" t="str">
        <x:v>Professor T</x:v>
      </x:c>
      <x:c r="G749" s="14" t="str">
        <x:v>tt11981644</x:v>
      </x:c>
      <x:c r="H749" s="14" t="n">
        <x:v>2021</x:v>
      </x:c>
      <x:c r="I749" s="14" t="n">
        <x:v>2025</x:v>
      </x:c>
      <x:c r="J749" s="14" t="str">
        <x:v>Earlier-Production Carry-In Cohort</x:v>
      </x:c>
      <x:c r="K749" s="14" t="n">
        <x:v>2021</x:v>
      </x:c>
      <x:c r="L749" s="14" t="str">
        <x:v>Available from 2021 analysis</x:v>
      </x:c>
      <x:c r="M749" s="15" t="n">
        <x:v>68</x:v>
      </x:c>
      <x:c r="N749" s="14" t="str">
        <x:v>Ludovic Lhoest</x:v>
      </x:c>
      <x:c r="O749" s="14" t="str">
        <x:v>nm17593077</x:v>
      </x:c>
      <x:c r="P749" s="14" t="str">
        <x:v>Jay Morgan</x:v>
      </x:c>
      <x:c r="Q749" s="15" t="n">
        <x:v>1</x:v>
      </x:c>
      <x:c r="R749" s="14" t="str">
        <x:v>2025</x:v>
      </x:c>
      <x:c r="S749" s="14" t="n">
        <x:v>2025</x:v>
      </x:c>
      <x:c r="T749" s="14" t="n">
        <x:v>2025</x:v>
      </x:c>
      <x:c r="U749" s="14" t="str">
        <x:v>Post-2021 casting excluded</x:v>
      </x:c>
      <x:c r="V749" s="14" t="str">
        <x:v>Earliest supplied year is 2025, later than the 2021 study year.</x:v>
      </x:c>
      <x:c r="W749" s="14"/>
      <x:c r="X749" s="14" t="str">
        <x:v>Included</x:v>
      </x:c>
      <x:c r="Y749" s="14"/>
      <x:c r="Z749" s="14" t="str">
        <x:v>Professor T.docx</x:v>
      </x:c>
      <x:c r="AA749" s="14" t="str">
        <x:v>HYPERLINK is not implemented. linkLocation=https://www.imdb.com/title/tt11981644/fullcredits/, friendlyName=Open source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ITV / ITVX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7" t="e">
        <x:f>HYPERLINK("https://en.wikipedia.org/wiki/Professor_T.","Open source")</x:f>
        <x:v>HYPERLINK is not implemented. linkLocation=https://en.wikipedia.org/wiki/Professor_T., friendlyName=Open source</x:v>
      </x:c>
      <x:c r="AN749" s="14" t="str">
        <x:v>No qualifying BBC relationship</x:v>
      </x:c>
      <x:c r="AO749" s="14" t="str">
        <x:v>No</x:v>
      </x:c>
      <x:c r="AP749" s="14" t="str">
        <x:v>Out of scope</x:v>
      </x:c>
      <x:c r="AQ749" s="14" t="str">
        <x:v>No</x:v>
      </x:c>
      <x:c r="AR749" s="14" t="str">
        <x:v>Resolved from master register</x:v>
      </x:c>
      <x:c r="AS749" s="14" t="str">
        <x:v>No established-register match</x:v>
      </x:c>
      <x:c r="AT749" s="14"/>
      <x:c r="AU749" s="14"/>
      <x:c r="AV749" s="14" t="str">
        <x:v>No established apparent-disability match</x:v>
      </x:c>
      <x:c r="AW749" s="14"/>
      <x:c r="AX749" s="14" t="str">
        <x:v>No</x:v>
      </x:c>
      <x:c r="AY749" s="14" t="str">
        <x:v>Unmatched</x:v>
      </x:c>
      <x:c r="AZ749" s="14" t="str">
        <x:v>Final supplied register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30</x:v>
      </x:c>
      <x:c r="BP749" s="14" t="str">
        <x:v>Maximum eligible IMDb cast-credit total (30), shared by 2 performer(s); not independently verified as a 2021-only episode total.</x:v>
      </x:c>
      <x:c r="BQ749" s="14" t="str">
        <x:v>Medium</x:v>
      </x:c>
      <x:c r="BR749" s="15" t="n">
        <x:v>1</x:v>
      </x:c>
      <x:c r="BS749" s="16" t="n">
        <x:v>0.03333333333333333</x:v>
      </x:c>
      <x:c r="BT749" s="14" t="str">
        <x:v>One episode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4" t="str">
        <x:v>HYPERLINK is not implemented. linkLocation=https://www.imdb.com/title/tt11981644/fullcredits/, friendlyName=Open source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tt11981644|nm4622214|pc2</x:v>
      </x:c>
      <x:c r="B750" s="14" t="str">
        <x:v>02</x:v>
      </x:c>
      <x:c r="C750" s="14" t="str">
        <x:v>2021_IMDb_Cast_Lists_Batch_02(1).xlsx</x:v>
      </x:c>
      <x:c r="D750" s="14" t="str">
        <x:v>Professor T</x:v>
      </x:c>
      <x:c r="E750" s="14" t="n">
        <x:v>76</x:v>
      </x:c>
      <x:c r="F750" s="14" t="str">
        <x:v>Professor T</x:v>
      </x:c>
      <x:c r="G750" s="14" t="str">
        <x:v>tt11981644</x:v>
      </x:c>
      <x:c r="H750" s="14" t="n">
        <x:v>2021</x:v>
      </x:c>
      <x:c r="I750" s="14" t="n">
        <x:v>2025</x:v>
      </x:c>
      <x:c r="J750" s="14" t="str">
        <x:v>Earlier-Production Carry-In Cohort</x:v>
      </x:c>
      <x:c r="K750" s="14" t="n">
        <x:v>2021</x:v>
      </x:c>
      <x:c r="L750" s="14" t="str">
        <x:v>Available from 2021 analysis</x:v>
      </x:c>
      <x:c r="M750" s="15" t="n">
        <x:v>69</x:v>
      </x:c>
      <x:c r="N750" s="14" t="str">
        <x:v>Yva Lake</x:v>
      </x:c>
      <x:c r="O750" s="14" t="str">
        <x:v>nm4622214</x:v>
      </x:c>
      <x:c r="P750" s="14" t="str">
        <x:v>PC2</x:v>
      </x:c>
      <x:c r="Q750" s="15" t="n">
        <x:v>1</x:v>
      </x:c>
      <x:c r="R750" s="14" t="str">
        <x:v>2025</x:v>
      </x:c>
      <x:c r="S750" s="14" t="n">
        <x:v>2025</x:v>
      </x:c>
      <x:c r="T750" s="14" t="n">
        <x:v>2025</x:v>
      </x:c>
      <x:c r="U750" s="14" t="str">
        <x:v>Post-2021 casting excluded</x:v>
      </x:c>
      <x:c r="V750" s="14" t="str">
        <x:v>Earliest supplied year is 2025, later than the 2021 study year.</x:v>
      </x:c>
      <x:c r="W750" s="14"/>
      <x:c r="X750" s="14" t="str">
        <x:v>Included</x:v>
      </x:c>
      <x:c r="Y750" s="14" t="str">
        <x:v>(as Yvonne Lake)</x:v>
      </x:c>
      <x:c r="Z750" s="14" t="str">
        <x:v>Professor T.docx</x:v>
      </x:c>
      <x:c r="AA750" s="14" t="str">
        <x:v>HYPERLINK is not implemented. linkLocation=https://www.imdb.com/title/tt11981644/fullcredits/, friendlyName=Open source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ITV / ITVX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7" t="e">
        <x:f>HYPERLINK("https://en.wikipedia.org/wiki/Professor_T.","Open source")</x:f>
        <x:v>HYPERLINK is not implemented. linkLocation=https://en.wikipedia.org/wiki/Professor_T., friendlyName=Open source</x:v>
      </x:c>
      <x:c r="AN750" s="14" t="str">
        <x:v>No qualifying BBC relationship</x:v>
      </x:c>
      <x:c r="AO750" s="14" t="str">
        <x:v>No</x:v>
      </x:c>
      <x:c r="AP750" s="14" t="str">
        <x:v>Out of scope</x:v>
      </x:c>
      <x:c r="AQ750" s="14" t="str">
        <x:v>No</x:v>
      </x:c>
      <x:c r="AR750" s="14" t="str">
        <x:v>Resolved from master register</x:v>
      </x:c>
      <x:c r="AS750" s="14" t="str">
        <x:v>No established-register match</x:v>
      </x:c>
      <x:c r="AT750" s="14"/>
      <x:c r="AU750" s="14"/>
      <x:c r="AV750" s="14" t="str">
        <x:v>No established apparent-disability match</x:v>
      </x:c>
      <x:c r="AW750" s="14"/>
      <x:c r="AX750" s="14" t="str">
        <x:v>No</x:v>
      </x:c>
      <x:c r="AY750" s="14" t="str">
        <x:v>Unmatched</x:v>
      </x:c>
      <x:c r="AZ750" s="14" t="str">
        <x:v>Final supplied register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30</x:v>
      </x:c>
      <x:c r="BP750" s="14" t="str">
        <x:v>Maximum eligible IMDb cast-credit total (30), shared by 2 performer(s); not independently verified as a 2021-only episode total.</x:v>
      </x:c>
      <x:c r="BQ750" s="14" t="str">
        <x:v>Medium</x:v>
      </x:c>
      <x:c r="BR750" s="15" t="n">
        <x:v>1</x:v>
      </x:c>
      <x:c r="BS750" s="16" t="n">
        <x:v>0.03333333333333333</x:v>
      </x:c>
      <x:c r="BT750" s="14" t="str">
        <x:v>One episode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4" t="str">
        <x:v>HYPERLINK is not implemented. linkLocation=https://www.imdb.com/title/tt11981644/fullcredits/, friendlyName=Open source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tt11981644|nm3008893|phoebe sanders</x:v>
      </x:c>
      <x:c r="B751" s="14" t="str">
        <x:v>02</x:v>
      </x:c>
      <x:c r="C751" s="14" t="str">
        <x:v>2021_IMDb_Cast_Lists_Batch_02(1).xlsx</x:v>
      </x:c>
      <x:c r="D751" s="14" t="str">
        <x:v>Professor T</x:v>
      </x:c>
      <x:c r="E751" s="14" t="n">
        <x:v>78</x:v>
      </x:c>
      <x:c r="F751" s="14" t="str">
        <x:v>Professor T</x:v>
      </x:c>
      <x:c r="G751" s="14" t="str">
        <x:v>tt11981644</x:v>
      </x:c>
      <x:c r="H751" s="14" t="n">
        <x:v>2021</x:v>
      </x:c>
      <x:c r="I751" s="14" t="n">
        <x:v>2025</x:v>
      </x:c>
      <x:c r="J751" s="14" t="str">
        <x:v>Earlier-Production Carry-In Cohort</x:v>
      </x:c>
      <x:c r="K751" s="14" t="n">
        <x:v>2021</x:v>
      </x:c>
      <x:c r="L751" s="14" t="str">
        <x:v>Available from 2021 analysis</x:v>
      </x:c>
      <x:c r="M751" s="15" t="n">
        <x:v>71</x:v>
      </x:c>
      <x:c r="N751" s="14" t="str">
        <x:v>Emily Taaffe</x:v>
      </x:c>
      <x:c r="O751" s="14" t="str">
        <x:v>nm3008893</x:v>
      </x:c>
      <x:c r="P751" s="14" t="str">
        <x:v>Phoebe Sanders</x:v>
      </x:c>
      <x:c r="Q751" s="15" t="n">
        <x:v>1</x:v>
      </x:c>
      <x:c r="R751" s="14" t="str">
        <x:v>2025</x:v>
      </x:c>
      <x:c r="S751" s="14" t="n">
        <x:v>2025</x:v>
      </x:c>
      <x:c r="T751" s="14" t="n">
        <x:v>2025</x:v>
      </x:c>
      <x:c r="U751" s="14" t="str">
        <x:v>Post-2021 casting excluded</x:v>
      </x:c>
      <x:c r="V751" s="14" t="str">
        <x:v>Earliest supplied year is 2025, later than the 2021 study year.</x:v>
      </x:c>
      <x:c r="W751" s="14"/>
      <x:c r="X751" s="14" t="str">
        <x:v>Included</x:v>
      </x:c>
      <x:c r="Y751" s="14"/>
      <x:c r="Z751" s="14" t="str">
        <x:v>Professor T.docx</x:v>
      </x:c>
      <x:c r="AA751" s="14" t="str">
        <x:v>HYPERLINK is not implemented. linkLocation=https://www.imdb.com/title/tt11981644/fullcredits/, friendlyName=Open source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ITV / ITVX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7" t="e">
        <x:f>HYPERLINK("https://en.wikipedia.org/wiki/Professor_T.","Open source")</x:f>
        <x:v>HYPERLINK is not implemented. linkLocation=https://en.wikipedia.org/wiki/Professor_T., friendlyName=Open source</x:v>
      </x:c>
      <x:c r="AN751" s="14" t="str">
        <x:v>No qualifying BBC relationship</x:v>
      </x:c>
      <x:c r="AO751" s="14" t="str">
        <x:v>No</x:v>
      </x:c>
      <x:c r="AP751" s="14" t="str">
        <x:v>Out of scope</x:v>
      </x:c>
      <x:c r="AQ751" s="14" t="str">
        <x:v>No</x:v>
      </x:c>
      <x:c r="AR751" s="14" t="str">
        <x:v>Resolved from master register</x:v>
      </x:c>
      <x:c r="AS751" s="14" t="str">
        <x:v>No established-register match</x:v>
      </x:c>
      <x:c r="AT751" s="14"/>
      <x:c r="AU751" s="14"/>
      <x:c r="AV751" s="14" t="str">
        <x:v>No established apparent-disability match</x:v>
      </x:c>
      <x:c r="AW751" s="14"/>
      <x:c r="AX751" s="14" t="str">
        <x:v>No</x:v>
      </x:c>
      <x:c r="AY751" s="14" t="str">
        <x:v>Unmatched</x:v>
      </x:c>
      <x:c r="AZ751" s="14" t="str">
        <x:v>Final supplied register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30</x:v>
      </x:c>
      <x:c r="BP751" s="14" t="str">
        <x:v>Maximum eligible IMDb cast-credit total (30), shared by 2 performer(s); not independently verified as a 2021-only episode total.</x:v>
      </x:c>
      <x:c r="BQ751" s="14" t="str">
        <x:v>Medium</x:v>
      </x:c>
      <x:c r="BR751" s="15" t="n">
        <x:v>1</x:v>
      </x:c>
      <x:c r="BS751" s="16" t="n">
        <x:v>0.03333333333333333</x:v>
      </x:c>
      <x:c r="BT751" s="14" t="str">
        <x:v>One episode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4" t="str">
        <x:v>HYPERLINK is not implemented. linkLocation=https://www.imdb.com/title/tt11981644/fullcredits/, friendlyName=Open source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tt11981644|nm15747518|ramona stubbs</x:v>
      </x:c>
      <x:c r="B752" s="14" t="str">
        <x:v>02</x:v>
      </x:c>
      <x:c r="C752" s="14" t="str">
        <x:v>2021_IMDb_Cast_Lists_Batch_02(1).xlsx</x:v>
      </x:c>
      <x:c r="D752" s="14" t="str">
        <x:v>Professor T</x:v>
      </x:c>
      <x:c r="E752" s="14" t="n">
        <x:v>79</x:v>
      </x:c>
      <x:c r="F752" s="14" t="str">
        <x:v>Professor T</x:v>
      </x:c>
      <x:c r="G752" s="14" t="str">
        <x:v>tt11981644</x:v>
      </x:c>
      <x:c r="H752" s="14" t="n">
        <x:v>2021</x:v>
      </x:c>
      <x:c r="I752" s="14" t="n">
        <x:v>2025</x:v>
      </x:c>
      <x:c r="J752" s="14" t="str">
        <x:v>Earlier-Production Carry-In Cohort</x:v>
      </x:c>
      <x:c r="K752" s="14" t="n">
        <x:v>2021</x:v>
      </x:c>
      <x:c r="L752" s="14" t="str">
        <x:v>Available from 2021 analysis</x:v>
      </x:c>
      <x:c r="M752" s="15" t="n">
        <x:v>72</x:v>
      </x:c>
      <x:c r="N752" s="14" t="str">
        <x:v>Mia Gill</x:v>
      </x:c>
      <x:c r="O752" s="14" t="str">
        <x:v>nm15747518</x:v>
      </x:c>
      <x:c r="P752" s="14" t="str">
        <x:v>Ramona Stubbs</x:v>
      </x:c>
      <x:c r="Q752" s="15" t="n">
        <x:v>1</x:v>
      </x:c>
      <x:c r="R752" s="14" t="str">
        <x:v>2025</x:v>
      </x:c>
      <x:c r="S752" s="14" t="n">
        <x:v>2025</x:v>
      </x:c>
      <x:c r="T752" s="14" t="n">
        <x:v>2025</x:v>
      </x:c>
      <x:c r="U752" s="14" t="str">
        <x:v>Post-2021 casting excluded</x:v>
      </x:c>
      <x:c r="V752" s="14" t="str">
        <x:v>Earliest supplied year is 2025, later than the 2021 study year.</x:v>
      </x:c>
      <x:c r="W752" s="14"/>
      <x:c r="X752" s="14" t="str">
        <x:v>Included</x:v>
      </x:c>
      <x:c r="Y752" s="14"/>
      <x:c r="Z752" s="14" t="str">
        <x:v>Professor T.docx</x:v>
      </x:c>
      <x:c r="AA752" s="14" t="str">
        <x:v>HYPERLINK is not implemented. linkLocation=https://www.imdb.com/title/tt11981644/fullcredits/, friendlyName=Open source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ITV / ITVX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7" t="e">
        <x:f>HYPERLINK("https://en.wikipedia.org/wiki/Professor_T.","Open source")</x:f>
        <x:v>HYPERLINK is not implemented. linkLocation=https://en.wikipedia.org/wiki/Professor_T., friendlyName=Open source</x:v>
      </x:c>
      <x:c r="AN752" s="14" t="str">
        <x:v>No qualifying BBC relationship</x:v>
      </x:c>
      <x:c r="AO752" s="14" t="str">
        <x:v>No</x:v>
      </x:c>
      <x:c r="AP752" s="14" t="str">
        <x:v>Out of scope</x:v>
      </x:c>
      <x:c r="AQ752" s="14" t="str">
        <x:v>No</x:v>
      </x:c>
      <x:c r="AR752" s="14" t="str">
        <x:v>Resolved from master register</x:v>
      </x:c>
      <x:c r="AS752" s="14" t="str">
        <x:v>No established-register match</x:v>
      </x:c>
      <x:c r="AT752" s="14"/>
      <x:c r="AU752" s="14"/>
      <x:c r="AV752" s="14" t="str">
        <x:v>No established apparent-disability match</x:v>
      </x:c>
      <x:c r="AW752" s="14"/>
      <x:c r="AX752" s="14" t="str">
        <x:v>No</x:v>
      </x:c>
      <x:c r="AY752" s="14" t="str">
        <x:v>Unmatched</x:v>
      </x:c>
      <x:c r="AZ752" s="14" t="str">
        <x:v>Final supplied register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30</x:v>
      </x:c>
      <x:c r="BP752" s="14" t="str">
        <x:v>Maximum eligible IMDb cast-credit total (30), shared by 2 performer(s); not independently verified as a 2021-only episode total.</x:v>
      </x:c>
      <x:c r="BQ752" s="14" t="str">
        <x:v>Medium</x:v>
      </x:c>
      <x:c r="BR752" s="15" t="n">
        <x:v>1</x:v>
      </x:c>
      <x:c r="BS752" s="16" t="n">
        <x:v>0.03333333333333333</x:v>
      </x:c>
      <x:c r="BT752" s="14" t="str">
        <x:v>One episode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4" t="str">
        <x:v>HYPERLINK is not implemented. linkLocation=https://www.imdb.com/title/tt11981644/fullcredits/, friendlyName=Open source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tt11981644|nm6340110|abbey sommers</x:v>
      </x:c>
      <x:c r="B753" s="14" t="str">
        <x:v>02</x:v>
      </x:c>
      <x:c r="C753" s="14" t="str">
        <x:v>2021_IMDb_Cast_Lists_Batch_02(1).xlsx</x:v>
      </x:c>
      <x:c r="D753" s="14" t="str">
        <x:v>Professor T</x:v>
      </x:c>
      <x:c r="E753" s="14" t="n">
        <x:v>80</x:v>
      </x:c>
      <x:c r="F753" s="14" t="str">
        <x:v>Professor T</x:v>
      </x:c>
      <x:c r="G753" s="14" t="str">
        <x:v>tt11981644</x:v>
      </x:c>
      <x:c r="H753" s="14" t="n">
        <x:v>2021</x:v>
      </x:c>
      <x:c r="I753" s="14" t="n">
        <x:v>2025</x:v>
      </x:c>
      <x:c r="J753" s="14" t="str">
        <x:v>Earlier-Production Carry-In Cohort</x:v>
      </x:c>
      <x:c r="K753" s="14" t="n">
        <x:v>2021</x:v>
      </x:c>
      <x:c r="L753" s="14" t="str">
        <x:v>Available from 2021 analysis</x:v>
      </x:c>
      <x:c r="M753" s="15" t="n">
        <x:v>73</x:v>
      </x:c>
      <x:c r="N753" s="14" t="str">
        <x:v>Aude Ruyter</x:v>
      </x:c>
      <x:c r="O753" s="14" t="str">
        <x:v>nm6340110</x:v>
      </x:c>
      <x:c r="P753" s="14" t="str">
        <x:v>Abbey Sommers</x:v>
      </x:c>
      <x:c r="Q753" s="15" t="n">
        <x:v>1</x:v>
      </x:c>
      <x:c r="R753" s="14" t="str">
        <x:v>2025</x:v>
      </x:c>
      <x:c r="S753" s="14" t="n">
        <x:v>2025</x:v>
      </x:c>
      <x:c r="T753" s="14" t="n">
        <x:v>2025</x:v>
      </x:c>
      <x:c r="U753" s="14" t="str">
        <x:v>Post-2021 casting excluded</x:v>
      </x:c>
      <x:c r="V753" s="14" t="str">
        <x:v>Earliest supplied year is 2025, later than the 2021 study year.</x:v>
      </x:c>
      <x:c r="W753" s="14"/>
      <x:c r="X753" s="14" t="str">
        <x:v>Included</x:v>
      </x:c>
      <x:c r="Y753" s="14"/>
      <x:c r="Z753" s="14" t="str">
        <x:v>Professor T.docx</x:v>
      </x:c>
      <x:c r="AA753" s="14" t="str">
        <x:v>HYPERLINK is not implemented. linkLocation=https://www.imdb.com/title/tt11981644/fullcredits/, friendlyName=Open source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ITV / ITVX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7" t="e">
        <x:f>HYPERLINK("https://en.wikipedia.org/wiki/Professor_T.","Open source")</x:f>
        <x:v>HYPERLINK is not implemented. linkLocation=https://en.wikipedia.org/wiki/Professor_T., friendlyName=Open source</x:v>
      </x:c>
      <x:c r="AN753" s="14" t="str">
        <x:v>No qualifying BBC relationship</x:v>
      </x:c>
      <x:c r="AO753" s="14" t="str">
        <x:v>No</x:v>
      </x:c>
      <x:c r="AP753" s="14" t="str">
        <x:v>Out of scope</x:v>
      </x:c>
      <x:c r="AQ753" s="14" t="str">
        <x:v>No</x:v>
      </x:c>
      <x:c r="AR753" s="14" t="str">
        <x:v>Resolved from master register</x:v>
      </x:c>
      <x:c r="AS753" s="14" t="str">
        <x:v>No established-register match</x:v>
      </x:c>
      <x:c r="AT753" s="14"/>
      <x:c r="AU753" s="14"/>
      <x:c r="AV753" s="14" t="str">
        <x:v>No established apparent-disability match</x:v>
      </x:c>
      <x:c r="AW753" s="14"/>
      <x:c r="AX753" s="14" t="str">
        <x:v>No</x:v>
      </x:c>
      <x:c r="AY753" s="14" t="str">
        <x:v>Unmatched</x:v>
      </x:c>
      <x:c r="AZ753" s="14" t="str">
        <x:v>Final supplied register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30</x:v>
      </x:c>
      <x:c r="BP753" s="14" t="str">
        <x:v>Maximum eligible IMDb cast-credit total (30), shared by 2 performer(s); not independently verified as a 2021-only episode total.</x:v>
      </x:c>
      <x:c r="BQ753" s="14" t="str">
        <x:v>Medium</x:v>
      </x:c>
      <x:c r="BR753" s="15" t="n">
        <x:v>1</x:v>
      </x:c>
      <x:c r="BS753" s="16" t="n">
        <x:v>0.03333333333333333</x:v>
      </x:c>
      <x:c r="BT753" s="14" t="str">
        <x:v>One episode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4" t="str">
        <x:v>HYPERLINK is not implemented. linkLocation=https://www.imdb.com/title/tt11981644/fullcredits/, friendlyName=Open source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tt11981644|nm0942021|bradley sanders</x:v>
      </x:c>
      <x:c r="B754" s="14" t="str">
        <x:v>02</x:v>
      </x:c>
      <x:c r="C754" s="14" t="str">
        <x:v>2021_IMDb_Cast_Lists_Batch_02(1).xlsx</x:v>
      </x:c>
      <x:c r="D754" s="14" t="str">
        <x:v>Professor T</x:v>
      </x:c>
      <x:c r="E754" s="14" t="n">
        <x:v>85</x:v>
      </x:c>
      <x:c r="F754" s="14" t="str">
        <x:v>Professor T</x:v>
      </x:c>
      <x:c r="G754" s="14" t="str">
        <x:v>tt11981644</x:v>
      </x:c>
      <x:c r="H754" s="14" t="n">
        <x:v>2021</x:v>
      </x:c>
      <x:c r="I754" s="14" t="n">
        <x:v>2025</x:v>
      </x:c>
      <x:c r="J754" s="14" t="str">
        <x:v>Earlier-Production Carry-In Cohort</x:v>
      </x:c>
      <x:c r="K754" s="14" t="n">
        <x:v>2021</x:v>
      </x:c>
      <x:c r="L754" s="14" t="str">
        <x:v>Available from 2021 analysis</x:v>
      </x:c>
      <x:c r="M754" s="15" t="n">
        <x:v>78</x:v>
      </x:c>
      <x:c r="N754" s="14" t="str">
        <x:v>Jonathan Wrather</x:v>
      </x:c>
      <x:c r="O754" s="14" t="str">
        <x:v>nm0942021</x:v>
      </x:c>
      <x:c r="P754" s="14" t="str">
        <x:v>Bradley Sanders</x:v>
      </x:c>
      <x:c r="Q754" s="15" t="n">
        <x:v>1</x:v>
      </x:c>
      <x:c r="R754" s="14" t="str">
        <x:v>2025</x:v>
      </x:c>
      <x:c r="S754" s="14" t="n">
        <x:v>2025</x:v>
      </x:c>
      <x:c r="T754" s="14" t="n">
        <x:v>2025</x:v>
      </x:c>
      <x:c r="U754" s="14" t="str">
        <x:v>Post-2021 casting excluded</x:v>
      </x:c>
      <x:c r="V754" s="14" t="str">
        <x:v>Earliest supplied year is 2025, later than the 2021 study year.</x:v>
      </x:c>
      <x:c r="W754" s="14"/>
      <x:c r="X754" s="14" t="str">
        <x:v>Included</x:v>
      </x:c>
      <x:c r="Y754" s="14"/>
      <x:c r="Z754" s="14" t="str">
        <x:v>Professor T.docx</x:v>
      </x:c>
      <x:c r="AA754" s="14" t="str">
        <x:v>HYPERLINK is not implemented. linkLocation=https://www.imdb.com/title/tt11981644/fullcredits/, friendlyName=Open source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ITV / ITVX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7" t="e">
        <x:f>HYPERLINK("https://en.wikipedia.org/wiki/Professor_T.","Open source")</x:f>
        <x:v>HYPERLINK is not implemented. linkLocation=https://en.wikipedia.org/wiki/Professor_T., friendlyName=Open source</x:v>
      </x:c>
      <x:c r="AN754" s="14" t="str">
        <x:v>No qualifying BBC relationship</x:v>
      </x:c>
      <x:c r="AO754" s="14" t="str">
        <x:v>No</x:v>
      </x:c>
      <x:c r="AP754" s="14" t="str">
        <x:v>Out of scope</x:v>
      </x:c>
      <x:c r="AQ754" s="14" t="str">
        <x:v>No</x:v>
      </x:c>
      <x:c r="AR754" s="14" t="str">
        <x:v>Resolved from master register</x:v>
      </x:c>
      <x:c r="AS754" s="14" t="str">
        <x:v>No established-register match</x:v>
      </x:c>
      <x:c r="AT754" s="14"/>
      <x:c r="AU754" s="14"/>
      <x:c r="AV754" s="14" t="str">
        <x:v>No established apparent-disability match</x:v>
      </x:c>
      <x:c r="AW754" s="14"/>
      <x:c r="AX754" s="14" t="str">
        <x:v>No</x:v>
      </x:c>
      <x:c r="AY754" s="14" t="str">
        <x:v>Unmatched</x:v>
      </x:c>
      <x:c r="AZ754" s="14" t="str">
        <x:v>Final supplied register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30</x:v>
      </x:c>
      <x:c r="BP754" s="14" t="str">
        <x:v>Maximum eligible IMDb cast-credit total (30), shared by 2 performer(s); not independently verified as a 2021-only episode total.</x:v>
      </x:c>
      <x:c r="BQ754" s="14" t="str">
        <x:v>Medium</x:v>
      </x:c>
      <x:c r="BR754" s="15" t="n">
        <x:v>1</x:v>
      </x:c>
      <x:c r="BS754" s="16" t="n">
        <x:v>0.03333333333333333</x:v>
      </x:c>
      <x:c r="BT754" s="14" t="str">
        <x:v>One episode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4" t="str">
        <x:v>HYPERLINK is not implemented. linkLocation=https://www.imdb.com/title/tt11981644/fullcredits/, friendlyName=Open source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tt11981644|nm5534935|captain</x:v>
      </x:c>
      <x:c r="B755" s="14" t="str">
        <x:v>02</x:v>
      </x:c>
      <x:c r="C755" s="14" t="str">
        <x:v>2021_IMDb_Cast_Lists_Batch_02(1).xlsx</x:v>
      </x:c>
      <x:c r="D755" s="14" t="str">
        <x:v>Professor T</x:v>
      </x:c>
      <x:c r="E755" s="14" t="n">
        <x:v>86</x:v>
      </x:c>
      <x:c r="F755" s="14" t="str">
        <x:v>Professor T</x:v>
      </x:c>
      <x:c r="G755" s="14" t="str">
        <x:v>tt11981644</x:v>
      </x:c>
      <x:c r="H755" s="14" t="n">
        <x:v>2021</x:v>
      </x:c>
      <x:c r="I755" s="14" t="n">
        <x:v>2025</x:v>
      </x:c>
      <x:c r="J755" s="14" t="str">
        <x:v>Earlier-Production Carry-In Cohort</x:v>
      </x:c>
      <x:c r="K755" s="14" t="n">
        <x:v>2021</x:v>
      </x:c>
      <x:c r="L755" s="14" t="str">
        <x:v>Available from 2021 analysis</x:v>
      </x:c>
      <x:c r="M755" s="15" t="n">
        <x:v>79</x:v>
      </x:c>
      <x:c r="N755" s="14" t="str">
        <x:v>Gareth Kennerley</x:v>
      </x:c>
      <x:c r="O755" s="14" t="str">
        <x:v>nm5534935</x:v>
      </x:c>
      <x:c r="P755" s="14" t="str">
        <x:v>Captain</x:v>
      </x:c>
      <x:c r="Q755" s="15" t="n">
        <x:v>1</x:v>
      </x:c>
      <x:c r="R755" s="14" t="str">
        <x:v>2025</x:v>
      </x:c>
      <x:c r="S755" s="14" t="n">
        <x:v>2025</x:v>
      </x:c>
      <x:c r="T755" s="14" t="n">
        <x:v>2025</x:v>
      </x:c>
      <x:c r="U755" s="14" t="str">
        <x:v>Post-2021 casting excluded</x:v>
      </x:c>
      <x:c r="V755" s="14" t="str">
        <x:v>Earliest supplied year is 2025, later than the 2021 study year.</x:v>
      </x:c>
      <x:c r="W755" s="14"/>
      <x:c r="X755" s="14" t="str">
        <x:v>Included</x:v>
      </x:c>
      <x:c r="Y755" s="14"/>
      <x:c r="Z755" s="14" t="str">
        <x:v>Professor T.docx</x:v>
      </x:c>
      <x:c r="AA755" s="14" t="str">
        <x:v>HYPERLINK is not implemented. linkLocation=https://www.imdb.com/title/tt11981644/fullcredits/, friendlyName=Open source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ITV / ITVX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7" t="e">
        <x:f>HYPERLINK("https://en.wikipedia.org/wiki/Professor_T.","Open source")</x:f>
        <x:v>HYPERLINK is not implemented. linkLocation=https://en.wikipedia.org/wiki/Professor_T., friendlyName=Open source</x:v>
      </x:c>
      <x:c r="AN755" s="14" t="str">
        <x:v>No qualifying BBC relationship</x:v>
      </x:c>
      <x:c r="AO755" s="14" t="str">
        <x:v>No</x:v>
      </x:c>
      <x:c r="AP755" s="14" t="str">
        <x:v>Out of scope</x:v>
      </x:c>
      <x:c r="AQ755" s="14" t="str">
        <x:v>No</x:v>
      </x:c>
      <x:c r="AR755" s="14" t="str">
        <x:v>Resolved from master register</x:v>
      </x:c>
      <x:c r="AS755" s="14" t="str">
        <x:v>No established-register match</x:v>
      </x:c>
      <x:c r="AT755" s="14"/>
      <x:c r="AU755" s="14"/>
      <x:c r="AV755" s="14" t="str">
        <x:v>No established apparent-disability match</x:v>
      </x:c>
      <x:c r="AW755" s="14"/>
      <x:c r="AX755" s="14" t="str">
        <x:v>No</x:v>
      </x:c>
      <x:c r="AY755" s="14" t="str">
        <x:v>Unmatched</x:v>
      </x:c>
      <x:c r="AZ755" s="14" t="str">
        <x:v>Final supplied register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30</x:v>
      </x:c>
      <x:c r="BP755" s="14" t="str">
        <x:v>Maximum eligible IMDb cast-credit total (30), shared by 2 performer(s); not independently verified as a 2021-only episode total.</x:v>
      </x:c>
      <x:c r="BQ755" s="14" t="str">
        <x:v>Medium</x:v>
      </x:c>
      <x:c r="BR755" s="15" t="n">
        <x:v>1</x:v>
      </x:c>
      <x:c r="BS755" s="16" t="n">
        <x:v>0.03333333333333333</x:v>
      </x:c>
      <x:c r="BT755" s="14" t="str">
        <x:v>One episode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4" t="str">
        <x:v>HYPERLINK is not implemented. linkLocation=https://www.imdb.com/title/tt11981644/fullcredits/, friendlyName=Open source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tt11981644|nm16855287|elderly tennis man</x:v>
      </x:c>
      <x:c r="B756" s="14" t="str">
        <x:v>02</x:v>
      </x:c>
      <x:c r="C756" s="14" t="str">
        <x:v>2021_IMDb_Cast_Lists_Batch_02(1).xlsx</x:v>
      </x:c>
      <x:c r="D756" s="14" t="str">
        <x:v>Professor T</x:v>
      </x:c>
      <x:c r="E756" s="14" t="n">
        <x:v>87</x:v>
      </x:c>
      <x:c r="F756" s="14" t="str">
        <x:v>Professor T</x:v>
      </x:c>
      <x:c r="G756" s="14" t="str">
        <x:v>tt11981644</x:v>
      </x:c>
      <x:c r="H756" s="14" t="n">
        <x:v>2021</x:v>
      </x:c>
      <x:c r="I756" s="14" t="n">
        <x:v>2025</x:v>
      </x:c>
      <x:c r="J756" s="14" t="str">
        <x:v>Earlier-Production Carry-In Cohort</x:v>
      </x:c>
      <x:c r="K756" s="14" t="n">
        <x:v>2021</x:v>
      </x:c>
      <x:c r="L756" s="14" t="str">
        <x:v>Available from 2021 analysis</x:v>
      </x:c>
      <x:c r="M756" s="15" t="n">
        <x:v>80</x:v>
      </x:c>
      <x:c r="N756" s="14" t="str">
        <x:v>Bill J. Martin</x:v>
      </x:c>
      <x:c r="O756" s="14" t="str">
        <x:v>nm16855287</x:v>
      </x:c>
      <x:c r="P756" s="14" t="str">
        <x:v>Elderly Tennis Man</x:v>
      </x:c>
      <x:c r="Q756" s="15" t="n">
        <x:v>1</x:v>
      </x:c>
      <x:c r="R756" s="14" t="str">
        <x:v>2025</x:v>
      </x:c>
      <x:c r="S756" s="14" t="n">
        <x:v>2025</x:v>
      </x:c>
      <x:c r="T756" s="14" t="n">
        <x:v>2025</x:v>
      </x:c>
      <x:c r="U756" s="14" t="str">
        <x:v>Post-2021 casting excluded</x:v>
      </x:c>
      <x:c r="V756" s="14" t="str">
        <x:v>Earliest supplied year is 2025, later than the 2021 study year.</x:v>
      </x:c>
      <x:c r="W756" s="14"/>
      <x:c r="X756" s="14" t="str">
        <x:v>Included</x:v>
      </x:c>
      <x:c r="Y756" s="14" t="str">
        <x:v>(as Bill Martin)</x:v>
      </x:c>
      <x:c r="Z756" s="14" t="str">
        <x:v>Professor T.docx</x:v>
      </x:c>
      <x:c r="AA756" s="14" t="str">
        <x:v>HYPERLINK is not implemented. linkLocation=https://www.imdb.com/title/tt11981644/fullcredits/, friendlyName=Open source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ITV / ITVX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7" t="e">
        <x:f>HYPERLINK("https://en.wikipedia.org/wiki/Professor_T.","Open source")</x:f>
        <x:v>HYPERLINK is not implemented. linkLocation=https://en.wikipedia.org/wiki/Professor_T., friendlyName=Open source</x:v>
      </x:c>
      <x:c r="AN756" s="14" t="str">
        <x:v>No qualifying BBC relationship</x:v>
      </x:c>
      <x:c r="AO756" s="14" t="str">
        <x:v>No</x:v>
      </x:c>
      <x:c r="AP756" s="14" t="str">
        <x:v>Out of scope</x:v>
      </x:c>
      <x:c r="AQ756" s="14" t="str">
        <x:v>No</x:v>
      </x:c>
      <x:c r="AR756" s="14" t="str">
        <x:v>Resolved from master register</x:v>
      </x:c>
      <x:c r="AS756" s="14" t="str">
        <x:v>No established-register match</x:v>
      </x:c>
      <x:c r="AT756" s="14"/>
      <x:c r="AU756" s="14"/>
      <x:c r="AV756" s="14" t="str">
        <x:v>No established apparent-disability match</x:v>
      </x:c>
      <x:c r="AW756" s="14"/>
      <x:c r="AX756" s="14" t="str">
        <x:v>No</x:v>
      </x:c>
      <x:c r="AY756" s="14" t="str">
        <x:v>Unmatched</x:v>
      </x:c>
      <x:c r="AZ756" s="14" t="str">
        <x:v>Final supplied register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30</x:v>
      </x:c>
      <x:c r="BP756" s="14" t="str">
        <x:v>Maximum eligible IMDb cast-credit total (30), shared by 2 performer(s); not independently verified as a 2021-only episode total.</x:v>
      </x:c>
      <x:c r="BQ756" s="14" t="str">
        <x:v>Medium</x:v>
      </x:c>
      <x:c r="BR756" s="15" t="n">
        <x:v>1</x:v>
      </x:c>
      <x:c r="BS756" s="16" t="n">
        <x:v>0.03333333333333333</x:v>
      </x:c>
      <x:c r="BT756" s="14" t="str">
        <x:v>One episode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4" t="str">
        <x:v>HYPERLINK is not implemented. linkLocation=https://www.imdb.com/title/tt11981644/fullcredits/, friendlyName=Open source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tt11981644|nm2390340|julie norman</x:v>
      </x:c>
      <x:c r="B757" s="14" t="str">
        <x:v>02</x:v>
      </x:c>
      <x:c r="C757" s="14" t="str">
        <x:v>2021_IMDb_Cast_Lists_Batch_02(1).xlsx</x:v>
      </x:c>
      <x:c r="D757" s="14" t="str">
        <x:v>Professor T</x:v>
      </x:c>
      <x:c r="E757" s="14" t="n">
        <x:v>89</x:v>
      </x:c>
      <x:c r="F757" s="14" t="str">
        <x:v>Professor T</x:v>
      </x:c>
      <x:c r="G757" s="14" t="str">
        <x:v>tt11981644</x:v>
      </x:c>
      <x:c r="H757" s="14" t="n">
        <x:v>2021</x:v>
      </x:c>
      <x:c r="I757" s="14" t="n">
        <x:v>2025</x:v>
      </x:c>
      <x:c r="J757" s="14" t="str">
        <x:v>Earlier-Production Carry-In Cohort</x:v>
      </x:c>
      <x:c r="K757" s="14" t="n">
        <x:v>2021</x:v>
      </x:c>
      <x:c r="L757" s="14" t="str">
        <x:v>Available from 2021 analysis</x:v>
      </x:c>
      <x:c r="M757" s="15" t="n">
        <x:v>82</x:v>
      </x:c>
      <x:c r="N757" s="14" t="str">
        <x:v>Rebecca Night</x:v>
      </x:c>
      <x:c r="O757" s="14" t="str">
        <x:v>nm2390340</x:v>
      </x:c>
      <x:c r="P757" s="14" t="str">
        <x:v>Julie Norman</x:v>
      </x:c>
      <x:c r="Q757" s="15" t="n">
        <x:v>1</x:v>
      </x:c>
      <x:c r="R757" s="14" t="str">
        <x:v>2025</x:v>
      </x:c>
      <x:c r="S757" s="14" t="n">
        <x:v>2025</x:v>
      </x:c>
      <x:c r="T757" s="14" t="n">
        <x:v>2025</x:v>
      </x:c>
      <x:c r="U757" s="14" t="str">
        <x:v>Post-2021 casting excluded</x:v>
      </x:c>
      <x:c r="V757" s="14" t="str">
        <x:v>Earliest supplied year is 2025, later than the 2021 study year.</x:v>
      </x:c>
      <x:c r="W757" s="14"/>
      <x:c r="X757" s="14" t="str">
        <x:v>Included</x:v>
      </x:c>
      <x:c r="Y757" s="14"/>
      <x:c r="Z757" s="14" t="str">
        <x:v>Professor T.docx</x:v>
      </x:c>
      <x:c r="AA757" s="14" t="str">
        <x:v>HYPERLINK is not implemented. linkLocation=https://www.imdb.com/title/tt11981644/fullcredits/, friendlyName=Open source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ITV / ITVX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7" t="e">
        <x:f>HYPERLINK("https://en.wikipedia.org/wiki/Professor_T.","Open source")</x:f>
        <x:v>HYPERLINK is not implemented. linkLocation=https://en.wikipedia.org/wiki/Professor_T., friendlyName=Open source</x:v>
      </x:c>
      <x:c r="AN757" s="14" t="str">
        <x:v>No qualifying BBC relationship</x:v>
      </x:c>
      <x:c r="AO757" s="14" t="str">
        <x:v>No</x:v>
      </x:c>
      <x:c r="AP757" s="14" t="str">
        <x:v>Out of scope</x:v>
      </x:c>
      <x:c r="AQ757" s="14" t="str">
        <x:v>No</x:v>
      </x:c>
      <x:c r="AR757" s="14" t="str">
        <x:v>Resolved from master register</x:v>
      </x:c>
      <x:c r="AS757" s="14" t="str">
        <x:v>No established-register match</x:v>
      </x:c>
      <x:c r="AT757" s="14"/>
      <x:c r="AU757" s="14"/>
      <x:c r="AV757" s="14" t="str">
        <x:v>No established apparent-disability match</x:v>
      </x:c>
      <x:c r="AW757" s="14"/>
      <x:c r="AX757" s="14" t="str">
        <x:v>No</x:v>
      </x:c>
      <x:c r="AY757" s="14" t="str">
        <x:v>Unmatched</x:v>
      </x:c>
      <x:c r="AZ757" s="14" t="str">
        <x:v>Final supplied register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30</x:v>
      </x:c>
      <x:c r="BP757" s="14" t="str">
        <x:v>Maximum eligible IMDb cast-credit total (30), shared by 2 performer(s); not independently verified as a 2021-only episode total.</x:v>
      </x:c>
      <x:c r="BQ757" s="14" t="str">
        <x:v>Medium</x:v>
      </x:c>
      <x:c r="BR757" s="15" t="n">
        <x:v>1</x:v>
      </x:c>
      <x:c r="BS757" s="16" t="n">
        <x:v>0.03333333333333333</x:v>
      </x:c>
      <x:c r="BT757" s="14" t="str">
        <x:v>One episode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4" t="str">
        <x:v>HYPERLINK is not implemented. linkLocation=https://www.imdb.com/title/tt11981644/fullcredits/, friendlyName=Open source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tt11981644|nm7306987|byram stafford</x:v>
      </x:c>
      <x:c r="B758" s="14" t="str">
        <x:v>02</x:v>
      </x:c>
      <x:c r="C758" s="14" t="str">
        <x:v>2021_IMDb_Cast_Lists_Batch_02(1).xlsx</x:v>
      </x:c>
      <x:c r="D758" s="14" t="str">
        <x:v>Professor T</x:v>
      </x:c>
      <x:c r="E758" s="14" t="n">
        <x:v>90</x:v>
      </x:c>
      <x:c r="F758" s="14" t="str">
        <x:v>Professor T</x:v>
      </x:c>
      <x:c r="G758" s="14" t="str">
        <x:v>tt11981644</x:v>
      </x:c>
      <x:c r="H758" s="14" t="n">
        <x:v>2021</x:v>
      </x:c>
      <x:c r="I758" s="14" t="n">
        <x:v>2025</x:v>
      </x:c>
      <x:c r="J758" s="14" t="str">
        <x:v>Earlier-Production Carry-In Cohort</x:v>
      </x:c>
      <x:c r="K758" s="14" t="n">
        <x:v>2021</x:v>
      </x:c>
      <x:c r="L758" s="14" t="str">
        <x:v>Available from 2021 analysis</x:v>
      </x:c>
      <x:c r="M758" s="15" t="n">
        <x:v>83</x:v>
      </x:c>
      <x:c r="N758" s="14" t="str">
        <x:v>CJ Beckford</x:v>
      </x:c>
      <x:c r="O758" s="14" t="str">
        <x:v>nm7306987</x:v>
      </x:c>
      <x:c r="P758" s="14" t="str">
        <x:v>Byram Stafford</x:v>
      </x:c>
      <x:c r="Q758" s="15" t="n">
        <x:v>1</x:v>
      </x:c>
      <x:c r="R758" s="14" t="str">
        <x:v>2025</x:v>
      </x:c>
      <x:c r="S758" s="14" t="n">
        <x:v>2025</x:v>
      </x:c>
      <x:c r="T758" s="14" t="n">
        <x:v>2025</x:v>
      </x:c>
      <x:c r="U758" s="14" t="str">
        <x:v>Post-2021 casting excluded</x:v>
      </x:c>
      <x:c r="V758" s="14" t="str">
        <x:v>Earliest supplied year is 2025, later than the 2021 study year.</x:v>
      </x:c>
      <x:c r="W758" s="14"/>
      <x:c r="X758" s="14" t="str">
        <x:v>Included</x:v>
      </x:c>
      <x:c r="Y758" s="14"/>
      <x:c r="Z758" s="14" t="str">
        <x:v>Professor T.docx</x:v>
      </x:c>
      <x:c r="AA758" s="14" t="str">
        <x:v>HYPERLINK is not implemented. linkLocation=https://www.imdb.com/title/tt11981644/fullcredits/, friendlyName=Open source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ITV / ITVX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7" t="e">
        <x:f>HYPERLINK("https://en.wikipedia.org/wiki/Professor_T.","Open source")</x:f>
        <x:v>HYPERLINK is not implemented. linkLocation=https://en.wikipedia.org/wiki/Professor_T., friendlyName=Open source</x:v>
      </x:c>
      <x:c r="AN758" s="14" t="str">
        <x:v>No qualifying BBC relationship</x:v>
      </x:c>
      <x:c r="AO758" s="14" t="str">
        <x:v>No</x:v>
      </x:c>
      <x:c r="AP758" s="14" t="str">
        <x:v>Out of scope</x:v>
      </x:c>
      <x:c r="AQ758" s="14" t="str">
        <x:v>No</x:v>
      </x:c>
      <x:c r="AR758" s="14" t="str">
        <x:v>Resolved from master register</x:v>
      </x:c>
      <x:c r="AS758" s="14" t="str">
        <x:v>No established-register match</x:v>
      </x:c>
      <x:c r="AT758" s="14"/>
      <x:c r="AU758" s="14"/>
      <x:c r="AV758" s="14" t="str">
        <x:v>No established apparent-disability match</x:v>
      </x:c>
      <x:c r="AW758" s="14"/>
      <x:c r="AX758" s="14" t="str">
        <x:v>No</x:v>
      </x:c>
      <x:c r="AY758" s="14" t="str">
        <x:v>Unmatched</x:v>
      </x:c>
      <x:c r="AZ758" s="14" t="str">
        <x:v>Final supplied register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30</x:v>
      </x:c>
      <x:c r="BP758" s="14" t="str">
        <x:v>Maximum eligible IMDb cast-credit total (30), shared by 2 performer(s); not independently verified as a 2021-only episode total.</x:v>
      </x:c>
      <x:c r="BQ758" s="14" t="str">
        <x:v>Medium</x:v>
      </x:c>
      <x:c r="BR758" s="15" t="n">
        <x:v>1</x:v>
      </x:c>
      <x:c r="BS758" s="16" t="n">
        <x:v>0.03333333333333333</x:v>
      </x:c>
      <x:c r="BT758" s="14" t="str">
        <x:v>One episode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4" t="str">
        <x:v>HYPERLINK is not implemented. linkLocation=https://www.imdb.com/title/tt11981644/fullcredits/, friendlyName=Open source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tt11981644|nm3335085|tyrone walsh</x:v>
      </x:c>
      <x:c r="B759" s="14" t="str">
        <x:v>02</x:v>
      </x:c>
      <x:c r="C759" s="14" t="str">
        <x:v>2021_IMDb_Cast_Lists_Batch_02(1).xlsx</x:v>
      </x:c>
      <x:c r="D759" s="14" t="str">
        <x:v>Professor T</x:v>
      </x:c>
      <x:c r="E759" s="14" t="n">
        <x:v>91</x:v>
      </x:c>
      <x:c r="F759" s="14" t="str">
        <x:v>Professor T</x:v>
      </x:c>
      <x:c r="G759" s="14" t="str">
        <x:v>tt11981644</x:v>
      </x:c>
      <x:c r="H759" s="14" t="n">
        <x:v>2021</x:v>
      </x:c>
      <x:c r="I759" s="14" t="n">
        <x:v>2025</x:v>
      </x:c>
      <x:c r="J759" s="14" t="str">
        <x:v>Earlier-Production Carry-In Cohort</x:v>
      </x:c>
      <x:c r="K759" s="14" t="n">
        <x:v>2021</x:v>
      </x:c>
      <x:c r="L759" s="14" t="str">
        <x:v>Available from 2021 analysis</x:v>
      </x:c>
      <x:c r="M759" s="15" t="n">
        <x:v>84</x:v>
      </x:c>
      <x:c r="N759" s="14" t="str">
        <x:v>Simon Rhodes</x:v>
      </x:c>
      <x:c r="O759" s="14" t="str">
        <x:v>nm3335085</x:v>
      </x:c>
      <x:c r="P759" s="14" t="str">
        <x:v>Tyrone Walsh</x:v>
      </x:c>
      <x:c r="Q759" s="15" t="n">
        <x:v>1</x:v>
      </x:c>
      <x:c r="R759" s="14" t="str">
        <x:v>2025</x:v>
      </x:c>
      <x:c r="S759" s="14" t="n">
        <x:v>2025</x:v>
      </x:c>
      <x:c r="T759" s="14" t="n">
        <x:v>2025</x:v>
      </x:c>
      <x:c r="U759" s="14" t="str">
        <x:v>Post-2021 casting excluded</x:v>
      </x:c>
      <x:c r="V759" s="14" t="str">
        <x:v>Earliest supplied year is 2025, later than the 2021 study year.</x:v>
      </x:c>
      <x:c r="W759" s="14"/>
      <x:c r="X759" s="14" t="str">
        <x:v>Included</x:v>
      </x:c>
      <x:c r="Y759" s="14"/>
      <x:c r="Z759" s="14" t="str">
        <x:v>Professor T.docx</x:v>
      </x:c>
      <x:c r="AA759" s="14" t="str">
        <x:v>HYPERLINK is not implemented. linkLocation=https://www.imdb.com/title/tt11981644/fullcredits/, friendlyName=Open source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ITV / ITVX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7" t="e">
        <x:f>HYPERLINK("https://en.wikipedia.org/wiki/Professor_T.","Open source")</x:f>
        <x:v>HYPERLINK is not implemented. linkLocation=https://en.wikipedia.org/wiki/Professor_T., friendlyName=Open source</x:v>
      </x:c>
      <x:c r="AN759" s="14" t="str">
        <x:v>No qualifying BBC relationship</x:v>
      </x:c>
      <x:c r="AO759" s="14" t="str">
        <x:v>No</x:v>
      </x:c>
      <x:c r="AP759" s="14" t="str">
        <x:v>Out of scope</x:v>
      </x:c>
      <x:c r="AQ759" s="14" t="str">
        <x:v>No</x:v>
      </x:c>
      <x:c r="AR759" s="14" t="str">
        <x:v>Resolved from master register</x:v>
      </x:c>
      <x:c r="AS759" s="14" t="str">
        <x:v>No established-register match</x:v>
      </x:c>
      <x:c r="AT759" s="14"/>
      <x:c r="AU759" s="14"/>
      <x:c r="AV759" s="14" t="str">
        <x:v>No established apparent-disability match</x:v>
      </x:c>
      <x:c r="AW759" s="14"/>
      <x:c r="AX759" s="14" t="str">
        <x:v>No</x:v>
      </x:c>
      <x:c r="AY759" s="14" t="str">
        <x:v>Unmatched</x:v>
      </x:c>
      <x:c r="AZ759" s="14" t="str">
        <x:v>Final supplied register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30</x:v>
      </x:c>
      <x:c r="BP759" s="14" t="str">
        <x:v>Maximum eligible IMDb cast-credit total (30), shared by 2 performer(s); not independently verified as a 2021-only episode total.</x:v>
      </x:c>
      <x:c r="BQ759" s="14" t="str">
        <x:v>Medium</x:v>
      </x:c>
      <x:c r="BR759" s="15" t="n">
        <x:v>1</x:v>
      </x:c>
      <x:c r="BS759" s="16" t="n">
        <x:v>0.03333333333333333</x:v>
      </x:c>
      <x:c r="BT759" s="14" t="str">
        <x:v>One episode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4" t="str">
        <x:v>HYPERLINK is not implemented. linkLocation=https://www.imdb.com/title/tt11981644/fullcredits/, friendlyName=Open source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tt11981644|nm7658803|vicky stafford</x:v>
      </x:c>
      <x:c r="B760" s="14" t="str">
        <x:v>02</x:v>
      </x:c>
      <x:c r="C760" s="14" t="str">
        <x:v>2021_IMDb_Cast_Lists_Batch_02(1).xlsx</x:v>
      </x:c>
      <x:c r="D760" s="14" t="str">
        <x:v>Professor T</x:v>
      </x:c>
      <x:c r="E760" s="14" t="n">
        <x:v>95</x:v>
      </x:c>
      <x:c r="F760" s="14" t="str">
        <x:v>Professor T</x:v>
      </x:c>
      <x:c r="G760" s="14" t="str">
        <x:v>tt11981644</x:v>
      </x:c>
      <x:c r="H760" s="14" t="n">
        <x:v>2021</x:v>
      </x:c>
      <x:c r="I760" s="14" t="n">
        <x:v>2025</x:v>
      </x:c>
      <x:c r="J760" s="14" t="str">
        <x:v>Earlier-Production Carry-In Cohort</x:v>
      </x:c>
      <x:c r="K760" s="14" t="n">
        <x:v>2021</x:v>
      </x:c>
      <x:c r="L760" s="14" t="str">
        <x:v>Available from 2021 analysis</x:v>
      </x:c>
      <x:c r="M760" s="15" t="n">
        <x:v>88</x:v>
      </x:c>
      <x:c r="N760" s="14" t="str">
        <x:v>Phoebe Sparrow</x:v>
      </x:c>
      <x:c r="O760" s="14" t="str">
        <x:v>nm7658803</x:v>
      </x:c>
      <x:c r="P760" s="14" t="str">
        <x:v>Vicky Stafford</x:v>
      </x:c>
      <x:c r="Q760" s="15" t="n">
        <x:v>1</x:v>
      </x:c>
      <x:c r="R760" s="14" t="str">
        <x:v>2025</x:v>
      </x:c>
      <x:c r="S760" s="14" t="n">
        <x:v>2025</x:v>
      </x:c>
      <x:c r="T760" s="14" t="n">
        <x:v>2025</x:v>
      </x:c>
      <x:c r="U760" s="14" t="str">
        <x:v>Post-2021 casting excluded</x:v>
      </x:c>
      <x:c r="V760" s="14" t="str">
        <x:v>Earliest supplied year is 2025, later than the 2021 study year.</x:v>
      </x:c>
      <x:c r="W760" s="14"/>
      <x:c r="X760" s="14" t="str">
        <x:v>Included</x:v>
      </x:c>
      <x:c r="Y760" s="14"/>
      <x:c r="Z760" s="14" t="str">
        <x:v>Professor T.docx</x:v>
      </x:c>
      <x:c r="AA760" s="14" t="str">
        <x:v>HYPERLINK is not implemented. linkLocation=https://www.imdb.com/title/tt11981644/fullcredits/, friendlyName=Open source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ITV / ITVX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7" t="e">
        <x:f>HYPERLINK("https://en.wikipedia.org/wiki/Professor_T.","Open source")</x:f>
        <x:v>HYPERLINK is not implemented. linkLocation=https://en.wikipedia.org/wiki/Professor_T., friendlyName=Open source</x:v>
      </x:c>
      <x:c r="AN760" s="14" t="str">
        <x:v>No qualifying BBC relationship</x:v>
      </x:c>
      <x:c r="AO760" s="14" t="str">
        <x:v>No</x:v>
      </x:c>
      <x:c r="AP760" s="14" t="str">
        <x:v>Out of scope</x:v>
      </x:c>
      <x:c r="AQ760" s="14" t="str">
        <x:v>No</x:v>
      </x:c>
      <x:c r="AR760" s="14" t="str">
        <x:v>Resolved from master register</x:v>
      </x:c>
      <x:c r="AS760" s="14" t="str">
        <x:v>No established-register match</x:v>
      </x:c>
      <x:c r="AT760" s="14"/>
      <x:c r="AU760" s="14"/>
      <x:c r="AV760" s="14" t="str">
        <x:v>No established apparent-disability match</x:v>
      </x:c>
      <x:c r="AW760" s="14"/>
      <x:c r="AX760" s="14" t="str">
        <x:v>No</x:v>
      </x:c>
      <x:c r="AY760" s="14" t="str">
        <x:v>Unmatched</x:v>
      </x:c>
      <x:c r="AZ760" s="14" t="str">
        <x:v>Final supplied register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30</x:v>
      </x:c>
      <x:c r="BP760" s="14" t="str">
        <x:v>Maximum eligible IMDb cast-credit total (30), shared by 2 performer(s); not independently verified as a 2021-only episode total.</x:v>
      </x:c>
      <x:c r="BQ760" s="14" t="str">
        <x:v>Medium</x:v>
      </x:c>
      <x:c r="BR760" s="15" t="n">
        <x:v>1</x:v>
      </x:c>
      <x:c r="BS760" s="16" t="n">
        <x:v>0.03333333333333333</x:v>
      </x:c>
      <x:c r="BT760" s="14" t="str">
        <x:v>One episode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4" t="str">
        <x:v>HYPERLINK is not implemented. linkLocation=https://www.imdb.com/title/tt11981644/fullcredits/, friendlyName=Open source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tt11981644|nm12493278|georgina galvin</x:v>
      </x:c>
      <x:c r="B761" s="14" t="str">
        <x:v>02</x:v>
      </x:c>
      <x:c r="C761" s="14" t="str">
        <x:v>2021_IMDb_Cast_Lists_Batch_02(1).xlsx</x:v>
      </x:c>
      <x:c r="D761" s="14" t="str">
        <x:v>Professor T</x:v>
      </x:c>
      <x:c r="E761" s="14" t="n">
        <x:v>96</x:v>
      </x:c>
      <x:c r="F761" s="14" t="str">
        <x:v>Professor T</x:v>
      </x:c>
      <x:c r="G761" s="14" t="str">
        <x:v>tt11981644</x:v>
      </x:c>
      <x:c r="H761" s="14" t="n">
        <x:v>2021</x:v>
      </x:c>
      <x:c r="I761" s="14" t="n">
        <x:v>2025</x:v>
      </x:c>
      <x:c r="J761" s="14" t="str">
        <x:v>Earlier-Production Carry-In Cohort</x:v>
      </x:c>
      <x:c r="K761" s="14" t="n">
        <x:v>2021</x:v>
      </x:c>
      <x:c r="L761" s="14" t="str">
        <x:v>Available from 2021 analysis</x:v>
      </x:c>
      <x:c r="M761" s="15" t="n">
        <x:v>89</x:v>
      </x:c>
      <x:c r="N761" s="14" t="str">
        <x:v>Keturah Chambers</x:v>
      </x:c>
      <x:c r="O761" s="14" t="str">
        <x:v>nm12493278</x:v>
      </x:c>
      <x:c r="P761" s="14" t="str">
        <x:v>Georgina Galvin</x:v>
      </x:c>
      <x:c r="Q761" s="15" t="n">
        <x:v>1</x:v>
      </x:c>
      <x:c r="R761" s="14" t="str">
        <x:v>2025</x:v>
      </x:c>
      <x:c r="S761" s="14" t="n">
        <x:v>2025</x:v>
      </x:c>
      <x:c r="T761" s="14" t="n">
        <x:v>2025</x:v>
      </x:c>
      <x:c r="U761" s="14" t="str">
        <x:v>Post-2021 casting excluded</x:v>
      </x:c>
      <x:c r="V761" s="14" t="str">
        <x:v>Earliest supplied year is 2025, later than the 2021 study year.</x:v>
      </x:c>
      <x:c r="W761" s="14"/>
      <x:c r="X761" s="14" t="str">
        <x:v>Included</x:v>
      </x:c>
      <x:c r="Y761" s="14"/>
      <x:c r="Z761" s="14" t="str">
        <x:v>Professor T.docx</x:v>
      </x:c>
      <x:c r="AA761" s="14" t="str">
        <x:v>HYPERLINK is not implemented. linkLocation=https://www.imdb.com/title/tt11981644/fullcredits/, friendlyName=Open source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ITV / ITVX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7" t="e">
        <x:f>HYPERLINK("https://en.wikipedia.org/wiki/Professor_T.","Open source")</x:f>
        <x:v>HYPERLINK is not implemented. linkLocation=https://en.wikipedia.org/wiki/Professor_T., friendlyName=Open source</x:v>
      </x:c>
      <x:c r="AN761" s="14" t="str">
        <x:v>No qualifying BBC relationship</x:v>
      </x:c>
      <x:c r="AO761" s="14" t="str">
        <x:v>No</x:v>
      </x:c>
      <x:c r="AP761" s="14" t="str">
        <x:v>Out of scope</x:v>
      </x:c>
      <x:c r="AQ761" s="14" t="str">
        <x:v>No</x:v>
      </x:c>
      <x:c r="AR761" s="14" t="str">
        <x:v>Resolved from master register</x:v>
      </x:c>
      <x:c r="AS761" s="14" t="str">
        <x:v>No established-register match</x:v>
      </x:c>
      <x:c r="AT761" s="14"/>
      <x:c r="AU761" s="14"/>
      <x:c r="AV761" s="14" t="str">
        <x:v>No established apparent-disability match</x:v>
      </x:c>
      <x:c r="AW761" s="14"/>
      <x:c r="AX761" s="14" t="str">
        <x:v>No</x:v>
      </x:c>
      <x:c r="AY761" s="14" t="str">
        <x:v>Unmatched</x:v>
      </x:c>
      <x:c r="AZ761" s="14" t="str">
        <x:v>Final supplied register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30</x:v>
      </x:c>
      <x:c r="BP761" s="14" t="str">
        <x:v>Maximum eligible IMDb cast-credit total (30), shared by 2 performer(s); not independently verified as a 2021-only episode total.</x:v>
      </x:c>
      <x:c r="BQ761" s="14" t="str">
        <x:v>Medium</x:v>
      </x:c>
      <x:c r="BR761" s="15" t="n">
        <x:v>1</x:v>
      </x:c>
      <x:c r="BS761" s="16" t="n">
        <x:v>0.03333333333333333</x:v>
      </x:c>
      <x:c r="BT761" s="14" t="str">
        <x:v>One episode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4" t="str">
        <x:v>HYPERLINK is not implemented. linkLocation=https://www.imdb.com/title/tt11981644/fullcredits/, friendlyName=Open source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tt11981644|nm11073106|francesca sanders</x:v>
      </x:c>
      <x:c r="B762" s="14" t="str">
        <x:v>02</x:v>
      </x:c>
      <x:c r="C762" s="14" t="str">
        <x:v>2021_IMDb_Cast_Lists_Batch_02(1).xlsx</x:v>
      </x:c>
      <x:c r="D762" s="14" t="str">
        <x:v>Professor T</x:v>
      </x:c>
      <x:c r="E762" s="14" t="n">
        <x:v>108</x:v>
      </x:c>
      <x:c r="F762" s="14" t="str">
        <x:v>Professor T</x:v>
      </x:c>
      <x:c r="G762" s="14" t="str">
        <x:v>tt11981644</x:v>
      </x:c>
      <x:c r="H762" s="14" t="n">
        <x:v>2021</x:v>
      </x:c>
      <x:c r="I762" s="14" t="n">
        <x:v>2025</x:v>
      </x:c>
      <x:c r="J762" s="14" t="str">
        <x:v>Earlier-Production Carry-In Cohort</x:v>
      </x:c>
      <x:c r="K762" s="14" t="n">
        <x:v>2021</x:v>
      </x:c>
      <x:c r="L762" s="14" t="str">
        <x:v>Available from 2021 analysis</x:v>
      </x:c>
      <x:c r="M762" s="15" t="n">
        <x:v>101</x:v>
      </x:c>
      <x:c r="N762" s="14" t="str">
        <x:v>Kiki May</x:v>
      </x:c>
      <x:c r="O762" s="14" t="str">
        <x:v>nm11073106</x:v>
      </x:c>
      <x:c r="P762" s="14" t="str">
        <x:v>Francesca Sanders</x:v>
      </x:c>
      <x:c r="Q762" s="15" t="n">
        <x:v>1</x:v>
      </x:c>
      <x:c r="R762" s="14" t="str">
        <x:v>2025</x:v>
      </x:c>
      <x:c r="S762" s="14" t="n">
        <x:v>2025</x:v>
      </x:c>
      <x:c r="T762" s="14" t="n">
        <x:v>2025</x:v>
      </x:c>
      <x:c r="U762" s="14" t="str">
        <x:v>Post-2021 casting excluded</x:v>
      </x:c>
      <x:c r="V762" s="14" t="str">
        <x:v>Earliest supplied year is 2025, later than the 2021 study year.</x:v>
      </x:c>
      <x:c r="W762" s="14"/>
      <x:c r="X762" s="14" t="str">
        <x:v>Included</x:v>
      </x:c>
      <x:c r="Y762" s="14"/>
      <x:c r="Z762" s="14" t="str">
        <x:v>Professor T.docx</x:v>
      </x:c>
      <x:c r="AA762" s="14" t="str">
        <x:v>HYPERLINK is not implemented. linkLocation=https://www.imdb.com/title/tt11981644/fullcredits/, friendlyName=Open source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ITV / ITVX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7" t="e">
        <x:f>HYPERLINK("https://en.wikipedia.org/wiki/Professor_T.","Open source")</x:f>
        <x:v>HYPERLINK is not implemented. linkLocation=https://en.wikipedia.org/wiki/Professor_T., friendlyName=Open source</x:v>
      </x:c>
      <x:c r="AN762" s="14" t="str">
        <x:v>No qualifying BBC relationship</x:v>
      </x:c>
      <x:c r="AO762" s="14" t="str">
        <x:v>No</x:v>
      </x:c>
      <x:c r="AP762" s="14" t="str">
        <x:v>Out of scope</x:v>
      </x:c>
      <x:c r="AQ762" s="14" t="str">
        <x:v>No</x:v>
      </x:c>
      <x:c r="AR762" s="14" t="str">
        <x:v>Resolved from master register</x:v>
      </x:c>
      <x:c r="AS762" s="14" t="str">
        <x:v>No established-register match</x:v>
      </x:c>
      <x:c r="AT762" s="14"/>
      <x:c r="AU762" s="14"/>
      <x:c r="AV762" s="14" t="str">
        <x:v>No established apparent-disability match</x:v>
      </x:c>
      <x:c r="AW762" s="14"/>
      <x:c r="AX762" s="14" t="str">
        <x:v>No</x:v>
      </x:c>
      <x:c r="AY762" s="14" t="str">
        <x:v>Unmatched</x:v>
      </x:c>
      <x:c r="AZ762" s="14" t="str">
        <x:v>Final supplied register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30</x:v>
      </x:c>
      <x:c r="BP762" s="14" t="str">
        <x:v>Maximum eligible IMDb cast-credit total (30), shared by 2 performer(s); not independently verified as a 2021-only episode total.</x:v>
      </x:c>
      <x:c r="BQ762" s="14" t="str">
        <x:v>Medium</x:v>
      </x:c>
      <x:c r="BR762" s="15" t="n">
        <x:v>1</x:v>
      </x:c>
      <x:c r="BS762" s="16" t="n">
        <x:v>0.03333333333333333</x:v>
      </x:c>
      <x:c r="BT762" s="14" t="str">
        <x:v>One episode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4" t="str">
        <x:v>HYPERLINK is not implemented. linkLocation=https://www.imdb.com/title/tt11981644/fullcredits/, friendlyName=Open source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tt11981644|nm0349708|tilly walsh</x:v>
      </x:c>
      <x:c r="B763" s="14" t="str">
        <x:v>02</x:v>
      </x:c>
      <x:c r="C763" s="14" t="str">
        <x:v>2021_IMDb_Cast_Lists_Batch_02(1).xlsx</x:v>
      </x:c>
      <x:c r="D763" s="14" t="str">
        <x:v>Professor T</x:v>
      </x:c>
      <x:c r="E763" s="14" t="n">
        <x:v>109</x:v>
      </x:c>
      <x:c r="F763" s="14" t="str">
        <x:v>Professor T</x:v>
      </x:c>
      <x:c r="G763" s="14" t="str">
        <x:v>tt11981644</x:v>
      </x:c>
      <x:c r="H763" s="14" t="n">
        <x:v>2021</x:v>
      </x:c>
      <x:c r="I763" s="14" t="n">
        <x:v>2025</x:v>
      </x:c>
      <x:c r="J763" s="14" t="str">
        <x:v>Earlier-Production Carry-In Cohort</x:v>
      </x:c>
      <x:c r="K763" s="14" t="n">
        <x:v>2021</x:v>
      </x:c>
      <x:c r="L763" s="14" t="str">
        <x:v>Available from 2021 analysis</x:v>
      </x:c>
      <x:c r="M763" s="15" t="n">
        <x:v>102</x:v>
      </x:c>
      <x:c r="N763" s="14" t="str">
        <x:v>Melanie Gutteridge</x:v>
      </x:c>
      <x:c r="O763" s="14" t="str">
        <x:v>nm0349708</x:v>
      </x:c>
      <x:c r="P763" s="14" t="str">
        <x:v>Tilly Walsh</x:v>
      </x:c>
      <x:c r="Q763" s="15" t="n">
        <x:v>1</x:v>
      </x:c>
      <x:c r="R763" s="14" t="str">
        <x:v>2025</x:v>
      </x:c>
      <x:c r="S763" s="14" t="n">
        <x:v>2025</x:v>
      </x:c>
      <x:c r="T763" s="14" t="n">
        <x:v>2025</x:v>
      </x:c>
      <x:c r="U763" s="14" t="str">
        <x:v>Post-2021 casting excluded</x:v>
      </x:c>
      <x:c r="V763" s="14" t="str">
        <x:v>Earliest supplied year is 2025, later than the 2021 study year.</x:v>
      </x:c>
      <x:c r="W763" s="14"/>
      <x:c r="X763" s="14" t="str">
        <x:v>Included</x:v>
      </x:c>
      <x:c r="Y763" s="14"/>
      <x:c r="Z763" s="14" t="str">
        <x:v>Professor T.docx</x:v>
      </x:c>
      <x:c r="AA763" s="14" t="str">
        <x:v>HYPERLINK is not implemented. linkLocation=https://www.imdb.com/title/tt11981644/fullcredits/, friendlyName=Open source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ITV / ITVX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7" t="e">
        <x:f>HYPERLINK("https://en.wikipedia.org/wiki/Professor_T.","Open source")</x:f>
        <x:v>HYPERLINK is not implemented. linkLocation=https://en.wikipedia.org/wiki/Professor_T., friendlyName=Open source</x:v>
      </x:c>
      <x:c r="AN763" s="14" t="str">
        <x:v>No qualifying BBC relationship</x:v>
      </x:c>
      <x:c r="AO763" s="14" t="str">
        <x:v>No</x:v>
      </x:c>
      <x:c r="AP763" s="14" t="str">
        <x:v>Out of scope</x:v>
      </x:c>
      <x:c r="AQ763" s="14" t="str">
        <x:v>No</x:v>
      </x:c>
      <x:c r="AR763" s="14" t="str">
        <x:v>Resolved from master register</x:v>
      </x:c>
      <x:c r="AS763" s="14" t="str">
        <x:v>No established-register match</x:v>
      </x:c>
      <x:c r="AT763" s="14"/>
      <x:c r="AU763" s="14"/>
      <x:c r="AV763" s="14" t="str">
        <x:v>No established apparent-disability match</x:v>
      </x:c>
      <x:c r="AW763" s="14"/>
      <x:c r="AX763" s="14" t="str">
        <x:v>No</x:v>
      </x:c>
      <x:c r="AY763" s="14" t="str">
        <x:v>Unmatched</x:v>
      </x:c>
      <x:c r="AZ763" s="14" t="str">
        <x:v>Final supplied register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30</x:v>
      </x:c>
      <x:c r="BP763" s="14" t="str">
        <x:v>Maximum eligible IMDb cast-credit total (30), shared by 2 performer(s); not independently verified as a 2021-only episode total.</x:v>
      </x:c>
      <x:c r="BQ763" s="14" t="str">
        <x:v>Medium</x:v>
      </x:c>
      <x:c r="BR763" s="15" t="n">
        <x:v>1</x:v>
      </x:c>
      <x:c r="BS763" s="16" t="n">
        <x:v>0.03333333333333333</x:v>
      </x:c>
      <x:c r="BT763" s="14" t="str">
        <x:v>One episode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4" t="str">
        <x:v>HYPERLINK is not implemented. linkLocation=https://www.imdb.com/title/tt11981644/fullcredits/, friendlyName=Open source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tt11981644|nm0105210|forensic pathologist</x:v>
      </x:c>
      <x:c r="B764" s="14" t="str">
        <x:v>02</x:v>
      </x:c>
      <x:c r="C764" s="14" t="str">
        <x:v>2021_IMDb_Cast_Lists_Batch_02(1).xlsx</x:v>
      </x:c>
      <x:c r="D764" s="14" t="str">
        <x:v>Professor T</x:v>
      </x:c>
      <x:c r="E764" s="14" t="n">
        <x:v>110</x:v>
      </x:c>
      <x:c r="F764" s="14" t="str">
        <x:v>Professor T</x:v>
      </x:c>
      <x:c r="G764" s="14" t="str">
        <x:v>tt11981644</x:v>
      </x:c>
      <x:c r="H764" s="14" t="n">
        <x:v>2021</x:v>
      </x:c>
      <x:c r="I764" s="14" t="n">
        <x:v>2025</x:v>
      </x:c>
      <x:c r="J764" s="14" t="str">
        <x:v>Earlier-Production Carry-In Cohort</x:v>
      </x:c>
      <x:c r="K764" s="14" t="n">
        <x:v>2021</x:v>
      </x:c>
      <x:c r="L764" s="14" t="str">
        <x:v>Available from 2021 analysis</x:v>
      </x:c>
      <x:c r="M764" s="15" t="n">
        <x:v>103</x:v>
      </x:c>
      <x:c r="N764" s="14" t="str">
        <x:v>Darren J. Bransford</x:v>
      </x:c>
      <x:c r="O764" s="14" t="str">
        <x:v>nm0105210</x:v>
      </x:c>
      <x:c r="P764" s="14" t="str">
        <x:v>Forensic Pathologist</x:v>
      </x:c>
      <x:c r="Q764" s="15" t="n">
        <x:v>1</x:v>
      </x:c>
      <x:c r="R764" s="14" t="str">
        <x:v>2025</x:v>
      </x:c>
      <x:c r="S764" s="14" t="n">
        <x:v>2025</x:v>
      </x:c>
      <x:c r="T764" s="14" t="n">
        <x:v>2025</x:v>
      </x:c>
      <x:c r="U764" s="14" t="str">
        <x:v>Post-2021 casting excluded</x:v>
      </x:c>
      <x:c r="V764" s="14" t="str">
        <x:v>Earliest supplied year is 2025, later than the 2021 study year.</x:v>
      </x:c>
      <x:c r="W764" s="14"/>
      <x:c r="X764" s="14" t="str">
        <x:v>Included</x:v>
      </x:c>
      <x:c r="Y764" s="14"/>
      <x:c r="Z764" s="14" t="str">
        <x:v>Professor T.docx</x:v>
      </x:c>
      <x:c r="AA764" s="14" t="str">
        <x:v>HYPERLINK is not implemented. linkLocation=https://www.imdb.com/title/tt11981644/fullcredits/, friendlyName=Open source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ITV / ITVX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7" t="e">
        <x:f>HYPERLINK("https://en.wikipedia.org/wiki/Professor_T.","Open source")</x:f>
        <x:v>HYPERLINK is not implemented. linkLocation=https://en.wikipedia.org/wiki/Professor_T., friendlyName=Open source</x:v>
      </x:c>
      <x:c r="AN764" s="14" t="str">
        <x:v>No qualifying BBC relationship</x:v>
      </x:c>
      <x:c r="AO764" s="14" t="str">
        <x:v>No</x:v>
      </x:c>
      <x:c r="AP764" s="14" t="str">
        <x:v>Out of scope</x:v>
      </x:c>
      <x:c r="AQ764" s="14" t="str">
        <x:v>No</x:v>
      </x:c>
      <x:c r="AR764" s="14" t="str">
        <x:v>Resolved from master register</x:v>
      </x:c>
      <x:c r="AS764" s="14" t="str">
        <x:v>Exact IMDb performer ID match</x:v>
      </x:c>
      <x:c r="AT764" s="14" t="str">
        <x:v>nm0105210</x:v>
      </x:c>
      <x:c r="AU764" s="14" t="str">
        <x:v>Neurodivergent</x:v>
      </x:c>
      <x:c r="AV764" s="14" t="str">
        <x:v>No</x:v>
      </x:c>
      <x:c r="AW764" s="14"/>
      <x:c r="AX764" s="14" t="str">
        <x:v>Yes</x:v>
      </x:c>
      <x:c r="AY764" s="14" t="str">
        <x:v>Matched</x:v>
      </x:c>
      <x:c r="AZ764" s="14" t="str">
        <x:v>Final supplied register</x:v>
      </x:c>
      <x:c r="BA764" s="14"/>
      <x:c r="BB764" s="14" t="str">
        <x:v>Exact IMDb performer ID match</x:v>
      </x:c>
      <x:c r="BC764" s="14" t="str">
        <x:v>nm0105210</x:v>
      </x:c>
      <x:c r="BD764" s="14" t="str">
        <x:v>Darren J. Bransford</x:v>
      </x:c>
      <x:c r="BE764" s="14" t="str">
        <x:v>Neurodivergent</x:v>
      </x:c>
      <x:c r="BF764" s="14" t="str">
        <x:v>No</x:v>
      </x:c>
      <x:c r="BG764" s="14"/>
      <x:c r="BH764" s="14" t="str">
        <x:v>Yes</x:v>
      </x:c>
      <x:c r="BI764" s="14" t="str">
        <x:v>User-supplied established classification</x:v>
      </x:c>
      <x:c r="BJ764" s="14" t="str">
        <x:v>New IMDB Data.csv</x:v>
      </x:c>
      <x:c r="BK764" s="14"/>
      <x:c r="BL764" s="14" t="str">
        <x:v>Matched</x:v>
      </x:c>
      <x:c r="BM764" s="14" t="str">
        <x:v>Final supplied register</x:v>
      </x:c>
      <x:c r="BN764" s="14"/>
      <x:c r="BO764" s="14" t="n">
        <x:v>30</x:v>
      </x:c>
      <x:c r="BP764" s="14" t="str">
        <x:v>Maximum eligible IMDb cast-credit total (30), shared by 2 performer(s); not independently verified as a 2021-only episode total.</x:v>
      </x:c>
      <x:c r="BQ764" s="14" t="str">
        <x:v>Medium</x:v>
      </x:c>
      <x:c r="BR764" s="15" t="n">
        <x:v>1</x:v>
      </x:c>
      <x:c r="BS764" s="16" t="n">
        <x:v>0.03333333333333333</x:v>
      </x:c>
      <x:c r="BT764" s="14" t="str">
        <x:v>One episode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4" t="str">
        <x:v>HYPERLINK is not implemented. linkLocation=https://www.imdb.com/title/tt11981644/fullcredits/, friendlyName=Open source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tt11981644|nm0850414|ken swales</x:v>
      </x:c>
      <x:c r="B765" s="14" t="str">
        <x:v>02</x:v>
      </x:c>
      <x:c r="C765" s="14" t="str">
        <x:v>2021_IMDb_Cast_Lists_Batch_02(1).xlsx</x:v>
      </x:c>
      <x:c r="D765" s="14" t="str">
        <x:v>Professor T</x:v>
      </x:c>
      <x:c r="E765" s="14" t="n">
        <x:v>122</x:v>
      </x:c>
      <x:c r="F765" s="14" t="str">
        <x:v>Professor T</x:v>
      </x:c>
      <x:c r="G765" s="14" t="str">
        <x:v>tt11981644</x:v>
      </x:c>
      <x:c r="H765" s="14" t="n">
        <x:v>2021</x:v>
      </x:c>
      <x:c r="I765" s="14" t="n">
        <x:v>2025</x:v>
      </x:c>
      <x:c r="J765" s="14" t="str">
        <x:v>Earlier-Production Carry-In Cohort</x:v>
      </x:c>
      <x:c r="K765" s="14" t="n">
        <x:v>2021</x:v>
      </x:c>
      <x:c r="L765" s="14" t="str">
        <x:v>Available from 2021 analysis</x:v>
      </x:c>
      <x:c r="M765" s="15" t="n">
        <x:v>115</x:v>
      </x:c>
      <x:c r="N765" s="14" t="str">
        <x:v>Ian Targett</x:v>
      </x:c>
      <x:c r="O765" s="14" t="str">
        <x:v>nm0850414</x:v>
      </x:c>
      <x:c r="P765" s="14" t="str">
        <x:v>Ken Swales</x:v>
      </x:c>
      <x:c r="Q765" s="15" t="n">
        <x:v>1</x:v>
      </x:c>
      <x:c r="R765" s="14" t="str">
        <x:v>2025</x:v>
      </x:c>
      <x:c r="S765" s="14" t="n">
        <x:v>2025</x:v>
      </x:c>
      <x:c r="T765" s="14" t="n">
        <x:v>2025</x:v>
      </x:c>
      <x:c r="U765" s="14" t="str">
        <x:v>Post-2021 casting excluded</x:v>
      </x:c>
      <x:c r="V765" s="14" t="str">
        <x:v>Earliest supplied year is 2025, later than the 2021 study year.</x:v>
      </x:c>
      <x:c r="W765" s="14"/>
      <x:c r="X765" s="14" t="str">
        <x:v>Included</x:v>
      </x:c>
      <x:c r="Y765" s="14"/>
      <x:c r="Z765" s="14" t="str">
        <x:v>Professor T.docx</x:v>
      </x:c>
      <x:c r="AA765" s="14" t="str">
        <x:v>HYPERLINK is not implemented. linkLocation=https://www.imdb.com/title/tt11981644/fullcredits/, friendlyName=Open source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ITV / ITVX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7" t="e">
        <x:f>HYPERLINK("https://en.wikipedia.org/wiki/Professor_T.","Open source")</x:f>
        <x:v>HYPERLINK is not implemented. linkLocation=https://en.wikipedia.org/wiki/Professor_T., friendlyName=Open source</x:v>
      </x:c>
      <x:c r="AN765" s="14" t="str">
        <x:v>No qualifying BBC relationship</x:v>
      </x:c>
      <x:c r="AO765" s="14" t="str">
        <x:v>No</x:v>
      </x:c>
      <x:c r="AP765" s="14" t="str">
        <x:v>Out of scope</x:v>
      </x:c>
      <x:c r="AQ765" s="14" t="str">
        <x:v>No</x:v>
      </x:c>
      <x:c r="AR765" s="14" t="str">
        <x:v>Resolved from master register</x:v>
      </x:c>
      <x:c r="AS765" s="14" t="str">
        <x:v>No established-register match</x:v>
      </x:c>
      <x:c r="AT765" s="14"/>
      <x:c r="AU765" s="14"/>
      <x:c r="AV765" s="14" t="str">
        <x:v>No established apparent-disability match</x:v>
      </x:c>
      <x:c r="AW765" s="14"/>
      <x:c r="AX765" s="14" t="str">
        <x:v>No</x:v>
      </x:c>
      <x:c r="AY765" s="14" t="str">
        <x:v>Unmatched</x:v>
      </x:c>
      <x:c r="AZ765" s="14" t="str">
        <x:v>Final supplied register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30</x:v>
      </x:c>
      <x:c r="BP765" s="14" t="str">
        <x:v>Maximum eligible IMDb cast-credit total (30), shared by 2 performer(s); not independently verified as a 2021-only episode total.</x:v>
      </x:c>
      <x:c r="BQ765" s="14" t="str">
        <x:v>Medium</x:v>
      </x:c>
      <x:c r="BR765" s="15" t="n">
        <x:v>1</x:v>
      </x:c>
      <x:c r="BS765" s="16" t="n">
        <x:v>0.03333333333333333</x:v>
      </x:c>
      <x:c r="BT765" s="14" t="str">
        <x:v>One episode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4" t="str">
        <x:v>HYPERLINK is not implemented. linkLocation=https://www.imdb.com/title/tt11981644/fullcredits/, friendlyName=Open source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tt11981644|nm11277900|cameron heath</x:v>
      </x:c>
      <x:c r="B766" s="14" t="str">
        <x:v>02</x:v>
      </x:c>
      <x:c r="C766" s="14" t="str">
        <x:v>2021_IMDb_Cast_Lists_Batch_02(1).xlsx</x:v>
      </x:c>
      <x:c r="D766" s="14" t="str">
        <x:v>Professor T</x:v>
      </x:c>
      <x:c r="E766" s="14" t="n">
        <x:v>123</x:v>
      </x:c>
      <x:c r="F766" s="14" t="str">
        <x:v>Professor T</x:v>
      </x:c>
      <x:c r="G766" s="14" t="str">
        <x:v>tt11981644</x:v>
      </x:c>
      <x:c r="H766" s="14" t="n">
        <x:v>2021</x:v>
      </x:c>
      <x:c r="I766" s="14" t="n">
        <x:v>2025</x:v>
      </x:c>
      <x:c r="J766" s="14" t="str">
        <x:v>Earlier-Production Carry-In Cohort</x:v>
      </x:c>
      <x:c r="K766" s="14" t="n">
        <x:v>2021</x:v>
      </x:c>
      <x:c r="L766" s="14" t="str">
        <x:v>Available from 2021 analysis</x:v>
      </x:c>
      <x:c r="M766" s="15" t="n">
        <x:v>116</x:v>
      </x:c>
      <x:c r="N766" s="14" t="str">
        <x:v>Tom Cray</x:v>
      </x:c>
      <x:c r="O766" s="14" t="str">
        <x:v>nm11277900</x:v>
      </x:c>
      <x:c r="P766" s="14" t="str">
        <x:v>Cameron Heath</x:v>
      </x:c>
      <x:c r="Q766" s="15" t="n">
        <x:v>1</x:v>
      </x:c>
      <x:c r="R766" s="14" t="str">
        <x:v>2025</x:v>
      </x:c>
      <x:c r="S766" s="14" t="n">
        <x:v>2025</x:v>
      </x:c>
      <x:c r="T766" s="14" t="n">
        <x:v>2025</x:v>
      </x:c>
      <x:c r="U766" s="14" t="str">
        <x:v>Post-2021 casting excluded</x:v>
      </x:c>
      <x:c r="V766" s="14" t="str">
        <x:v>Earliest supplied year is 2025, later than the 2021 study year.</x:v>
      </x:c>
      <x:c r="W766" s="14"/>
      <x:c r="X766" s="14" t="str">
        <x:v>Included</x:v>
      </x:c>
      <x:c r="Y766" s="14"/>
      <x:c r="Z766" s="14" t="str">
        <x:v>Professor T.docx</x:v>
      </x:c>
      <x:c r="AA766" s="14" t="str">
        <x:v>HYPERLINK is not implemented. linkLocation=https://www.imdb.com/title/tt11981644/fullcredits/, friendlyName=Open source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ITV / ITVX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7" t="e">
        <x:f>HYPERLINK("https://en.wikipedia.org/wiki/Professor_T.","Open source")</x:f>
        <x:v>HYPERLINK is not implemented. linkLocation=https://en.wikipedia.org/wiki/Professor_T., friendlyName=Open source</x:v>
      </x:c>
      <x:c r="AN766" s="14" t="str">
        <x:v>No qualifying BBC relationship</x:v>
      </x:c>
      <x:c r="AO766" s="14" t="str">
        <x:v>No</x:v>
      </x:c>
      <x:c r="AP766" s="14" t="str">
        <x:v>Out of scope</x:v>
      </x:c>
      <x:c r="AQ766" s="14" t="str">
        <x:v>No</x:v>
      </x:c>
      <x:c r="AR766" s="14" t="str">
        <x:v>Resolved from master register</x:v>
      </x:c>
      <x:c r="AS766" s="14" t="str">
        <x:v>No established-register match</x:v>
      </x:c>
      <x:c r="AT766" s="14"/>
      <x:c r="AU766" s="14"/>
      <x:c r="AV766" s="14" t="str">
        <x:v>No established apparent-disability match</x:v>
      </x:c>
      <x:c r="AW766" s="14"/>
      <x:c r="AX766" s="14" t="str">
        <x:v>No</x:v>
      </x:c>
      <x:c r="AY766" s="14" t="str">
        <x:v>Unmatched</x:v>
      </x:c>
      <x:c r="AZ766" s="14" t="str">
        <x:v>Final supplied register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30</x:v>
      </x:c>
      <x:c r="BP766" s="14" t="str">
        <x:v>Maximum eligible IMDb cast-credit total (30), shared by 2 performer(s); not independently verified as a 2021-only episode total.</x:v>
      </x:c>
      <x:c r="BQ766" s="14" t="str">
        <x:v>Medium</x:v>
      </x:c>
      <x:c r="BR766" s="15" t="n">
        <x:v>1</x:v>
      </x:c>
      <x:c r="BS766" s="16" t="n">
        <x:v>0.03333333333333333</x:v>
      </x:c>
      <x:c r="BT766" s="14" t="str">
        <x:v>One episode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4" t="str">
        <x:v>HYPERLINK is not implemented. linkLocation=https://www.imdb.com/title/tt11981644/fullcredits/, friendlyName=Open source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tt11981644|nm2417360|viv morgan</x:v>
      </x:c>
      <x:c r="B767" s="14" t="str">
        <x:v>02</x:v>
      </x:c>
      <x:c r="C767" s="14" t="str">
        <x:v>2021_IMDb_Cast_Lists_Batch_02(1).xlsx</x:v>
      </x:c>
      <x:c r="D767" s="14" t="str">
        <x:v>Professor T</x:v>
      </x:c>
      <x:c r="E767" s="14" t="n">
        <x:v>131</x:v>
      </x:c>
      <x:c r="F767" s="14" t="str">
        <x:v>Professor T</x:v>
      </x:c>
      <x:c r="G767" s="14" t="str">
        <x:v>tt11981644</x:v>
      </x:c>
      <x:c r="H767" s="14" t="n">
        <x:v>2021</x:v>
      </x:c>
      <x:c r="I767" s="14" t="n">
        <x:v>2025</x:v>
      </x:c>
      <x:c r="J767" s="14" t="str">
        <x:v>Earlier-Production Carry-In Cohort</x:v>
      </x:c>
      <x:c r="K767" s="14" t="n">
        <x:v>2021</x:v>
      </x:c>
      <x:c r="L767" s="14" t="str">
        <x:v>Available from 2021 analysis</x:v>
      </x:c>
      <x:c r="M767" s="15" t="n">
        <x:v>124</x:v>
      </x:c>
      <x:c r="N767" s="14" t="str">
        <x:v>Laura Doddington</x:v>
      </x:c>
      <x:c r="O767" s="14" t="str">
        <x:v>nm2417360</x:v>
      </x:c>
      <x:c r="P767" s="14" t="str">
        <x:v>Viv Morgan</x:v>
      </x:c>
      <x:c r="Q767" s="15" t="n">
        <x:v>1</x:v>
      </x:c>
      <x:c r="R767" s="14" t="str">
        <x:v>2025</x:v>
      </x:c>
      <x:c r="S767" s="14" t="n">
        <x:v>2025</x:v>
      </x:c>
      <x:c r="T767" s="14" t="n">
        <x:v>2025</x:v>
      </x:c>
      <x:c r="U767" s="14" t="str">
        <x:v>Post-2021 casting excluded</x:v>
      </x:c>
      <x:c r="V767" s="14" t="str">
        <x:v>Earliest supplied year is 2025, later than the 2021 study year.</x:v>
      </x:c>
      <x:c r="W767" s="14"/>
      <x:c r="X767" s="14" t="str">
        <x:v>Included</x:v>
      </x:c>
      <x:c r="Y767" s="14"/>
      <x:c r="Z767" s="14" t="str">
        <x:v>Professor T.docx</x:v>
      </x:c>
      <x:c r="AA767" s="14" t="str">
        <x:v>HYPERLINK is not implemented. linkLocation=https://www.imdb.com/title/tt11981644/fullcredits/, friendlyName=Open source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ITV / ITVX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7" t="e">
        <x:f>HYPERLINK("https://en.wikipedia.org/wiki/Professor_T.","Open source")</x:f>
        <x:v>HYPERLINK is not implemented. linkLocation=https://en.wikipedia.org/wiki/Professor_T., friendlyName=Open source</x:v>
      </x:c>
      <x:c r="AN767" s="14" t="str">
        <x:v>No qualifying BBC relationship</x:v>
      </x:c>
      <x:c r="AO767" s="14" t="str">
        <x:v>No</x:v>
      </x:c>
      <x:c r="AP767" s="14" t="str">
        <x:v>Out of scope</x:v>
      </x:c>
      <x:c r="AQ767" s="14" t="str">
        <x:v>No</x:v>
      </x:c>
      <x:c r="AR767" s="14" t="str">
        <x:v>Resolved from master register</x:v>
      </x:c>
      <x:c r="AS767" s="14" t="str">
        <x:v>No established-register match</x:v>
      </x:c>
      <x:c r="AT767" s="14"/>
      <x:c r="AU767" s="14"/>
      <x:c r="AV767" s="14" t="str">
        <x:v>No established apparent-disability match</x:v>
      </x:c>
      <x:c r="AW767" s="14"/>
      <x:c r="AX767" s="14" t="str">
        <x:v>No</x:v>
      </x:c>
      <x:c r="AY767" s="14" t="str">
        <x:v>Unmatched</x:v>
      </x:c>
      <x:c r="AZ767" s="14" t="str">
        <x:v>Final supplied register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30</x:v>
      </x:c>
      <x:c r="BP767" s="14" t="str">
        <x:v>Maximum eligible IMDb cast-credit total (30), shared by 2 performer(s); not independently verified as a 2021-only episode total.</x:v>
      </x:c>
      <x:c r="BQ767" s="14" t="str">
        <x:v>Medium</x:v>
      </x:c>
      <x:c r="BR767" s="15" t="n">
        <x:v>1</x:v>
      </x:c>
      <x:c r="BS767" s="16" t="n">
        <x:v>0.03333333333333333</x:v>
      </x:c>
      <x:c r="BT767" s="14" t="str">
        <x:v>One episode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4" t="str">
        <x:v>HYPERLINK is not implemented. linkLocation=https://www.imdb.com/title/tt11981644/fullcredits/, friendlyName=Open source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tt11981644|nm3230224|anna wallace</x:v>
      </x:c>
      <x:c r="B768" s="14" t="str">
        <x:v>02</x:v>
      </x:c>
      <x:c r="C768" s="14" t="str">
        <x:v>2021_IMDb_Cast_Lists_Batch_02(1).xlsx</x:v>
      </x:c>
      <x:c r="D768" s="14" t="str">
        <x:v>Professor T</x:v>
      </x:c>
      <x:c r="E768" s="14" t="n">
        <x:v>132</x:v>
      </x:c>
      <x:c r="F768" s="14" t="str">
        <x:v>Professor T</x:v>
      </x:c>
      <x:c r="G768" s="14" t="str">
        <x:v>tt11981644</x:v>
      </x:c>
      <x:c r="H768" s="14" t="n">
        <x:v>2021</x:v>
      </x:c>
      <x:c r="I768" s="14" t="n">
        <x:v>2025</x:v>
      </x:c>
      <x:c r="J768" s="14" t="str">
        <x:v>Earlier-Production Carry-In Cohort</x:v>
      </x:c>
      <x:c r="K768" s="14" t="n">
        <x:v>2021</x:v>
      </x:c>
      <x:c r="L768" s="14" t="str">
        <x:v>Available from 2021 analysis</x:v>
      </x:c>
      <x:c r="M768" s="15" t="n">
        <x:v>125</x:v>
      </x:c>
      <x:c r="N768" s="14" t="str">
        <x:v>Renu Brindle</x:v>
      </x:c>
      <x:c r="O768" s="14" t="str">
        <x:v>nm3230224</x:v>
      </x:c>
      <x:c r="P768" s="14" t="str">
        <x:v>Anna Wallace</x:v>
      </x:c>
      <x:c r="Q768" s="15" t="n">
        <x:v>1</x:v>
      </x:c>
      <x:c r="R768" s="14" t="str">
        <x:v>2025</x:v>
      </x:c>
      <x:c r="S768" s="14" t="n">
        <x:v>2025</x:v>
      </x:c>
      <x:c r="T768" s="14" t="n">
        <x:v>2025</x:v>
      </x:c>
      <x:c r="U768" s="14" t="str">
        <x:v>Post-2021 casting excluded</x:v>
      </x:c>
      <x:c r="V768" s="14" t="str">
        <x:v>Earliest supplied year is 2025, later than the 2021 study year.</x:v>
      </x:c>
      <x:c r="W768" s="14"/>
      <x:c r="X768" s="14" t="str">
        <x:v>Included</x:v>
      </x:c>
      <x:c r="Y768" s="14"/>
      <x:c r="Z768" s="14" t="str">
        <x:v>Professor T.docx</x:v>
      </x:c>
      <x:c r="AA768" s="14" t="str">
        <x:v>HYPERLINK is not implemented. linkLocation=https://www.imdb.com/title/tt11981644/fullcredits/, friendlyName=Open source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ITV / ITVX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7" t="e">
        <x:f>HYPERLINK("https://en.wikipedia.org/wiki/Professor_T.","Open source")</x:f>
        <x:v>HYPERLINK is not implemented. linkLocation=https://en.wikipedia.org/wiki/Professor_T., friendlyName=Open source</x:v>
      </x:c>
      <x:c r="AN768" s="14" t="str">
        <x:v>No qualifying BBC relationship</x:v>
      </x:c>
      <x:c r="AO768" s="14" t="str">
        <x:v>No</x:v>
      </x:c>
      <x:c r="AP768" s="14" t="str">
        <x:v>Out of scope</x:v>
      </x:c>
      <x:c r="AQ768" s="14" t="str">
        <x:v>No</x:v>
      </x:c>
      <x:c r="AR768" s="14" t="str">
        <x:v>Resolved from master register</x:v>
      </x:c>
      <x:c r="AS768" s="14" t="str">
        <x:v>No established-register match</x:v>
      </x:c>
      <x:c r="AT768" s="14"/>
      <x:c r="AU768" s="14"/>
      <x:c r="AV768" s="14" t="str">
        <x:v>No established apparent-disability match</x:v>
      </x:c>
      <x:c r="AW768" s="14"/>
      <x:c r="AX768" s="14" t="str">
        <x:v>No</x:v>
      </x:c>
      <x:c r="AY768" s="14" t="str">
        <x:v>Unmatched</x:v>
      </x:c>
      <x:c r="AZ768" s="14" t="str">
        <x:v>Final supplied register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30</x:v>
      </x:c>
      <x:c r="BP768" s="14" t="str">
        <x:v>Maximum eligible IMDb cast-credit total (30), shared by 2 performer(s); not independently verified as a 2021-only episode total.</x:v>
      </x:c>
      <x:c r="BQ768" s="14" t="str">
        <x:v>Medium</x:v>
      </x:c>
      <x:c r="BR768" s="15" t="n">
        <x:v>1</x:v>
      </x:c>
      <x:c r="BS768" s="16" t="n">
        <x:v>0.03333333333333333</x:v>
      </x:c>
      <x:c r="BT768" s="14" t="str">
        <x:v>One episode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4" t="str">
        <x:v>HYPERLINK is not implemented. linkLocation=https://www.imdb.com/title/tt11981644/fullcredits/, friendlyName=Open source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tt11981644|nm17091033|marie bryant</x:v>
      </x:c>
      <x:c r="B769" s="14" t="str">
        <x:v>02</x:v>
      </x:c>
      <x:c r="C769" s="14" t="str">
        <x:v>2021_IMDb_Cast_Lists_Batch_02(1).xlsx</x:v>
      </x:c>
      <x:c r="D769" s="14" t="str">
        <x:v>Professor T</x:v>
      </x:c>
      <x:c r="E769" s="14" t="n">
        <x:v>133</x:v>
      </x:c>
      <x:c r="F769" s="14" t="str">
        <x:v>Professor T</x:v>
      </x:c>
      <x:c r="G769" s="14" t="str">
        <x:v>tt11981644</x:v>
      </x:c>
      <x:c r="H769" s="14" t="n">
        <x:v>2021</x:v>
      </x:c>
      <x:c r="I769" s="14" t="n">
        <x:v>2025</x:v>
      </x:c>
      <x:c r="J769" s="14" t="str">
        <x:v>Earlier-Production Carry-In Cohort</x:v>
      </x:c>
      <x:c r="K769" s="14" t="n">
        <x:v>2021</x:v>
      </x:c>
      <x:c r="L769" s="14" t="str">
        <x:v>Available from 2021 analysis</x:v>
      </x:c>
      <x:c r="M769" s="15" t="n">
        <x:v>126</x:v>
      </x:c>
      <x:c r="N769" s="14" t="str">
        <x:v>Madelief Sannen</x:v>
      </x:c>
      <x:c r="O769" s="14" t="str">
        <x:v>nm17091033</x:v>
      </x:c>
      <x:c r="P769" s="14" t="str">
        <x:v>Marie Bryant</x:v>
      </x:c>
      <x:c r="Q769" s="15" t="n">
        <x:v>1</x:v>
      </x:c>
      <x:c r="R769" s="14" t="str">
        <x:v>2025</x:v>
      </x:c>
      <x:c r="S769" s="14" t="n">
        <x:v>2025</x:v>
      </x:c>
      <x:c r="T769" s="14" t="n">
        <x:v>2025</x:v>
      </x:c>
      <x:c r="U769" s="14" t="str">
        <x:v>Post-2021 casting excluded</x:v>
      </x:c>
      <x:c r="V769" s="14" t="str">
        <x:v>Earliest supplied year is 2025, later than the 2021 study year.</x:v>
      </x:c>
      <x:c r="W769" s="14"/>
      <x:c r="X769" s="14" t="str">
        <x:v>Included</x:v>
      </x:c>
      <x:c r="Y769" s="14"/>
      <x:c r="Z769" s="14" t="str">
        <x:v>Professor T.docx</x:v>
      </x:c>
      <x:c r="AA769" s="14" t="str">
        <x:v>HYPERLINK is not implemented. linkLocation=https://www.imdb.com/title/tt11981644/fullcredits/, friendlyName=Open source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ITV / ITVX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7" t="e">
        <x:f>HYPERLINK("https://en.wikipedia.org/wiki/Professor_T.","Open source")</x:f>
        <x:v>HYPERLINK is not implemented. linkLocation=https://en.wikipedia.org/wiki/Professor_T., friendlyName=Open source</x:v>
      </x:c>
      <x:c r="AN769" s="14" t="str">
        <x:v>No qualifying BBC relationship</x:v>
      </x:c>
      <x:c r="AO769" s="14" t="str">
        <x:v>No</x:v>
      </x:c>
      <x:c r="AP769" s="14" t="str">
        <x:v>Out of scope</x:v>
      </x:c>
      <x:c r="AQ769" s="14" t="str">
        <x:v>No</x:v>
      </x:c>
      <x:c r="AR769" s="14" t="str">
        <x:v>Resolved from master register</x:v>
      </x:c>
      <x:c r="AS769" s="14" t="str">
        <x:v>No established-register match</x:v>
      </x:c>
      <x:c r="AT769" s="14"/>
      <x:c r="AU769" s="14"/>
      <x:c r="AV769" s="14" t="str">
        <x:v>No established apparent-disability match</x:v>
      </x:c>
      <x:c r="AW769" s="14"/>
      <x:c r="AX769" s="14" t="str">
        <x:v>No</x:v>
      </x:c>
      <x:c r="AY769" s="14" t="str">
        <x:v>Unmatched</x:v>
      </x:c>
      <x:c r="AZ769" s="14" t="str">
        <x:v>Final supplied register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30</x:v>
      </x:c>
      <x:c r="BP769" s="14" t="str">
        <x:v>Maximum eligible IMDb cast-credit total (30), shared by 2 performer(s); not independently verified as a 2021-only episode total.</x:v>
      </x:c>
      <x:c r="BQ769" s="14" t="str">
        <x:v>Medium</x:v>
      </x:c>
      <x:c r="BR769" s="15" t="n">
        <x:v>1</x:v>
      </x:c>
      <x:c r="BS769" s="16" t="n">
        <x:v>0.03333333333333333</x:v>
      </x:c>
      <x:c r="BT769" s="14" t="str">
        <x:v>One episode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4" t="str">
        <x:v>HYPERLINK is not implemented. linkLocation=https://www.imdb.com/title/tt11981644/fullcredits/, friendlyName=Open source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tt11981644|nm17592132|yacht barman</x:v>
      </x:c>
      <x:c r="B770" s="14" t="str">
        <x:v>02</x:v>
      </x:c>
      <x:c r="C770" s="14" t="str">
        <x:v>2021_IMDb_Cast_Lists_Batch_02(1).xlsx</x:v>
      </x:c>
      <x:c r="D770" s="14" t="str">
        <x:v>Professor T</x:v>
      </x:c>
      <x:c r="E770" s="14" t="n">
        <x:v>134</x:v>
      </x:c>
      <x:c r="F770" s="14" t="str">
        <x:v>Professor T</x:v>
      </x:c>
      <x:c r="G770" s="14" t="str">
        <x:v>tt11981644</x:v>
      </x:c>
      <x:c r="H770" s="14" t="n">
        <x:v>2021</x:v>
      </x:c>
      <x:c r="I770" s="14" t="n">
        <x:v>2025</x:v>
      </x:c>
      <x:c r="J770" s="14" t="str">
        <x:v>Earlier-Production Carry-In Cohort</x:v>
      </x:c>
      <x:c r="K770" s="14" t="n">
        <x:v>2021</x:v>
      </x:c>
      <x:c r="L770" s="14" t="str">
        <x:v>Available from 2021 analysis</x:v>
      </x:c>
      <x:c r="M770" s="15" t="n">
        <x:v>127</x:v>
      </x:c>
      <x:c r="N770" s="14" t="str">
        <x:v>James Hogan</x:v>
      </x:c>
      <x:c r="O770" s="14" t="str">
        <x:v>nm17592132</x:v>
      </x:c>
      <x:c r="P770" s="14" t="str">
        <x:v>Yacht Barman</x:v>
      </x:c>
      <x:c r="Q770" s="15" t="n">
        <x:v>1</x:v>
      </x:c>
      <x:c r="R770" s="14" t="str">
        <x:v>2025</x:v>
      </x:c>
      <x:c r="S770" s="14" t="n">
        <x:v>2025</x:v>
      </x:c>
      <x:c r="T770" s="14" t="n">
        <x:v>2025</x:v>
      </x:c>
      <x:c r="U770" s="14" t="str">
        <x:v>Post-2021 casting excluded</x:v>
      </x:c>
      <x:c r="V770" s="14" t="str">
        <x:v>Earliest supplied year is 2025, later than the 2021 study year.</x:v>
      </x:c>
      <x:c r="W770" s="14"/>
      <x:c r="X770" s="14" t="str">
        <x:v>Included</x:v>
      </x:c>
      <x:c r="Y770" s="14"/>
      <x:c r="Z770" s="14" t="str">
        <x:v>Professor T.docx</x:v>
      </x:c>
      <x:c r="AA770" s="14" t="str">
        <x:v>HYPERLINK is not implemented. linkLocation=https://www.imdb.com/title/tt11981644/fullcredits/, friendlyName=Open source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ITV / ITVX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7" t="e">
        <x:f>HYPERLINK("https://en.wikipedia.org/wiki/Professor_T.","Open source")</x:f>
        <x:v>HYPERLINK is not implemented. linkLocation=https://en.wikipedia.org/wiki/Professor_T., friendlyName=Open source</x:v>
      </x:c>
      <x:c r="AN770" s="14" t="str">
        <x:v>No qualifying BBC relationship</x:v>
      </x:c>
      <x:c r="AO770" s="14" t="str">
        <x:v>No</x:v>
      </x:c>
      <x:c r="AP770" s="14" t="str">
        <x:v>Out of scope</x:v>
      </x:c>
      <x:c r="AQ770" s="14" t="str">
        <x:v>No</x:v>
      </x:c>
      <x:c r="AR770" s="14" t="str">
        <x:v>Resolved from master register</x:v>
      </x:c>
      <x:c r="AS770" s="14" t="str">
        <x:v>No established-register match</x:v>
      </x:c>
      <x:c r="AT770" s="14"/>
      <x:c r="AU770" s="14"/>
      <x:c r="AV770" s="14" t="str">
        <x:v>No established apparent-disability match</x:v>
      </x:c>
      <x:c r="AW770" s="14"/>
      <x:c r="AX770" s="14" t="str">
        <x:v>No</x:v>
      </x:c>
      <x:c r="AY770" s="14" t="str">
        <x:v>Unmatched</x:v>
      </x:c>
      <x:c r="AZ770" s="14" t="str">
        <x:v>Final supplied register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30</x:v>
      </x:c>
      <x:c r="BP770" s="14" t="str">
        <x:v>Maximum eligible IMDb cast-credit total (30), shared by 2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0.03333333333333333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4" t="str">
        <x:v>HYPERLINK is not implemented. linkLocation=https://www.imdb.com/title/tt11981644/fullcredits/, friendlyName=Open source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tt11981644|nm0691928|dennis baines</x:v>
      </x:c>
      <x:c r="B771" s="14" t="str">
        <x:v>02</x:v>
      </x:c>
      <x:c r="C771" s="14" t="str">
        <x:v>2021_IMDb_Cast_Lists_Batch_02(1).xlsx</x:v>
      </x:c>
      <x:c r="D771" s="14" t="str">
        <x:v>Professor T</x:v>
      </x:c>
      <x:c r="E771" s="14" t="n">
        <x:v>144</x:v>
      </x:c>
      <x:c r="F771" s="14" t="str">
        <x:v>Professor T</x:v>
      </x:c>
      <x:c r="G771" s="14" t="str">
        <x:v>tt11981644</x:v>
      </x:c>
      <x:c r="H771" s="14" t="n">
        <x:v>2021</x:v>
      </x:c>
      <x:c r="I771" s="14" t="n">
        <x:v>2025</x:v>
      </x:c>
      <x:c r="J771" s="14" t="str">
        <x:v>Earlier-Production Carry-In Cohort</x:v>
      </x:c>
      <x:c r="K771" s="14" t="n">
        <x:v>2021</x:v>
      </x:c>
      <x:c r="L771" s="14" t="str">
        <x:v>Available from 2021 analysis</x:v>
      </x:c>
      <x:c r="M771" s="15" t="n">
        <x:v>137</x:v>
      </x:c>
      <x:c r="N771" s="14" t="str">
        <x:v>Robert Portal</x:v>
      </x:c>
      <x:c r="O771" s="14" t="str">
        <x:v>nm0691928</x:v>
      </x:c>
      <x:c r="P771" s="14" t="str">
        <x:v>Dennis Baines</x:v>
      </x:c>
      <x:c r="Q771" s="15" t="n">
        <x:v>1</x:v>
      </x:c>
      <x:c r="R771" s="14" t="str">
        <x:v>2025</x:v>
      </x:c>
      <x:c r="S771" s="14" t="n">
        <x:v>2025</x:v>
      </x:c>
      <x:c r="T771" s="14" t="n">
        <x:v>2025</x:v>
      </x:c>
      <x:c r="U771" s="14" t="str">
        <x:v>Post-2021 casting excluded</x:v>
      </x:c>
      <x:c r="V771" s="14" t="str">
        <x:v>Earliest supplied year is 2025, later than the 2021 study year.</x:v>
      </x:c>
      <x:c r="W771" s="14"/>
      <x:c r="X771" s="14" t="str">
        <x:v>Included</x:v>
      </x:c>
      <x:c r="Y771" s="14"/>
      <x:c r="Z771" s="14" t="str">
        <x:v>Professor T.docx</x:v>
      </x:c>
      <x:c r="AA771" s="14" t="str">
        <x:v>HYPERLINK is not implemented. linkLocation=https://www.imdb.com/title/tt11981644/fullcredits/, friendlyName=Open source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ITV / ITVX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7" t="e">
        <x:f>HYPERLINK("https://en.wikipedia.org/wiki/Professor_T.","Open source")</x:f>
        <x:v>HYPERLINK is not implemented. linkLocation=https://en.wikipedia.org/wiki/Professor_T., friendlyName=Open source</x:v>
      </x:c>
      <x:c r="AN771" s="14" t="str">
        <x:v>No qualifying BBC relationship</x:v>
      </x:c>
      <x:c r="AO771" s="14" t="str">
        <x:v>No</x:v>
      </x:c>
      <x:c r="AP771" s="14" t="str">
        <x:v>Out of scope</x:v>
      </x:c>
      <x:c r="AQ771" s="14" t="str">
        <x:v>No</x:v>
      </x:c>
      <x:c r="AR771" s="14" t="str">
        <x:v>Resolved from master register</x:v>
      </x:c>
      <x:c r="AS771" s="14" t="str">
        <x:v>No established-register match</x:v>
      </x:c>
      <x:c r="AT771" s="14"/>
      <x:c r="AU771" s="14"/>
      <x:c r="AV771" s="14" t="str">
        <x:v>No established apparent-disability match</x:v>
      </x:c>
      <x:c r="AW771" s="14"/>
      <x:c r="AX771" s="14" t="str">
        <x:v>No</x:v>
      </x:c>
      <x:c r="AY771" s="14" t="str">
        <x:v>Unmatched</x:v>
      </x:c>
      <x:c r="AZ771" s="14" t="str">
        <x:v>Final supplied register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30</x:v>
      </x:c>
      <x:c r="BP771" s="14" t="str">
        <x:v>Maximum eligible IMDb cast-credit total (30), shared by 2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0.03333333333333333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4" t="str">
        <x:v>HYPERLINK is not implemented. linkLocation=https://www.imdb.com/title/tt11981644/fullcredits/, friendlyName=Open source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tt11981644|nm10167119|tina northam</x:v>
      </x:c>
      <x:c r="B772" s="14" t="str">
        <x:v>02</x:v>
      </x:c>
      <x:c r="C772" s="14" t="str">
        <x:v>2021_IMDb_Cast_Lists_Batch_02(1).xlsx</x:v>
      </x:c>
      <x:c r="D772" s="14" t="str">
        <x:v>Professor T</x:v>
      </x:c>
      <x:c r="E772" s="14" t="n">
        <x:v>145</x:v>
      </x:c>
      <x:c r="F772" s="14" t="str">
        <x:v>Professor T</x:v>
      </x:c>
      <x:c r="G772" s="14" t="str">
        <x:v>tt11981644</x:v>
      </x:c>
      <x:c r="H772" s="14" t="n">
        <x:v>2021</x:v>
      </x:c>
      <x:c r="I772" s="14" t="n">
        <x:v>2025</x:v>
      </x:c>
      <x:c r="J772" s="14" t="str">
        <x:v>Earlier-Production Carry-In Cohort</x:v>
      </x:c>
      <x:c r="K772" s="14" t="n">
        <x:v>2021</x:v>
      </x:c>
      <x:c r="L772" s="14" t="str">
        <x:v>Available from 2021 analysis</x:v>
      </x:c>
      <x:c r="M772" s="15" t="n">
        <x:v>138</x:v>
      </x:c>
      <x:c r="N772" s="14" t="str">
        <x:v>Gemma Knight Jones</x:v>
      </x:c>
      <x:c r="O772" s="14" t="str">
        <x:v>nm10167119</x:v>
      </x:c>
      <x:c r="P772" s="14" t="str">
        <x:v>Tina Northam</x:v>
      </x:c>
      <x:c r="Q772" s="15" t="n">
        <x:v>1</x:v>
      </x:c>
      <x:c r="R772" s="14" t="str">
        <x:v>2025</x:v>
      </x:c>
      <x:c r="S772" s="14" t="n">
        <x:v>2025</x:v>
      </x:c>
      <x:c r="T772" s="14" t="n">
        <x:v>2025</x:v>
      </x:c>
      <x:c r="U772" s="14" t="str">
        <x:v>Post-2021 casting excluded</x:v>
      </x:c>
      <x:c r="V772" s="14" t="str">
        <x:v>Earliest supplied year is 2025, later than the 2021 study year.</x:v>
      </x:c>
      <x:c r="W772" s="14"/>
      <x:c r="X772" s="14" t="str">
        <x:v>Included</x:v>
      </x:c>
      <x:c r="Y772" s="14" t="str">
        <x:v>(as Gemma Knight-Jones)</x:v>
      </x:c>
      <x:c r="Z772" s="14" t="str">
        <x:v>Professor T.docx</x:v>
      </x:c>
      <x:c r="AA772" s="14" t="str">
        <x:v>HYPERLINK is not implemented. linkLocation=https://www.imdb.com/title/tt11981644/fullcredits/, friendlyName=Open source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ITV / ITVX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7" t="e">
        <x:f>HYPERLINK("https://en.wikipedia.org/wiki/Professor_T.","Open source")</x:f>
        <x:v>HYPERLINK is not implemented. linkLocation=https://en.wikipedia.org/wiki/Professor_T., friendlyName=Open source</x:v>
      </x:c>
      <x:c r="AN772" s="14" t="str">
        <x:v>No qualifying BBC relationship</x:v>
      </x:c>
      <x:c r="AO772" s="14" t="str">
        <x:v>No</x:v>
      </x:c>
      <x:c r="AP772" s="14" t="str">
        <x:v>Out of scope</x:v>
      </x:c>
      <x:c r="AQ772" s="14" t="str">
        <x:v>No</x:v>
      </x:c>
      <x:c r="AR772" s="14" t="str">
        <x:v>Resolved from master register</x:v>
      </x:c>
      <x:c r="AS772" s="14" t="str">
        <x:v>No established-register match</x:v>
      </x:c>
      <x:c r="AT772" s="14"/>
      <x:c r="AU772" s="14"/>
      <x:c r="AV772" s="14" t="str">
        <x:v>No established apparent-disability match</x:v>
      </x:c>
      <x:c r="AW772" s="14"/>
      <x:c r="AX772" s="14" t="str">
        <x:v>No</x:v>
      </x:c>
      <x:c r="AY772" s="14" t="str">
        <x:v>Unmatched</x:v>
      </x:c>
      <x:c r="AZ772" s="14" t="str">
        <x:v>Final supplied register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30</x:v>
      </x:c>
      <x:c r="BP772" s="14" t="str">
        <x:v>Maximum eligible IMDb cast-credit total (30), shared by 2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0.03333333333333333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4" t="str">
        <x:v>HYPERLINK is not implemented. linkLocation=https://www.imdb.com/title/tt11981644/fullcredits/, friendlyName=Open source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tt11981644|nm17110644|marvellous marvin</x:v>
      </x:c>
      <x:c r="B773" s="14" t="str">
        <x:v>02</x:v>
      </x:c>
      <x:c r="C773" s="14" t="str">
        <x:v>2021_IMDb_Cast_Lists_Batch_02(1).xlsx</x:v>
      </x:c>
      <x:c r="D773" s="14" t="str">
        <x:v>Professor T</x:v>
      </x:c>
      <x:c r="E773" s="14" t="n">
        <x:v>146</x:v>
      </x:c>
      <x:c r="F773" s="14" t="str">
        <x:v>Professor T</x:v>
      </x:c>
      <x:c r="G773" s="14" t="str">
        <x:v>tt11981644</x:v>
      </x:c>
      <x:c r="H773" s="14" t="n">
        <x:v>2021</x:v>
      </x:c>
      <x:c r="I773" s="14" t="n">
        <x:v>2025</x:v>
      </x:c>
      <x:c r="J773" s="14" t="str">
        <x:v>Earlier-Production Carry-In Cohort</x:v>
      </x:c>
      <x:c r="K773" s="14" t="n">
        <x:v>2021</x:v>
      </x:c>
      <x:c r="L773" s="14" t="str">
        <x:v>Available from 2021 analysis</x:v>
      </x:c>
      <x:c r="M773" s="15" t="n">
        <x:v>139</x:v>
      </x:c>
      <x:c r="N773" s="14" t="str">
        <x:v>Athila Struys</x:v>
      </x:c>
      <x:c r="O773" s="14" t="str">
        <x:v>nm17110644</x:v>
      </x:c>
      <x:c r="P773" s="14" t="str">
        <x:v>Marvellous Marvin</x:v>
      </x:c>
      <x:c r="Q773" s="15" t="n">
        <x:v>1</x:v>
      </x:c>
      <x:c r="R773" s="14" t="str">
        <x:v>2025</x:v>
      </x:c>
      <x:c r="S773" s="14" t="n">
        <x:v>2025</x:v>
      </x:c>
      <x:c r="T773" s="14" t="n">
        <x:v>2025</x:v>
      </x:c>
      <x:c r="U773" s="14" t="str">
        <x:v>Post-2021 casting excluded</x:v>
      </x:c>
      <x:c r="V773" s="14" t="str">
        <x:v>Earliest supplied year is 2025, later than the 2021 study year.</x:v>
      </x:c>
      <x:c r="W773" s="14"/>
      <x:c r="X773" s="14" t="str">
        <x:v>Included</x:v>
      </x:c>
      <x:c r="Y773" s="14"/>
      <x:c r="Z773" s="14" t="str">
        <x:v>Professor T.docx</x:v>
      </x:c>
      <x:c r="AA773" s="14" t="str">
        <x:v>HYPERLINK is not implemented. linkLocation=https://www.imdb.com/title/tt11981644/fullcredits/, friendlyName=Open source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ITV / ITVX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7" t="e">
        <x:f>HYPERLINK("https://en.wikipedia.org/wiki/Professor_T.","Open source")</x:f>
        <x:v>HYPERLINK is not implemented. linkLocation=https://en.wikipedia.org/wiki/Professor_T., friendlyName=Open source</x:v>
      </x:c>
      <x:c r="AN773" s="14" t="str">
        <x:v>No qualifying BBC relationship</x:v>
      </x:c>
      <x:c r="AO773" s="14" t="str">
        <x:v>No</x:v>
      </x:c>
      <x:c r="AP773" s="14" t="str">
        <x:v>Out of scope</x:v>
      </x:c>
      <x:c r="AQ773" s="14" t="str">
        <x:v>No</x:v>
      </x:c>
      <x:c r="AR773" s="14" t="str">
        <x:v>Resolved from master register</x:v>
      </x:c>
      <x:c r="AS773" s="14" t="str">
        <x:v>No established-register match</x:v>
      </x:c>
      <x:c r="AT773" s="14"/>
      <x:c r="AU773" s="14"/>
      <x:c r="AV773" s="14" t="str">
        <x:v>No established apparent-disability match</x:v>
      </x:c>
      <x:c r="AW773" s="14"/>
      <x:c r="AX773" s="14" t="str">
        <x:v>No</x:v>
      </x:c>
      <x:c r="AY773" s="14" t="str">
        <x:v>Unmatched</x:v>
      </x:c>
      <x:c r="AZ773" s="14" t="str">
        <x:v>Final supplied register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30</x:v>
      </x:c>
      <x:c r="BP773" s="14" t="str">
        <x:v>Maximum eligible IMDb cast-credit total (30), shared by 2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0.03333333333333333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4" t="str">
        <x:v>HYPERLINK is not implemented. linkLocation=https://www.imdb.com/title/tt11981644/fullcredits/, friendlyName=Open source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tt11981644|nm17592435|eddy baines</x:v>
      </x:c>
      <x:c r="B774" s="14" t="str">
        <x:v>02</x:v>
      </x:c>
      <x:c r="C774" s="14" t="str">
        <x:v>2021_IMDb_Cast_Lists_Batch_02(1).xlsx</x:v>
      </x:c>
      <x:c r="D774" s="14" t="str">
        <x:v>Professor T</x:v>
      </x:c>
      <x:c r="E774" s="14" t="n">
        <x:v>159</x:v>
      </x:c>
      <x:c r="F774" s="14" t="str">
        <x:v>Professor T</x:v>
      </x:c>
      <x:c r="G774" s="14" t="str">
        <x:v>tt11981644</x:v>
      </x:c>
      <x:c r="H774" s="14" t="n">
        <x:v>2021</x:v>
      </x:c>
      <x:c r="I774" s="14" t="n">
        <x:v>2025</x:v>
      </x:c>
      <x:c r="J774" s="14" t="str">
        <x:v>Earlier-Production Carry-In Cohort</x:v>
      </x:c>
      <x:c r="K774" s="14" t="n">
        <x:v>2021</x:v>
      </x:c>
      <x:c r="L774" s="14" t="str">
        <x:v>Available from 2021 analysis</x:v>
      </x:c>
      <x:c r="M774" s="15" t="n">
        <x:v>152</x:v>
      </x:c>
      <x:c r="N774" s="14" t="str">
        <x:v>John O'Toole</x:v>
      </x:c>
      <x:c r="O774" s="14" t="str">
        <x:v>nm17592435</x:v>
      </x:c>
      <x:c r="P774" s="14" t="str">
        <x:v>Eddy Baines</x:v>
      </x:c>
      <x:c r="Q774" s="15" t="n">
        <x:v>1</x:v>
      </x:c>
      <x:c r="R774" s="14" t="str">
        <x:v>2025</x:v>
      </x:c>
      <x:c r="S774" s="14" t="n">
        <x:v>2025</x:v>
      </x:c>
      <x:c r="T774" s="14" t="n">
        <x:v>2025</x:v>
      </x:c>
      <x:c r="U774" s="14" t="str">
        <x:v>Post-2021 casting excluded</x:v>
      </x:c>
      <x:c r="V774" s="14" t="str">
        <x:v>Earliest supplied year is 2025, later than the 2021 study year.</x:v>
      </x:c>
      <x:c r="W774" s="14"/>
      <x:c r="X774" s="14" t="str">
        <x:v>Included</x:v>
      </x:c>
      <x:c r="Y774" s="14"/>
      <x:c r="Z774" s="14" t="str">
        <x:v>Professor T.docx</x:v>
      </x:c>
      <x:c r="AA774" s="14" t="str">
        <x:v>HYPERLINK is not implemented. linkLocation=https://www.imdb.com/title/tt11981644/fullcredits/, friendlyName=Open source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ITV / ITVX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7" t="e">
        <x:f>HYPERLINK("https://en.wikipedia.org/wiki/Professor_T.","Open source")</x:f>
        <x:v>HYPERLINK is not implemented. linkLocation=https://en.wikipedia.org/wiki/Professor_T., friendlyName=Open source</x:v>
      </x:c>
      <x:c r="AN774" s="14" t="str">
        <x:v>No qualifying BBC relationship</x:v>
      </x:c>
      <x:c r="AO774" s="14" t="str">
        <x:v>No</x:v>
      </x:c>
      <x:c r="AP774" s="14" t="str">
        <x:v>Out of scope</x:v>
      </x:c>
      <x:c r="AQ774" s="14" t="str">
        <x:v>No</x:v>
      </x:c>
      <x:c r="AR774" s="14" t="str">
        <x:v>Resolved from master register</x:v>
      </x:c>
      <x:c r="AS774" s="14" t="str">
        <x:v>No established-register match</x:v>
      </x:c>
      <x:c r="AT774" s="14"/>
      <x:c r="AU774" s="14"/>
      <x:c r="AV774" s="14" t="str">
        <x:v>No established apparent-disability match</x:v>
      </x:c>
      <x:c r="AW774" s="14"/>
      <x:c r="AX774" s="14" t="str">
        <x:v>No</x:v>
      </x:c>
      <x:c r="AY774" s="14" t="str">
        <x:v>Unmatched</x:v>
      </x:c>
      <x:c r="AZ774" s="14" t="str">
        <x:v>Final supplied register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30</x:v>
      </x:c>
      <x:c r="BP774" s="14" t="str">
        <x:v>Maximum eligible IMDb cast-credit total (30), shared by 2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0.03333333333333333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4" t="str">
        <x:v>HYPERLINK is not implemented. linkLocation=https://www.imdb.com/title/tt11981644/fullcredits/, friendlyName=Open source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tt11981644|nm1528511|margo mcqueen</x:v>
      </x:c>
      <x:c r="B775" s="14" t="str">
        <x:v>02</x:v>
      </x:c>
      <x:c r="C775" s="14" t="str">
        <x:v>2021_IMDb_Cast_Lists_Batch_02(1).xlsx</x:v>
      </x:c>
      <x:c r="D775" s="14" t="str">
        <x:v>Professor T</x:v>
      </x:c>
      <x:c r="E775" s="14" t="n">
        <x:v>172</x:v>
      </x:c>
      <x:c r="F775" s="14" t="str">
        <x:v>Professor T</x:v>
      </x:c>
      <x:c r="G775" s="14" t="str">
        <x:v>tt11981644</x:v>
      </x:c>
      <x:c r="H775" s="14" t="n">
        <x:v>2021</x:v>
      </x:c>
      <x:c r="I775" s="14" t="n">
        <x:v>2025</x:v>
      </x:c>
      <x:c r="J775" s="14" t="str">
        <x:v>Earlier-Production Carry-In Cohort</x:v>
      </x:c>
      <x:c r="K775" s="14" t="n">
        <x:v>2021</x:v>
      </x:c>
      <x:c r="L775" s="14" t="str">
        <x:v>Available from 2021 analysis</x:v>
      </x:c>
      <x:c r="M775" s="15" t="n">
        <x:v>165</x:v>
      </x:c>
      <x:c r="N775" s="14" t="str">
        <x:v>Loveday Smith</x:v>
      </x:c>
      <x:c r="O775" s="14" t="str">
        <x:v>nm1528511</x:v>
      </x:c>
      <x:c r="P775" s="14" t="str">
        <x:v>Margo McQueen</x:v>
      </x:c>
      <x:c r="Q775" s="15" t="n">
        <x:v>1</x:v>
      </x:c>
      <x:c r="R775" s="14" t="str">
        <x:v>2025</x:v>
      </x:c>
      <x:c r="S775" s="14" t="n">
        <x:v>2025</x:v>
      </x:c>
      <x:c r="T775" s="14" t="n">
        <x:v>2025</x:v>
      </x:c>
      <x:c r="U775" s="14" t="str">
        <x:v>Post-2021 casting excluded</x:v>
      </x:c>
      <x:c r="V775" s="14" t="str">
        <x:v>Earliest supplied year is 2025, later than the 2021 study year.</x:v>
      </x:c>
      <x:c r="W775" s="14"/>
      <x:c r="X775" s="14" t="str">
        <x:v>Included</x:v>
      </x:c>
      <x:c r="Y775" s="14"/>
      <x:c r="Z775" s="14" t="str">
        <x:v>Professor T.docx</x:v>
      </x:c>
      <x:c r="AA775" s="14" t="str">
        <x:v>HYPERLINK is not implemented. linkLocation=https://www.imdb.com/title/tt11981644/fullcredits/, friendlyName=Open source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ITV / ITVX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7" t="e">
        <x:f>HYPERLINK("https://en.wikipedia.org/wiki/Professor_T.","Open source")</x:f>
        <x:v>HYPERLINK is not implemented. linkLocation=https://en.wikipedia.org/wiki/Professor_T., friendlyName=Open source</x:v>
      </x:c>
      <x:c r="AN775" s="14" t="str">
        <x:v>No qualifying BBC relationship</x:v>
      </x:c>
      <x:c r="AO775" s="14" t="str">
        <x:v>No</x:v>
      </x:c>
      <x:c r="AP775" s="14" t="str">
        <x:v>Out of scope</x:v>
      </x:c>
      <x:c r="AQ775" s="14" t="str">
        <x:v>No</x:v>
      </x:c>
      <x:c r="AR775" s="14" t="str">
        <x:v>Resolved from master register</x:v>
      </x:c>
      <x:c r="AS775" s="14" t="str">
        <x:v>No established-register match</x:v>
      </x:c>
      <x:c r="AT775" s="14"/>
      <x:c r="AU775" s="14"/>
      <x:c r="AV775" s="14" t="str">
        <x:v>No established apparent-disability match</x:v>
      </x:c>
      <x:c r="AW775" s="14"/>
      <x:c r="AX775" s="14" t="str">
        <x:v>No</x:v>
      </x:c>
      <x:c r="AY775" s="14" t="str">
        <x:v>Unmatched</x:v>
      </x:c>
      <x:c r="AZ775" s="14" t="str">
        <x:v>Final supplied register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30</x:v>
      </x:c>
      <x:c r="BP775" s="14" t="str">
        <x:v>Maximum eligible IMDb cast-credit total (30), shared by 2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0.03333333333333333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4" t="str">
        <x:v>HYPERLINK is not implemented. linkLocation=https://www.imdb.com/title/tt11981644/fullcredits/, friendlyName=Open source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tt11981644|nm0488271|dsu milton droy</x:v>
      </x:c>
      <x:c r="B776" s="14" t="str">
        <x:v>02</x:v>
      </x:c>
      <x:c r="C776" s="14" t="str">
        <x:v>2021_IMDb_Cast_Lists_Batch_02(1).xlsx</x:v>
      </x:c>
      <x:c r="D776" s="14" t="str">
        <x:v>Professor T</x:v>
      </x:c>
      <x:c r="E776" s="14" t="n">
        <x:v>184</x:v>
      </x:c>
      <x:c r="F776" s="14" t="str">
        <x:v>Professor T</x:v>
      </x:c>
      <x:c r="G776" s="14" t="str">
        <x:v>tt11981644</x:v>
      </x:c>
      <x:c r="H776" s="14" t="n">
        <x:v>2021</x:v>
      </x:c>
      <x:c r="I776" s="14" t="n">
        <x:v>2025</x:v>
      </x:c>
      <x:c r="J776" s="14" t="str">
        <x:v>Earlier-Production Carry-In Cohort</x:v>
      </x:c>
      <x:c r="K776" s="14" t="n">
        <x:v>2021</x:v>
      </x:c>
      <x:c r="L776" s="14" t="str">
        <x:v>Available from 2021 analysis</x:v>
      </x:c>
      <x:c r="M776" s="15" t="n">
        <x:v>177</x:v>
      </x:c>
      <x:c r="N776" s="14" t="str">
        <x:v>Chris Larkin</x:v>
      </x:c>
      <x:c r="O776" s="14" t="str">
        <x:v>nm0488271</x:v>
      </x:c>
      <x:c r="P776" s="14" t="str">
        <x:v>DSU Milton Droy</x:v>
      </x:c>
      <x:c r="Q776" s="15" t="n">
        <x:v>1</x:v>
      </x:c>
      <x:c r="R776" s="14" t="str">
        <x:v>2025</x:v>
      </x:c>
      <x:c r="S776" s="14" t="n">
        <x:v>2025</x:v>
      </x:c>
      <x:c r="T776" s="14" t="n">
        <x:v>2025</x:v>
      </x:c>
      <x:c r="U776" s="14" t="str">
        <x:v>Post-2021 casting excluded</x:v>
      </x:c>
      <x:c r="V776" s="14" t="str">
        <x:v>Earliest supplied year is 2025, later than the 2021 study year.</x:v>
      </x:c>
      <x:c r="W776" s="14"/>
      <x:c r="X776" s="14" t="str">
        <x:v>Included</x:v>
      </x:c>
      <x:c r="Y776" s="14"/>
      <x:c r="Z776" s="14" t="str">
        <x:v>Professor T.docx</x:v>
      </x:c>
      <x:c r="AA776" s="14" t="str">
        <x:v>HYPERLINK is not implemented. linkLocation=https://www.imdb.com/title/tt11981644/fullcredits/, friendlyName=Open source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ITV / ITVX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7" t="e">
        <x:f>HYPERLINK("https://en.wikipedia.org/wiki/Professor_T.","Open source")</x:f>
        <x:v>HYPERLINK is not implemented. linkLocation=https://en.wikipedia.org/wiki/Professor_T., friendlyName=Open source</x:v>
      </x:c>
      <x:c r="AN776" s="14" t="str">
        <x:v>No qualifying BBC relationship</x:v>
      </x:c>
      <x:c r="AO776" s="14" t="str">
        <x:v>No</x:v>
      </x:c>
      <x:c r="AP776" s="14" t="str">
        <x:v>Out of scope</x:v>
      </x:c>
      <x:c r="AQ776" s="14" t="str">
        <x:v>No</x:v>
      </x:c>
      <x:c r="AR776" s="14" t="str">
        <x:v>Resolved from master register</x:v>
      </x:c>
      <x:c r="AS776" s="14" t="str">
        <x:v>No established-register match</x:v>
      </x:c>
      <x:c r="AT776" s="14"/>
      <x:c r="AU776" s="14"/>
      <x:c r="AV776" s="14" t="str">
        <x:v>No established apparent-disability match</x:v>
      </x:c>
      <x:c r="AW776" s="14"/>
      <x:c r="AX776" s="14" t="str">
        <x:v>No</x:v>
      </x:c>
      <x:c r="AY776" s="14" t="str">
        <x:v>Unmatched</x:v>
      </x:c>
      <x:c r="AZ776" s="14" t="str">
        <x:v>Final supplied register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30</x:v>
      </x:c>
      <x:c r="BP776" s="14" t="str">
        <x:v>Maximum eligible IMDb cast-credit total (30), shared by 2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0.03333333333333333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4" t="str">
        <x:v>HYPERLINK is not implemented. linkLocation=https://www.imdb.com/title/tt11981644/fullcredits/, friendlyName=Open source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tt11981644|nm10526984|fabian royle</x:v>
      </x:c>
      <x:c r="B777" s="14" t="str">
        <x:v>02</x:v>
      </x:c>
      <x:c r="C777" s="14" t="str">
        <x:v>2021_IMDb_Cast_Lists_Batch_02(1).xlsx</x:v>
      </x:c>
      <x:c r="D777" s="14" t="str">
        <x:v>Professor T</x:v>
      </x:c>
      <x:c r="E777" s="14" t="n">
        <x:v>185</x:v>
      </x:c>
      <x:c r="F777" s="14" t="str">
        <x:v>Professor T</x:v>
      </x:c>
      <x:c r="G777" s="14" t="str">
        <x:v>tt11981644</x:v>
      </x:c>
      <x:c r="H777" s="14" t="n">
        <x:v>2021</x:v>
      </x:c>
      <x:c r="I777" s="14" t="n">
        <x:v>2025</x:v>
      </x:c>
      <x:c r="J777" s="14" t="str">
        <x:v>Earlier-Production Carry-In Cohort</x:v>
      </x:c>
      <x:c r="K777" s="14" t="n">
        <x:v>2021</x:v>
      </x:c>
      <x:c r="L777" s="14" t="str">
        <x:v>Available from 2021 analysis</x:v>
      </x:c>
      <x:c r="M777" s="15" t="n">
        <x:v>178</x:v>
      </x:c>
      <x:c r="N777" s="14" t="str">
        <x:v>Ruben Francq</x:v>
      </x:c>
      <x:c r="O777" s="14" t="str">
        <x:v>nm10526984</x:v>
      </x:c>
      <x:c r="P777" s="14" t="str">
        <x:v>Fabian Royle</x:v>
      </x:c>
      <x:c r="Q777" s="15" t="n">
        <x:v>1</x:v>
      </x:c>
      <x:c r="R777" s="14" t="str">
        <x:v>2025</x:v>
      </x:c>
      <x:c r="S777" s="14" t="n">
        <x:v>2025</x:v>
      </x:c>
      <x:c r="T777" s="14" t="n">
        <x:v>2025</x:v>
      </x:c>
      <x:c r="U777" s="14" t="str">
        <x:v>Post-2021 casting excluded</x:v>
      </x:c>
      <x:c r="V777" s="14" t="str">
        <x:v>Earliest supplied year is 2025, later than the 2021 study year.</x:v>
      </x:c>
      <x:c r="W777" s="14"/>
      <x:c r="X777" s="14" t="str">
        <x:v>Included</x:v>
      </x:c>
      <x:c r="Y777" s="14"/>
      <x:c r="Z777" s="14" t="str">
        <x:v>Professor T.docx</x:v>
      </x:c>
      <x:c r="AA777" s="14" t="str">
        <x:v>HYPERLINK is not implemented. linkLocation=https://www.imdb.com/title/tt11981644/fullcredits/, friendlyName=Open source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ITV / ITVX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7" t="e">
        <x:f>HYPERLINK("https://en.wikipedia.org/wiki/Professor_T.","Open source")</x:f>
        <x:v>HYPERLINK is not implemented. linkLocation=https://en.wikipedia.org/wiki/Professor_T., friendlyName=Open source</x:v>
      </x:c>
      <x:c r="AN777" s="14" t="str">
        <x:v>No qualifying BBC relationship</x:v>
      </x:c>
      <x:c r="AO777" s="14" t="str">
        <x:v>No</x:v>
      </x:c>
      <x:c r="AP777" s="14" t="str">
        <x:v>Out of scope</x:v>
      </x:c>
      <x:c r="AQ777" s="14" t="str">
        <x:v>No</x:v>
      </x:c>
      <x:c r="AR777" s="14" t="str">
        <x:v>Resolved from master register</x:v>
      </x:c>
      <x:c r="AS777" s="14" t="str">
        <x:v>No established-register match</x:v>
      </x:c>
      <x:c r="AT777" s="14"/>
      <x:c r="AU777" s="14"/>
      <x:c r="AV777" s="14" t="str">
        <x:v>No established apparent-disability match</x:v>
      </x:c>
      <x:c r="AW777" s="14"/>
      <x:c r="AX777" s="14" t="str">
        <x:v>No</x:v>
      </x:c>
      <x:c r="AY777" s="14" t="str">
        <x:v>Unmatched</x:v>
      </x:c>
      <x:c r="AZ777" s="14" t="str">
        <x:v>Final supplied register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30</x:v>
      </x:c>
      <x:c r="BP777" s="14" t="str">
        <x:v>Maximum eligible IMDb cast-credit total (30), shared by 2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0.03333333333333333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4" t="str">
        <x:v>HYPERLINK is not implemented. linkLocation=https://www.imdb.com/title/tt11981644/fullcredits/, friendlyName=Open source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tt11981644|nm16371643|jill finch</x:v>
      </x:c>
      <x:c r="B778" s="14" t="str">
        <x:v>02</x:v>
      </x:c>
      <x:c r="C778" s="14" t="str">
        <x:v>2021_IMDb_Cast_Lists_Batch_02(1).xlsx</x:v>
      </x:c>
      <x:c r="D778" s="14" t="str">
        <x:v>Professor T</x:v>
      </x:c>
      <x:c r="E778" s="14" t="n">
        <x:v>196</x:v>
      </x:c>
      <x:c r="F778" s="14" t="str">
        <x:v>Professor T</x:v>
      </x:c>
      <x:c r="G778" s="14" t="str">
        <x:v>tt11981644</x:v>
      </x:c>
      <x:c r="H778" s="14" t="n">
        <x:v>2021</x:v>
      </x:c>
      <x:c r="I778" s="14" t="n">
        <x:v>2025</x:v>
      </x:c>
      <x:c r="J778" s="14" t="str">
        <x:v>Earlier-Production Carry-In Cohort</x:v>
      </x:c>
      <x:c r="K778" s="14" t="n">
        <x:v>2021</x:v>
      </x:c>
      <x:c r="L778" s="14" t="str">
        <x:v>Available from 2021 analysis</x:v>
      </x:c>
      <x:c r="M778" s="15" t="n">
        <x:v>189</x:v>
      </x:c>
      <x:c r="N778" s="14" t="str">
        <x:v>Esme Hough</x:v>
      </x:c>
      <x:c r="O778" s="14" t="str">
        <x:v>nm16371643</x:v>
      </x:c>
      <x:c r="P778" s="14" t="str">
        <x:v>Jill Finch</x:v>
      </x:c>
      <x:c r="Q778" s="15" t="n">
        <x:v>1</x:v>
      </x:c>
      <x:c r="R778" s="14" t="str">
        <x:v>2025</x:v>
      </x:c>
      <x:c r="S778" s="14" t="n">
        <x:v>2025</x:v>
      </x:c>
      <x:c r="T778" s="14" t="n">
        <x:v>2025</x:v>
      </x:c>
      <x:c r="U778" s="14" t="str">
        <x:v>Post-2021 casting excluded</x:v>
      </x:c>
      <x:c r="V778" s="14" t="str">
        <x:v>Earliest supplied year is 2025, later than the 2021 study year.</x:v>
      </x:c>
      <x:c r="W778" s="14"/>
      <x:c r="X778" s="14" t="str">
        <x:v>Included</x:v>
      </x:c>
      <x:c r="Y778" s="14"/>
      <x:c r="Z778" s="14" t="str">
        <x:v>Professor T.docx</x:v>
      </x:c>
      <x:c r="AA778" s="14" t="str">
        <x:v>HYPERLINK is not implemented. linkLocation=https://www.imdb.com/title/tt11981644/fullcredits/, friendlyName=Open source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ITV / ITVX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7" t="e">
        <x:f>HYPERLINK("https://en.wikipedia.org/wiki/Professor_T.","Open source")</x:f>
        <x:v>HYPERLINK is not implemented. linkLocation=https://en.wikipedia.org/wiki/Professor_T., friendlyName=Open source</x:v>
      </x:c>
      <x:c r="AN778" s="14" t="str">
        <x:v>No qualifying BBC relationship</x:v>
      </x:c>
      <x:c r="AO778" s="14" t="str">
        <x:v>No</x:v>
      </x:c>
      <x:c r="AP778" s="14" t="str">
        <x:v>Out of scope</x:v>
      </x:c>
      <x:c r="AQ778" s="14" t="str">
        <x:v>No</x:v>
      </x:c>
      <x:c r="AR778" s="14" t="str">
        <x:v>Resolved from master register</x:v>
      </x:c>
      <x:c r="AS778" s="14" t="str">
        <x:v>No established-register match</x:v>
      </x:c>
      <x:c r="AT778" s="14"/>
      <x:c r="AU778" s="14"/>
      <x:c r="AV778" s="14" t="str">
        <x:v>No established apparent-disability match</x:v>
      </x:c>
      <x:c r="AW778" s="14"/>
      <x:c r="AX778" s="14" t="str">
        <x:v>No</x:v>
      </x:c>
      <x:c r="AY778" s="14" t="str">
        <x:v>Unmatched</x:v>
      </x:c>
      <x:c r="AZ778" s="14" t="str">
        <x:v>Final supplied register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30</x:v>
      </x:c>
      <x:c r="BP778" s="14" t="str">
        <x:v>Maximum eligible IMDb cast-credit total (30), shared by 2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0.03333333333333333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4" t="str">
        <x:v>HYPERLINK is not implemented. linkLocation=https://www.imdb.com/title/tt11981644/fullcredits/, friendlyName=Open source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tt11981644|nm17592434|lucien hailsham</x:v>
      </x:c>
      <x:c r="B779" s="14" t="str">
        <x:v>02</x:v>
      </x:c>
      <x:c r="C779" s="14" t="str">
        <x:v>2021_IMDb_Cast_Lists_Batch_02(1).xlsx</x:v>
      </x:c>
      <x:c r="D779" s="14" t="str">
        <x:v>Professor T</x:v>
      </x:c>
      <x:c r="E779" s="14" t="n">
        <x:v>197</x:v>
      </x:c>
      <x:c r="F779" s="14" t="str">
        <x:v>Professor T</x:v>
      </x:c>
      <x:c r="G779" s="14" t="str">
        <x:v>tt11981644</x:v>
      </x:c>
      <x:c r="H779" s="14" t="n">
        <x:v>2021</x:v>
      </x:c>
      <x:c r="I779" s="14" t="n">
        <x:v>2025</x:v>
      </x:c>
      <x:c r="J779" s="14" t="str">
        <x:v>Earlier-Production Carry-In Cohort</x:v>
      </x:c>
      <x:c r="K779" s="14" t="n">
        <x:v>2021</x:v>
      </x:c>
      <x:c r="L779" s="14" t="str">
        <x:v>Available from 2021 analysis</x:v>
      </x:c>
      <x:c r="M779" s="15" t="n">
        <x:v>190</x:v>
      </x:c>
      <x:c r="N779" s="14" t="str">
        <x:v>Martin Turner</x:v>
      </x:c>
      <x:c r="O779" s="14" t="str">
        <x:v>nm17592434</x:v>
      </x:c>
      <x:c r="P779" s="14" t="str">
        <x:v>Lucien Hailsham</x:v>
      </x:c>
      <x:c r="Q779" s="15" t="n">
        <x:v>1</x:v>
      </x:c>
      <x:c r="R779" s="14" t="str">
        <x:v>2025</x:v>
      </x:c>
      <x:c r="S779" s="14" t="n">
        <x:v>2025</x:v>
      </x:c>
      <x:c r="T779" s="14" t="n">
        <x:v>2025</x:v>
      </x:c>
      <x:c r="U779" s="14" t="str">
        <x:v>Post-2021 casting excluded</x:v>
      </x:c>
      <x:c r="V779" s="14" t="str">
        <x:v>Earliest supplied year is 2025, later than the 2021 study year.</x:v>
      </x:c>
      <x:c r="W779" s="14"/>
      <x:c r="X779" s="14" t="str">
        <x:v>Included</x:v>
      </x:c>
      <x:c r="Y779" s="14"/>
      <x:c r="Z779" s="14" t="str">
        <x:v>Professor T.docx</x:v>
      </x:c>
      <x:c r="AA779" s="14" t="str">
        <x:v>HYPERLINK is not implemented. linkLocation=https://www.imdb.com/title/tt11981644/fullcredits/, friendlyName=Open source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ITV / ITVX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7" t="e">
        <x:f>HYPERLINK("https://en.wikipedia.org/wiki/Professor_T.","Open source")</x:f>
        <x:v>HYPERLINK is not implemented. linkLocation=https://en.wikipedia.org/wiki/Professor_T., friendlyName=Open source</x:v>
      </x:c>
      <x:c r="AN779" s="14" t="str">
        <x:v>No qualifying BBC relationship</x:v>
      </x:c>
      <x:c r="AO779" s="14" t="str">
        <x:v>No</x:v>
      </x:c>
      <x:c r="AP779" s="14" t="str">
        <x:v>Out of scope</x:v>
      </x:c>
      <x:c r="AQ779" s="14" t="str">
        <x:v>No</x:v>
      </x:c>
      <x:c r="AR779" s="14" t="str">
        <x:v>Resolved from master register</x:v>
      </x:c>
      <x:c r="AS779" s="14" t="str">
        <x:v>No established-register match</x:v>
      </x:c>
      <x:c r="AT779" s="14"/>
      <x:c r="AU779" s="14"/>
      <x:c r="AV779" s="14" t="str">
        <x:v>No established apparent-disability match</x:v>
      </x:c>
      <x:c r="AW779" s="14"/>
      <x:c r="AX779" s="14" t="str">
        <x:v>No</x:v>
      </x:c>
      <x:c r="AY779" s="14" t="str">
        <x:v>Unmatched</x:v>
      </x:c>
      <x:c r="AZ779" s="14" t="str">
        <x:v>Final supplied register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30</x:v>
      </x:c>
      <x:c r="BP779" s="14" t="str">
        <x:v>Maximum eligible IMDb cast-credit total (30), shared by 2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0.03333333333333333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4" t="str">
        <x:v>HYPERLINK is not implemented. linkLocation=https://www.imdb.com/title/tt11981644/fullcredits/, friendlyName=Open source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tt11981644|nm17593078|memorial brass band</x:v>
      </x:c>
      <x:c r="B780" s="14" t="str">
        <x:v>02</x:v>
      </x:c>
      <x:c r="C780" s="14" t="str">
        <x:v>2021_IMDb_Cast_Lists_Batch_02(1).xlsx</x:v>
      </x:c>
      <x:c r="D780" s="14" t="str">
        <x:v>Professor T</x:v>
      </x:c>
      <x:c r="E780" s="14" t="n">
        <x:v>198</x:v>
      </x:c>
      <x:c r="F780" s="14" t="str">
        <x:v>Professor T</x:v>
      </x:c>
      <x:c r="G780" s="14" t="str">
        <x:v>tt11981644</x:v>
      </x:c>
      <x:c r="H780" s="14" t="n">
        <x:v>2021</x:v>
      </x:c>
      <x:c r="I780" s="14" t="n">
        <x:v>2025</x:v>
      </x:c>
      <x:c r="J780" s="14" t="str">
        <x:v>Earlier-Production Carry-In Cohort</x:v>
      </x:c>
      <x:c r="K780" s="14" t="n">
        <x:v>2021</x:v>
      </x:c>
      <x:c r="L780" s="14" t="str">
        <x:v>Available from 2021 analysis</x:v>
      </x:c>
      <x:c r="M780" s="15" t="n">
        <x:v>191</x:v>
      </x:c>
      <x:c r="N780" s="14" t="str">
        <x:v>Festival Brass Band</x:v>
      </x:c>
      <x:c r="O780" s="14" t="str">
        <x:v>nm17593078</x:v>
      </x:c>
      <x:c r="P780" s="14" t="str">
        <x:v>Memorial Brass Band</x:v>
      </x:c>
      <x:c r="Q780" s="15" t="n">
        <x:v>1</x:v>
      </x:c>
      <x:c r="R780" s="14" t="str">
        <x:v>2025</x:v>
      </x:c>
      <x:c r="S780" s="14" t="n">
        <x:v>2025</x:v>
      </x:c>
      <x:c r="T780" s="14" t="n">
        <x:v>2025</x:v>
      </x:c>
      <x:c r="U780" s="14" t="str">
        <x:v>Post-2021 casting excluded</x:v>
      </x:c>
      <x:c r="V780" s="14" t="str">
        <x:v>Earliest supplied year is 2025, later than the 2021 study year.</x:v>
      </x:c>
      <x:c r="W780" s="14"/>
      <x:c r="X780" s="14" t="str">
        <x:v>Included</x:v>
      </x:c>
      <x:c r="Y780" s="14"/>
      <x:c r="Z780" s="14" t="str">
        <x:v>Professor T.docx</x:v>
      </x:c>
      <x:c r="AA780" s="14" t="str">
        <x:v>HYPERLINK is not implemented. linkLocation=https://www.imdb.com/title/tt11981644/fullcredits/, friendlyName=Open source</x:v>
      </x:c>
      <x:c r="AB780" s="14" t="str">
        <x:v>No established-register match</x:v>
      </x:c>
      <x:c r="AC780" s="14"/>
      <x:c r="AD780" s="14"/>
      <x:c r="AE780" s="14"/>
      <x:c r="AF780" s="14"/>
      <x:c r="AG780" s="14" t="str">
        <x:v>No qualifying conclusion recorded. Absence from the register is not evidence that the performer is not disabled.</x:v>
      </x:c>
      <x:c r="AH780" s="14" t="str">
        <x:v>ITV / ITVX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7" t="e">
        <x:f>HYPERLINK("https://en.wikipedia.org/wiki/Professor_T.","Open source")</x:f>
        <x:v>HYPERLINK is not implemented. linkLocation=https://en.wikipedia.org/wiki/Professor_T., friendlyName=Open source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 t="str">
        <x:v>No established-register match</x:v>
      </x:c>
      <x:c r="AT780" s="14"/>
      <x:c r="AU780" s="14"/>
      <x:c r="AV780" s="14" t="str">
        <x:v>No established apparent-disability match</x:v>
      </x:c>
      <x:c r="AW780" s="14"/>
      <x:c r="AX780" s="14" t="str">
        <x:v>No</x:v>
      </x:c>
      <x:c r="AY780" s="14" t="str">
        <x:v>Unmatched</x:v>
      </x:c>
      <x:c r="AZ780" s="14" t="str">
        <x:v>Final supplied register</x:v>
      </x:c>
      <x:c r="BA780" s="14" t="str">
        <x:v>Absence from the register is not evidence that the performer is not disabled.</x:v>
      </x:c>
      <x:c r="BB780" s="14" t="str">
        <x:v>No established-register match</x:v>
      </x:c>
      <x:c r="BC780" s="14"/>
      <x:c r="BD780" s="14"/>
      <x:c r="BE780" s="14"/>
      <x:c r="BF780" s="14" t="str">
        <x:v>No established apparent-disability match</x:v>
      </x:c>
      <x:c r="BG780" s="14"/>
      <x:c r="BH780" s="14" t="str">
        <x:v>No</x:v>
      </x:c>
      <x:c r="BI780" s="14"/>
      <x:c r="BJ780" s="14"/>
      <x:c r="BK780" s="14"/>
      <x:c r="BL780" s="14" t="str">
        <x:v>Unmatched</x:v>
      </x:c>
      <x:c r="BM780" s="14" t="str">
        <x:v>Final supplied register</x:v>
      </x:c>
      <x:c r="BN780" s="14" t="str">
        <x:v>Absence from the register is not evidence that the performer is not disabled.</x:v>
      </x:c>
      <x:c r="BO780" s="14" t="n">
        <x:v>30</x:v>
      </x:c>
      <x:c r="BP780" s="14" t="str">
        <x:v>Maximum eligible IMDb cast-credit total (30), shared by 2 performer(s); not independently verified as a 2021-only episode total.</x:v>
      </x:c>
      <x:c r="BQ780" s="14" t="str">
        <x:v>Medium</x:v>
      </x:c>
      <x:c r="BR780" s="15" t="n">
        <x:v>1</x:v>
      </x:c>
      <x:c r="BS780" s="16" t="n">
        <x:v>0.03333333333333333</x:v>
      </x:c>
      <x:c r="BT780" s="14" t="str">
        <x:v>One episode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4" t="str">
        <x:v>HYPERLINK is not implemented. linkLocation=https://www.imdb.com/title/tt11981644/fullcredits/, friendlyName=Open source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tt11981644|nm6151681|uk registrar</x:v>
      </x:c>
      <x:c r="B781" s="14" t="str">
        <x:v>02</x:v>
      </x:c>
      <x:c r="C781" s="14" t="str">
        <x:v>2021_IMDb_Cast_Lists_Batch_02(1).xlsx</x:v>
      </x:c>
      <x:c r="D781" s="14" t="str">
        <x:v>Professor T</x:v>
      </x:c>
      <x:c r="E781" s="14" t="n">
        <x:v>208</x:v>
      </x:c>
      <x:c r="F781" s="14" t="str">
        <x:v>Professor T</x:v>
      </x:c>
      <x:c r="G781" s="14" t="str">
        <x:v>tt11981644</x:v>
      </x:c>
      <x:c r="H781" s="14" t="n">
        <x:v>2021</x:v>
      </x:c>
      <x:c r="I781" s="14" t="n">
        <x:v>2025</x:v>
      </x:c>
      <x:c r="J781" s="14" t="str">
        <x:v>Earlier-Production Carry-In Cohort</x:v>
      </x:c>
      <x:c r="K781" s="14" t="n">
        <x:v>2021</x:v>
      </x:c>
      <x:c r="L781" s="14" t="str">
        <x:v>Available from 2021 analysis</x:v>
      </x:c>
      <x:c r="M781" s="15" t="n">
        <x:v>201</x:v>
      </x:c>
      <x:c r="N781" s="14" t="str">
        <x:v>Karoline Newman</x:v>
      </x:c>
      <x:c r="O781" s="14" t="str">
        <x:v>nm6151681</x:v>
      </x:c>
      <x:c r="P781" s="14" t="str">
        <x:v>UK Registrar</x:v>
      </x:c>
      <x:c r="Q781" s="15" t="n">
        <x:v>1</x:v>
      </x:c>
      <x:c r="R781" s="14" t="str">
        <x:v>2025</x:v>
      </x:c>
      <x:c r="S781" s="14" t="n">
        <x:v>2025</x:v>
      </x:c>
      <x:c r="T781" s="14" t="n">
        <x:v>2025</x:v>
      </x:c>
      <x:c r="U781" s="14" t="str">
        <x:v>Post-2021 casting excluded</x:v>
      </x:c>
      <x:c r="V781" s="14" t="str">
        <x:v>Earliest supplied year is 2025, later than the 2021 study year.</x:v>
      </x:c>
      <x:c r="W781" s="14"/>
      <x:c r="X781" s="14" t="str">
        <x:v>Included</x:v>
      </x:c>
      <x:c r="Y781" s="14"/>
      <x:c r="Z781" s="14" t="str">
        <x:v>Professor T.docx</x:v>
      </x:c>
      <x:c r="AA781" s="14" t="str">
        <x:v>HYPERLINK is not implemented. linkLocation=https://www.imdb.com/title/tt11981644/fullcredits/, friendlyName=Open source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ITV / ITVX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7" t="e">
        <x:f>HYPERLINK("https://en.wikipedia.org/wiki/Professor_T.","Open source")</x:f>
        <x:v>HYPERLINK is not implemented. linkLocation=https://en.wikipedia.org/wiki/Professor_T., friendlyName=Open source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 t="str">
        <x:v>No established-register match</x:v>
      </x:c>
      <x:c r="AT781" s="14"/>
      <x:c r="AU781" s="14"/>
      <x:c r="AV781" s="14" t="str">
        <x:v>No established apparent-disability match</x:v>
      </x:c>
      <x:c r="AW781" s="14"/>
      <x:c r="AX781" s="14" t="str">
        <x:v>No</x:v>
      </x:c>
      <x:c r="AY781" s="14" t="str">
        <x:v>Unmatched</x:v>
      </x:c>
      <x:c r="AZ781" s="14" t="str">
        <x:v>Final supplied register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30</x:v>
      </x:c>
      <x:c r="BP781" s="14" t="str">
        <x:v>Maximum eligible IMDb cast-credit total (30), shared by 2 performer(s); not independently verified as a 2021-only episode total.</x:v>
      </x:c>
      <x:c r="BQ781" s="14" t="str">
        <x:v>Medium</x:v>
      </x:c>
      <x:c r="BR781" s="15" t="n">
        <x:v>1</x:v>
      </x:c>
      <x:c r="BS781" s="16" t="n">
        <x:v>0.03333333333333333</x:v>
      </x:c>
      <x:c r="BT781" s="14" t="str">
        <x:v>One episode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4" t="str">
        <x:v>HYPERLINK is not implemented. linkLocation=https://www.imdb.com/title/tt11981644/fullcredits/, friendlyName=Open source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tt11981644|nm1682272|ash robertson</x:v>
      </x:c>
      <x:c r="B782" s="14" t="str">
        <x:v>02</x:v>
      </x:c>
      <x:c r="C782" s="14" t="str">
        <x:v>2021_IMDb_Cast_Lists_Batch_02(1).xlsx</x:v>
      </x:c>
      <x:c r="D782" s="14" t="str">
        <x:v>Professor T</x:v>
      </x:c>
      <x:c r="E782" s="14" t="n">
        <x:v>216</x:v>
      </x:c>
      <x:c r="F782" s="14" t="str">
        <x:v>Professor T</x:v>
      </x:c>
      <x:c r="G782" s="14" t="str">
        <x:v>tt11981644</x:v>
      </x:c>
      <x:c r="H782" s="14" t="n">
        <x:v>2021</x:v>
      </x:c>
      <x:c r="I782" s="14" t="n">
        <x:v>2025</x:v>
      </x:c>
      <x:c r="J782" s="14" t="str">
        <x:v>Earlier-Production Carry-In Cohort</x:v>
      </x:c>
      <x:c r="K782" s="14" t="n">
        <x:v>2021</x:v>
      </x:c>
      <x:c r="L782" s="14" t="str">
        <x:v>Available from 2021 analysis</x:v>
      </x:c>
      <x:c r="M782" s="15" t="n">
        <x:v>209</x:v>
      </x:c>
      <x:c r="N782" s="14" t="str">
        <x:v>Lace Akpojaro</x:v>
      </x:c>
      <x:c r="O782" s="14" t="str">
        <x:v>nm1682272</x:v>
      </x:c>
      <x:c r="P782" s="14" t="str">
        <x:v>Ash Robertson</x:v>
      </x:c>
      <x:c r="Q782" s="15" t="n">
        <x:v>1</x:v>
      </x:c>
      <x:c r="R782" s="14" t="str">
        <x:v>2025</x:v>
      </x:c>
      <x:c r="S782" s="14" t="n">
        <x:v>2025</x:v>
      </x:c>
      <x:c r="T782" s="14" t="n">
        <x:v>2025</x:v>
      </x:c>
      <x:c r="U782" s="14" t="str">
        <x:v>Post-2021 casting excluded</x:v>
      </x:c>
      <x:c r="V782" s="14" t="str">
        <x:v>Earliest supplied year is 2025, later than the 2021 study year.</x:v>
      </x:c>
      <x:c r="W782" s="14"/>
      <x:c r="X782" s="14" t="str">
        <x:v>Included</x:v>
      </x:c>
      <x:c r="Y782" s="14"/>
      <x:c r="Z782" s="14" t="str">
        <x:v>Professor T.docx</x:v>
      </x:c>
      <x:c r="AA782" s="14" t="str">
        <x:v>HYPERLINK is not implemented. linkLocation=https://www.imdb.com/title/tt11981644/fullcredits/, friendlyName=Open source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ITV / ITVX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7" t="e">
        <x:f>HYPERLINK("https://en.wikipedia.org/wiki/Professor_T.","Open source")</x:f>
        <x:v>HYPERLINK is not implemented. linkLocation=https://en.wikipedia.org/wiki/Professor_T., friendlyName=Open source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 t="str">
        <x:v>No established-register match</x:v>
      </x:c>
      <x:c r="AT782" s="14"/>
      <x:c r="AU782" s="14"/>
      <x:c r="AV782" s="14" t="str">
        <x:v>No established apparent-disability match</x:v>
      </x:c>
      <x:c r="AW782" s="14"/>
      <x:c r="AX782" s="14" t="str">
        <x:v>No</x:v>
      </x:c>
      <x:c r="AY782" s="14" t="str">
        <x:v>Unmatched</x:v>
      </x:c>
      <x:c r="AZ782" s="14" t="str">
        <x:v>Final supplied register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30</x:v>
      </x:c>
      <x:c r="BP782" s="14" t="str">
        <x:v>Maximum eligible IMDb cast-credit total (30), shared by 2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0.03333333333333333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4" t="str">
        <x:v>HYPERLINK is not implemented. linkLocation=https://www.imdb.com/title/tt11981644/fullcredits/, friendlyName=Open source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tt11981644|nm17592130|librarian</x:v>
      </x:c>
      <x:c r="B783" s="14" t="str">
        <x:v>02</x:v>
      </x:c>
      <x:c r="C783" s="14" t="str">
        <x:v>2021_IMDb_Cast_Lists_Batch_02(1).xlsx</x:v>
      </x:c>
      <x:c r="D783" s="14" t="str">
        <x:v>Professor T</x:v>
      </x:c>
      <x:c r="E783" s="14" t="n">
        <x:v>217</x:v>
      </x:c>
      <x:c r="F783" s="14" t="str">
        <x:v>Professor T</x:v>
      </x:c>
      <x:c r="G783" s="14" t="str">
        <x:v>tt11981644</x:v>
      </x:c>
      <x:c r="H783" s="14" t="n">
        <x:v>2021</x:v>
      </x:c>
      <x:c r="I783" s="14" t="n">
        <x:v>2025</x:v>
      </x:c>
      <x:c r="J783" s="14" t="str">
        <x:v>Earlier-Production Carry-In Cohort</x:v>
      </x:c>
      <x:c r="K783" s="14" t="n">
        <x:v>2021</x:v>
      </x:c>
      <x:c r="L783" s="14" t="str">
        <x:v>Available from 2021 analysis</x:v>
      </x:c>
      <x:c r="M783" s="15" t="n">
        <x:v>210</x:v>
      </x:c>
      <x:c r="N783" s="14" t="str">
        <x:v>Maria Lamont</x:v>
      </x:c>
      <x:c r="O783" s="14" t="str">
        <x:v>nm17592130</x:v>
      </x:c>
      <x:c r="P783" s="14" t="str">
        <x:v>Librarian</x:v>
      </x:c>
      <x:c r="Q783" s="15" t="n">
        <x:v>1</x:v>
      </x:c>
      <x:c r="R783" s="14" t="str">
        <x:v>2025</x:v>
      </x:c>
      <x:c r="S783" s="14" t="n">
        <x:v>2025</x:v>
      </x:c>
      <x:c r="T783" s="14" t="n">
        <x:v>2025</x:v>
      </x:c>
      <x:c r="U783" s="14" t="str">
        <x:v>Post-2021 casting excluded</x:v>
      </x:c>
      <x:c r="V783" s="14" t="str">
        <x:v>Earliest supplied year is 2025, later than the 2021 study year.</x:v>
      </x:c>
      <x:c r="W783" s="14"/>
      <x:c r="X783" s="14" t="str">
        <x:v>Included</x:v>
      </x:c>
      <x:c r="Y783" s="14"/>
      <x:c r="Z783" s="14" t="str">
        <x:v>Professor T.docx</x:v>
      </x:c>
      <x:c r="AA783" s="14" t="str">
        <x:v>HYPERLINK is not implemented. linkLocation=https://www.imdb.com/title/tt11981644/fullcredits/, friendlyName=Open source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ITV / ITVX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7" t="e">
        <x:f>HYPERLINK("https://en.wikipedia.org/wiki/Professor_T.","Open source")</x:f>
        <x:v>HYPERLINK is not implemented. linkLocation=https://en.wikipedia.org/wiki/Professor_T., friendlyName=Open source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 t="str">
        <x:v>No established-register match</x:v>
      </x:c>
      <x:c r="AT783" s="14"/>
      <x:c r="AU783" s="14"/>
      <x:c r="AV783" s="14" t="str">
        <x:v>No established apparent-disability match</x:v>
      </x:c>
      <x:c r="AW783" s="14"/>
      <x:c r="AX783" s="14" t="str">
        <x:v>No</x:v>
      </x:c>
      <x:c r="AY783" s="14" t="str">
        <x:v>Unmatched</x:v>
      </x:c>
      <x:c r="AZ783" s="14" t="str">
        <x:v>Final supplied register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30</x:v>
      </x:c>
      <x:c r="BP783" s="14" t="str">
        <x:v>Maximum eligible IMDb cast-credit total (30), shared by 2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0.03333333333333333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4" t="str">
        <x:v>HYPERLINK is not implemented. linkLocation=https://www.imdb.com/title/tt11981644/fullcredits/, friendlyName=Open source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tt11981644|nm1477786|harman redpath</x:v>
      </x:c>
      <x:c r="B784" s="14" t="str">
        <x:v>02</x:v>
      </x:c>
      <x:c r="C784" s="14" t="str">
        <x:v>2021_IMDb_Cast_Lists_Batch_02(1).xlsx</x:v>
      </x:c>
      <x:c r="D784" s="14" t="str">
        <x:v>Professor T</x:v>
      </x:c>
      <x:c r="E784" s="14" t="n">
        <x:v>228</x:v>
      </x:c>
      <x:c r="F784" s="14" t="str">
        <x:v>Professor T</x:v>
      </x:c>
      <x:c r="G784" s="14" t="str">
        <x:v>tt11981644</x:v>
      </x:c>
      <x:c r="H784" s="14" t="n">
        <x:v>2021</x:v>
      </x:c>
      <x:c r="I784" s="14" t="n">
        <x:v>2025</x:v>
      </x:c>
      <x:c r="J784" s="14" t="str">
        <x:v>Earlier-Production Carry-In Cohort</x:v>
      </x:c>
      <x:c r="K784" s="14" t="n">
        <x:v>2021</x:v>
      </x:c>
      <x:c r="L784" s="14" t="str">
        <x:v>Available from 2021 analysis</x:v>
      </x:c>
      <x:c r="M784" s="15" t="n">
        <x:v>221</x:v>
      </x:c>
      <x:c r="N784" s="14" t="str">
        <x:v>Nicholas Asbury</x:v>
      </x:c>
      <x:c r="O784" s="14" t="str">
        <x:v>nm1477786</x:v>
      </x:c>
      <x:c r="P784" s="14" t="str">
        <x:v>Harman Redpath</x:v>
      </x:c>
      <x:c r="Q784" s="15" t="n">
        <x:v>1</x:v>
      </x:c>
      <x:c r="R784" s="14" t="str">
        <x:v>2025</x:v>
      </x:c>
      <x:c r="S784" s="14" t="n">
        <x:v>2025</x:v>
      </x:c>
      <x:c r="T784" s="14" t="n">
        <x:v>2025</x:v>
      </x:c>
      <x:c r="U784" s="14" t="str">
        <x:v>Post-2021 casting excluded</x:v>
      </x:c>
      <x:c r="V784" s="14" t="str">
        <x:v>Earliest supplied year is 2025, later than the 2021 study year.</x:v>
      </x:c>
      <x:c r="W784" s="14"/>
      <x:c r="X784" s="14" t="str">
        <x:v>Included</x:v>
      </x:c>
      <x:c r="Y784" s="14"/>
      <x:c r="Z784" s="14" t="str">
        <x:v>Professor T.docx</x:v>
      </x:c>
      <x:c r="AA784" s="14" t="str">
        <x:v>HYPERLINK is not implemented. linkLocation=https://www.imdb.com/title/tt11981644/fullcredits/, friendlyName=Open source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ITV / ITVX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7" t="e">
        <x:f>HYPERLINK("https://en.wikipedia.org/wiki/Professor_T.","Open source")</x:f>
        <x:v>HYPERLINK is not implemented. linkLocation=https://en.wikipedia.org/wiki/Professor_T., friendlyName=Open source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 t="str">
        <x:v>No established-register match</x:v>
      </x:c>
      <x:c r="AT784" s="14"/>
      <x:c r="AU784" s="14"/>
      <x:c r="AV784" s="14" t="str">
        <x:v>No established apparent-disability match</x:v>
      </x:c>
      <x:c r="AW784" s="14"/>
      <x:c r="AX784" s="14" t="str">
        <x:v>No</x:v>
      </x:c>
      <x:c r="AY784" s="14" t="str">
        <x:v>Unmatched</x:v>
      </x:c>
      <x:c r="AZ784" s="14" t="str">
        <x:v>Final supplied register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30</x:v>
      </x:c>
      <x:c r="BP784" s="14" t="str">
        <x:v>Maximum eligible IMDb cast-credit total (30), shared by 2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0.03333333333333333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4" t="str">
        <x:v>HYPERLINK is not implemented. linkLocation=https://www.imdb.com/title/tt11981644/fullcredits/, friendlyName=Open source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tt11981644|nm4510373|ophelia mcqueen</x:v>
      </x:c>
      <x:c r="B785" s="14" t="str">
        <x:v>02</x:v>
      </x:c>
      <x:c r="C785" s="14" t="str">
        <x:v>2021_IMDb_Cast_Lists_Batch_02(1).xlsx</x:v>
      </x:c>
      <x:c r="D785" s="14" t="str">
        <x:v>Professor T</x:v>
      </x:c>
      <x:c r="E785" s="14" t="n">
        <x:v>229</x:v>
      </x:c>
      <x:c r="F785" s="14" t="str">
        <x:v>Professor T</x:v>
      </x:c>
      <x:c r="G785" s="14" t="str">
        <x:v>tt11981644</x:v>
      </x:c>
      <x:c r="H785" s="14" t="n">
        <x:v>2021</x:v>
      </x:c>
      <x:c r="I785" s="14" t="n">
        <x:v>2025</x:v>
      </x:c>
      <x:c r="J785" s="14" t="str">
        <x:v>Earlier-Production Carry-In Cohort</x:v>
      </x:c>
      <x:c r="K785" s="14" t="n">
        <x:v>2021</x:v>
      </x:c>
      <x:c r="L785" s="14" t="str">
        <x:v>Available from 2021 analysis</x:v>
      </x:c>
      <x:c r="M785" s="15" t="n">
        <x:v>222</x:v>
      </x:c>
      <x:c r="N785" s="14" t="str">
        <x:v>Helena Barlow</x:v>
      </x:c>
      <x:c r="O785" s="14" t="str">
        <x:v>nm4510373</x:v>
      </x:c>
      <x:c r="P785" s="14" t="str">
        <x:v>Ophelia McQueen</x:v>
      </x:c>
      <x:c r="Q785" s="15" t="n">
        <x:v>1</x:v>
      </x:c>
      <x:c r="R785" s="14" t="str">
        <x:v>2025</x:v>
      </x:c>
      <x:c r="S785" s="14" t="n">
        <x:v>2025</x:v>
      </x:c>
      <x:c r="T785" s="14" t="n">
        <x:v>2025</x:v>
      </x:c>
      <x:c r="U785" s="14" t="str">
        <x:v>Post-2021 casting excluded</x:v>
      </x:c>
      <x:c r="V785" s="14" t="str">
        <x:v>Earliest supplied year is 2025, later than the 2021 study year.</x:v>
      </x:c>
      <x:c r="W785" s="14"/>
      <x:c r="X785" s="14" t="str">
        <x:v>Included</x:v>
      </x:c>
      <x:c r="Y785" s="14"/>
      <x:c r="Z785" s="14" t="str">
        <x:v>Professor T.docx</x:v>
      </x:c>
      <x:c r="AA785" s="14" t="str">
        <x:v>HYPERLINK is not implemented. linkLocation=https://www.imdb.com/title/tt11981644/fullcredits/, friendlyName=Open source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ITV / ITVX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7" t="e">
        <x:f>HYPERLINK("https://en.wikipedia.org/wiki/Professor_T.","Open source")</x:f>
        <x:v>HYPERLINK is not implemented. linkLocation=https://en.wikipedia.org/wiki/Professor_T., friendlyName=Open source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 t="str">
        <x:v>No established-register match</x:v>
      </x:c>
      <x:c r="AT785" s="14"/>
      <x:c r="AU785" s="14"/>
      <x:c r="AV785" s="14" t="str">
        <x:v>No established apparent-disability match</x:v>
      </x:c>
      <x:c r="AW785" s="14"/>
      <x:c r="AX785" s="14" t="str">
        <x:v>No</x:v>
      </x:c>
      <x:c r="AY785" s="14" t="str">
        <x:v>Unmatched</x:v>
      </x:c>
      <x:c r="AZ785" s="14" t="str">
        <x:v>Final supplied register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30</x:v>
      </x:c>
      <x:c r="BP785" s="14" t="str">
        <x:v>Maximum eligible IMDb cast-credit total (30), shared by 2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0.03333333333333333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4" t="str">
        <x:v>HYPERLINK is not implemented. linkLocation=https://www.imdb.com/title/tt11981644/fullcredits/, friendlyName=Open source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tt11981644|nm17086875|elderly woman 1</x:v>
      </x:c>
      <x:c r="B786" s="14" t="str">
        <x:v>02</x:v>
      </x:c>
      <x:c r="C786" s="14" t="str">
        <x:v>2021_IMDb_Cast_Lists_Batch_02(1).xlsx</x:v>
      </x:c>
      <x:c r="D786" s="14" t="str">
        <x:v>Professor T</x:v>
      </x:c>
      <x:c r="E786" s="14" t="n">
        <x:v>230</x:v>
      </x:c>
      <x:c r="F786" s="14" t="str">
        <x:v>Professor T</x:v>
      </x:c>
      <x:c r="G786" s="14" t="str">
        <x:v>tt11981644</x:v>
      </x:c>
      <x:c r="H786" s="14" t="n">
        <x:v>2021</x:v>
      </x:c>
      <x:c r="I786" s="14" t="n">
        <x:v>2025</x:v>
      </x:c>
      <x:c r="J786" s="14" t="str">
        <x:v>Earlier-Production Carry-In Cohort</x:v>
      </x:c>
      <x:c r="K786" s="14" t="n">
        <x:v>2021</x:v>
      </x:c>
      <x:c r="L786" s="14" t="str">
        <x:v>Available from 2021 analysis</x:v>
      </x:c>
      <x:c r="M786" s="15" t="n">
        <x:v>223</x:v>
      </x:c>
      <x:c r="N786" s="14" t="str">
        <x:v>Marion Tomkins</x:v>
      </x:c>
      <x:c r="O786" s="14" t="str">
        <x:v>nm17086875</x:v>
      </x:c>
      <x:c r="P786" s="14" t="str">
        <x:v>Elderly Woman 1</x:v>
      </x:c>
      <x:c r="Q786" s="15" t="n">
        <x:v>1</x:v>
      </x:c>
      <x:c r="R786" s="14" t="str">
        <x:v>2025</x:v>
      </x:c>
      <x:c r="S786" s="14" t="n">
        <x:v>2025</x:v>
      </x:c>
      <x:c r="T786" s="14" t="n">
        <x:v>2025</x:v>
      </x:c>
      <x:c r="U786" s="14" t="str">
        <x:v>Post-2021 casting excluded</x:v>
      </x:c>
      <x:c r="V786" s="14" t="str">
        <x:v>Earliest supplied year is 2025, later than the 2021 study year.</x:v>
      </x:c>
      <x:c r="W786" s="14"/>
      <x:c r="X786" s="14" t="str">
        <x:v>Included</x:v>
      </x:c>
      <x:c r="Y786" s="14"/>
      <x:c r="Z786" s="14" t="str">
        <x:v>Professor T.docx</x:v>
      </x:c>
      <x:c r="AA786" s="14" t="str">
        <x:v>HYPERLINK is not implemented. linkLocation=https://www.imdb.com/title/tt11981644/fullcredits/, friendlyName=Open source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ITV / ITVX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7" t="e">
        <x:f>HYPERLINK("https://en.wikipedia.org/wiki/Professor_T.","Open source")</x:f>
        <x:v>HYPERLINK is not implemented. linkLocation=https://en.wikipedia.org/wiki/Professor_T., friendlyName=Open source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 t="str">
        <x:v>No established-register match</x:v>
      </x:c>
      <x:c r="AT786" s="14"/>
      <x:c r="AU786" s="14"/>
      <x:c r="AV786" s="14" t="str">
        <x:v>No established apparent-disability match</x:v>
      </x:c>
      <x:c r="AW786" s="14"/>
      <x:c r="AX786" s="14" t="str">
        <x:v>No</x:v>
      </x:c>
      <x:c r="AY786" s="14" t="str">
        <x:v>Unmatched</x:v>
      </x:c>
      <x:c r="AZ786" s="14" t="str">
        <x:v>Final supplied register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30</x:v>
      </x:c>
      <x:c r="BP786" s="14" t="str">
        <x:v>Maximum eligible IMDb cast-credit total (30), shared by 2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0.03333333333333333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4" t="str">
        <x:v>HYPERLINK is not implemented. linkLocation=https://www.imdb.com/title/tt11981644/fullcredits/, friendlyName=Open source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tt11981644|nm17086874|elderly woman 2</x:v>
      </x:c>
      <x:c r="B787" s="14" t="str">
        <x:v>02</x:v>
      </x:c>
      <x:c r="C787" s="14" t="str">
        <x:v>2021_IMDb_Cast_Lists_Batch_02(1).xlsx</x:v>
      </x:c>
      <x:c r="D787" s="14" t="str">
        <x:v>Professor T</x:v>
      </x:c>
      <x:c r="E787" s="14" t="n">
        <x:v>238</x:v>
      </x:c>
      <x:c r="F787" s="14" t="str">
        <x:v>Professor T</x:v>
      </x:c>
      <x:c r="G787" s="14" t="str">
        <x:v>tt11981644</x:v>
      </x:c>
      <x:c r="H787" s="14" t="n">
        <x:v>2021</x:v>
      </x:c>
      <x:c r="I787" s="14" t="n">
        <x:v>2025</x:v>
      </x:c>
      <x:c r="J787" s="14" t="str">
        <x:v>Earlier-Production Carry-In Cohort</x:v>
      </x:c>
      <x:c r="K787" s="14" t="n">
        <x:v>2021</x:v>
      </x:c>
      <x:c r="L787" s="14" t="str">
        <x:v>Available from 2021 analysis</x:v>
      </x:c>
      <x:c r="M787" s="15" t="n">
        <x:v>231</x:v>
      </x:c>
      <x:c r="N787" s="14" t="str">
        <x:v>Catriona White</x:v>
      </x:c>
      <x:c r="O787" s="14" t="str">
        <x:v>nm17086874</x:v>
      </x:c>
      <x:c r="P787" s="14" t="str">
        <x:v>Elderly Woman 2</x:v>
      </x:c>
      <x:c r="Q787" s="15" t="n">
        <x:v>1</x:v>
      </x:c>
      <x:c r="R787" s="14" t="str">
        <x:v>2025</x:v>
      </x:c>
      <x:c r="S787" s="14" t="n">
        <x:v>2025</x:v>
      </x:c>
      <x:c r="T787" s="14" t="n">
        <x:v>2025</x:v>
      </x:c>
      <x:c r="U787" s="14" t="str">
        <x:v>Post-2021 casting excluded</x:v>
      </x:c>
      <x:c r="V787" s="14" t="str">
        <x:v>Earliest supplied year is 2025, later than the 2021 study year.</x:v>
      </x:c>
      <x:c r="W787" s="14"/>
      <x:c r="X787" s="14" t="str">
        <x:v>Included</x:v>
      </x:c>
      <x:c r="Y787" s="14"/>
      <x:c r="Z787" s="14" t="str">
        <x:v>Professor T.docx</x:v>
      </x:c>
      <x:c r="AA787" s="14" t="str">
        <x:v>HYPERLINK is not implemented. linkLocation=https://www.imdb.com/title/tt11981644/fullcredits/, friendlyName=Open source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ITV / ITVX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7" t="e">
        <x:f>HYPERLINK("https://en.wikipedia.org/wiki/Professor_T.","Open source")</x:f>
        <x:v>HYPERLINK is not implemented. linkLocation=https://en.wikipedia.org/wiki/Professor_T., friendlyName=Open source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 t="str">
        <x:v>No established-register match</x:v>
      </x:c>
      <x:c r="AT787" s="14"/>
      <x:c r="AU787" s="14"/>
      <x:c r="AV787" s="14" t="str">
        <x:v>No established apparent-disability match</x:v>
      </x:c>
      <x:c r="AW787" s="14"/>
      <x:c r="AX787" s="14" t="str">
        <x:v>No</x:v>
      </x:c>
      <x:c r="AY787" s="14" t="str">
        <x:v>Unmatched</x:v>
      </x:c>
      <x:c r="AZ787" s="14" t="str">
        <x:v>Final supplied register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30</x:v>
      </x:c>
      <x:c r="BP787" s="14" t="str">
        <x:v>Maximum eligible IMDb cast-credit total (30), shared by 2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0.03333333333333333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4" t="str">
        <x:v>HYPERLINK is not implemented. linkLocation=https://www.imdb.com/title/tt11981644/fullcredits/, friendlyName=Open source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tt11981644|nm6107587|jill finch's lawyer</x:v>
      </x:c>
      <x:c r="B788" s="14" t="str">
        <x:v>02</x:v>
      </x:c>
      <x:c r="C788" s="14" t="str">
        <x:v>2021_IMDb_Cast_Lists_Batch_02(1).xlsx</x:v>
      </x:c>
      <x:c r="D788" s="14" t="str">
        <x:v>Professor T</x:v>
      </x:c>
      <x:c r="E788" s="14" t="n">
        <x:v>243</x:v>
      </x:c>
      <x:c r="F788" s="14" t="str">
        <x:v>Professor T</x:v>
      </x:c>
      <x:c r="G788" s="14" t="str">
        <x:v>tt11981644</x:v>
      </x:c>
      <x:c r="H788" s="14" t="n">
        <x:v>2021</x:v>
      </x:c>
      <x:c r="I788" s="14" t="n">
        <x:v>2025</x:v>
      </x:c>
      <x:c r="J788" s="14" t="str">
        <x:v>Earlier-Production Carry-In Cohort</x:v>
      </x:c>
      <x:c r="K788" s="14" t="n">
        <x:v>2021</x:v>
      </x:c>
      <x:c r="L788" s="14" t="str">
        <x:v>Available from 2021 analysis</x:v>
      </x:c>
      <x:c r="M788" s="15" t="n">
        <x:v>236</x:v>
      </x:c>
      <x:c r="N788" s="14" t="str">
        <x:v>Melina Theo</x:v>
      </x:c>
      <x:c r="O788" s="14" t="str">
        <x:v>nm6107587</x:v>
      </x:c>
      <x:c r="P788" s="14" t="str">
        <x:v>Jill Finch's Lawyer</x:v>
      </x:c>
      <x:c r="Q788" s="15" t="n">
        <x:v>1</x:v>
      </x:c>
      <x:c r="R788" s="14" t="str">
        <x:v>2025</x:v>
      </x:c>
      <x:c r="S788" s="14" t="n">
        <x:v>2025</x:v>
      </x:c>
      <x:c r="T788" s="14" t="n">
        <x:v>2025</x:v>
      </x:c>
      <x:c r="U788" s="14" t="str">
        <x:v>Post-2021 casting excluded</x:v>
      </x:c>
      <x:c r="V788" s="14" t="str">
        <x:v>Earliest supplied year is 2025, later than the 2021 study year.</x:v>
      </x:c>
      <x:c r="W788" s="14"/>
      <x:c r="X788" s="14" t="str">
        <x:v>Included</x:v>
      </x:c>
      <x:c r="Y788" s="14"/>
      <x:c r="Z788" s="14" t="str">
        <x:v>Professor T.docx</x:v>
      </x:c>
      <x:c r="AA788" s="14" t="str">
        <x:v>HYPERLINK is not implemented. linkLocation=https://www.imdb.com/title/tt11981644/fullcredits/, friendlyName=Open source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ITV / ITVX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7" t="e">
        <x:f>HYPERLINK("https://en.wikipedia.org/wiki/Professor_T.","Open source")</x:f>
        <x:v>HYPERLINK is not implemented. linkLocation=https://en.wikipedia.org/wiki/Professor_T., friendlyName=Open source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 t="str">
        <x:v>No established-register match</x:v>
      </x:c>
      <x:c r="AT788" s="14"/>
      <x:c r="AU788" s="14"/>
      <x:c r="AV788" s="14" t="str">
        <x:v>No established apparent-disability match</x:v>
      </x:c>
      <x:c r="AW788" s="14"/>
      <x:c r="AX788" s="14" t="str">
        <x:v>No</x:v>
      </x:c>
      <x:c r="AY788" s="14" t="str">
        <x:v>Unmatched</x:v>
      </x:c>
      <x:c r="AZ788" s="14" t="str">
        <x:v>Final supplied register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30</x:v>
      </x:c>
      <x:c r="BP788" s="14" t="str">
        <x:v>Maximum eligible IMDb cast-credit total (30), shared by 2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0.03333333333333333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4" t="str">
        <x:v>HYPERLINK is not implemented. linkLocation=https://www.imdb.com/title/tt11981644/fullcredits/, friendlyName=Open source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tt11981644|nm12284911|solicitor</x:v>
      </x:c>
      <x:c r="B789" s="14" t="str">
        <x:v>02</x:v>
      </x:c>
      <x:c r="C789" s="14" t="str">
        <x:v>2021_IMDb_Cast_Lists_Batch_02(1).xlsx</x:v>
      </x:c>
      <x:c r="D789" s="14" t="str">
        <x:v>Professor T</x:v>
      </x:c>
      <x:c r="E789" s="14" t="n">
        <x:v>246</x:v>
      </x:c>
      <x:c r="F789" s="14" t="str">
        <x:v>Professor T</x:v>
      </x:c>
      <x:c r="G789" s="14" t="str">
        <x:v>tt11981644</x:v>
      </x:c>
      <x:c r="H789" s="14" t="n">
        <x:v>2021</x:v>
      </x:c>
      <x:c r="I789" s="14" t="n">
        <x:v>2025</x:v>
      </x:c>
      <x:c r="J789" s="14" t="str">
        <x:v>Earlier-Production Carry-In Cohort</x:v>
      </x:c>
      <x:c r="K789" s="14" t="n">
        <x:v>2021</x:v>
      </x:c>
      <x:c r="L789" s="14" t="str">
        <x:v>Available from 2021 analysis</x:v>
      </x:c>
      <x:c r="M789" s="15" t="n">
        <x:v>239</x:v>
      </x:c>
      <x:c r="N789" s="14" t="str">
        <x:v>Bernard Gallant</x:v>
      </x:c>
      <x:c r="O789" s="14" t="str">
        <x:v>nm12284911</x:v>
      </x:c>
      <x:c r="P789" s="14" t="str">
        <x:v>Solicitor</x:v>
      </x:c>
      <x:c r="Q789" s="15" t="n">
        <x:v>1</x:v>
      </x:c>
      <x:c r="R789" s="14" t="str">
        <x:v>2025</x:v>
      </x:c>
      <x:c r="S789" s="14" t="n">
        <x:v>2025</x:v>
      </x:c>
      <x:c r="T789" s="14" t="n">
        <x:v>2025</x:v>
      </x:c>
      <x:c r="U789" s="14" t="str">
        <x:v>Post-2021 casting excluded</x:v>
      </x:c>
      <x:c r="V789" s="14" t="str">
        <x:v>Earliest supplied year is 2025, later than the 2021 study year.</x:v>
      </x:c>
      <x:c r="W789" s="14"/>
      <x:c r="X789" s="14" t="str">
        <x:v>Included</x:v>
      </x:c>
      <x:c r="Y789" s="14"/>
      <x:c r="Z789" s="14" t="str">
        <x:v>Professor T.docx</x:v>
      </x:c>
      <x:c r="AA789" s="14" t="str">
        <x:v>HYPERLINK is not implemented. linkLocation=https://www.imdb.com/title/tt11981644/fullcredits/, friendlyName=Open source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ITV / ITVX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7" t="e">
        <x:f>HYPERLINK("https://en.wikipedia.org/wiki/Professor_T.","Open source")</x:f>
        <x:v>HYPERLINK is not implemented. linkLocation=https://en.wikipedia.org/wiki/Professor_T., friendlyName=Open source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 t="str">
        <x:v>No established-register match</x:v>
      </x:c>
      <x:c r="AT789" s="14"/>
      <x:c r="AU789" s="14"/>
      <x:c r="AV789" s="14" t="str">
        <x:v>No established apparent-disability match</x:v>
      </x:c>
      <x:c r="AW789" s="14"/>
      <x:c r="AX789" s="14" t="str">
        <x:v>No</x:v>
      </x:c>
      <x:c r="AY789" s="14" t="str">
        <x:v>Unmatched</x:v>
      </x:c>
      <x:c r="AZ789" s="14" t="str">
        <x:v>Final supplied register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30</x:v>
      </x:c>
      <x:c r="BP789" s="14" t="str">
        <x:v>Maximum eligible IMDb cast-credit total (30), shared by 2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0.03333333333333333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4" t="str">
        <x:v>HYPERLINK is not implemented. linkLocation=https://www.imdb.com/title/tt11981644/fullcredits/, friendlyName=Open source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tt11981644|nm15782750|poppy sommers</x:v>
      </x:c>
      <x:c r="B790" s="14" t="str">
        <x:v>02</x:v>
      </x:c>
      <x:c r="C790" s="14" t="str">
        <x:v>2021_IMDb_Cast_Lists_Batch_02(1).xlsx</x:v>
      </x:c>
      <x:c r="D790" s="14" t="str">
        <x:v>Professor T</x:v>
      </x:c>
      <x:c r="E790" s="14" t="n">
        <x:v>247</x:v>
      </x:c>
      <x:c r="F790" s="14" t="str">
        <x:v>Professor T</x:v>
      </x:c>
      <x:c r="G790" s="14" t="str">
        <x:v>tt11981644</x:v>
      </x:c>
      <x:c r="H790" s="14" t="n">
        <x:v>2021</x:v>
      </x:c>
      <x:c r="I790" s="14" t="n">
        <x:v>2025</x:v>
      </x:c>
      <x:c r="J790" s="14" t="str">
        <x:v>Earlier-Production Carry-In Cohort</x:v>
      </x:c>
      <x:c r="K790" s="14" t="n">
        <x:v>2021</x:v>
      </x:c>
      <x:c r="L790" s="14" t="str">
        <x:v>Available from 2021 analysis</x:v>
      </x:c>
      <x:c r="M790" s="15" t="n">
        <x:v>240</x:v>
      </x:c>
      <x:c r="N790" s="14" t="str">
        <x:v>Sam Michiels</x:v>
      </x:c>
      <x:c r="O790" s="14" t="str">
        <x:v>nm15782750</x:v>
      </x:c>
      <x:c r="P790" s="14" t="str">
        <x:v>Poppy Sommers</x:v>
      </x:c>
      <x:c r="Q790" s="15" t="n">
        <x:v>1</x:v>
      </x:c>
      <x:c r="R790" s="14" t="str">
        <x:v>2025</x:v>
      </x:c>
      <x:c r="S790" s="14" t="n">
        <x:v>2025</x:v>
      </x:c>
      <x:c r="T790" s="14" t="n">
        <x:v>2025</x:v>
      </x:c>
      <x:c r="U790" s="14" t="str">
        <x:v>Post-2021 casting excluded</x:v>
      </x:c>
      <x:c r="V790" s="14" t="str">
        <x:v>Earliest supplied year is 2025, later than the 2021 study year.</x:v>
      </x:c>
      <x:c r="W790" s="14"/>
      <x:c r="X790" s="14" t="str">
        <x:v>Included</x:v>
      </x:c>
      <x:c r="Y790" s="14"/>
      <x:c r="Z790" s="14" t="str">
        <x:v>Professor T.docx</x:v>
      </x:c>
      <x:c r="AA790" s="14" t="str">
        <x:v>HYPERLINK is not implemented. linkLocation=https://www.imdb.com/title/tt11981644/fullcredits/, friendlyName=Open source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ITV / ITVX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7" t="e">
        <x:f>HYPERLINK("https://en.wikipedia.org/wiki/Professor_T.","Open source")</x:f>
        <x:v>HYPERLINK is not implemented. linkLocation=https://en.wikipedia.org/wiki/Professor_T., friendlyName=Open source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 t="str">
        <x:v>No established-register match</x:v>
      </x:c>
      <x:c r="AT790" s="14"/>
      <x:c r="AU790" s="14"/>
      <x:c r="AV790" s="14" t="str">
        <x:v>No established apparent-disability match</x:v>
      </x:c>
      <x:c r="AW790" s="14"/>
      <x:c r="AX790" s="14" t="str">
        <x:v>No</x:v>
      </x:c>
      <x:c r="AY790" s="14" t="str">
        <x:v>Unmatched</x:v>
      </x:c>
      <x:c r="AZ790" s="14" t="str">
        <x:v>Final supplied register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30</x:v>
      </x:c>
      <x:c r="BP790" s="14" t="str">
        <x:v>Maximum eligible IMDb cast-credit total (30), shared by 2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0.03333333333333333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4" t="str">
        <x:v>HYPERLINK is not implemented. linkLocation=https://www.imdb.com/title/tt11981644/fullcredits/, friendlyName=Open source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tt11981644|nm7501456|september gardens assistant</x:v>
      </x:c>
      <x:c r="B791" s="14" t="str">
        <x:v>02</x:v>
      </x:c>
      <x:c r="C791" s="14" t="str">
        <x:v>2021_IMDb_Cast_Lists_Batch_02(1).xlsx</x:v>
      </x:c>
      <x:c r="D791" s="14" t="str">
        <x:v>Professor T</x:v>
      </x:c>
      <x:c r="E791" s="14" t="n">
        <x:v>250</x:v>
      </x:c>
      <x:c r="F791" s="14" t="str">
        <x:v>Professor T</x:v>
      </x:c>
      <x:c r="G791" s="14" t="str">
        <x:v>tt11981644</x:v>
      </x:c>
      <x:c r="H791" s="14" t="n">
        <x:v>2021</x:v>
      </x:c>
      <x:c r="I791" s="14" t="n">
        <x:v>2025</x:v>
      </x:c>
      <x:c r="J791" s="14" t="str">
        <x:v>Earlier-Production Carry-In Cohort</x:v>
      </x:c>
      <x:c r="K791" s="14" t="n">
        <x:v>2021</x:v>
      </x:c>
      <x:c r="L791" s="14" t="str">
        <x:v>Available from 2021 analysis</x:v>
      </x:c>
      <x:c r="M791" s="15" t="n">
        <x:v>243</x:v>
      </x:c>
      <x:c r="N791" s="14" t="str">
        <x:v>Carina de Vroome</x:v>
      </x:c>
      <x:c r="O791" s="14" t="str">
        <x:v>nm7501456</x:v>
      </x:c>
      <x:c r="P791" s="14" t="str">
        <x:v>September Gardens assistant</x:v>
      </x:c>
      <x:c r="Q791" s="15" t="n">
        <x:v>1</x:v>
      </x:c>
      <x:c r="R791" s="14" t="str">
        <x:v>2025</x:v>
      </x:c>
      <x:c r="S791" s="14" t="n">
        <x:v>2025</x:v>
      </x:c>
      <x:c r="T791" s="14" t="n">
        <x:v>2025</x:v>
      </x:c>
      <x:c r="U791" s="14" t="str">
        <x:v>Post-2021 casting excluded</x:v>
      </x:c>
      <x:c r="V791" s="14" t="str">
        <x:v>Earliest supplied year is 2025, later than the 2021 study year.</x:v>
      </x:c>
      <x:c r="W791" s="14"/>
      <x:c r="X791" s="14" t="str">
        <x:v>Included</x:v>
      </x:c>
      <x:c r="Y791" s="14"/>
      <x:c r="Z791" s="14" t="str">
        <x:v>Professor T.docx</x:v>
      </x:c>
      <x:c r="AA791" s="14" t="str">
        <x:v>HYPERLINK is not implemented. linkLocation=https://www.imdb.com/title/tt11981644/fullcredits/, friendlyName=Open source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ITV / ITVX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7" t="e">
        <x:f>HYPERLINK("https://en.wikipedia.org/wiki/Professor_T.","Open source")</x:f>
        <x:v>HYPERLINK is not implemented. linkLocation=https://en.wikipedia.org/wiki/Professor_T., friendlyName=Open source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 t="str">
        <x:v>No established-register match</x:v>
      </x:c>
      <x:c r="AT791" s="14"/>
      <x:c r="AU791" s="14"/>
      <x:c r="AV791" s="14" t="str">
        <x:v>No established apparent-disability match</x:v>
      </x:c>
      <x:c r="AW791" s="14"/>
      <x:c r="AX791" s="14" t="str">
        <x:v>No</x:v>
      </x:c>
      <x:c r="AY791" s="14" t="str">
        <x:v>Unmatched</x:v>
      </x:c>
      <x:c r="AZ791" s="14" t="str">
        <x:v>Final supplied register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30</x:v>
      </x:c>
      <x:c r="BP791" s="14" t="str">
        <x:v>Maximum eligible IMDb cast-credit total (30), shared by 2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0.03333333333333333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4" t="str">
        <x:v>HYPERLINK is not implemented. linkLocation=https://www.imdb.com/title/tt11981644/fullcredits/, friendlyName=Open source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tt11981644|nm0774160|alaric goldberg</x:v>
      </x:c>
      <x:c r="B792" s="14" t="str">
        <x:v>02</x:v>
      </x:c>
      <x:c r="C792" s="14" t="str">
        <x:v>2021_IMDb_Cast_Lists_Batch_02(1).xlsx</x:v>
      </x:c>
      <x:c r="D792" s="14" t="str">
        <x:v>Professor T</x:v>
      </x:c>
      <x:c r="E792" s="14" t="n">
        <x:v>255</x:v>
      </x:c>
      <x:c r="F792" s="14" t="str">
        <x:v>Professor T</x:v>
      </x:c>
      <x:c r="G792" s="14" t="str">
        <x:v>tt11981644</x:v>
      </x:c>
      <x:c r="H792" s="14" t="n">
        <x:v>2021</x:v>
      </x:c>
      <x:c r="I792" s="14" t="n">
        <x:v>2025</x:v>
      </x:c>
      <x:c r="J792" s="14" t="str">
        <x:v>Earlier-Production Carry-In Cohort</x:v>
      </x:c>
      <x:c r="K792" s="14" t="n">
        <x:v>2021</x:v>
      </x:c>
      <x:c r="L792" s="14" t="str">
        <x:v>Available from 2021 analysis</x:v>
      </x:c>
      <x:c r="M792" s="15" t="n">
        <x:v>248</x:v>
      </x:c>
      <x:c r="N792" s="14" t="str">
        <x:v>Jobst Schnibbe</x:v>
      </x:c>
      <x:c r="O792" s="14" t="str">
        <x:v>nm0774160</x:v>
      </x:c>
      <x:c r="P792" s="14" t="str">
        <x:v>Alaric Goldberg</x:v>
      </x:c>
      <x:c r="Q792" s="15" t="n">
        <x:v>1</x:v>
      </x:c>
      <x:c r="R792" s="14" t="str">
        <x:v>2025</x:v>
      </x:c>
      <x:c r="S792" s="14" t="n">
        <x:v>2025</x:v>
      </x:c>
      <x:c r="T792" s="14" t="n">
        <x:v>2025</x:v>
      </x:c>
      <x:c r="U792" s="14" t="str">
        <x:v>Post-2021 casting excluded</x:v>
      </x:c>
      <x:c r="V792" s="14" t="str">
        <x:v>Earliest supplied year is 2025, later than the 2021 study year.</x:v>
      </x:c>
      <x:c r="W792" s="14"/>
      <x:c r="X792" s="14" t="str">
        <x:v>Included</x:v>
      </x:c>
      <x:c r="Y792" s="14"/>
      <x:c r="Z792" s="14" t="str">
        <x:v>Professor T.docx</x:v>
      </x:c>
      <x:c r="AA792" s="14" t="str">
        <x:v>HYPERLINK is not implemented. linkLocation=https://www.imdb.com/title/tt11981644/fullcredits/, friendlyName=Open source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ITV / ITVX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7" t="e">
        <x:f>HYPERLINK("https://en.wikipedia.org/wiki/Professor_T.","Open source")</x:f>
        <x:v>HYPERLINK is not implemented. linkLocation=https://en.wikipedia.org/wiki/Professor_T., friendlyName=Open source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 t="str">
        <x:v>No established-register match</x:v>
      </x:c>
      <x:c r="AT792" s="14"/>
      <x:c r="AU792" s="14"/>
      <x:c r="AV792" s="14" t="str">
        <x:v>No established apparent-disability match</x:v>
      </x:c>
      <x:c r="AW792" s="14"/>
      <x:c r="AX792" s="14" t="str">
        <x:v>No</x:v>
      </x:c>
      <x:c r="AY792" s="14" t="str">
        <x:v>Unmatched</x:v>
      </x:c>
      <x:c r="AZ792" s="14" t="str">
        <x:v>Final supplied register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30</x:v>
      </x:c>
      <x:c r="BP792" s="14" t="str">
        <x:v>Maximum eligible IMDb cast-credit total (30), shared by 2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0.03333333333333333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4" t="str">
        <x:v>HYPERLINK is not implemented. linkLocation=https://www.imdb.com/title/tt11981644/fullcredits/, friendlyName=Open source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tt11981644|nm14569347|maddie</x:v>
      </x:c>
      <x:c r="B793" s="14" t="str">
        <x:v>02</x:v>
      </x:c>
      <x:c r="C793" s="14" t="str">
        <x:v>2021_IMDb_Cast_Lists_Batch_02(1).xlsx</x:v>
      </x:c>
      <x:c r="D793" s="14" t="str">
        <x:v>Professor T</x:v>
      </x:c>
      <x:c r="E793" s="14" t="n">
        <x:v>260</x:v>
      </x:c>
      <x:c r="F793" s="14" t="str">
        <x:v>Professor T</x:v>
      </x:c>
      <x:c r="G793" s="14" t="str">
        <x:v>tt11981644</x:v>
      </x:c>
      <x:c r="H793" s="14" t="n">
        <x:v>2021</x:v>
      </x:c>
      <x:c r="I793" s="14" t="n">
        <x:v>2025</x:v>
      </x:c>
      <x:c r="J793" s="14" t="str">
        <x:v>Earlier-Production Carry-In Cohort</x:v>
      </x:c>
      <x:c r="K793" s="14" t="n">
        <x:v>2021</x:v>
      </x:c>
      <x:c r="L793" s="14" t="str">
        <x:v>Available from 2021 analysis</x:v>
      </x:c>
      <x:c r="M793" s="15" t="n">
        <x:v>253</x:v>
      </x:c>
      <x:c r="N793" s="14" t="str">
        <x:v>Samantha Fadahunsi</x:v>
      </x:c>
      <x:c r="O793" s="14" t="str">
        <x:v>nm14569347</x:v>
      </x:c>
      <x:c r="P793" s="14" t="str">
        <x:v>Maddie</x:v>
      </x:c>
      <x:c r="Q793" s="15" t="n">
        <x:v>1</x:v>
      </x:c>
      <x:c r="R793" s="14" t="str">
        <x:v>2025</x:v>
      </x:c>
      <x:c r="S793" s="14" t="n">
        <x:v>2025</x:v>
      </x:c>
      <x:c r="T793" s="14" t="n">
        <x:v>2025</x:v>
      </x:c>
      <x:c r="U793" s="14" t="str">
        <x:v>Post-2021 casting excluded</x:v>
      </x:c>
      <x:c r="V793" s="14" t="str">
        <x:v>Earliest supplied year is 2025, later than the 2021 study year.</x:v>
      </x:c>
      <x:c r="W793" s="14"/>
      <x:c r="X793" s="14" t="str">
        <x:v>Included</x:v>
      </x:c>
      <x:c r="Y793" s="14"/>
      <x:c r="Z793" s="14" t="str">
        <x:v>Professor T.docx</x:v>
      </x:c>
      <x:c r="AA793" s="14" t="str">
        <x:v>HYPERLINK is not implemented. linkLocation=https://www.imdb.com/title/tt11981644/fullcredits/, friendlyName=Open source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ITV / ITVX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7" t="e">
        <x:f>HYPERLINK("https://en.wikipedia.org/wiki/Professor_T.","Open source")</x:f>
        <x:v>HYPERLINK is not implemented. linkLocation=https://en.wikipedia.org/wiki/Professor_T., friendlyName=Open source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 t="str">
        <x:v>No established-register match</x:v>
      </x:c>
      <x:c r="AT793" s="14"/>
      <x:c r="AU793" s="14"/>
      <x:c r="AV793" s="14" t="str">
        <x:v>No established apparent-disability match</x:v>
      </x:c>
      <x:c r="AW793" s="14"/>
      <x:c r="AX793" s="14" t="str">
        <x:v>No</x:v>
      </x:c>
      <x:c r="AY793" s="14" t="str">
        <x:v>Unmatched</x:v>
      </x:c>
      <x:c r="AZ793" s="14" t="str">
        <x:v>Final supplied register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30</x:v>
      </x:c>
      <x:c r="BP793" s="14" t="str">
        <x:v>Maximum eligible IMDb cast-credit total (30), shared by 2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0.03333333333333333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4" t="str">
        <x:v>HYPERLINK is not implemented. linkLocation=https://www.imdb.com/title/tt11981644/fullcredits/, friendlyName=Open source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tt15499118|nm0014735|aurielle alfonse</x:v>
      </x:c>
      <x:c r="B794" s="14" t="str">
        <x:v>03</x:v>
      </x:c>
      <x:c r="C794" s="14" t="str">
        <x:v>2021_IMDb_Cast_Lists_Batch_03(1).xlsx</x:v>
      </x:c>
      <x:c r="D794" s="14" t="str">
        <x:v>The Madame Blanc Mysteries</x:v>
      </x:c>
      <x:c r="E794" s="14" t="n">
        <x:v>36</x:v>
      </x:c>
      <x:c r="F794" s="14" t="str">
        <x:v>The Madame Blanc Mysteries</x:v>
      </x:c>
      <x:c r="G794" s="14" t="str">
        <x:v>tt15499118</x:v>
      </x:c>
      <x:c r="H794" s="14" t="n">
        <x:v>2021</x:v>
      </x:c>
      <x:c r="I794" s="14" t="n">
        <x:v>2025</x:v>
      </x:c>
      <x:c r="J794" s="14" t="str">
        <x:v>Earlier-Production Carry-In Cohort</x:v>
      </x:c>
      <x:c r="K794" s="14" t="n">
        <x:v>2021</x:v>
      </x:c>
      <x:c r="L794" s="14" t="str">
        <x:v>Available from 2021 analysis</x:v>
      </x:c>
      <x:c r="M794" s="15" t="n">
        <x:v>29</x:v>
      </x:c>
      <x:c r="N794" s="14" t="str">
        <x:v>Kacey Ainsworth</x:v>
      </x:c>
      <x:c r="O794" s="14" t="str">
        <x:v>nm0014735</x:v>
      </x:c>
      <x:c r="P794" s="14" t="str">
        <x:v>Aurielle Alfonse</x:v>
      </x:c>
      <x:c r="Q794" s="15" t="n">
        <x:v>1</x:v>
      </x:c>
      <x:c r="R794" s="14" t="str">
        <x:v>2025</x:v>
      </x:c>
      <x:c r="S794" s="14" t="n">
        <x:v>2025</x:v>
      </x:c>
      <x:c r="T794" s="14" t="n">
        <x:v>2025</x:v>
      </x:c>
      <x:c r="U794" s="14" t="str">
        <x:v>Post-2021 casting excluded</x:v>
      </x:c>
      <x:c r="V794" s="14" t="str">
        <x:v>Earliest supplied year is 2025, later than the 2021 study year.</x:v>
      </x:c>
      <x:c r="W794" s="14"/>
      <x:c r="X794" s="14" t="str">
        <x:v>Included</x:v>
      </x:c>
      <x:c r="Y794" s="14"/>
      <x:c r="Z794" s="14" t="str">
        <x:v>The Madame Blanc Mysteries.docx</x:v>
      </x:c>
      <x:c r="AA794" s="14" t="str">
        <x:v>HYPERLINK is not implemented. linkLocation=https://www.imdb.com/title/tt15499118/fullcredits/, friendlyName=Open source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Channel 5 / 5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 t="str">
        <x:v>No established-register match</x:v>
      </x:c>
      <x:c r="AT794" s="14"/>
      <x:c r="AU794" s="14"/>
      <x:c r="AV794" s="14" t="str">
        <x:v>No established apparent-disability match</x:v>
      </x:c>
      <x:c r="AW794" s="14"/>
      <x:c r="AX794" s="14" t="str">
        <x:v>No</x:v>
      </x:c>
      <x:c r="AY794" s="14" t="str">
        <x:v>Unmatched</x:v>
      </x:c>
      <x:c r="AZ794" s="14" t="str">
        <x:v>Final supplied register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28</x:v>
      </x:c>
      <x:c r="BP794" s="14" t="str">
        <x:v>Maximum eligible IMDb cast-credit total (28),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0.03571428571428571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4" t="str">
        <x:v>HYPERLINK is not implemented. linkLocation=https://www.imdb.com/title/tt15499118/fullcredits/, friendlyName=Open source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tt15499118|nm9131964|vinnie</x:v>
      </x:c>
      <x:c r="B795" s="14" t="str">
        <x:v>03</x:v>
      </x:c>
      <x:c r="C795" s="14" t="str">
        <x:v>2021_IMDb_Cast_Lists_Batch_03(1).xlsx</x:v>
      </x:c>
      <x:c r="D795" s="14" t="str">
        <x:v>The Madame Blanc Mysteries</x:v>
      </x:c>
      <x:c r="E795" s="14" t="n">
        <x:v>37</x:v>
      </x:c>
      <x:c r="F795" s="14" t="str">
        <x:v>The Madame Blanc Mysteries</x:v>
      </x:c>
      <x:c r="G795" s="14" t="str">
        <x:v>tt15499118</x:v>
      </x:c>
      <x:c r="H795" s="14" t="n">
        <x:v>2021</x:v>
      </x:c>
      <x:c r="I795" s="14" t="n">
        <x:v>2025</x:v>
      </x:c>
      <x:c r="J795" s="14" t="str">
        <x:v>Earlier-Production Carry-In Cohort</x:v>
      </x:c>
      <x:c r="K795" s="14" t="n">
        <x:v>2021</x:v>
      </x:c>
      <x:c r="L795" s="14" t="str">
        <x:v>Available from 2021 analysis</x:v>
      </x:c>
      <x:c r="M795" s="15" t="n">
        <x:v>30</x:v>
      </x:c>
      <x:c r="N795" s="14" t="str">
        <x:v>Atilla Akinci</x:v>
      </x:c>
      <x:c r="O795" s="14" t="str">
        <x:v>nm9131964</x:v>
      </x:c>
      <x:c r="P795" s="14" t="str">
        <x:v>Vinnie</x:v>
      </x:c>
      <x:c r="Q795" s="15" t="n">
        <x:v>1</x:v>
      </x:c>
      <x:c r="R795" s="14" t="str">
        <x:v>2025</x:v>
      </x:c>
      <x:c r="S795" s="14" t="n">
        <x:v>2025</x:v>
      </x:c>
      <x:c r="T795" s="14" t="n">
        <x:v>2025</x:v>
      </x:c>
      <x:c r="U795" s="14" t="str">
        <x:v>Post-2021 casting excluded</x:v>
      </x:c>
      <x:c r="V795" s="14" t="str">
        <x:v>Earliest supplied year is 2025, later than the 2021 study year.</x:v>
      </x:c>
      <x:c r="W795" s="14"/>
      <x:c r="X795" s="14" t="str">
        <x:v>Included</x:v>
      </x:c>
      <x:c r="Y795" s="14"/>
      <x:c r="Z795" s="14" t="str">
        <x:v>The Madame Blanc Mysteries.docx</x:v>
      </x:c>
      <x:c r="AA795" s="14" t="str">
        <x:v>HYPERLINK is not implemented. linkLocation=https://www.imdb.com/title/tt15499118/fullcredits/, friendlyName=Open source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Channel 5 / 5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 t="str">
        <x:v>No established-register match</x:v>
      </x:c>
      <x:c r="AT795" s="14"/>
      <x:c r="AU795" s="14"/>
      <x:c r="AV795" s="14" t="str">
        <x:v>No established apparent-disability match</x:v>
      </x:c>
      <x:c r="AW795" s="14"/>
      <x:c r="AX795" s="14" t="str">
        <x:v>No</x:v>
      </x:c>
      <x:c r="AY795" s="14" t="str">
        <x:v>Unmatched</x:v>
      </x:c>
      <x:c r="AZ795" s="14" t="str">
        <x:v>Final supplied register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28</x:v>
      </x:c>
      <x:c r="BP795" s="14" t="str">
        <x:v>Maximum eligible IMDb cast-credit total (28),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0.03571428571428571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4" t="str">
        <x:v>HYPERLINK is not implemented. linkLocation=https://www.imdb.com/title/tt15499118/fullcredits/, friendlyName=Open source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tt15499118|nm0085990|nick</x:v>
      </x:c>
      <x:c r="B796" s="14" t="str">
        <x:v>03</x:v>
      </x:c>
      <x:c r="C796" s="14" t="str">
        <x:v>2021_IMDb_Cast_Lists_Batch_03(1).xlsx</x:v>
      </x:c>
      <x:c r="D796" s="14" t="str">
        <x:v>The Madame Blanc Mysteries</x:v>
      </x:c>
      <x:c r="E796" s="14" t="n">
        <x:v>42</x:v>
      </x:c>
      <x:c r="F796" s="14" t="str">
        <x:v>The Madame Blanc Mysteries</x:v>
      </x:c>
      <x:c r="G796" s="14" t="str">
        <x:v>tt15499118</x:v>
      </x:c>
      <x:c r="H796" s="14" t="n">
        <x:v>2021</x:v>
      </x:c>
      <x:c r="I796" s="14" t="n">
        <x:v>2025</x:v>
      </x:c>
      <x:c r="J796" s="14" t="str">
        <x:v>Earlier-Production Carry-In Cohort</x:v>
      </x:c>
      <x:c r="K796" s="14" t="n">
        <x:v>2021</x:v>
      </x:c>
      <x:c r="L796" s="14" t="str">
        <x:v>Available from 2021 analysis</x:v>
      </x:c>
      <x:c r="M796" s="15" t="n">
        <x:v>35</x:v>
      </x:c>
      <x:c r="N796" s="14" t="str">
        <x:v>Richard Blackwood</x:v>
      </x:c>
      <x:c r="O796" s="14" t="str">
        <x:v>nm0085990</x:v>
      </x:c>
      <x:c r="P796" s="14" t="str">
        <x:v>Nick</x:v>
      </x:c>
      <x:c r="Q796" s="15" t="n">
        <x:v>1</x:v>
      </x:c>
      <x:c r="R796" s="14" t="str">
        <x:v>2025</x:v>
      </x:c>
      <x:c r="S796" s="14" t="n">
        <x:v>2025</x:v>
      </x:c>
      <x:c r="T796" s="14" t="n">
        <x:v>2025</x:v>
      </x:c>
      <x:c r="U796" s="14" t="str">
        <x:v>Post-2021 casting excluded</x:v>
      </x:c>
      <x:c r="V796" s="14" t="str">
        <x:v>Earliest supplied year is 2025, later than the 2021 study year.</x:v>
      </x:c>
      <x:c r="W796" s="14"/>
      <x:c r="X796" s="14" t="str">
        <x:v>Included</x:v>
      </x:c>
      <x:c r="Y796" s="14"/>
      <x:c r="Z796" s="14" t="str">
        <x:v>The Madame Blanc Mysteries.docx</x:v>
      </x:c>
      <x:c r="AA796" s="14" t="str">
        <x:v>HYPERLINK is not implemented. linkLocation=https://www.imdb.com/title/tt15499118/fullcredits/, friendlyName=Open source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Channel 5 / 5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 t="str">
        <x:v>No established-register match</x:v>
      </x:c>
      <x:c r="AT796" s="14"/>
      <x:c r="AU796" s="14"/>
      <x:c r="AV796" s="14" t="str">
        <x:v>No established apparent-disability match</x:v>
      </x:c>
      <x:c r="AW796" s="14"/>
      <x:c r="AX796" s="14" t="str">
        <x:v>No</x:v>
      </x:c>
      <x:c r="AY796" s="14" t="str">
        <x:v>Unmatched</x:v>
      </x:c>
      <x:c r="AZ796" s="14" t="str">
        <x:v>Final supplied register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28</x:v>
      </x:c>
      <x:c r="BP796" s="14" t="str">
        <x:v>Maximum eligible IMDb cast-credit total (28),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0.03571428571428571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4" t="str">
        <x:v>HYPERLINK is not implemented. linkLocation=https://www.imdb.com/title/tt15499118/fullcredits/, friendlyName=Open source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tt15499118|nm1513510|colin</x:v>
      </x:c>
      <x:c r="B797" s="14" t="str">
        <x:v>03</x:v>
      </x:c>
      <x:c r="C797" s="14" t="str">
        <x:v>2021_IMDb_Cast_Lists_Batch_03(1).xlsx</x:v>
      </x:c>
      <x:c r="D797" s="14" t="str">
        <x:v>The Madame Blanc Mysteries</x:v>
      </x:c>
      <x:c r="E797" s="14" t="n">
        <x:v>43</x:v>
      </x:c>
      <x:c r="F797" s="14" t="str">
        <x:v>The Madame Blanc Mysteries</x:v>
      </x:c>
      <x:c r="G797" s="14" t="str">
        <x:v>tt15499118</x:v>
      </x:c>
      <x:c r="H797" s="14" t="n">
        <x:v>2021</x:v>
      </x:c>
      <x:c r="I797" s="14" t="n">
        <x:v>2025</x:v>
      </x:c>
      <x:c r="J797" s="14" t="str">
        <x:v>Earlier-Production Carry-In Cohort</x:v>
      </x:c>
      <x:c r="K797" s="14" t="n">
        <x:v>2021</x:v>
      </x:c>
      <x:c r="L797" s="14" t="str">
        <x:v>Available from 2021 analysis</x:v>
      </x:c>
      <x:c r="M797" s="15" t="n">
        <x:v>36</x:v>
      </x:c>
      <x:c r="N797" s="14" t="str">
        <x:v>Marc Cabourdin</x:v>
      </x:c>
      <x:c r="O797" s="14" t="str">
        <x:v>nm1513510</x:v>
      </x:c>
      <x:c r="P797" s="14" t="str">
        <x:v>Colin</x:v>
      </x:c>
      <x:c r="Q797" s="15" t="n">
        <x:v>1</x:v>
      </x:c>
      <x:c r="R797" s="14" t="str">
        <x:v>2025</x:v>
      </x:c>
      <x:c r="S797" s="14" t="n">
        <x:v>2025</x:v>
      </x:c>
      <x:c r="T797" s="14" t="n">
        <x:v>2025</x:v>
      </x:c>
      <x:c r="U797" s="14" t="str">
        <x:v>Post-2021 casting excluded</x:v>
      </x:c>
      <x:c r="V797" s="14" t="str">
        <x:v>Earliest supplied year is 2025, later than the 2021 study year.</x:v>
      </x:c>
      <x:c r="W797" s="14"/>
      <x:c r="X797" s="14" t="str">
        <x:v>Included</x:v>
      </x:c>
      <x:c r="Y797" s="14"/>
      <x:c r="Z797" s="14" t="str">
        <x:v>The Madame Blanc Mysteries.docx</x:v>
      </x:c>
      <x:c r="AA797" s="14" t="str">
        <x:v>HYPERLINK is not implemented. linkLocation=https://www.imdb.com/title/tt15499118/fullcredits/, friendlyName=Open source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Channel 5 / 5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 t="str">
        <x:v>No established-register match</x:v>
      </x:c>
      <x:c r="AT797" s="14"/>
      <x:c r="AU797" s="14"/>
      <x:c r="AV797" s="14" t="str">
        <x:v>No established apparent-disability match</x:v>
      </x:c>
      <x:c r="AW797" s="14"/>
      <x:c r="AX797" s="14" t="str">
        <x:v>No</x:v>
      </x:c>
      <x:c r="AY797" s="14" t="str">
        <x:v>Unmatched</x:v>
      </x:c>
      <x:c r="AZ797" s="14" t="str">
        <x:v>Final supplied register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28</x:v>
      </x:c>
      <x:c r="BP797" s="14" t="str">
        <x:v>Maximum eligible IMDb cast-credit total (28),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0.03571428571428571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4" t="str">
        <x:v>HYPERLINK is not implemented. linkLocation=https://www.imdb.com/title/tt15499118/fullcredits/, friendlyName=Open source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tt15499118|nm1561415|elaine</x:v>
      </x:c>
      <x:c r="B798" s="14" t="str">
        <x:v>03</x:v>
      </x:c>
      <x:c r="C798" s="14" t="str">
        <x:v>2021_IMDb_Cast_Lists_Batch_03(1).xlsx</x:v>
      </x:c>
      <x:c r="D798" s="14" t="str">
        <x:v>The Madame Blanc Mysteries</x:v>
      </x:c>
      <x:c r="E798" s="14" t="n">
        <x:v>53</x:v>
      </x:c>
      <x:c r="F798" s="14" t="str">
        <x:v>The Madame Blanc Mysteries</x:v>
      </x:c>
      <x:c r="G798" s="14" t="str">
        <x:v>tt15499118</x:v>
      </x:c>
      <x:c r="H798" s="14" t="n">
        <x:v>2021</x:v>
      </x:c>
      <x:c r="I798" s="14" t="n">
        <x:v>2025</x:v>
      </x:c>
      <x:c r="J798" s="14" t="str">
        <x:v>Earlier-Production Carry-In Cohort</x:v>
      </x:c>
      <x:c r="K798" s="14" t="n">
        <x:v>2021</x:v>
      </x:c>
      <x:c r="L798" s="14" t="str">
        <x:v>Available from 2021 analysis</x:v>
      </x:c>
      <x:c r="M798" s="15" t="n">
        <x:v>46</x:v>
      </x:c>
      <x:c r="N798" s="14" t="str">
        <x:v>Lorraine Burroughs</x:v>
      </x:c>
      <x:c r="O798" s="14" t="str">
        <x:v>nm1561415</x:v>
      </x:c>
      <x:c r="P798" s="14" t="str">
        <x:v>Elaine</x:v>
      </x:c>
      <x:c r="Q798" s="15" t="n">
        <x:v>1</x:v>
      </x:c>
      <x:c r="R798" s="14" t="str">
        <x:v>2025</x:v>
      </x:c>
      <x:c r="S798" s="14" t="n">
        <x:v>2025</x:v>
      </x:c>
      <x:c r="T798" s="14" t="n">
        <x:v>2025</x:v>
      </x:c>
      <x:c r="U798" s="14" t="str">
        <x:v>Post-2021 casting excluded</x:v>
      </x:c>
      <x:c r="V798" s="14" t="str">
        <x:v>Earliest supplied year is 2025, later than the 2021 study year.</x:v>
      </x:c>
      <x:c r="W798" s="14"/>
      <x:c r="X798" s="14" t="str">
        <x:v>Included</x:v>
      </x:c>
      <x:c r="Y798" s="14"/>
      <x:c r="Z798" s="14" t="str">
        <x:v>The Madame Blanc Mysteries.docx</x:v>
      </x:c>
      <x:c r="AA798" s="14" t="str">
        <x:v>HYPERLINK is not implemented. linkLocation=https://www.imdb.com/title/tt15499118/fullcredits/, friendlyName=Open source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Channel 5 / 5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 t="str">
        <x:v>No established-register match</x:v>
      </x:c>
      <x:c r="AT798" s="14"/>
      <x:c r="AU798" s="14"/>
      <x:c r="AV798" s="14" t="str">
        <x:v>No established apparent-disability match</x:v>
      </x:c>
      <x:c r="AW798" s="14"/>
      <x:c r="AX798" s="14" t="str">
        <x:v>No</x:v>
      </x:c>
      <x:c r="AY798" s="14" t="str">
        <x:v>Unmatched</x:v>
      </x:c>
      <x:c r="AZ798" s="14" t="str">
        <x:v>Final supplied register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28</x:v>
      </x:c>
      <x:c r="BP798" s="14" t="str">
        <x:v>Maximum eligible IMDb cast-credit total (28),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0.03571428571428571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4" t="str">
        <x:v>HYPERLINK is not implemented. linkLocation=https://www.imdb.com/title/tt15499118/fullcredits/, friendlyName=Open source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tt15499118|nm0003626|pierre</x:v>
      </x:c>
      <x:c r="B799" s="14" t="str">
        <x:v>03</x:v>
      </x:c>
      <x:c r="C799" s="14" t="str">
        <x:v>2021_IMDb_Cast_Lists_Batch_03(1).xlsx</x:v>
      </x:c>
      <x:c r="D799" s="14" t="str">
        <x:v>The Madame Blanc Mysteries</x:v>
      </x:c>
      <x:c r="E799" s="14" t="n">
        <x:v>54</x:v>
      </x:c>
      <x:c r="F799" s="14" t="str">
        <x:v>The Madame Blanc Mysteries</x:v>
      </x:c>
      <x:c r="G799" s="14" t="str">
        <x:v>tt15499118</x:v>
      </x:c>
      <x:c r="H799" s="14" t="n">
        <x:v>2021</x:v>
      </x:c>
      <x:c r="I799" s="14" t="n">
        <x:v>2025</x:v>
      </x:c>
      <x:c r="J799" s="14" t="str">
        <x:v>Earlier-Production Carry-In Cohort</x:v>
      </x:c>
      <x:c r="K799" s="14" t="n">
        <x:v>2021</x:v>
      </x:c>
      <x:c r="L799" s="14" t="str">
        <x:v>Available from 2021 analysis</x:v>
      </x:c>
      <x:c r="M799" s="15" t="n">
        <x:v>47</x:v>
      </x:c>
      <x:c r="N799" s="14" t="str">
        <x:v>Charlie Condou</x:v>
      </x:c>
      <x:c r="O799" s="14" t="str">
        <x:v>nm0003626</x:v>
      </x:c>
      <x:c r="P799" s="14" t="str">
        <x:v>Pierre</x:v>
      </x:c>
      <x:c r="Q799" s="15" t="n">
        <x:v>1</x:v>
      </x:c>
      <x:c r="R799" s="14" t="str">
        <x:v>2025</x:v>
      </x:c>
      <x:c r="S799" s="14" t="n">
        <x:v>2025</x:v>
      </x:c>
      <x:c r="T799" s="14" t="n">
        <x:v>2025</x:v>
      </x:c>
      <x:c r="U799" s="14" t="str">
        <x:v>Post-2021 casting excluded</x:v>
      </x:c>
      <x:c r="V799" s="14" t="str">
        <x:v>Earliest supplied year is 2025, later than the 2021 study year.</x:v>
      </x:c>
      <x:c r="W799" s="14"/>
      <x:c r="X799" s="14" t="str">
        <x:v>Included</x:v>
      </x:c>
      <x:c r="Y799" s="14"/>
      <x:c r="Z799" s="14" t="str">
        <x:v>The Madame Blanc Mysteries.docx</x:v>
      </x:c>
      <x:c r="AA799" s="14" t="str">
        <x:v>HYPERLINK is not implemented. linkLocation=https://www.imdb.com/title/tt15499118/fullcredits/, friendlyName=Open source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Channel 5 / 5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 t="str">
        <x:v>No established-register match</x:v>
      </x:c>
      <x:c r="AT799" s="14"/>
      <x:c r="AU799" s="14"/>
      <x:c r="AV799" s="14" t="str">
        <x:v>No established apparent-disability match</x:v>
      </x:c>
      <x:c r="AW799" s="14"/>
      <x:c r="AX799" s="14" t="str">
        <x:v>No</x:v>
      </x:c>
      <x:c r="AY799" s="14" t="str">
        <x:v>Unmatched</x:v>
      </x:c>
      <x:c r="AZ799" s="14" t="str">
        <x:v>Final supplied register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28</x:v>
      </x:c>
      <x:c r="BP799" s="14" t="str">
        <x:v>Maximum eligible IMDb cast-credit total (28),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0.03571428571428571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4" t="str">
        <x:v>HYPERLINK is not implemented. linkLocation=https://www.imdb.com/title/tt15499118/fullcredits/, friendlyName=Open source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tt15499118|nm14743328|hugo leve</x:v>
      </x:c>
      <x:c r="B800" s="14" t="str">
        <x:v>03</x:v>
      </x:c>
      <x:c r="C800" s="14" t="str">
        <x:v>2021_IMDb_Cast_Lists_Batch_03(1).xlsx</x:v>
      </x:c>
      <x:c r="D800" s="14" t="str">
        <x:v>The Madame Blanc Mysteries</x:v>
      </x:c>
      <x:c r="E800" s="14" t="n">
        <x:v>55</x:v>
      </x:c>
      <x:c r="F800" s="14" t="str">
        <x:v>The Madame Blanc Mysteries</x:v>
      </x:c>
      <x:c r="G800" s="14" t="str">
        <x:v>tt15499118</x:v>
      </x:c>
      <x:c r="H800" s="14" t="n">
        <x:v>2021</x:v>
      </x:c>
      <x:c r="I800" s="14" t="n">
        <x:v>2025</x:v>
      </x:c>
      <x:c r="J800" s="14" t="str">
        <x:v>Earlier-Production Carry-In Cohort</x:v>
      </x:c>
      <x:c r="K800" s="14" t="n">
        <x:v>2021</x:v>
      </x:c>
      <x:c r="L800" s="14" t="str">
        <x:v>Available from 2021 analysis</x:v>
      </x:c>
      <x:c r="M800" s="15" t="n">
        <x:v>48</x:v>
      </x:c>
      <x:c r="N800" s="14" t="str">
        <x:v>Miguel Formosa</x:v>
      </x:c>
      <x:c r="O800" s="14" t="str">
        <x:v>nm14743328</x:v>
      </x:c>
      <x:c r="P800" s="14" t="str">
        <x:v>Hugo Leve</x:v>
      </x:c>
      <x:c r="Q800" s="15" t="n">
        <x:v>1</x:v>
      </x:c>
      <x:c r="R800" s="14" t="str">
        <x:v>2025</x:v>
      </x:c>
      <x:c r="S800" s="14" t="n">
        <x:v>2025</x:v>
      </x:c>
      <x:c r="T800" s="14" t="n">
        <x:v>2025</x:v>
      </x:c>
      <x:c r="U800" s="14" t="str">
        <x:v>Post-2021 casting excluded</x:v>
      </x:c>
      <x:c r="V800" s="14" t="str">
        <x:v>Earliest supplied year is 2025, later than the 2021 study year.</x:v>
      </x:c>
      <x:c r="W800" s="14"/>
      <x:c r="X800" s="14" t="str">
        <x:v>Included</x:v>
      </x:c>
      <x:c r="Y800" s="14"/>
      <x:c r="Z800" s="14" t="str">
        <x:v>The Madame Blanc Mysteries.docx</x:v>
      </x:c>
      <x:c r="AA800" s="14" t="str">
        <x:v>HYPERLINK is not implemented. linkLocation=https://www.imdb.com/title/tt15499118/fullcredits/, friendlyName=Open source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Channel 5 / 5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 t="str">
        <x:v>No established-register match</x:v>
      </x:c>
      <x:c r="AT800" s="14"/>
      <x:c r="AU800" s="14"/>
      <x:c r="AV800" s="14" t="str">
        <x:v>No established apparent-disability match</x:v>
      </x:c>
      <x:c r="AW800" s="14"/>
      <x:c r="AX800" s="14" t="str">
        <x:v>No</x:v>
      </x:c>
      <x:c r="AY800" s="14" t="str">
        <x:v>Unmatched</x:v>
      </x:c>
      <x:c r="AZ800" s="14" t="str">
        <x:v>Final supplied register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28</x:v>
      </x:c>
      <x:c r="BP800" s="14" t="str">
        <x:v>Maximum eligible IMDb cast-credit total (28),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0.03571428571428571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4" t="str">
        <x:v>HYPERLINK is not implemented. linkLocation=https://www.imdb.com/title/tt15499118/fullcredits/, friendlyName=Open source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tt15499118|nm17183595|matteo</x:v>
      </x:c>
      <x:c r="B801" s="14" t="str">
        <x:v>03</x:v>
      </x:c>
      <x:c r="C801" s="14" t="str">
        <x:v>2021_IMDb_Cast_Lists_Batch_03(1).xlsx</x:v>
      </x:c>
      <x:c r="D801" s="14" t="str">
        <x:v>The Madame Blanc Mysteries</x:v>
      </x:c>
      <x:c r="E801" s="14" t="n">
        <x:v>56</x:v>
      </x:c>
      <x:c r="F801" s="14" t="str">
        <x:v>The Madame Blanc Mysteries</x:v>
      </x:c>
      <x:c r="G801" s="14" t="str">
        <x:v>tt15499118</x:v>
      </x:c>
      <x:c r="H801" s="14" t="n">
        <x:v>2021</x:v>
      </x:c>
      <x:c r="I801" s="14" t="n">
        <x:v>2025</x:v>
      </x:c>
      <x:c r="J801" s="14" t="str">
        <x:v>Earlier-Production Carry-In Cohort</x:v>
      </x:c>
      <x:c r="K801" s="14" t="n">
        <x:v>2021</x:v>
      </x:c>
      <x:c r="L801" s="14" t="str">
        <x:v>Available from 2021 analysis</x:v>
      </x:c>
      <x:c r="M801" s="15" t="n">
        <x:v>49</x:v>
      </x:c>
      <x:c r="N801" s="14" t="str">
        <x:v>Lou Busittil</x:v>
      </x:c>
      <x:c r="O801" s="14" t="str">
        <x:v>nm17183595</x:v>
      </x:c>
      <x:c r="P801" s="14" t="str">
        <x:v>Matteo</x:v>
      </x:c>
      <x:c r="Q801" s="15" t="n">
        <x:v>1</x:v>
      </x:c>
      <x:c r="R801" s="14" t="str">
        <x:v>2025</x:v>
      </x:c>
      <x:c r="S801" s="14" t="n">
        <x:v>2025</x:v>
      </x:c>
      <x:c r="T801" s="14" t="n">
        <x:v>2025</x:v>
      </x:c>
      <x:c r="U801" s="14" t="str">
        <x:v>Post-2021 casting excluded</x:v>
      </x:c>
      <x:c r="V801" s="14" t="str">
        <x:v>Earliest supplied year is 2025, later than the 2021 study year.</x:v>
      </x:c>
      <x:c r="W801" s="14"/>
      <x:c r="X801" s="14" t="str">
        <x:v>Included</x:v>
      </x:c>
      <x:c r="Y801" s="14"/>
      <x:c r="Z801" s="14" t="str">
        <x:v>The Madame Blanc Mysteries.docx</x:v>
      </x:c>
      <x:c r="AA801" s="14" t="str">
        <x:v>HYPERLINK is not implemented. linkLocation=https://www.imdb.com/title/tt15499118/fullcredits/, friendlyName=Open source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Channel 5 / 5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 t="str">
        <x:v>No established-register match</x:v>
      </x:c>
      <x:c r="AT801" s="14"/>
      <x:c r="AU801" s="14"/>
      <x:c r="AV801" s="14" t="str">
        <x:v>No established apparent-disability match</x:v>
      </x:c>
      <x:c r="AW801" s="14"/>
      <x:c r="AX801" s="14" t="str">
        <x:v>No</x:v>
      </x:c>
      <x:c r="AY801" s="14" t="str">
        <x:v>Unmatched</x:v>
      </x:c>
      <x:c r="AZ801" s="14" t="str">
        <x:v>Final supplied register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28</x:v>
      </x:c>
      <x:c r="BP801" s="14" t="str">
        <x:v>Maximum eligible IMDb cast-credit total (28),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0.03571428571428571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4" t="str">
        <x:v>HYPERLINK is not implemented. linkLocation=https://www.imdb.com/title/tt15499118/fullcredits/, friendlyName=Open source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tt15499118|nm5727558|thomas</x:v>
      </x:c>
      <x:c r="B802" s="14" t="str">
        <x:v>03</x:v>
      </x:c>
      <x:c r="C802" s="14" t="str">
        <x:v>2021_IMDb_Cast_Lists_Batch_03(1).xlsx</x:v>
      </x:c>
      <x:c r="D802" s="14" t="str">
        <x:v>The Madame Blanc Mysteries</x:v>
      </x:c>
      <x:c r="E802" s="14" t="n">
        <x:v>63</x:v>
      </x:c>
      <x:c r="F802" s="14" t="str">
        <x:v>The Madame Blanc Mysteries</x:v>
      </x:c>
      <x:c r="G802" s="14" t="str">
        <x:v>tt15499118</x:v>
      </x:c>
      <x:c r="H802" s="14" t="n">
        <x:v>2021</x:v>
      </x:c>
      <x:c r="I802" s="14" t="n">
        <x:v>2025</x:v>
      </x:c>
      <x:c r="J802" s="14" t="str">
        <x:v>Earlier-Production Carry-In Cohort</x:v>
      </x:c>
      <x:c r="K802" s="14" t="n">
        <x:v>2021</x:v>
      </x:c>
      <x:c r="L802" s="14" t="str">
        <x:v>Available from 2021 analysis</x:v>
      </x:c>
      <x:c r="M802" s="15" t="n">
        <x:v>56</x:v>
      </x:c>
      <x:c r="N802" s="14" t="str">
        <x:v>Henry Zammit Cordina</x:v>
      </x:c>
      <x:c r="O802" s="14" t="str">
        <x:v>nm5727558</x:v>
      </x:c>
      <x:c r="P802" s="14" t="str">
        <x:v>Thomas</x:v>
      </x:c>
      <x:c r="Q802" s="15" t="n">
        <x:v>1</x:v>
      </x:c>
      <x:c r="R802" s="14" t="str">
        <x:v>2025</x:v>
      </x:c>
      <x:c r="S802" s="14" t="n">
        <x:v>2025</x:v>
      </x:c>
      <x:c r="T802" s="14" t="n">
        <x:v>2025</x:v>
      </x:c>
      <x:c r="U802" s="14" t="str">
        <x:v>Post-2021 casting excluded</x:v>
      </x:c>
      <x:c r="V802" s="14" t="str">
        <x:v>Earliest supplied year is 2025, later than the 2021 study year.</x:v>
      </x:c>
      <x:c r="W802" s="14"/>
      <x:c r="X802" s="14" t="str">
        <x:v>Included</x:v>
      </x:c>
      <x:c r="Y802" s="14"/>
      <x:c r="Z802" s="14" t="str">
        <x:v>The Madame Blanc Mysteries.docx</x:v>
      </x:c>
      <x:c r="AA802" s="14" t="str">
        <x:v>HYPERLINK is not implemented. linkLocation=https://www.imdb.com/title/tt15499118/fullcredits/, friendlyName=Open source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Channel 5 / 5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 t="str">
        <x:v>No established-register match</x:v>
      </x:c>
      <x:c r="AT802" s="14"/>
      <x:c r="AU802" s="14"/>
      <x:c r="AV802" s="14" t="str">
        <x:v>No established apparent-disability match</x:v>
      </x:c>
      <x:c r="AW802" s="14"/>
      <x:c r="AX802" s="14" t="str">
        <x:v>No</x:v>
      </x:c>
      <x:c r="AY802" s="14" t="str">
        <x:v>Unmatched</x:v>
      </x:c>
      <x:c r="AZ802" s="14" t="str">
        <x:v>Final supplied register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28</x:v>
      </x:c>
      <x:c r="BP802" s="14" t="str">
        <x:v>Maximum eligible IMDb cast-credit total (28),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0.03571428571428571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4" t="str">
        <x:v>HYPERLINK is not implemented. linkLocation=https://www.imdb.com/title/tt15499118/fullcredits/, friendlyName=Open source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tt15499118|nm2925934|gabriel jelbart</x:v>
      </x:c>
      <x:c r="B803" s="14" t="str">
        <x:v>03</x:v>
      </x:c>
      <x:c r="C803" s="14" t="str">
        <x:v>2021_IMDb_Cast_Lists_Batch_03(1).xlsx</x:v>
      </x:c>
      <x:c r="D803" s="14" t="str">
        <x:v>The Madame Blanc Mysteries</x:v>
      </x:c>
      <x:c r="E803" s="14" t="n">
        <x:v>64</x:v>
      </x:c>
      <x:c r="F803" s="14" t="str">
        <x:v>The Madame Blanc Mysteries</x:v>
      </x:c>
      <x:c r="G803" s="14" t="str">
        <x:v>tt15499118</x:v>
      </x:c>
      <x:c r="H803" s="14" t="n">
        <x:v>2021</x:v>
      </x:c>
      <x:c r="I803" s="14" t="n">
        <x:v>2025</x:v>
      </x:c>
      <x:c r="J803" s="14" t="str">
        <x:v>Earlier-Production Carry-In Cohort</x:v>
      </x:c>
      <x:c r="K803" s="14" t="n">
        <x:v>2021</x:v>
      </x:c>
      <x:c r="L803" s="14" t="str">
        <x:v>Available from 2021 analysis</x:v>
      </x:c>
      <x:c r="M803" s="15" t="n">
        <x:v>57</x:v>
      </x:c>
      <x:c r="N803" s="14" t="str">
        <x:v>Bartholomew Boutellis</x:v>
      </x:c>
      <x:c r="O803" s="14" t="str">
        <x:v>nm2925934</x:v>
      </x:c>
      <x:c r="P803" s="14" t="str">
        <x:v>Gabriel Jelbart</x:v>
      </x:c>
      <x:c r="Q803" s="15" t="n">
        <x:v>1</x:v>
      </x:c>
      <x:c r="R803" s="14" t="str">
        <x:v>2025</x:v>
      </x:c>
      <x:c r="S803" s="14" t="n">
        <x:v>2025</x:v>
      </x:c>
      <x:c r="T803" s="14" t="n">
        <x:v>2025</x:v>
      </x:c>
      <x:c r="U803" s="14" t="str">
        <x:v>Post-2021 casting excluded</x:v>
      </x:c>
      <x:c r="V803" s="14" t="str">
        <x:v>Earliest supplied year is 2025, later than the 2021 study year.</x:v>
      </x:c>
      <x:c r="W803" s="14"/>
      <x:c r="X803" s="14" t="str">
        <x:v>Included</x:v>
      </x:c>
      <x:c r="Y803" s="14"/>
      <x:c r="Z803" s="14" t="str">
        <x:v>The Madame Blanc Mysteries.docx</x:v>
      </x:c>
      <x:c r="AA803" s="14" t="str">
        <x:v>HYPERLINK is not implemented. linkLocation=https://www.imdb.com/title/tt15499118/fullcredits/, friendlyName=Open source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Channel 5 / 5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 t="str">
        <x:v>No established-register match</x:v>
      </x:c>
      <x:c r="AT803" s="14"/>
      <x:c r="AU803" s="14"/>
      <x:c r="AV803" s="14" t="str">
        <x:v>No established apparent-disability match</x:v>
      </x:c>
      <x:c r="AW803" s="14"/>
      <x:c r="AX803" s="14" t="str">
        <x:v>No</x:v>
      </x:c>
      <x:c r="AY803" s="14" t="str">
        <x:v>Unmatched</x:v>
      </x:c>
      <x:c r="AZ803" s="14" t="str">
        <x:v>Final supplied register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28</x:v>
      </x:c>
      <x:c r="BP803" s="14" t="str">
        <x:v>Maximum eligible IMDb cast-credit total (28),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0.03571428571428571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4" t="str">
        <x:v>HYPERLINK is not implemented. linkLocation=https://www.imdb.com/title/tt15499118/fullcredits/, friendlyName=Open source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tt15499118|nm17138921|dr. martin</x:v>
      </x:c>
      <x:c r="B804" s="14" t="str">
        <x:v>03</x:v>
      </x:c>
      <x:c r="C804" s="14" t="str">
        <x:v>2021_IMDb_Cast_Lists_Batch_03(1).xlsx</x:v>
      </x:c>
      <x:c r="D804" s="14" t="str">
        <x:v>The Madame Blanc Mysteries</x:v>
      </x:c>
      <x:c r="E804" s="14" t="n">
        <x:v>65</x:v>
      </x:c>
      <x:c r="F804" s="14" t="str">
        <x:v>The Madame Blanc Mysteries</x:v>
      </x:c>
      <x:c r="G804" s="14" t="str">
        <x:v>tt15499118</x:v>
      </x:c>
      <x:c r="H804" s="14" t="n">
        <x:v>2021</x:v>
      </x:c>
      <x:c r="I804" s="14" t="n">
        <x:v>2025</x:v>
      </x:c>
      <x:c r="J804" s="14" t="str">
        <x:v>Earlier-Production Carry-In Cohort</x:v>
      </x:c>
      <x:c r="K804" s="14" t="n">
        <x:v>2021</x:v>
      </x:c>
      <x:c r="L804" s="14" t="str">
        <x:v>Available from 2021 analysis</x:v>
      </x:c>
      <x:c r="M804" s="15" t="n">
        <x:v>58</x:v>
      </x:c>
      <x:c r="N804" s="14" t="str">
        <x:v>Malcolm Galeo</x:v>
      </x:c>
      <x:c r="O804" s="14" t="str">
        <x:v>nm17138921</x:v>
      </x:c>
      <x:c r="P804" s="14" t="str">
        <x:v>Dr. Martin</x:v>
      </x:c>
      <x:c r="Q804" s="15" t="n">
        <x:v>1</x:v>
      </x:c>
      <x:c r="R804" s="14" t="str">
        <x:v>2025</x:v>
      </x:c>
      <x:c r="S804" s="14" t="n">
        <x:v>2025</x:v>
      </x:c>
      <x:c r="T804" s="14" t="n">
        <x:v>2025</x:v>
      </x:c>
      <x:c r="U804" s="14" t="str">
        <x:v>Post-2021 casting excluded</x:v>
      </x:c>
      <x:c r="V804" s="14" t="str">
        <x:v>Earliest supplied year is 2025, later than the 2021 study year.</x:v>
      </x:c>
      <x:c r="W804" s="14"/>
      <x:c r="X804" s="14" t="str">
        <x:v>Included</x:v>
      </x:c>
      <x:c r="Y804" s="14"/>
      <x:c r="Z804" s="14" t="str">
        <x:v>The Madame Blanc Mysteries.docx</x:v>
      </x:c>
      <x:c r="AA804" s="14" t="str">
        <x:v>HYPERLINK is not implemented. linkLocation=https://www.imdb.com/title/tt15499118/fullcredits/, friendlyName=Open source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Channel 5 / 5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 t="str">
        <x:v>No established-register match</x:v>
      </x:c>
      <x:c r="AT804" s="14"/>
      <x:c r="AU804" s="14"/>
      <x:c r="AV804" s="14" t="str">
        <x:v>No established apparent-disability match</x:v>
      </x:c>
      <x:c r="AW804" s="14"/>
      <x:c r="AX804" s="14" t="str">
        <x:v>No</x:v>
      </x:c>
      <x:c r="AY804" s="14" t="str">
        <x:v>Unmatched</x:v>
      </x:c>
      <x:c r="AZ804" s="14" t="str">
        <x:v>Final supplied register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28</x:v>
      </x:c>
      <x:c r="BP804" s="14" t="str">
        <x:v>Maximum eligible IMDb cast-credit total (28),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0.03571428571428571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4" t="str">
        <x:v>HYPERLINK is not implemented. linkLocation=https://www.imdb.com/title/tt15499118/fullcredits/, friendlyName=Open source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tt15499118|nm11683717|necklace thief</x:v>
      </x:c>
      <x:c r="B805" s="14" t="str">
        <x:v>03</x:v>
      </x:c>
      <x:c r="C805" s="14" t="str">
        <x:v>2021_IMDb_Cast_Lists_Batch_03(1).xlsx</x:v>
      </x:c>
      <x:c r="D805" s="14" t="str">
        <x:v>The Madame Blanc Mysteries</x:v>
      </x:c>
      <x:c r="E805" s="14" t="n">
        <x:v>73</x:v>
      </x:c>
      <x:c r="F805" s="14" t="str">
        <x:v>The Madame Blanc Mysteries</x:v>
      </x:c>
      <x:c r="G805" s="14" t="str">
        <x:v>tt15499118</x:v>
      </x:c>
      <x:c r="H805" s="14" t="n">
        <x:v>2021</x:v>
      </x:c>
      <x:c r="I805" s="14" t="n">
        <x:v>2025</x:v>
      </x:c>
      <x:c r="J805" s="14" t="str">
        <x:v>Earlier-Production Carry-In Cohort</x:v>
      </x:c>
      <x:c r="K805" s="14" t="n">
        <x:v>2021</x:v>
      </x:c>
      <x:c r="L805" s="14" t="str">
        <x:v>Available from 2021 analysis</x:v>
      </x:c>
      <x:c r="M805" s="15" t="n">
        <x:v>66</x:v>
      </x:c>
      <x:c r="N805" s="14" t="str">
        <x:v>Maxime Durand</x:v>
      </x:c>
      <x:c r="O805" s="14" t="str">
        <x:v>nm11683717</x:v>
      </x:c>
      <x:c r="P805" s="14" t="str">
        <x:v>Necklace Thief</x:v>
      </x:c>
      <x:c r="Q805" s="15" t="n">
        <x:v>1</x:v>
      </x:c>
      <x:c r="R805" s="14" t="str">
        <x:v>2025</x:v>
      </x:c>
      <x:c r="S805" s="14" t="n">
        <x:v>2025</x:v>
      </x:c>
      <x:c r="T805" s="14" t="n">
        <x:v>2025</x:v>
      </x:c>
      <x:c r="U805" s="14" t="str">
        <x:v>Post-2021 casting excluded</x:v>
      </x:c>
      <x:c r="V805" s="14" t="str">
        <x:v>Earliest supplied year is 2025, later than the 2021 study year.</x:v>
      </x:c>
      <x:c r="W805" s="14"/>
      <x:c r="X805" s="14" t="str">
        <x:v>Included</x:v>
      </x:c>
      <x:c r="Y805" s="14"/>
      <x:c r="Z805" s="14" t="str">
        <x:v>The Madame Blanc Mysteries.docx</x:v>
      </x:c>
      <x:c r="AA805" s="14" t="str">
        <x:v>HYPERLINK is not implemented. linkLocation=https://www.imdb.com/title/tt15499118/fullcredits/, friendlyName=Open source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Channel 5 / 5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 t="str">
        <x:v>No established-register match</x:v>
      </x:c>
      <x:c r="AT805" s="14"/>
      <x:c r="AU805" s="14"/>
      <x:c r="AV805" s="14" t="str">
        <x:v>No established apparent-disability match</x:v>
      </x:c>
      <x:c r="AW805" s="14"/>
      <x:c r="AX805" s="14" t="str">
        <x:v>No</x:v>
      </x:c>
      <x:c r="AY805" s="14" t="str">
        <x:v>Unmatched</x:v>
      </x:c>
      <x:c r="AZ805" s="14" t="str">
        <x:v>Final supplied register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28</x:v>
      </x:c>
      <x:c r="BP805" s="14" t="str">
        <x:v>Maximum eligible IMDb cast-credit total (28),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0.03571428571428571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4" t="str">
        <x:v>HYPERLINK is not implemented. linkLocation=https://www.imdb.com/title/tt15499118/fullcredits/, friendlyName=Open source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tt15499118|nm6391442|jovan smith</x:v>
      </x:c>
      <x:c r="B806" s="14" t="str">
        <x:v>03</x:v>
      </x:c>
      <x:c r="C806" s="14" t="str">
        <x:v>2021_IMDb_Cast_Lists_Batch_03(1).xlsx</x:v>
      </x:c>
      <x:c r="D806" s="14" t="str">
        <x:v>The Madame Blanc Mysteries</x:v>
      </x:c>
      <x:c r="E806" s="14" t="n">
        <x:v>78</x:v>
      </x:c>
      <x:c r="F806" s="14" t="str">
        <x:v>The Madame Blanc Mysteries</x:v>
      </x:c>
      <x:c r="G806" s="14" t="str">
        <x:v>tt15499118</x:v>
      </x:c>
      <x:c r="H806" s="14" t="n">
        <x:v>2021</x:v>
      </x:c>
      <x:c r="I806" s="14" t="n">
        <x:v>2025</x:v>
      </x:c>
      <x:c r="J806" s="14" t="str">
        <x:v>Earlier-Production Carry-In Cohort</x:v>
      </x:c>
      <x:c r="K806" s="14" t="n">
        <x:v>2021</x:v>
      </x:c>
      <x:c r="L806" s="14" t="str">
        <x:v>Available from 2021 analysis</x:v>
      </x:c>
      <x:c r="M806" s="15" t="n">
        <x:v>71</x:v>
      </x:c>
      <x:c r="N806" s="14" t="str">
        <x:v>Danny Hatchard</x:v>
      </x:c>
      <x:c r="O806" s="14" t="str">
        <x:v>nm6391442</x:v>
      </x:c>
      <x:c r="P806" s="14" t="str">
        <x:v>Jovan Smith</x:v>
      </x:c>
      <x:c r="Q806" s="15" t="n">
        <x:v>1</x:v>
      </x:c>
      <x:c r="R806" s="14" t="str">
        <x:v>2025</x:v>
      </x:c>
      <x:c r="S806" s="14" t="n">
        <x:v>2025</x:v>
      </x:c>
      <x:c r="T806" s="14" t="n">
        <x:v>2025</x:v>
      </x:c>
      <x:c r="U806" s="14" t="str">
        <x:v>Post-2021 casting excluded</x:v>
      </x:c>
      <x:c r="V806" s="14" t="str">
        <x:v>Earliest supplied year is 2025, later than the 2021 study year.</x:v>
      </x:c>
      <x:c r="W806" s="14"/>
      <x:c r="X806" s="14" t="str">
        <x:v>Included</x:v>
      </x:c>
      <x:c r="Y806" s="14"/>
      <x:c r="Z806" s="14" t="str">
        <x:v>The Madame Blanc Mysteries.docx</x:v>
      </x:c>
      <x:c r="AA806" s="14" t="str">
        <x:v>HYPERLINK is not implemented. linkLocation=https://www.imdb.com/title/tt15499118/fullcredits/, friendlyName=Open source</x:v>
      </x:c>
      <x:c r="AB806" s="14" t="str">
        <x:v>Existing established-register match</x:v>
      </x:c>
      <x:c r="AC806" s="14"/>
      <x:c r="AD806" s="14" t="str">
        <x:v>Existing register classification: Neurodivergent. Not treated as an apparent-disability finding here.</x:v>
      </x:c>
      <x:c r="AE806" s="14" t="str">
        <x:v>Established_Disability_Category_Register V1.1.xlsx</x:v>
      </x:c>
      <x:c r="AF806" s="14"/>
      <x:c r="AG806" s="14" t="str">
        <x:v>Established user-supplied classification retained for deduplication; evidence was not re-researched in this batch.</x:v>
      </x:c>
      <x:c r="AH806" s="14" t="str">
        <x:v>Channel 5 / 5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 t="str">
        <x:v>Exact IMDb performer ID match</x:v>
      </x:c>
      <x:c r="AT806" s="14" t="str">
        <x:v>nm6391442</x:v>
      </x:c>
      <x:c r="AU806" s="14" t="str">
        <x:v>Neurodivergent</x:v>
      </x:c>
      <x:c r="AV806" s="14" t="str">
        <x:v>No</x:v>
      </x:c>
      <x:c r="AW806" s="14"/>
      <x:c r="AX806" s="14" t="str">
        <x:v>Yes</x:v>
      </x:c>
      <x:c r="AY806" s="14" t="str">
        <x:v>Matched</x:v>
      </x:c>
      <x:c r="AZ806" s="14" t="str">
        <x:v>Final supplied register</x:v>
      </x:c>
      <x:c r="BA806" s="14"/>
      <x:c r="BB806" s="14" t="str">
        <x:v>Exact IMDb performer ID match</x:v>
      </x:c>
      <x:c r="BC806" s="14" t="str">
        <x:v>nm6391442</x:v>
      </x:c>
      <x:c r="BD806" s="14" t="str">
        <x:v>Danny Hatchard</x:v>
      </x:c>
      <x:c r="BE806" s="14" t="str">
        <x:v>Neurodivergent</x:v>
      </x:c>
      <x:c r="BF806" s="14" t="str">
        <x:v>No</x:v>
      </x:c>
      <x:c r="BG806" s="14"/>
      <x:c r="BH806" s="14" t="str">
        <x:v>Yes</x:v>
      </x:c>
      <x:c r="BI806" s="14" t="str">
        <x:v>User-supplied established classification</x:v>
      </x:c>
      <x:c r="BJ806" s="14" t="str">
        <x:v>11_Neurodivergent..csv</x:v>
      </x:c>
      <x:c r="BK806" s="14"/>
      <x:c r="BL806" s="14" t="str">
        <x:v>Matched</x:v>
      </x:c>
      <x:c r="BM806" s="14" t="str">
        <x:v>Final supplied register</x:v>
      </x:c>
      <x:c r="BN806" s="14"/>
      <x:c r="BO806" s="14" t="n">
        <x:v>28</x:v>
      </x:c>
      <x:c r="BP806" s="14" t="str">
        <x:v>Maximum eligible IMDb cast-credit total (28),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0.03571428571428571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4" t="str">
        <x:v>HYPERLINK is not implemented. linkLocation=https://www.imdb.com/title/tt15499118/fullcredits/, friendlyName=Open source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tt15499118|nm5272631|inspector aguis</x:v>
      </x:c>
      <x:c r="B807" s="14" t="str">
        <x:v>03</x:v>
      </x:c>
      <x:c r="C807" s="14" t="str">
        <x:v>2021_IMDb_Cast_Lists_Batch_03(1).xlsx</x:v>
      </x:c>
      <x:c r="D807" s="14" t="str">
        <x:v>The Madame Blanc Mysteries</x:v>
      </x:c>
      <x:c r="E807" s="14" t="n">
        <x:v>79</x:v>
      </x:c>
      <x:c r="F807" s="14" t="str">
        <x:v>The Madame Blanc Mysteries</x:v>
      </x:c>
      <x:c r="G807" s="14" t="str">
        <x:v>tt15499118</x:v>
      </x:c>
      <x:c r="H807" s="14" t="n">
        <x:v>2021</x:v>
      </x:c>
      <x:c r="I807" s="14" t="n">
        <x:v>2025</x:v>
      </x:c>
      <x:c r="J807" s="14" t="str">
        <x:v>Earlier-Production Carry-In Cohort</x:v>
      </x:c>
      <x:c r="K807" s="14" t="n">
        <x:v>2021</x:v>
      </x:c>
      <x:c r="L807" s="14" t="str">
        <x:v>Available from 2021 analysis</x:v>
      </x:c>
      <x:c r="M807" s="15" t="n">
        <x:v>72</x:v>
      </x:c>
      <x:c r="N807" s="14" t="str">
        <x:v>Chantelle Micallef Grimaud</x:v>
      </x:c>
      <x:c r="O807" s="14" t="str">
        <x:v>nm5272631</x:v>
      </x:c>
      <x:c r="P807" s="14" t="str">
        <x:v>Inspector Aguis</x:v>
      </x:c>
      <x:c r="Q807" s="15" t="n">
        <x:v>1</x:v>
      </x:c>
      <x:c r="R807" s="14" t="str">
        <x:v>2025</x:v>
      </x:c>
      <x:c r="S807" s="14" t="n">
        <x:v>2025</x:v>
      </x:c>
      <x:c r="T807" s="14" t="n">
        <x:v>2025</x:v>
      </x:c>
      <x:c r="U807" s="14" t="str">
        <x:v>Post-2021 casting excluded</x:v>
      </x:c>
      <x:c r="V807" s="14" t="str">
        <x:v>Earliest supplied year is 2025, later than the 2021 study year.</x:v>
      </x:c>
      <x:c r="W807" s="14"/>
      <x:c r="X807" s="14" t="str">
        <x:v>Included</x:v>
      </x:c>
      <x:c r="Y807" s="14" t="str">
        <x:v>(as Chantelle Grimaud)</x:v>
      </x:c>
      <x:c r="Z807" s="14" t="str">
        <x:v>The Madame Blanc Mysteries.docx</x:v>
      </x:c>
      <x:c r="AA807" s="14" t="str">
        <x:v>HYPERLINK is not implemented. linkLocation=https://www.imdb.com/title/tt15499118/fullcredits/, friendlyName=Open source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Channel 5 / 5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 t="str">
        <x:v>No established-register match</x:v>
      </x:c>
      <x:c r="AT807" s="14"/>
      <x:c r="AU807" s="14"/>
      <x:c r="AV807" s="14" t="str">
        <x:v>No established apparent-disability match</x:v>
      </x:c>
      <x:c r="AW807" s="14"/>
      <x:c r="AX807" s="14" t="str">
        <x:v>No</x:v>
      </x:c>
      <x:c r="AY807" s="14" t="str">
        <x:v>Unmatched</x:v>
      </x:c>
      <x:c r="AZ807" s="14" t="str">
        <x:v>Final supplied register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28</x:v>
      </x:c>
      <x:c r="BP807" s="14" t="str">
        <x:v>Maximum eligible IMDb cast-credit total (28),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0.03571428571428571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4" t="str">
        <x:v>HYPERLINK is not implemented. linkLocation=https://www.imdb.com/title/tt15499118/fullcredits/, friendlyName=Open source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tt15499118|nm17164266|alan</x:v>
      </x:c>
      <x:c r="B808" s="14" t="str">
        <x:v>03</x:v>
      </x:c>
      <x:c r="C808" s="14" t="str">
        <x:v>2021_IMDb_Cast_Lists_Batch_03(1).xlsx</x:v>
      </x:c>
      <x:c r="D808" s="14" t="str">
        <x:v>The Madame Blanc Mysteries</x:v>
      </x:c>
      <x:c r="E808" s="14" t="n">
        <x:v>80</x:v>
      </x:c>
      <x:c r="F808" s="14" t="str">
        <x:v>The Madame Blanc Mysteries</x:v>
      </x:c>
      <x:c r="G808" s="14" t="str">
        <x:v>tt15499118</x:v>
      </x:c>
      <x:c r="H808" s="14" t="n">
        <x:v>2021</x:v>
      </x:c>
      <x:c r="I808" s="14" t="n">
        <x:v>2025</x:v>
      </x:c>
      <x:c r="J808" s="14" t="str">
        <x:v>Earlier-Production Carry-In Cohort</x:v>
      </x:c>
      <x:c r="K808" s="14" t="n">
        <x:v>2021</x:v>
      </x:c>
      <x:c r="L808" s="14" t="str">
        <x:v>Available from 2021 analysis</x:v>
      </x:c>
      <x:c r="M808" s="15" t="n">
        <x:v>73</x:v>
      </x:c>
      <x:c r="N808" s="14" t="str">
        <x:v>Simon Green</x:v>
      </x:c>
      <x:c r="O808" s="14" t="str">
        <x:v>nm17164266</x:v>
      </x:c>
      <x:c r="P808" s="14" t="str">
        <x:v>Alan</x:v>
      </x:c>
      <x:c r="Q808" s="15" t="n">
        <x:v>1</x:v>
      </x:c>
      <x:c r="R808" s="14" t="str">
        <x:v>2025</x:v>
      </x:c>
      <x:c r="S808" s="14" t="n">
        <x:v>2025</x:v>
      </x:c>
      <x:c r="T808" s="14" t="n">
        <x:v>2025</x:v>
      </x:c>
      <x:c r="U808" s="14" t="str">
        <x:v>Post-2021 casting excluded</x:v>
      </x:c>
      <x:c r="V808" s="14" t="str">
        <x:v>Earliest supplied year is 2025, later than the 2021 study year.</x:v>
      </x:c>
      <x:c r="W808" s="14"/>
      <x:c r="X808" s="14" t="str">
        <x:v>Included</x:v>
      </x:c>
      <x:c r="Y808" s="14"/>
      <x:c r="Z808" s="14" t="str">
        <x:v>The Madame Blanc Mysteries.docx</x:v>
      </x:c>
      <x:c r="AA808" s="14" t="str">
        <x:v>HYPERLINK is not implemented. linkLocation=https://www.imdb.com/title/tt15499118/fullcredits/, friendlyName=Open source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Channel 5 / 5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 t="str">
        <x:v>No established-register match</x:v>
      </x:c>
      <x:c r="AT808" s="14"/>
      <x:c r="AU808" s="14"/>
      <x:c r="AV808" s="14" t="str">
        <x:v>No established apparent-disability match</x:v>
      </x:c>
      <x:c r="AW808" s="14"/>
      <x:c r="AX808" s="14" t="str">
        <x:v>No</x:v>
      </x:c>
      <x:c r="AY808" s="14" t="str">
        <x:v>Unmatched</x:v>
      </x:c>
      <x:c r="AZ808" s="14" t="str">
        <x:v>Final supplied register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28</x:v>
      </x:c>
      <x:c r="BP808" s="14" t="str">
        <x:v>Maximum eligible IMDb cast-credit total (28),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0.03571428571428571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4" t="str">
        <x:v>HYPERLINK is not implemented. linkLocation=https://www.imdb.com/title/tt15499118/fullcredits/, friendlyName=Open source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tt15499118|nm0370319|nigel</x:v>
      </x:c>
      <x:c r="B809" s="14" t="str">
        <x:v>03</x:v>
      </x:c>
      <x:c r="C809" s="14" t="str">
        <x:v>2021_IMDb_Cast_Lists_Batch_03(1).xlsx</x:v>
      </x:c>
      <x:c r="D809" s="14" t="str">
        <x:v>The Madame Blanc Mysteries</x:v>
      </x:c>
      <x:c r="E809" s="14" t="n">
        <x:v>88</x:v>
      </x:c>
      <x:c r="F809" s="14" t="str">
        <x:v>The Madame Blanc Mysteries</x:v>
      </x:c>
      <x:c r="G809" s="14" t="str">
        <x:v>tt15499118</x:v>
      </x:c>
      <x:c r="H809" s="14" t="n">
        <x:v>2021</x:v>
      </x:c>
      <x:c r="I809" s="14" t="n">
        <x:v>2025</x:v>
      </x:c>
      <x:c r="J809" s="14" t="str">
        <x:v>Earlier-Production Carry-In Cohort</x:v>
      </x:c>
      <x:c r="K809" s="14" t="n">
        <x:v>2021</x:v>
      </x:c>
      <x:c r="L809" s="14" t="str">
        <x:v>Available from 2021 analysis</x:v>
      </x:c>
      <x:c r="M809" s="15" t="n">
        <x:v>81</x:v>
      </x:c>
      <x:c r="N809" s="14" t="str">
        <x:v>Graeme Hawley</x:v>
      </x:c>
      <x:c r="O809" s="14" t="str">
        <x:v>nm0370319</x:v>
      </x:c>
      <x:c r="P809" s="14" t="str">
        <x:v>Nigel</x:v>
      </x:c>
      <x:c r="Q809" s="15" t="n">
        <x:v>1</x:v>
      </x:c>
      <x:c r="R809" s="14" t="str">
        <x:v>2025</x:v>
      </x:c>
      <x:c r="S809" s="14" t="n">
        <x:v>2025</x:v>
      </x:c>
      <x:c r="T809" s="14" t="n">
        <x:v>2025</x:v>
      </x:c>
      <x:c r="U809" s="14" t="str">
        <x:v>Post-2021 casting excluded</x:v>
      </x:c>
      <x:c r="V809" s="14" t="str">
        <x:v>Earliest supplied year is 2025, later than the 2021 study year.</x:v>
      </x:c>
      <x:c r="W809" s="14"/>
      <x:c r="X809" s="14" t="str">
        <x:v>Included</x:v>
      </x:c>
      <x:c r="Y809" s="14"/>
      <x:c r="Z809" s="14" t="str">
        <x:v>The Madame Blanc Mysteries.docx</x:v>
      </x:c>
      <x:c r="AA809" s="14" t="str">
        <x:v>HYPERLINK is not implemented. linkLocation=https://www.imdb.com/title/tt15499118/fullcredits/, friendlyName=Open source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Channel 5 / 5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 t="str">
        <x:v>No established-register match</x:v>
      </x:c>
      <x:c r="AT809" s="14"/>
      <x:c r="AU809" s="14"/>
      <x:c r="AV809" s="14" t="str">
        <x:v>No established apparent-disability match</x:v>
      </x:c>
      <x:c r="AW809" s="14"/>
      <x:c r="AX809" s="14" t="str">
        <x:v>No</x:v>
      </x:c>
      <x:c r="AY809" s="14" t="str">
        <x:v>Unmatched</x:v>
      </x:c>
      <x:c r="AZ809" s="14" t="str">
        <x:v>Final supplied register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28</x:v>
      </x:c>
      <x:c r="BP809" s="14" t="str">
        <x:v>Maximum eligible IMDb cast-credit total (28),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0.03571428571428571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4" t="str">
        <x:v>HYPERLINK is not implemented. linkLocation=https://www.imdb.com/title/tt15499118/fullcredits/, friendlyName=Open source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tt15499118|nm12235519|xena</x:v>
      </x:c>
      <x:c r="B810" s="14" t="str">
        <x:v>03</x:v>
      </x:c>
      <x:c r="C810" s="14" t="str">
        <x:v>2021_IMDb_Cast_Lists_Batch_03(1).xlsx</x:v>
      </x:c>
      <x:c r="D810" s="14" t="str">
        <x:v>The Madame Blanc Mysteries</x:v>
      </x:c>
      <x:c r="E810" s="14" t="n">
        <x:v>89</x:v>
      </x:c>
      <x:c r="F810" s="14" t="str">
        <x:v>The Madame Blanc Mysteries</x:v>
      </x:c>
      <x:c r="G810" s="14" t="str">
        <x:v>tt15499118</x:v>
      </x:c>
      <x:c r="H810" s="14" t="n">
        <x:v>2021</x:v>
      </x:c>
      <x:c r="I810" s="14" t="n">
        <x:v>2025</x:v>
      </x:c>
      <x:c r="J810" s="14" t="str">
        <x:v>Earlier-Production Carry-In Cohort</x:v>
      </x:c>
      <x:c r="K810" s="14" t="n">
        <x:v>2021</x:v>
      </x:c>
      <x:c r="L810" s="14" t="str">
        <x:v>Available from 2021 analysis</x:v>
      </x:c>
      <x:c r="M810" s="15" t="n">
        <x:v>82</x:v>
      </x:c>
      <x:c r="N810" s="14" t="str">
        <x:v>Greta Holland</x:v>
      </x:c>
      <x:c r="O810" s="14" t="str">
        <x:v>nm12235519</x:v>
      </x:c>
      <x:c r="P810" s="14" t="str">
        <x:v>Xena</x:v>
      </x:c>
      <x:c r="Q810" s="15" t="n">
        <x:v>1</x:v>
      </x:c>
      <x:c r="R810" s="14" t="str">
        <x:v>2025</x:v>
      </x:c>
      <x:c r="S810" s="14" t="n">
        <x:v>2025</x:v>
      </x:c>
      <x:c r="T810" s="14" t="n">
        <x:v>2025</x:v>
      </x:c>
      <x:c r="U810" s="14" t="str">
        <x:v>Post-2021 casting excluded</x:v>
      </x:c>
      <x:c r="V810" s="14" t="str">
        <x:v>Earliest supplied year is 2025, later than the 2021 study year.</x:v>
      </x:c>
      <x:c r="W810" s="14"/>
      <x:c r="X810" s="14" t="str">
        <x:v>Included</x:v>
      </x:c>
      <x:c r="Y810" s="14"/>
      <x:c r="Z810" s="14" t="str">
        <x:v>The Madame Blanc Mysteries.docx</x:v>
      </x:c>
      <x:c r="AA810" s="14" t="str">
        <x:v>HYPERLINK is not implemented. linkLocation=https://www.imdb.com/title/tt15499118/fullcredits/, friendlyName=Open source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Channel 5 / 5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 t="str">
        <x:v>No established-register match</x:v>
      </x:c>
      <x:c r="AT810" s="14"/>
      <x:c r="AU810" s="14"/>
      <x:c r="AV810" s="14" t="str">
        <x:v>No established apparent-disability match</x:v>
      </x:c>
      <x:c r="AW810" s="14"/>
      <x:c r="AX810" s="14" t="str">
        <x:v>No</x:v>
      </x:c>
      <x:c r="AY810" s="14" t="str">
        <x:v>Unmatched</x:v>
      </x:c>
      <x:c r="AZ810" s="14" t="str">
        <x:v>Final supplied register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28</x:v>
      </x:c>
      <x:c r="BP810" s="14" t="str">
        <x:v>Maximum eligible IMDb cast-credit total (28),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0.03571428571428571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4" t="str">
        <x:v>HYPERLINK is not implemented. linkLocation=https://www.imdb.com/title/tt15499118/fullcredits/, friendlyName=Open source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tt15499118|nm4232620|dr. aligiah</x:v>
      </x:c>
      <x:c r="B811" s="14" t="str">
        <x:v>03</x:v>
      </x:c>
      <x:c r="C811" s="14" t="str">
        <x:v>2021_IMDb_Cast_Lists_Batch_03(1).xlsx</x:v>
      </x:c>
      <x:c r="D811" s="14" t="str">
        <x:v>The Madame Blanc Mysteries</x:v>
      </x:c>
      <x:c r="E811" s="14" t="n">
        <x:v>90</x:v>
      </x:c>
      <x:c r="F811" s="14" t="str">
        <x:v>The Madame Blanc Mysteries</x:v>
      </x:c>
      <x:c r="G811" s="14" t="str">
        <x:v>tt15499118</x:v>
      </x:c>
      <x:c r="H811" s="14" t="n">
        <x:v>2021</x:v>
      </x:c>
      <x:c r="I811" s="14" t="n">
        <x:v>2025</x:v>
      </x:c>
      <x:c r="J811" s="14" t="str">
        <x:v>Earlier-Production Carry-In Cohort</x:v>
      </x:c>
      <x:c r="K811" s="14" t="n">
        <x:v>2021</x:v>
      </x:c>
      <x:c r="L811" s="14" t="str">
        <x:v>Available from 2021 analysis</x:v>
      </x:c>
      <x:c r="M811" s="15" t="n">
        <x:v>83</x:v>
      </x:c>
      <x:c r="N811" s="14" t="str">
        <x:v>Anthony Ellul</x:v>
      </x:c>
      <x:c r="O811" s="14" t="str">
        <x:v>nm4232620</x:v>
      </x:c>
      <x:c r="P811" s="14" t="str">
        <x:v>Dr. Aligiah</x:v>
      </x:c>
      <x:c r="Q811" s="15" t="n">
        <x:v>1</x:v>
      </x:c>
      <x:c r="R811" s="14" t="str">
        <x:v>2025</x:v>
      </x:c>
      <x:c r="S811" s="14" t="n">
        <x:v>2025</x:v>
      </x:c>
      <x:c r="T811" s="14" t="n">
        <x:v>2025</x:v>
      </x:c>
      <x:c r="U811" s="14" t="str">
        <x:v>Post-2021 casting excluded</x:v>
      </x:c>
      <x:c r="V811" s="14" t="str">
        <x:v>Earliest supplied year is 2025, later than the 2021 study year.</x:v>
      </x:c>
      <x:c r="W811" s="14"/>
      <x:c r="X811" s="14" t="str">
        <x:v>Included</x:v>
      </x:c>
      <x:c r="Y811" s="14"/>
      <x:c r="Z811" s="14" t="str">
        <x:v>The Madame Blanc Mysteries.docx</x:v>
      </x:c>
      <x:c r="AA811" s="14" t="str">
        <x:v>HYPERLINK is not implemented. linkLocation=https://www.imdb.com/title/tt15499118/fullcredits/, friendlyName=Open source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Channel 5 / 5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 t="str">
        <x:v>No established-register match</x:v>
      </x:c>
      <x:c r="AT811" s="14"/>
      <x:c r="AU811" s="14"/>
      <x:c r="AV811" s="14" t="str">
        <x:v>No established apparent-disability match</x:v>
      </x:c>
      <x:c r="AW811" s="14"/>
      <x:c r="AX811" s="14" t="str">
        <x:v>No</x:v>
      </x:c>
      <x:c r="AY811" s="14" t="str">
        <x:v>Unmatched</x:v>
      </x:c>
      <x:c r="AZ811" s="14" t="str">
        <x:v>Final supplied register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28</x:v>
      </x:c>
      <x:c r="BP811" s="14" t="str">
        <x:v>Maximum eligible IMDb cast-credit total (28),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0.03571428571428571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4" t="str">
        <x:v>HYPERLINK is not implemented. linkLocation=https://www.imdb.com/title/tt15499118/fullcredits/, friendlyName=Open source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tt15499118|nm2471942|bobby</x:v>
      </x:c>
      <x:c r="B812" s="14" t="str">
        <x:v>03</x:v>
      </x:c>
      <x:c r="C812" s="14" t="str">
        <x:v>2021_IMDb_Cast_Lists_Batch_03(1).xlsx</x:v>
      </x:c>
      <x:c r="D812" s="14" t="str">
        <x:v>The Madame Blanc Mysteries</x:v>
      </x:c>
      <x:c r="E812" s="14" t="n">
        <x:v>97</x:v>
      </x:c>
      <x:c r="F812" s="14" t="str">
        <x:v>The Madame Blanc Mysteries</x:v>
      </x:c>
      <x:c r="G812" s="14" t="str">
        <x:v>tt15499118</x:v>
      </x:c>
      <x:c r="H812" s="14" t="n">
        <x:v>2021</x:v>
      </x:c>
      <x:c r="I812" s="14" t="n">
        <x:v>2025</x:v>
      </x:c>
      <x:c r="J812" s="14" t="str">
        <x:v>Earlier-Production Carry-In Cohort</x:v>
      </x:c>
      <x:c r="K812" s="14" t="n">
        <x:v>2021</x:v>
      </x:c>
      <x:c r="L812" s="14" t="str">
        <x:v>Available from 2021 analysis</x:v>
      </x:c>
      <x:c r="M812" s="15" t="n">
        <x:v>90</x:v>
      </x:c>
      <x:c r="N812" s="14" t="str">
        <x:v>Derek Horsham</x:v>
      </x:c>
      <x:c r="O812" s="14" t="str">
        <x:v>nm2471942</x:v>
      </x:c>
      <x:c r="P812" s="14" t="str">
        <x:v>Bobby</x:v>
      </x:c>
      <x:c r="Q812" s="15" t="n">
        <x:v>1</x:v>
      </x:c>
      <x:c r="R812" s="14" t="str">
        <x:v>2025</x:v>
      </x:c>
      <x:c r="S812" s="14" t="n">
        <x:v>2025</x:v>
      </x:c>
      <x:c r="T812" s="14" t="n">
        <x:v>2025</x:v>
      </x:c>
      <x:c r="U812" s="14" t="str">
        <x:v>Post-2021 casting excluded</x:v>
      </x:c>
      <x:c r="V812" s="14" t="str">
        <x:v>Earliest supplied year is 2025, later than the 2021 study year.</x:v>
      </x:c>
      <x:c r="W812" s="14"/>
      <x:c r="X812" s="14" t="str">
        <x:v>Included</x:v>
      </x:c>
      <x:c r="Y812" s="14"/>
      <x:c r="Z812" s="14" t="str">
        <x:v>The Madame Blanc Mysteries.docx</x:v>
      </x:c>
      <x:c r="AA812" s="14" t="str">
        <x:v>HYPERLINK is not implemented. linkLocation=https://www.imdb.com/title/tt15499118/fullcredits/, friendlyName=Open source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Channel 5 / 5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 t="str">
        <x:v>No established-register match</x:v>
      </x:c>
      <x:c r="AT812" s="14"/>
      <x:c r="AU812" s="14"/>
      <x:c r="AV812" s="14" t="str">
        <x:v>No established apparent-disability match</x:v>
      </x:c>
      <x:c r="AW812" s="14"/>
      <x:c r="AX812" s="14" t="str">
        <x:v>No</x:v>
      </x:c>
      <x:c r="AY812" s="14" t="str">
        <x:v>Unmatched</x:v>
      </x:c>
      <x:c r="AZ812" s="14" t="str">
        <x:v>Final supplied register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28</x:v>
      </x:c>
      <x:c r="BP812" s="14" t="str">
        <x:v>Maximum eligible IMDb cast-credit total (28),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0.03571428571428571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4" t="str">
        <x:v>HYPERLINK is not implemented. linkLocation=https://www.imdb.com/title/tt15499118/fullcredits/, friendlyName=Open source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tt15499118|nm16496242|freddie</x:v>
      </x:c>
      <x:c r="B813" s="14" t="str">
        <x:v>03</x:v>
      </x:c>
      <x:c r="C813" s="14" t="str">
        <x:v>2021_IMDb_Cast_Lists_Batch_03(1).xlsx</x:v>
      </x:c>
      <x:c r="D813" s="14" t="str">
        <x:v>The Madame Blanc Mysteries</x:v>
      </x:c>
      <x:c r="E813" s="14" t="n">
        <x:v>98</x:v>
      </x:c>
      <x:c r="F813" s="14" t="str">
        <x:v>The Madame Blanc Mysteries</x:v>
      </x:c>
      <x:c r="G813" s="14" t="str">
        <x:v>tt15499118</x:v>
      </x:c>
      <x:c r="H813" s="14" t="n">
        <x:v>2021</x:v>
      </x:c>
      <x:c r="I813" s="14" t="n">
        <x:v>2025</x:v>
      </x:c>
      <x:c r="J813" s="14" t="str">
        <x:v>Earlier-Production Carry-In Cohort</x:v>
      </x:c>
      <x:c r="K813" s="14" t="n">
        <x:v>2021</x:v>
      </x:c>
      <x:c r="L813" s="14" t="str">
        <x:v>Available from 2021 analysis</x:v>
      </x:c>
      <x:c r="M813" s="15" t="n">
        <x:v>91</x:v>
      </x:c>
      <x:c r="N813" s="14" t="str">
        <x:v>Antony Irons</x:v>
      </x:c>
      <x:c r="O813" s="14" t="str">
        <x:v>nm16496242</x:v>
      </x:c>
      <x:c r="P813" s="14" t="str">
        <x:v>Freddie</x:v>
      </x:c>
      <x:c r="Q813" s="15" t="n">
        <x:v>1</x:v>
      </x:c>
      <x:c r="R813" s="14" t="str">
        <x:v>2025</x:v>
      </x:c>
      <x:c r="S813" s="14" t="n">
        <x:v>2025</x:v>
      </x:c>
      <x:c r="T813" s="14" t="n">
        <x:v>2025</x:v>
      </x:c>
      <x:c r="U813" s="14" t="str">
        <x:v>Post-2021 casting excluded</x:v>
      </x:c>
      <x:c r="V813" s="14" t="str">
        <x:v>Earliest supplied year is 2025, later than the 2021 study year.</x:v>
      </x:c>
      <x:c r="W813" s="14"/>
      <x:c r="X813" s="14" t="str">
        <x:v>Included</x:v>
      </x:c>
      <x:c r="Y813" s="14"/>
      <x:c r="Z813" s="14" t="str">
        <x:v>The Madame Blanc Mysteries.docx</x:v>
      </x:c>
      <x:c r="AA813" s="14" t="str">
        <x:v>HYPERLINK is not implemented. linkLocation=https://www.imdb.com/title/tt15499118/fullcredits/, friendlyName=Open source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Channel 5 / 5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 t="str">
        <x:v>No established-register match</x:v>
      </x:c>
      <x:c r="AT813" s="14"/>
      <x:c r="AU813" s="14"/>
      <x:c r="AV813" s="14" t="str">
        <x:v>No established apparent-disability match</x:v>
      </x:c>
      <x:c r="AW813" s="14"/>
      <x:c r="AX813" s="14" t="str">
        <x:v>No</x:v>
      </x:c>
      <x:c r="AY813" s="14" t="str">
        <x:v>Unmatched</x:v>
      </x:c>
      <x:c r="AZ813" s="14" t="str">
        <x:v>Final supplied register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28</x:v>
      </x:c>
      <x:c r="BP813" s="14" t="str">
        <x:v>Maximum eligible IMDb cast-credit total (28),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0.03571428571428571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4" t="str">
        <x:v>HYPERLINK is not implemented. linkLocation=https://www.imdb.com/title/tt15499118/fullcredits/, friendlyName=Open source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tt15499118|nm0416849|dr. ali pardeep</x:v>
      </x:c>
      <x:c r="B814" s="14" t="str">
        <x:v>03</x:v>
      </x:c>
      <x:c r="C814" s="14" t="str">
        <x:v>2021_IMDb_Cast_Lists_Batch_03(1).xlsx</x:v>
      </x:c>
      <x:c r="D814" s="14" t="str">
        <x:v>The Madame Blanc Mysteries</x:v>
      </x:c>
      <x:c r="E814" s="14" t="n">
        <x:v>105</x:v>
      </x:c>
      <x:c r="F814" s="14" t="str">
        <x:v>The Madame Blanc Mysteries</x:v>
      </x:c>
      <x:c r="G814" s="14" t="str">
        <x:v>tt15499118</x:v>
      </x:c>
      <x:c r="H814" s="14" t="n">
        <x:v>2021</x:v>
      </x:c>
      <x:c r="I814" s="14" t="n">
        <x:v>2025</x:v>
      </x:c>
      <x:c r="J814" s="14" t="str">
        <x:v>Earlier-Production Carry-In Cohort</x:v>
      </x:c>
      <x:c r="K814" s="14" t="n">
        <x:v>2021</x:v>
      </x:c>
      <x:c r="L814" s="14" t="str">
        <x:v>Available from 2021 analysis</x:v>
      </x:c>
      <x:c r="M814" s="15" t="n">
        <x:v>98</x:v>
      </x:c>
      <x:c r="N814" s="14" t="str">
        <x:v>Raji James</x:v>
      </x:c>
      <x:c r="O814" s="14" t="str">
        <x:v>nm0416849</x:v>
      </x:c>
      <x:c r="P814" s="14" t="str">
        <x:v>Dr. Ali Pardeep</x:v>
      </x:c>
      <x:c r="Q814" s="15" t="n">
        <x:v>1</x:v>
      </x:c>
      <x:c r="R814" s="14" t="str">
        <x:v>2025</x:v>
      </x:c>
      <x:c r="S814" s="14" t="n">
        <x:v>2025</x:v>
      </x:c>
      <x:c r="T814" s="14" t="n">
        <x:v>2025</x:v>
      </x:c>
      <x:c r="U814" s="14" t="str">
        <x:v>Post-2021 casting excluded</x:v>
      </x:c>
      <x:c r="V814" s="14" t="str">
        <x:v>Earliest supplied year is 2025, later than the 2021 study year.</x:v>
      </x:c>
      <x:c r="W814" s="14"/>
      <x:c r="X814" s="14" t="str">
        <x:v>Included</x:v>
      </x:c>
      <x:c r="Y814" s="14"/>
      <x:c r="Z814" s="14" t="str">
        <x:v>The Madame Blanc Mysteries.docx</x:v>
      </x:c>
      <x:c r="AA814" s="14" t="str">
        <x:v>HYPERLINK is not implemented. linkLocation=https://www.imdb.com/title/tt15499118/fullcredits/, friendlyName=Open source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Channel 5 / 5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 t="str">
        <x:v>No established-register match</x:v>
      </x:c>
      <x:c r="AT814" s="14"/>
      <x:c r="AU814" s="14"/>
      <x:c r="AV814" s="14" t="str">
        <x:v>No established apparent-disability match</x:v>
      </x:c>
      <x:c r="AW814" s="14"/>
      <x:c r="AX814" s="14" t="str">
        <x:v>No</x:v>
      </x:c>
      <x:c r="AY814" s="14" t="str">
        <x:v>Unmatched</x:v>
      </x:c>
      <x:c r="AZ814" s="14" t="str">
        <x:v>Final supplied register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28</x:v>
      </x:c>
      <x:c r="BP814" s="14" t="str">
        <x:v>Maximum eligible IMDb cast-credit total (28), shared by 4 performer(s); not independently verified as a 2021-only episode total.</x:v>
      </x:c>
      <x:c r="BQ814" s="14" t="str">
        <x:v>Medium</x:v>
      </x:c>
      <x:c r="BR814" s="15" t="n">
        <x:v>1</x:v>
      </x:c>
      <x:c r="BS814" s="16" t="n">
        <x:v>0.03571428571428571</x:v>
      </x:c>
      <x:c r="BT814" s="14" t="str">
        <x:v>One episode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4" t="str">
        <x:v>HYPERLINK is not implemented. linkLocation=https://www.imdb.com/title/tt15499118/fullcredits/, friendlyName=Open source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tt15499118|nm2336071|otto moncrief</x:v>
      </x:c>
      <x:c r="B815" s="14" t="str">
        <x:v>03</x:v>
      </x:c>
      <x:c r="C815" s="14" t="str">
        <x:v>2021_IMDb_Cast_Lists_Batch_03(1).xlsx</x:v>
      </x:c>
      <x:c r="D815" s="14" t="str">
        <x:v>The Madame Blanc Mysteries</x:v>
      </x:c>
      <x:c r="E815" s="14" t="n">
        <x:v>106</x:v>
      </x:c>
      <x:c r="F815" s="14" t="str">
        <x:v>The Madame Blanc Mysteries</x:v>
      </x:c>
      <x:c r="G815" s="14" t="str">
        <x:v>tt15499118</x:v>
      </x:c>
      <x:c r="H815" s="14" t="n">
        <x:v>2021</x:v>
      </x:c>
      <x:c r="I815" s="14" t="n">
        <x:v>2025</x:v>
      </x:c>
      <x:c r="J815" s="14" t="str">
        <x:v>Earlier-Production Carry-In Cohort</x:v>
      </x:c>
      <x:c r="K815" s="14" t="n">
        <x:v>2021</x:v>
      </x:c>
      <x:c r="L815" s="14" t="str">
        <x:v>Available from 2021 analysis</x:v>
      </x:c>
      <x:c r="M815" s="15" t="n">
        <x:v>99</x:v>
      </x:c>
      <x:c r="N815" s="14" t="str">
        <x:v>Mat Laroche</x:v>
      </x:c>
      <x:c r="O815" s="14" t="str">
        <x:v>nm2336071</x:v>
      </x:c>
      <x:c r="P815" s="14" t="str">
        <x:v>Otto Moncrief</x:v>
      </x:c>
      <x:c r="Q815" s="15" t="n">
        <x:v>1</x:v>
      </x:c>
      <x:c r="R815" s="14" t="str">
        <x:v>2025</x:v>
      </x:c>
      <x:c r="S815" s="14" t="n">
        <x:v>2025</x:v>
      </x:c>
      <x:c r="T815" s="14" t="n">
        <x:v>2025</x:v>
      </x:c>
      <x:c r="U815" s="14" t="str">
        <x:v>Post-2021 casting excluded</x:v>
      </x:c>
      <x:c r="V815" s="14" t="str">
        <x:v>Earliest supplied year is 2025, later than the 2021 study year.</x:v>
      </x:c>
      <x:c r="W815" s="14"/>
      <x:c r="X815" s="14" t="str">
        <x:v>Included</x:v>
      </x:c>
      <x:c r="Y815" s="14"/>
      <x:c r="Z815" s="14" t="str">
        <x:v>The Madame Blanc Mysteries.docx</x:v>
      </x:c>
      <x:c r="AA815" s="14" t="str">
        <x:v>HYPERLINK is not implemented. linkLocation=https://www.imdb.com/title/tt15499118/fullcredits/, friendlyName=Open source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Channel 5 / 5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 t="str">
        <x:v>No established-register match</x:v>
      </x:c>
      <x:c r="AT815" s="14"/>
      <x:c r="AU815" s="14"/>
      <x:c r="AV815" s="14" t="str">
        <x:v>No established apparent-disability match</x:v>
      </x:c>
      <x:c r="AW815" s="14"/>
      <x:c r="AX815" s="14" t="str">
        <x:v>No</x:v>
      </x:c>
      <x:c r="AY815" s="14" t="str">
        <x:v>Unmatched</x:v>
      </x:c>
      <x:c r="AZ815" s="14" t="str">
        <x:v>Final supplied register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28</x:v>
      </x:c>
      <x:c r="BP815" s="14" t="str">
        <x:v>Maximum eligible IMDb cast-credit total (28), shared by 4 performer(s); not independently verified as a 2021-only episode total.</x:v>
      </x:c>
      <x:c r="BQ815" s="14" t="str">
        <x:v>Medium</x:v>
      </x:c>
      <x:c r="BR815" s="15" t="n">
        <x:v>1</x:v>
      </x:c>
      <x:c r="BS815" s="16" t="n">
        <x:v>0.03571428571428571</x:v>
      </x:c>
      <x:c r="BT815" s="14" t="str">
        <x:v>One episode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4" t="str">
        <x:v>HYPERLINK is not implemented. linkLocation=https://www.imdb.com/title/tt15499118/fullcredits/, friendlyName=Open source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tt15499118|nm1353802|nicholas arlez</x:v>
      </x:c>
      <x:c r="B816" s="14" t="str">
        <x:v>03</x:v>
      </x:c>
      <x:c r="C816" s="14" t="str">
        <x:v>2021_IMDb_Cast_Lists_Batch_03(1).xlsx</x:v>
      </x:c>
      <x:c r="D816" s="14" t="str">
        <x:v>The Madame Blanc Mysteries</x:v>
      </x:c>
      <x:c r="E816" s="14" t="n">
        <x:v>107</x:v>
      </x:c>
      <x:c r="F816" s="14" t="str">
        <x:v>The Madame Blanc Mysteries</x:v>
      </x:c>
      <x:c r="G816" s="14" t="str">
        <x:v>tt15499118</x:v>
      </x:c>
      <x:c r="H816" s="14" t="n">
        <x:v>2021</x:v>
      </x:c>
      <x:c r="I816" s="14" t="n">
        <x:v>2025</x:v>
      </x:c>
      <x:c r="J816" s="14" t="str">
        <x:v>Earlier-Production Carry-In Cohort</x:v>
      </x:c>
      <x:c r="K816" s="14" t="n">
        <x:v>2021</x:v>
      </x:c>
      <x:c r="L816" s="14" t="str">
        <x:v>Available from 2021 analysis</x:v>
      </x:c>
      <x:c r="M816" s="15" t="n">
        <x:v>100</x:v>
      </x:c>
      <x:c r="N816" s="14" t="str">
        <x:v>Dan March</x:v>
      </x:c>
      <x:c r="O816" s="14" t="str">
        <x:v>nm1353802</x:v>
      </x:c>
      <x:c r="P816" s="14" t="str">
        <x:v>Nicholas Arlez</x:v>
      </x:c>
      <x:c r="Q816" s="15" t="n">
        <x:v>1</x:v>
      </x:c>
      <x:c r="R816" s="14" t="str">
        <x:v>2025</x:v>
      </x:c>
      <x:c r="S816" s="14" t="n">
        <x:v>2025</x:v>
      </x:c>
      <x:c r="T816" s="14" t="n">
        <x:v>2025</x:v>
      </x:c>
      <x:c r="U816" s="14" t="str">
        <x:v>Post-2021 casting excluded</x:v>
      </x:c>
      <x:c r="V816" s="14" t="str">
        <x:v>Earliest supplied year is 2025, later than the 2021 study year.</x:v>
      </x:c>
      <x:c r="W816" s="14"/>
      <x:c r="X816" s="14" t="str">
        <x:v>Included</x:v>
      </x:c>
      <x:c r="Y816" s="14"/>
      <x:c r="Z816" s="14" t="str">
        <x:v>The Madame Blanc Mysteries.docx</x:v>
      </x:c>
      <x:c r="AA816" s="14" t="str">
        <x:v>HYPERLINK is not implemented. linkLocation=https://www.imdb.com/title/tt15499118/fullcredits/, friendlyName=Open source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Channel 5 / 5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6" s="14" t="str">
        <x:v>No qualifying BBC relationship</x:v>
      </x:c>
      <x:c r="AO816" s="14" t="str">
        <x:v>No</x:v>
      </x:c>
      <x:c r="AP816" s="14" t="str">
        <x:v>Out of scope</x:v>
      </x:c>
      <x:c r="AQ816" s="14" t="str">
        <x:v>No</x:v>
      </x:c>
      <x:c r="AR816" s="14" t="str">
        <x:v>Resolved from master register</x:v>
      </x:c>
      <x:c r="AS816" s="14" t="str">
        <x:v>No established-register match</x:v>
      </x:c>
      <x:c r="AT816" s="14"/>
      <x:c r="AU816" s="14"/>
      <x:c r="AV816" s="14" t="str">
        <x:v>No established apparent-disability match</x:v>
      </x:c>
      <x:c r="AW816" s="14"/>
      <x:c r="AX816" s="14" t="str">
        <x:v>No</x:v>
      </x:c>
      <x:c r="AY816" s="14" t="str">
        <x:v>Unmatched</x:v>
      </x:c>
      <x:c r="AZ816" s="14" t="str">
        <x:v>Final supplied register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28</x:v>
      </x:c>
      <x:c r="BP816" s="14" t="str">
        <x:v>Maximum eligible IMDb cast-credit total (28), shared by 4 performer(s); not independently verified as a 2021-only episode total.</x:v>
      </x:c>
      <x:c r="BQ816" s="14" t="str">
        <x:v>Medium</x:v>
      </x:c>
      <x:c r="BR816" s="15" t="n">
        <x:v>1</x:v>
      </x:c>
      <x:c r="BS816" s="16" t="n">
        <x:v>0.03571428571428571</x:v>
      </x:c>
      <x:c r="BT816" s="14" t="str">
        <x:v>One episode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4" t="str">
        <x:v>HYPERLINK is not implemented. linkLocation=https://www.imdb.com/title/tt15499118/fullcredits/, friendlyName=Open source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tt15499118|nm1658459|paul</x:v>
      </x:c>
      <x:c r="B817" s="14" t="str">
        <x:v>03</x:v>
      </x:c>
      <x:c r="C817" s="14" t="str">
        <x:v>2021_IMDb_Cast_Lists_Batch_03(1).xlsx</x:v>
      </x:c>
      <x:c r="D817" s="14" t="str">
        <x:v>The Madame Blanc Mysteries</x:v>
      </x:c>
      <x:c r="E817" s="14" t="n">
        <x:v>112</x:v>
      </x:c>
      <x:c r="F817" s="14" t="str">
        <x:v>The Madame Blanc Mysteries</x:v>
      </x:c>
      <x:c r="G817" s="14" t="str">
        <x:v>tt15499118</x:v>
      </x:c>
      <x:c r="H817" s="14" t="n">
        <x:v>2021</x:v>
      </x:c>
      <x:c r="I817" s="14" t="n">
        <x:v>2025</x:v>
      </x:c>
      <x:c r="J817" s="14" t="str">
        <x:v>Earlier-Production Carry-In Cohort</x:v>
      </x:c>
      <x:c r="K817" s="14" t="n">
        <x:v>2021</x:v>
      </x:c>
      <x:c r="L817" s="14" t="str">
        <x:v>Available from 2021 analysis</x:v>
      </x:c>
      <x:c r="M817" s="15" t="n">
        <x:v>105</x:v>
      </x:c>
      <x:c r="N817" s="14" t="str">
        <x:v>Edward MacLiam</x:v>
      </x:c>
      <x:c r="O817" s="14" t="str">
        <x:v>nm1658459</x:v>
      </x:c>
      <x:c r="P817" s="14" t="str">
        <x:v>Paul</x:v>
      </x:c>
      <x:c r="Q817" s="15" t="n">
        <x:v>1</x:v>
      </x:c>
      <x:c r="R817" s="14" t="str">
        <x:v>2025</x:v>
      </x:c>
      <x:c r="S817" s="14" t="n">
        <x:v>2025</x:v>
      </x:c>
      <x:c r="T817" s="14" t="n">
        <x:v>2025</x:v>
      </x:c>
      <x:c r="U817" s="14" t="str">
        <x:v>Post-2021 casting excluded</x:v>
      </x:c>
      <x:c r="V817" s="14" t="str">
        <x:v>Earliest supplied year is 2025, later than the 2021 study year.</x:v>
      </x:c>
      <x:c r="W817" s="14"/>
      <x:c r="X817" s="14" t="str">
        <x:v>Included</x:v>
      </x:c>
      <x:c r="Y817" s="14"/>
      <x:c r="Z817" s="14" t="str">
        <x:v>The Madame Blanc Mysteries.docx</x:v>
      </x:c>
      <x:c r="AA817" s="14" t="str">
        <x:v>HYPERLINK is not implemented. linkLocation=https://www.imdb.com/title/tt15499118/fullcredits/, friendlyName=Open source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Channel 5 / 5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7" s="14" t="str">
        <x:v>No qualifying BBC relationship</x:v>
      </x:c>
      <x:c r="AO817" s="14" t="str">
        <x:v>No</x:v>
      </x:c>
      <x:c r="AP817" s="14" t="str">
        <x:v>Out of scope</x:v>
      </x:c>
      <x:c r="AQ817" s="14" t="str">
        <x:v>No</x:v>
      </x:c>
      <x:c r="AR817" s="14" t="str">
        <x:v>Resolved from master register</x:v>
      </x:c>
      <x:c r="AS817" s="14" t="str">
        <x:v>No established-register match</x:v>
      </x:c>
      <x:c r="AT817" s="14"/>
      <x:c r="AU817" s="14"/>
      <x:c r="AV817" s="14" t="str">
        <x:v>No established apparent-disability match</x:v>
      </x:c>
      <x:c r="AW817" s="14"/>
      <x:c r="AX817" s="14" t="str">
        <x:v>No</x:v>
      </x:c>
      <x:c r="AY817" s="14" t="str">
        <x:v>Unmatched</x:v>
      </x:c>
      <x:c r="AZ817" s="14" t="str">
        <x:v>Final supplied register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28</x:v>
      </x:c>
      <x:c r="BP817" s="14" t="str">
        <x:v>Maximum eligible IMDb cast-credit total (28), shared by 4 performer(s); not independently verified as a 2021-only episode total.</x:v>
      </x:c>
      <x:c r="BQ817" s="14" t="str">
        <x:v>Medium</x:v>
      </x:c>
      <x:c r="BR817" s="15" t="n">
        <x:v>1</x:v>
      </x:c>
      <x:c r="BS817" s="16" t="n">
        <x:v>0.03571428571428571</x:v>
      </x:c>
      <x:c r="BT817" s="14" t="str">
        <x:v>One episode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4" t="str">
        <x:v>HYPERLINK is not implemented. linkLocation=https://www.imdb.com/title/tt15499118/fullcredits/, friendlyName=Open source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tt15499118|nm0552796|marie</x:v>
      </x:c>
      <x:c r="B818" s="14" t="str">
        <x:v>03</x:v>
      </x:c>
      <x:c r="C818" s="14" t="str">
        <x:v>2021_IMDb_Cast_Lists_Batch_03(1).xlsx</x:v>
      </x:c>
      <x:c r="D818" s="14" t="str">
        <x:v>The Madame Blanc Mysteries</x:v>
      </x:c>
      <x:c r="E818" s="14" t="n">
        <x:v>113</x:v>
      </x:c>
      <x:c r="F818" s="14" t="str">
        <x:v>The Madame Blanc Mysteries</x:v>
      </x:c>
      <x:c r="G818" s="14" t="str">
        <x:v>tt15499118</x:v>
      </x:c>
      <x:c r="H818" s="14" t="n">
        <x:v>2021</x:v>
      </x:c>
      <x:c r="I818" s="14" t="n">
        <x:v>2025</x:v>
      </x:c>
      <x:c r="J818" s="14" t="str">
        <x:v>Earlier-Production Carry-In Cohort</x:v>
      </x:c>
      <x:c r="K818" s="14" t="n">
        <x:v>2021</x:v>
      </x:c>
      <x:c r="L818" s="14" t="str">
        <x:v>Available from 2021 analysis</x:v>
      </x:c>
      <x:c r="M818" s="15" t="n">
        <x:v>106</x:v>
      </x:c>
      <x:c r="N818" s="14" t="str">
        <x:v>Michelle Martin</x:v>
      </x:c>
      <x:c r="O818" s="14" t="str">
        <x:v>nm0552796</x:v>
      </x:c>
      <x:c r="P818" s="14" t="str">
        <x:v>Marie</x:v>
      </x:c>
      <x:c r="Q818" s="15" t="n">
        <x:v>1</x:v>
      </x:c>
      <x:c r="R818" s="14" t="str">
        <x:v>2025</x:v>
      </x:c>
      <x:c r="S818" s="14" t="n">
        <x:v>2025</x:v>
      </x:c>
      <x:c r="T818" s="14" t="n">
        <x:v>2025</x:v>
      </x:c>
      <x:c r="U818" s="14" t="str">
        <x:v>Post-2021 casting excluded</x:v>
      </x:c>
      <x:c r="V818" s="14" t="str">
        <x:v>Earliest supplied year is 2025, later than the 2021 study year.</x:v>
      </x:c>
      <x:c r="W818" s="14"/>
      <x:c r="X818" s="14" t="str">
        <x:v>Included</x:v>
      </x:c>
      <x:c r="Y818" s="14"/>
      <x:c r="Z818" s="14" t="str">
        <x:v>The Madame Blanc Mysteries.docx</x:v>
      </x:c>
      <x:c r="AA818" s="14" t="str">
        <x:v>HYPERLINK is not implemented. linkLocation=https://www.imdb.com/title/tt15499118/fullcredits/, friendlyName=Open source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Channel 5 / 5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8" s="14" t="str">
        <x:v>No qualifying BBC relationship</x:v>
      </x:c>
      <x:c r="AO818" s="14" t="str">
        <x:v>No</x:v>
      </x:c>
      <x:c r="AP818" s="14" t="str">
        <x:v>Out of scope</x:v>
      </x:c>
      <x:c r="AQ818" s="14" t="str">
        <x:v>No</x:v>
      </x:c>
      <x:c r="AR818" s="14" t="str">
        <x:v>Resolved from master register</x:v>
      </x:c>
      <x:c r="AS818" s="14" t="str">
        <x:v>No established-register match</x:v>
      </x:c>
      <x:c r="AT818" s="14"/>
      <x:c r="AU818" s="14"/>
      <x:c r="AV818" s="14" t="str">
        <x:v>No established apparent-disability match</x:v>
      </x:c>
      <x:c r="AW818" s="14"/>
      <x:c r="AX818" s="14" t="str">
        <x:v>No</x:v>
      </x:c>
      <x:c r="AY818" s="14" t="str">
        <x:v>Unmatched</x:v>
      </x:c>
      <x:c r="AZ818" s="14" t="str">
        <x:v>Final supplied register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28</x:v>
      </x:c>
      <x:c r="BP818" s="14" t="str">
        <x:v>Maximum eligible IMDb cast-credit total (28), shared by 4 performer(s); not independently verified as a 2021-only episode total.</x:v>
      </x:c>
      <x:c r="BQ818" s="14" t="str">
        <x:v>Medium</x:v>
      </x:c>
      <x:c r="BR818" s="15" t="n">
        <x:v>1</x:v>
      </x:c>
      <x:c r="BS818" s="16" t="n">
        <x:v>0.03571428571428571</x:v>
      </x:c>
      <x:c r="BT818" s="14" t="str">
        <x:v>One episode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4" t="str">
        <x:v>HYPERLINK is not implemented. linkLocation=https://www.imdb.com/title/tt15499118/fullcredits/, friendlyName=Open source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tt15499118|nm11784683|ellie</x:v>
      </x:c>
      <x:c r="B819" s="14" t="str">
        <x:v>03</x:v>
      </x:c>
      <x:c r="C819" s="14" t="str">
        <x:v>2021_IMDb_Cast_Lists_Batch_03(1).xlsx</x:v>
      </x:c>
      <x:c r="D819" s="14" t="str">
        <x:v>The Madame Blanc Mysteries</x:v>
      </x:c>
      <x:c r="E819" s="14" t="n">
        <x:v>120</x:v>
      </x:c>
      <x:c r="F819" s="14" t="str">
        <x:v>The Madame Blanc Mysteries</x:v>
      </x:c>
      <x:c r="G819" s="14" t="str">
        <x:v>tt15499118</x:v>
      </x:c>
      <x:c r="H819" s="14" t="n">
        <x:v>2021</x:v>
      </x:c>
      <x:c r="I819" s="14" t="n">
        <x:v>2025</x:v>
      </x:c>
      <x:c r="J819" s="14" t="str">
        <x:v>Earlier-Production Carry-In Cohort</x:v>
      </x:c>
      <x:c r="K819" s="14" t="n">
        <x:v>2021</x:v>
      </x:c>
      <x:c r="L819" s="14" t="str">
        <x:v>Available from 2021 analysis</x:v>
      </x:c>
      <x:c r="M819" s="15" t="n">
        <x:v>113</x:v>
      </x:c>
      <x:c r="N819" s="14" t="str">
        <x:v>Jacqueline Moré</x:v>
      </x:c>
      <x:c r="O819" s="14" t="str">
        <x:v>nm11784683</x:v>
      </x:c>
      <x:c r="P819" s="14" t="str">
        <x:v>Ellie</x:v>
      </x:c>
      <x:c r="Q819" s="15" t="n">
        <x:v>1</x:v>
      </x:c>
      <x:c r="R819" s="14" t="str">
        <x:v>2025</x:v>
      </x:c>
      <x:c r="S819" s="14" t="n">
        <x:v>2025</x:v>
      </x:c>
      <x:c r="T819" s="14" t="n">
        <x:v>2025</x:v>
      </x:c>
      <x:c r="U819" s="14" t="str">
        <x:v>Post-2021 casting excluded</x:v>
      </x:c>
      <x:c r="V819" s="14" t="str">
        <x:v>Earliest supplied year is 2025, later than the 2021 study year.</x:v>
      </x:c>
      <x:c r="W819" s="14"/>
      <x:c r="X819" s="14" t="str">
        <x:v>Included</x:v>
      </x:c>
      <x:c r="Y819" s="14"/>
      <x:c r="Z819" s="14" t="str">
        <x:v>The Madame Blanc Mysteries.docx</x:v>
      </x:c>
      <x:c r="AA819" s="14" t="str">
        <x:v>HYPERLINK is not implemented. linkLocation=https://www.imdb.com/title/tt15499118/fullcredits/, friendlyName=Open source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Channel 5 / 5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19" s="14" t="str">
        <x:v>No qualifying BBC relationship</x:v>
      </x:c>
      <x:c r="AO819" s="14" t="str">
        <x:v>No</x:v>
      </x:c>
      <x:c r="AP819" s="14" t="str">
        <x:v>Out of scope</x:v>
      </x:c>
      <x:c r="AQ819" s="14" t="str">
        <x:v>No</x:v>
      </x:c>
      <x:c r="AR819" s="14" t="str">
        <x:v>Resolved from master register</x:v>
      </x:c>
      <x:c r="AS819" s="14" t="str">
        <x:v>No established-register match</x:v>
      </x:c>
      <x:c r="AT819" s="14"/>
      <x:c r="AU819" s="14"/>
      <x:c r="AV819" s="14" t="str">
        <x:v>No established apparent-disability match</x:v>
      </x:c>
      <x:c r="AW819" s="14"/>
      <x:c r="AX819" s="14" t="str">
        <x:v>No</x:v>
      </x:c>
      <x:c r="AY819" s="14" t="str">
        <x:v>Unmatched</x:v>
      </x:c>
      <x:c r="AZ819" s="14" t="str">
        <x:v>Final supplied register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28</x:v>
      </x:c>
      <x:c r="BP819" s="14" t="str">
        <x:v>Maximum eligible IMDb cast-credit total (28), shared by 4 performer(s); not independently verified as a 2021-only episode total.</x:v>
      </x:c>
      <x:c r="BQ819" s="14" t="str">
        <x:v>Medium</x:v>
      </x:c>
      <x:c r="BR819" s="15" t="n">
        <x:v>1</x:v>
      </x:c>
      <x:c r="BS819" s="16" t="n">
        <x:v>0.03571428571428571</x:v>
      </x:c>
      <x:c r="BT819" s="14" t="str">
        <x:v>One episode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4" t="str">
        <x:v>HYPERLINK is not implemented. linkLocation=https://www.imdb.com/title/tt15499118/fullcredits/, friendlyName=Open source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tt15499118|nm0622505|antoine lefevre</x:v>
      </x:c>
      <x:c r="B820" s="14" t="str">
        <x:v>03</x:v>
      </x:c>
      <x:c r="C820" s="14" t="str">
        <x:v>2021_IMDb_Cast_Lists_Batch_03(1).xlsx</x:v>
      </x:c>
      <x:c r="D820" s="14" t="str">
        <x:v>The Madame Blanc Mysteries</x:v>
      </x:c>
      <x:c r="E820" s="14" t="n">
        <x:v>121</x:v>
      </x:c>
      <x:c r="F820" s="14" t="str">
        <x:v>The Madame Blanc Mysteries</x:v>
      </x:c>
      <x:c r="G820" s="14" t="str">
        <x:v>tt15499118</x:v>
      </x:c>
      <x:c r="H820" s="14" t="n">
        <x:v>2021</x:v>
      </x:c>
      <x:c r="I820" s="14" t="n">
        <x:v>2025</x:v>
      </x:c>
      <x:c r="J820" s="14" t="str">
        <x:v>Earlier-Production Carry-In Cohort</x:v>
      </x:c>
      <x:c r="K820" s="14" t="n">
        <x:v>2021</x:v>
      </x:c>
      <x:c r="L820" s="14" t="str">
        <x:v>Available from 2021 analysis</x:v>
      </x:c>
      <x:c r="M820" s="15" t="n">
        <x:v>114</x:v>
      </x:c>
      <x:c r="N820" s="14" t="str">
        <x:v>Nicky Naudé</x:v>
      </x:c>
      <x:c r="O820" s="14" t="str">
        <x:v>nm0622505</x:v>
      </x:c>
      <x:c r="P820" s="14" t="str">
        <x:v>Antoine Lefevre</x:v>
      </x:c>
      <x:c r="Q820" s="15" t="n">
        <x:v>1</x:v>
      </x:c>
      <x:c r="R820" s="14" t="str">
        <x:v>2025</x:v>
      </x:c>
      <x:c r="S820" s="14" t="n">
        <x:v>2025</x:v>
      </x:c>
      <x:c r="T820" s="14" t="n">
        <x:v>2025</x:v>
      </x:c>
      <x:c r="U820" s="14" t="str">
        <x:v>Post-2021 casting excluded</x:v>
      </x:c>
      <x:c r="V820" s="14" t="str">
        <x:v>Earliest supplied year is 2025, later than the 2021 study year.</x:v>
      </x:c>
      <x:c r="W820" s="14"/>
      <x:c r="X820" s="14" t="str">
        <x:v>Included</x:v>
      </x:c>
      <x:c r="Y820" s="14"/>
      <x:c r="Z820" s="14" t="str">
        <x:v>The Madame Blanc Mysteries.docx</x:v>
      </x:c>
      <x:c r="AA820" s="14" t="str">
        <x:v>HYPERLINK is not implemented. linkLocation=https://www.imdb.com/title/tt15499118/fullcredits/, friendlyName=Open source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Channel 5 / 5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0" s="14" t="str">
        <x:v>No qualifying BBC relationship</x:v>
      </x:c>
      <x:c r="AO820" s="14" t="str">
        <x:v>No</x:v>
      </x:c>
      <x:c r="AP820" s="14" t="str">
        <x:v>Out of scope</x:v>
      </x:c>
      <x:c r="AQ820" s="14" t="str">
        <x:v>No</x:v>
      </x:c>
      <x:c r="AR820" s="14" t="str">
        <x:v>Resolved from master register</x:v>
      </x:c>
      <x:c r="AS820" s="14" t="str">
        <x:v>No established-register match</x:v>
      </x:c>
      <x:c r="AT820" s="14"/>
      <x:c r="AU820" s="14"/>
      <x:c r="AV820" s="14" t="str">
        <x:v>No established apparent-disability match</x:v>
      </x:c>
      <x:c r="AW820" s="14"/>
      <x:c r="AX820" s="14" t="str">
        <x:v>No</x:v>
      </x:c>
      <x:c r="AY820" s="14" t="str">
        <x:v>Unmatched</x:v>
      </x:c>
      <x:c r="AZ820" s="14" t="str">
        <x:v>Final supplied register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28</x:v>
      </x:c>
      <x:c r="BP820" s="14" t="str">
        <x:v>Maximum eligible IMDb cast-credit total (28), shared by 4 performer(s); not independently verified as a 2021-only episode total.</x:v>
      </x:c>
      <x:c r="BQ820" s="14" t="str">
        <x:v>Medium</x:v>
      </x:c>
      <x:c r="BR820" s="15" t="n">
        <x:v>1</x:v>
      </x:c>
      <x:c r="BS820" s="16" t="n">
        <x:v>0.03571428571428571</x:v>
      </x:c>
      <x:c r="BT820" s="14" t="str">
        <x:v>One episode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4" t="str">
        <x:v>HYPERLINK is not implemented. linkLocation=https://www.imdb.com/title/tt15499118/fullcredits/, friendlyName=Open source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tt15499118|nm17164267|fifi</x:v>
      </x:c>
      <x:c r="B821" s="14" t="str">
        <x:v>03</x:v>
      </x:c>
      <x:c r="C821" s="14" t="str">
        <x:v>2021_IMDb_Cast_Lists_Batch_03(1).xlsx</x:v>
      </x:c>
      <x:c r="D821" s="14" t="str">
        <x:v>The Madame Blanc Mysteries</x:v>
      </x:c>
      <x:c r="E821" s="14" t="n">
        <x:v>122</x:v>
      </x:c>
      <x:c r="F821" s="14" t="str">
        <x:v>The Madame Blanc Mysteries</x:v>
      </x:c>
      <x:c r="G821" s="14" t="str">
        <x:v>tt15499118</x:v>
      </x:c>
      <x:c r="H821" s="14" t="n">
        <x:v>2021</x:v>
      </x:c>
      <x:c r="I821" s="14" t="n">
        <x:v>2025</x:v>
      </x:c>
      <x:c r="J821" s="14" t="str">
        <x:v>Earlier-Production Carry-In Cohort</x:v>
      </x:c>
      <x:c r="K821" s="14" t="n">
        <x:v>2021</x:v>
      </x:c>
      <x:c r="L821" s="14" t="str">
        <x:v>Available from 2021 analysis</x:v>
      </x:c>
      <x:c r="M821" s="15" t="n">
        <x:v>115</x:v>
      </x:c>
      <x:c r="N821" s="14" t="str">
        <x:v>Marcella Teuma</x:v>
      </x:c>
      <x:c r="O821" s="14" t="str">
        <x:v>nm17164267</x:v>
      </x:c>
      <x:c r="P821" s="14" t="str">
        <x:v>Fifi</x:v>
      </x:c>
      <x:c r="Q821" s="15" t="n">
        <x:v>1</x:v>
      </x:c>
      <x:c r="R821" s="14" t="str">
        <x:v>2025</x:v>
      </x:c>
      <x:c r="S821" s="14" t="n">
        <x:v>2025</x:v>
      </x:c>
      <x:c r="T821" s="14" t="n">
        <x:v>2025</x:v>
      </x:c>
      <x:c r="U821" s="14" t="str">
        <x:v>Post-2021 casting excluded</x:v>
      </x:c>
      <x:c r="V821" s="14" t="str">
        <x:v>Earliest supplied year is 2025, later than the 2021 study year.</x:v>
      </x:c>
      <x:c r="W821" s="14"/>
      <x:c r="X821" s="14" t="str">
        <x:v>Included</x:v>
      </x:c>
      <x:c r="Y821" s="14"/>
      <x:c r="Z821" s="14" t="str">
        <x:v>The Madame Blanc Mysteries.docx</x:v>
      </x:c>
      <x:c r="AA821" s="14" t="str">
        <x:v>HYPERLINK is not implemented. linkLocation=https://www.imdb.com/title/tt15499118/fullcredits/, friendlyName=Open source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Channel 5 / 5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1" s="14" t="str">
        <x:v>No qualifying BBC relationship</x:v>
      </x:c>
      <x:c r="AO821" s="14" t="str">
        <x:v>No</x:v>
      </x:c>
      <x:c r="AP821" s="14" t="str">
        <x:v>Out of scope</x:v>
      </x:c>
      <x:c r="AQ821" s="14" t="str">
        <x:v>No</x:v>
      </x:c>
      <x:c r="AR821" s="14" t="str">
        <x:v>Resolved from master register</x:v>
      </x:c>
      <x:c r="AS821" s="14" t="str">
        <x:v>No established-register match</x:v>
      </x:c>
      <x:c r="AT821" s="14"/>
      <x:c r="AU821" s="14"/>
      <x:c r="AV821" s="14" t="str">
        <x:v>No established apparent-disability match</x:v>
      </x:c>
      <x:c r="AW821" s="14"/>
      <x:c r="AX821" s="14" t="str">
        <x:v>No</x:v>
      </x:c>
      <x:c r="AY821" s="14" t="str">
        <x:v>Unmatched</x:v>
      </x:c>
      <x:c r="AZ821" s="14" t="str">
        <x:v>Final supplied register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28</x:v>
      </x:c>
      <x:c r="BP821" s="14" t="str">
        <x:v>Maximum eligible IMDb cast-credit total (28), shared by 4 performer(s); not independently verified as a 2021-only episode total.</x:v>
      </x:c>
      <x:c r="BQ821" s="14" t="str">
        <x:v>Medium</x:v>
      </x:c>
      <x:c r="BR821" s="15" t="n">
        <x:v>1</x:v>
      </x:c>
      <x:c r="BS821" s="16" t="n">
        <x:v>0.03571428571428571</x:v>
      </x:c>
      <x:c r="BT821" s="14" t="str">
        <x:v>One episode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4" t="str">
        <x:v>HYPERLINK is not implemented. linkLocation=https://www.imdb.com/title/tt15499118/fullcredits/, friendlyName=Open source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tt15499118|nm3296197|mr. attard</x:v>
      </x:c>
      <x:c r="B822" s="14" t="str">
        <x:v>03</x:v>
      </x:c>
      <x:c r="C822" s="14" t="str">
        <x:v>2021_IMDb_Cast_Lists_Batch_03(1).xlsx</x:v>
      </x:c>
      <x:c r="D822" s="14" t="str">
        <x:v>The Madame Blanc Mysteries</x:v>
      </x:c>
      <x:c r="E822" s="14" t="n">
        <x:v>123</x:v>
      </x:c>
      <x:c r="F822" s="14" t="str">
        <x:v>The Madame Blanc Mysteries</x:v>
      </x:c>
      <x:c r="G822" s="14" t="str">
        <x:v>tt15499118</x:v>
      </x:c>
      <x:c r="H822" s="14" t="n">
        <x:v>2021</x:v>
      </x:c>
      <x:c r="I822" s="14" t="n">
        <x:v>2025</x:v>
      </x:c>
      <x:c r="J822" s="14" t="str">
        <x:v>Earlier-Production Carry-In Cohort</x:v>
      </x:c>
      <x:c r="K822" s="14" t="n">
        <x:v>2021</x:v>
      </x:c>
      <x:c r="L822" s="14" t="str">
        <x:v>Available from 2021 analysis</x:v>
      </x:c>
      <x:c r="M822" s="15" t="n">
        <x:v>116</x:v>
      </x:c>
      <x:c r="N822" s="14" t="str">
        <x:v>Charles Sammut</x:v>
      </x:c>
      <x:c r="O822" s="14" t="str">
        <x:v>nm3296197</x:v>
      </x:c>
      <x:c r="P822" s="14" t="str">
        <x:v>Mr. Attard</x:v>
      </x:c>
      <x:c r="Q822" s="15" t="n">
        <x:v>1</x:v>
      </x:c>
      <x:c r="R822" s="14" t="str">
        <x:v>2025</x:v>
      </x:c>
      <x:c r="S822" s="14" t="n">
        <x:v>2025</x:v>
      </x:c>
      <x:c r="T822" s="14" t="n">
        <x:v>2025</x:v>
      </x:c>
      <x:c r="U822" s="14" t="str">
        <x:v>Post-2021 casting excluded</x:v>
      </x:c>
      <x:c r="V822" s="14" t="str">
        <x:v>Earliest supplied year is 2025, later than the 2021 study year.</x:v>
      </x:c>
      <x:c r="W822" s="14"/>
      <x:c r="X822" s="14" t="str">
        <x:v>Included</x:v>
      </x:c>
      <x:c r="Y822" s="14" t="str">
        <x:v>(as Carmel Sammut)</x:v>
      </x:c>
      <x:c r="Z822" s="14" t="str">
        <x:v>The Madame Blanc Mysteries.docx</x:v>
      </x:c>
      <x:c r="AA822" s="14" t="str">
        <x:v>HYPERLINK is not implemented. linkLocation=https://www.imdb.com/title/tt15499118/fullcredits/, friendlyName=Open source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Channel 5 / 5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2" s="14" t="str">
        <x:v>No qualifying BBC relationship</x:v>
      </x:c>
      <x:c r="AO822" s="14" t="str">
        <x:v>No</x:v>
      </x:c>
      <x:c r="AP822" s="14" t="str">
        <x:v>Out of scope</x:v>
      </x:c>
      <x:c r="AQ822" s="14" t="str">
        <x:v>No</x:v>
      </x:c>
      <x:c r="AR822" s="14" t="str">
        <x:v>Resolved from master register</x:v>
      </x:c>
      <x:c r="AS822" s="14" t="str">
        <x:v>No established-register match</x:v>
      </x:c>
      <x:c r="AT822" s="14"/>
      <x:c r="AU822" s="14"/>
      <x:c r="AV822" s="14" t="str">
        <x:v>No established apparent-disability match</x:v>
      </x:c>
      <x:c r="AW822" s="14"/>
      <x:c r="AX822" s="14" t="str">
        <x:v>No</x:v>
      </x:c>
      <x:c r="AY822" s="14" t="str">
        <x:v>Unmatched</x:v>
      </x:c>
      <x:c r="AZ822" s="14" t="str">
        <x:v>Final supplied register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28</x:v>
      </x:c>
      <x:c r="BP822" s="14" t="str">
        <x:v>Maximum eligible IMDb cast-credit total (28), shared by 4 performer(s); not independently verified as a 2021-only episode total.</x:v>
      </x:c>
      <x:c r="BQ822" s="14" t="str">
        <x:v>Medium</x:v>
      </x:c>
      <x:c r="BR822" s="15" t="n">
        <x:v>1</x:v>
      </x:c>
      <x:c r="BS822" s="16" t="n">
        <x:v>0.03571428571428571</x:v>
      </x:c>
      <x:c r="BT822" s="14" t="str">
        <x:v>One episode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4" t="str">
        <x:v>HYPERLINK is not implemented. linkLocation=https://www.imdb.com/title/tt15499118/fullcredits/, friendlyName=Open source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tt15499118|nm0694459|marilyn feo</x:v>
      </x:c>
      <x:c r="B823" s="14" t="str">
        <x:v>03</x:v>
      </x:c>
      <x:c r="C823" s="14" t="str">
        <x:v>2021_IMDb_Cast_Lists_Batch_03(1).xlsx</x:v>
      </x:c>
      <x:c r="D823" s="14" t="str">
        <x:v>The Madame Blanc Mysteries</x:v>
      </x:c>
      <x:c r="E823" s="14" t="n">
        <x:v>131</x:v>
      </x:c>
      <x:c r="F823" s="14" t="str">
        <x:v>The Madame Blanc Mysteries</x:v>
      </x:c>
      <x:c r="G823" s="14" t="str">
        <x:v>tt15499118</x:v>
      </x:c>
      <x:c r="H823" s="14" t="n">
        <x:v>2021</x:v>
      </x:c>
      <x:c r="I823" s="14" t="n">
        <x:v>2025</x:v>
      </x:c>
      <x:c r="J823" s="14" t="str">
        <x:v>Earlier-Production Carry-In Cohort</x:v>
      </x:c>
      <x:c r="K823" s="14" t="n">
        <x:v>2021</x:v>
      </x:c>
      <x:c r="L823" s="14" t="str">
        <x:v>Available from 2021 analysis</x:v>
      </x:c>
      <x:c r="M823" s="15" t="n">
        <x:v>124</x:v>
      </x:c>
      <x:c r="N823" s="14" t="str">
        <x:v>Samantha Power</x:v>
      </x:c>
      <x:c r="O823" s="14" t="str">
        <x:v>nm0694459</x:v>
      </x:c>
      <x:c r="P823" s="14" t="str">
        <x:v>Marilyn Feo</x:v>
      </x:c>
      <x:c r="Q823" s="15" t="n">
        <x:v>1</x:v>
      </x:c>
      <x:c r="R823" s="14" t="str">
        <x:v>2025</x:v>
      </x:c>
      <x:c r="S823" s="14" t="n">
        <x:v>2025</x:v>
      </x:c>
      <x:c r="T823" s="14" t="n">
        <x:v>2025</x:v>
      </x:c>
      <x:c r="U823" s="14" t="str">
        <x:v>Post-2021 casting excluded</x:v>
      </x:c>
      <x:c r="V823" s="14" t="str">
        <x:v>Earliest supplied year is 2025, later than the 2021 study year.</x:v>
      </x:c>
      <x:c r="W823" s="14"/>
      <x:c r="X823" s="14" t="str">
        <x:v>Included</x:v>
      </x:c>
      <x:c r="Y823" s="14"/>
      <x:c r="Z823" s="14" t="str">
        <x:v>The Madame Blanc Mysteries.docx</x:v>
      </x:c>
      <x:c r="AA823" s="14" t="str">
        <x:v>HYPERLINK is not implemented. linkLocation=https://www.imdb.com/title/tt15499118/fullcredits/, friendlyName=Open source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Channel 5 / 5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3" s="14" t="str">
        <x:v>No qualifying BBC relationship</x:v>
      </x:c>
      <x:c r="AO823" s="14" t="str">
        <x:v>No</x:v>
      </x:c>
      <x:c r="AP823" s="14" t="str">
        <x:v>Out of scope</x:v>
      </x:c>
      <x:c r="AQ823" s="14" t="str">
        <x:v>No</x:v>
      </x:c>
      <x:c r="AR823" s="14" t="str">
        <x:v>Resolved from master register</x:v>
      </x:c>
      <x:c r="AS823" s="14" t="str">
        <x:v>No established-register match</x:v>
      </x:c>
      <x:c r="AT823" s="14"/>
      <x:c r="AU823" s="14"/>
      <x:c r="AV823" s="14" t="str">
        <x:v>No established apparent-disability match</x:v>
      </x:c>
      <x:c r="AW823" s="14"/>
      <x:c r="AX823" s="14" t="str">
        <x:v>No</x:v>
      </x:c>
      <x:c r="AY823" s="14" t="str">
        <x:v>Unmatched</x:v>
      </x:c>
      <x:c r="AZ823" s="14" t="str">
        <x:v>Final supplied register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28</x:v>
      </x:c>
      <x:c r="BP823" s="14" t="str">
        <x:v>Maximum eligible IMDb cast-credit total (28), shared by 4 performer(s); not independently verified as a 2021-only episode total.</x:v>
      </x:c>
      <x:c r="BQ823" s="14" t="str">
        <x:v>Medium</x:v>
      </x:c>
      <x:c r="BR823" s="15" t="n">
        <x:v>1</x:v>
      </x:c>
      <x:c r="BS823" s="16" t="n">
        <x:v>0.03571428571428571</x:v>
      </x:c>
      <x:c r="BT823" s="14" t="str">
        <x:v>One episode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4" t="str">
        <x:v>HYPERLINK is not implemented. linkLocation=https://www.imdb.com/title/tt15499118/fullcredits/, friendlyName=Open source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tt15499118|nm4223008|yves condu</x:v>
      </x:c>
      <x:c r="B824" s="14" t="str">
        <x:v>03</x:v>
      </x:c>
      <x:c r="C824" s="14" t="str">
        <x:v>2021_IMDb_Cast_Lists_Batch_03(1).xlsx</x:v>
      </x:c>
      <x:c r="D824" s="14" t="str">
        <x:v>The Madame Blanc Mysteries</x:v>
      </x:c>
      <x:c r="E824" s="14" t="n">
        <x:v>132</x:v>
      </x:c>
      <x:c r="F824" s="14" t="str">
        <x:v>The Madame Blanc Mysteries</x:v>
      </x:c>
      <x:c r="G824" s="14" t="str">
        <x:v>tt15499118</x:v>
      </x:c>
      <x:c r="H824" s="14" t="n">
        <x:v>2021</x:v>
      </x:c>
      <x:c r="I824" s="14" t="n">
        <x:v>2025</x:v>
      </x:c>
      <x:c r="J824" s="14" t="str">
        <x:v>Earlier-Production Carry-In Cohort</x:v>
      </x:c>
      <x:c r="K824" s="14" t="n">
        <x:v>2021</x:v>
      </x:c>
      <x:c r="L824" s="14" t="str">
        <x:v>Available from 2021 analysis</x:v>
      </x:c>
      <x:c r="M824" s="15" t="n">
        <x:v>125</x:v>
      </x:c>
      <x:c r="N824" s="14" t="str">
        <x:v>Thierry Picaut</x:v>
      </x:c>
      <x:c r="O824" s="14" t="str">
        <x:v>nm4223008</x:v>
      </x:c>
      <x:c r="P824" s="14" t="str">
        <x:v>Yves Condu</x:v>
      </x:c>
      <x:c r="Q824" s="15" t="n">
        <x:v>1</x:v>
      </x:c>
      <x:c r="R824" s="14" t="str">
        <x:v>2025</x:v>
      </x:c>
      <x:c r="S824" s="14" t="n">
        <x:v>2025</x:v>
      </x:c>
      <x:c r="T824" s="14" t="n">
        <x:v>2025</x:v>
      </x:c>
      <x:c r="U824" s="14" t="str">
        <x:v>Post-2021 casting excluded</x:v>
      </x:c>
      <x:c r="V824" s="14" t="str">
        <x:v>Earliest supplied year is 2025, later than the 2021 study year.</x:v>
      </x:c>
      <x:c r="W824" s="14"/>
      <x:c r="X824" s="14" t="str">
        <x:v>Included</x:v>
      </x:c>
      <x:c r="Y824" s="14"/>
      <x:c r="Z824" s="14" t="str">
        <x:v>The Madame Blanc Mysteries.docx</x:v>
      </x:c>
      <x:c r="AA824" s="14" t="str">
        <x:v>HYPERLINK is not implemented. linkLocation=https://www.imdb.com/title/tt15499118/fullcredits/, friendlyName=Open source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Channel 5 / 5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4" s="14" t="str">
        <x:v>No qualifying BBC relationship</x:v>
      </x:c>
      <x:c r="AO824" s="14" t="str">
        <x:v>No</x:v>
      </x:c>
      <x:c r="AP824" s="14" t="str">
        <x:v>Out of scope</x:v>
      </x:c>
      <x:c r="AQ824" s="14" t="str">
        <x:v>No</x:v>
      </x:c>
      <x:c r="AR824" s="14" t="str">
        <x:v>Resolved from master register</x:v>
      </x:c>
      <x:c r="AS824" s="14" t="str">
        <x:v>No established-register match</x:v>
      </x:c>
      <x:c r="AT824" s="14"/>
      <x:c r="AU824" s="14"/>
      <x:c r="AV824" s="14" t="str">
        <x:v>No established apparent-disability match</x:v>
      </x:c>
      <x:c r="AW824" s="14"/>
      <x:c r="AX824" s="14" t="str">
        <x:v>No</x:v>
      </x:c>
      <x:c r="AY824" s="14" t="str">
        <x:v>Unmatched</x:v>
      </x:c>
      <x:c r="AZ824" s="14" t="str">
        <x:v>Final supplied register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28</x:v>
      </x:c>
      <x:c r="BP824" s="14" t="str">
        <x:v>Maximum eligible IMDb cast-credit total (28), shared by 4 performer(s); not independently verified as a 2021-only episode total.</x:v>
      </x:c>
      <x:c r="BQ824" s="14" t="str">
        <x:v>Medium</x:v>
      </x:c>
      <x:c r="BR824" s="15" t="n">
        <x:v>1</x:v>
      </x:c>
      <x:c r="BS824" s="16" t="n">
        <x:v>0.03571428571428571</x:v>
      </x:c>
      <x:c r="BT824" s="14" t="str">
        <x:v>One episode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4" t="str">
        <x:v>HYPERLINK is not implemented. linkLocation=https://www.imdb.com/title/tt15499118/fullcredits/, friendlyName=Open source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tt15499118|nm1042014|mrs. attard</x:v>
      </x:c>
      <x:c r="B825" s="14" t="str">
        <x:v>03</x:v>
      </x:c>
      <x:c r="C825" s="14" t="str">
        <x:v>2021_IMDb_Cast_Lists_Batch_03(1).xlsx</x:v>
      </x:c>
      <x:c r="D825" s="14" t="str">
        <x:v>The Madame Blanc Mysteries</x:v>
      </x:c>
      <x:c r="E825" s="14" t="n">
        <x:v>137</x:v>
      </x:c>
      <x:c r="F825" s="14" t="str">
        <x:v>The Madame Blanc Mysteries</x:v>
      </x:c>
      <x:c r="G825" s="14" t="str">
        <x:v>tt15499118</x:v>
      </x:c>
      <x:c r="H825" s="14" t="n">
        <x:v>2021</x:v>
      </x:c>
      <x:c r="I825" s="14" t="n">
        <x:v>2025</x:v>
      </x:c>
      <x:c r="J825" s="14" t="str">
        <x:v>Earlier-Production Carry-In Cohort</x:v>
      </x:c>
      <x:c r="K825" s="14" t="n">
        <x:v>2021</x:v>
      </x:c>
      <x:c r="L825" s="14" t="str">
        <x:v>Available from 2021 analysis</x:v>
      </x:c>
      <x:c r="M825" s="15" t="n">
        <x:v>130</x:v>
      </x:c>
      <x:c r="N825" s="14" t="str">
        <x:v>Pia Zammit</x:v>
      </x:c>
      <x:c r="O825" s="14" t="str">
        <x:v>nm1042014</x:v>
      </x:c>
      <x:c r="P825" s="14" t="str">
        <x:v>Mrs. Attard</x:v>
      </x:c>
      <x:c r="Q825" s="15" t="n">
        <x:v>1</x:v>
      </x:c>
      <x:c r="R825" s="14" t="str">
        <x:v>2025</x:v>
      </x:c>
      <x:c r="S825" s="14" t="n">
        <x:v>2025</x:v>
      </x:c>
      <x:c r="T825" s="14" t="n">
        <x:v>2025</x:v>
      </x:c>
      <x:c r="U825" s="14" t="str">
        <x:v>Post-2021 casting excluded</x:v>
      </x:c>
      <x:c r="V825" s="14" t="str">
        <x:v>Earliest supplied year is 2025, later than the 2021 study year.</x:v>
      </x:c>
      <x:c r="W825" s="14"/>
      <x:c r="X825" s="14" t="str">
        <x:v>Included</x:v>
      </x:c>
      <x:c r="Y825" s="14"/>
      <x:c r="Z825" s="14" t="str">
        <x:v>The Madame Blanc Mysteries.docx</x:v>
      </x:c>
      <x:c r="AA825" s="14" t="str">
        <x:v>HYPERLINK is not implemented. linkLocation=https://www.imdb.com/title/tt15499118/fullcredits/, friendlyName=Open source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Channel 5 / 5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5" s="14" t="str">
        <x:v>No qualifying BBC relationship</x:v>
      </x:c>
      <x:c r="AO825" s="14" t="str">
        <x:v>No</x:v>
      </x:c>
      <x:c r="AP825" s="14" t="str">
        <x:v>Out of scope</x:v>
      </x:c>
      <x:c r="AQ825" s="14" t="str">
        <x:v>No</x:v>
      </x:c>
      <x:c r="AR825" s="14" t="str">
        <x:v>Resolved from master register</x:v>
      </x:c>
      <x:c r="AS825" s="14" t="str">
        <x:v>No established-register match</x:v>
      </x:c>
      <x:c r="AT825" s="14"/>
      <x:c r="AU825" s="14"/>
      <x:c r="AV825" s="14" t="str">
        <x:v>No established apparent-disability match</x:v>
      </x:c>
      <x:c r="AW825" s="14"/>
      <x:c r="AX825" s="14" t="str">
        <x:v>No</x:v>
      </x:c>
      <x:c r="AY825" s="14" t="str">
        <x:v>Unmatched</x:v>
      </x:c>
      <x:c r="AZ825" s="14" t="str">
        <x:v>Final supplied register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28</x:v>
      </x:c>
      <x:c r="BP825" s="14" t="str">
        <x:v>Maximum eligible IMDb cast-credit total (28), shared by 4 performer(s); not independently verified as a 2021-only episode total.</x:v>
      </x:c>
      <x:c r="BQ825" s="14" t="str">
        <x:v>Medium</x:v>
      </x:c>
      <x:c r="BR825" s="15" t="n">
        <x:v>1</x:v>
      </x:c>
      <x:c r="BS825" s="16" t="n">
        <x:v>0.03571428571428571</x:v>
      </x:c>
      <x:c r="BT825" s="14" t="str">
        <x:v>One episode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4" t="str">
        <x:v>HYPERLINK is not implemented. linkLocation=https://www.imdb.com/title/tt15499118/fullcredits/, friendlyName=Open source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tt15499118|nm11782525|ines</x:v>
      </x:c>
      <x:c r="B826" s="14" t="str">
        <x:v>03</x:v>
      </x:c>
      <x:c r="C826" s="14" t="str">
        <x:v>2021_IMDb_Cast_Lists_Batch_03(1).xlsx</x:v>
      </x:c>
      <x:c r="D826" s="14" t="str">
        <x:v>The Madame Blanc Mysteries</x:v>
      </x:c>
      <x:c r="E826" s="14" t="n">
        <x:v>138</x:v>
      </x:c>
      <x:c r="F826" s="14" t="str">
        <x:v>The Madame Blanc Mysteries</x:v>
      </x:c>
      <x:c r="G826" s="14" t="str">
        <x:v>tt15499118</x:v>
      </x:c>
      <x:c r="H826" s="14" t="n">
        <x:v>2021</x:v>
      </x:c>
      <x:c r="I826" s="14" t="n">
        <x:v>2025</x:v>
      </x:c>
      <x:c r="J826" s="14" t="str">
        <x:v>Earlier-Production Carry-In Cohort</x:v>
      </x:c>
      <x:c r="K826" s="14" t="n">
        <x:v>2021</x:v>
      </x:c>
      <x:c r="L826" s="14" t="str">
        <x:v>Available from 2021 analysis</x:v>
      </x:c>
      <x:c r="M826" s="15" t="n">
        <x:v>131</x:v>
      </x:c>
      <x:c r="N826" s="14" t="str">
        <x:v>Annabelle Williams</x:v>
      </x:c>
      <x:c r="O826" s="14" t="str">
        <x:v>nm11782525</x:v>
      </x:c>
      <x:c r="P826" s="14" t="str">
        <x:v>Ines</x:v>
      </x:c>
      <x:c r="Q826" s="15" t="n">
        <x:v>1</x:v>
      </x:c>
      <x:c r="R826" s="14" t="str">
        <x:v>2025</x:v>
      </x:c>
      <x:c r="S826" s="14" t="n">
        <x:v>2025</x:v>
      </x:c>
      <x:c r="T826" s="14" t="n">
        <x:v>2025</x:v>
      </x:c>
      <x:c r="U826" s="14" t="str">
        <x:v>Post-2021 casting excluded</x:v>
      </x:c>
      <x:c r="V826" s="14" t="str">
        <x:v>Earliest supplied year is 2025, later than the 2021 study year.</x:v>
      </x:c>
      <x:c r="W826" s="14"/>
      <x:c r="X826" s="14" t="str">
        <x:v>Included</x:v>
      </x:c>
      <x:c r="Y826" s="14"/>
      <x:c r="Z826" s="14" t="str">
        <x:v>The Madame Blanc Mysteries.docx</x:v>
      </x:c>
      <x:c r="AA826" s="14" t="str">
        <x:v>HYPERLINK is not implemented. linkLocation=https://www.imdb.com/title/tt15499118/fullcredits/, friendlyName=Open source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Channel 5 / 5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6" s="14" t="str">
        <x:v>No qualifying BBC relationship</x:v>
      </x:c>
      <x:c r="AO826" s="14" t="str">
        <x:v>No</x:v>
      </x:c>
      <x:c r="AP826" s="14" t="str">
        <x:v>Out of scope</x:v>
      </x:c>
      <x:c r="AQ826" s="14" t="str">
        <x:v>No</x:v>
      </x:c>
      <x:c r="AR826" s="14" t="str">
        <x:v>Resolved from master register</x:v>
      </x:c>
      <x:c r="AS826" s="14" t="str">
        <x:v>No established-register match</x:v>
      </x:c>
      <x:c r="AT826" s="14"/>
      <x:c r="AU826" s="14"/>
      <x:c r="AV826" s="14" t="str">
        <x:v>No established apparent-disability match</x:v>
      </x:c>
      <x:c r="AW826" s="14"/>
      <x:c r="AX826" s="14" t="str">
        <x:v>No</x:v>
      </x:c>
      <x:c r="AY826" s="14" t="str">
        <x:v>Unmatched</x:v>
      </x:c>
      <x:c r="AZ826" s="14" t="str">
        <x:v>Final supplied register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28</x:v>
      </x:c>
      <x:c r="BP826" s="14" t="str">
        <x:v>Maximum eligible IMDb cast-credit total (28), shared by 4 performer(s); not independently verified as a 2021-only episode total.</x:v>
      </x:c>
      <x:c r="BQ826" s="14" t="str">
        <x:v>Medium</x:v>
      </x:c>
      <x:c r="BR826" s="15" t="n">
        <x:v>1</x:v>
      </x:c>
      <x:c r="BS826" s="16" t="n">
        <x:v>0.03571428571428571</x:v>
      </x:c>
      <x:c r="BT826" s="14" t="str">
        <x:v>One episode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4" t="str">
        <x:v>HYPERLINK is not implemented. linkLocation=https://www.imdb.com/title/tt15499118/fullcredits/, friendlyName=Open source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tt15499118|nm15183311|gaynor</x:v>
      </x:c>
      <x:c r="B827" s="14" t="str">
        <x:v>03</x:v>
      </x:c>
      <x:c r="C827" s="14" t="str">
        <x:v>2021_IMDb_Cast_Lists_Batch_03(1).xlsx</x:v>
      </x:c>
      <x:c r="D827" s="14" t="str">
        <x:v>The Madame Blanc Mysteries</x:v>
      </x:c>
      <x:c r="E827" s="14" t="n">
        <x:v>139</x:v>
      </x:c>
      <x:c r="F827" s="14" t="str">
        <x:v>The Madame Blanc Mysteries</x:v>
      </x:c>
      <x:c r="G827" s="14" t="str">
        <x:v>tt15499118</x:v>
      </x:c>
      <x:c r="H827" s="14" t="n">
        <x:v>2021</x:v>
      </x:c>
      <x:c r="I827" s="14" t="n">
        <x:v>2025</x:v>
      </x:c>
      <x:c r="J827" s="14" t="str">
        <x:v>Earlier-Production Carry-In Cohort</x:v>
      </x:c>
      <x:c r="K827" s="14" t="n">
        <x:v>2021</x:v>
      </x:c>
      <x:c r="L827" s="14" t="str">
        <x:v>Available from 2021 analysis</x:v>
      </x:c>
      <x:c r="M827" s="15" t="n">
        <x:v>132</x:v>
      </x:c>
      <x:c r="N827" s="14" t="str">
        <x:v>Marelyn Pielago</x:v>
      </x:c>
      <x:c r="O827" s="14" t="str">
        <x:v>nm15183311</x:v>
      </x:c>
      <x:c r="P827" s="14" t="str">
        <x:v>Gaynor</x:v>
      </x:c>
      <x:c r="Q827" s="15" t="n">
        <x:v>1</x:v>
      </x:c>
      <x:c r="R827" s="14" t="str">
        <x:v>2025</x:v>
      </x:c>
      <x:c r="S827" s="14" t="n">
        <x:v>2025</x:v>
      </x:c>
      <x:c r="T827" s="14" t="n">
        <x:v>2025</x:v>
      </x:c>
      <x:c r="U827" s="14" t="str">
        <x:v>Post-2021 casting excluded</x:v>
      </x:c>
      <x:c r="V827" s="14" t="str">
        <x:v>Earliest supplied year is 2025, later than the 2021 study year.</x:v>
      </x:c>
      <x:c r="W827" s="14"/>
      <x:c r="X827" s="14" t="str">
        <x:v>Included</x:v>
      </x:c>
      <x:c r="Y827" s="14"/>
      <x:c r="Z827" s="14" t="str">
        <x:v>The Madame Blanc Mysteries.docx</x:v>
      </x:c>
      <x:c r="AA827" s="14" t="str">
        <x:v>HYPERLINK is not implemented. linkLocation=https://www.imdb.com/title/tt15499118/fullcredits/, friendlyName=Open source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Channel 5 / 5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7" s="14" t="str">
        <x:v>No qualifying BBC relationship</x:v>
      </x:c>
      <x:c r="AO827" s="14" t="str">
        <x:v>No</x:v>
      </x:c>
      <x:c r="AP827" s="14" t="str">
        <x:v>Out of scope</x:v>
      </x:c>
      <x:c r="AQ827" s="14" t="str">
        <x:v>No</x:v>
      </x:c>
      <x:c r="AR827" s="14" t="str">
        <x:v>Resolved from master register</x:v>
      </x:c>
      <x:c r="AS827" s="14" t="str">
        <x:v>No established-register match</x:v>
      </x:c>
      <x:c r="AT827" s="14"/>
      <x:c r="AU827" s="14"/>
      <x:c r="AV827" s="14" t="str">
        <x:v>No established apparent-disability match</x:v>
      </x:c>
      <x:c r="AW827" s="14"/>
      <x:c r="AX827" s="14" t="str">
        <x:v>No</x:v>
      </x:c>
      <x:c r="AY827" s="14" t="str">
        <x:v>Unmatched</x:v>
      </x:c>
      <x:c r="AZ827" s="14" t="str">
        <x:v>Final supplied register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28</x:v>
      </x:c>
      <x:c r="BP827" s="14" t="str">
        <x:v>Maximum eligible IMDb cast-credit total (28), shared by 4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0.03571428571428571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4" t="str">
        <x:v>HYPERLINK is not implemented. linkLocation=https://www.imdb.com/title/tt15499118/fullcredits/, friendlyName=Open source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tt15499118|nm0861027|george alfonse</x:v>
      </x:c>
      <x:c r="B828" s="14" t="str">
        <x:v>03</x:v>
      </x:c>
      <x:c r="C828" s="14" t="str">
        <x:v>2021_IMDb_Cast_Lists_Batch_03(1).xlsx</x:v>
      </x:c>
      <x:c r="D828" s="14" t="str">
        <x:v>The Madame Blanc Mysteries</x:v>
      </x:c>
      <x:c r="E828" s="14" t="n">
        <x:v>144</x:v>
      </x:c>
      <x:c r="F828" s="14" t="str">
        <x:v>The Madame Blanc Mysteries</x:v>
      </x:c>
      <x:c r="G828" s="14" t="str">
        <x:v>tt15499118</x:v>
      </x:c>
      <x:c r="H828" s="14" t="n">
        <x:v>2021</x:v>
      </x:c>
      <x:c r="I828" s="14" t="n">
        <x:v>2025</x:v>
      </x:c>
      <x:c r="J828" s="14" t="str">
        <x:v>Earlier-Production Carry-In Cohort</x:v>
      </x:c>
      <x:c r="K828" s="14" t="n">
        <x:v>2021</x:v>
      </x:c>
      <x:c r="L828" s="14" t="str">
        <x:v>Available from 2021 analysis</x:v>
      </x:c>
      <x:c r="M828" s="15" t="n">
        <x:v>137</x:v>
      </x:c>
      <x:c r="N828" s="14" t="str">
        <x:v>John Thomson</x:v>
      </x:c>
      <x:c r="O828" s="14" t="str">
        <x:v>nm0861027</x:v>
      </x:c>
      <x:c r="P828" s="14" t="str">
        <x:v>George Alfonse</x:v>
      </x:c>
      <x:c r="Q828" s="15" t="n">
        <x:v>1</x:v>
      </x:c>
      <x:c r="R828" s="14" t="str">
        <x:v>2025</x:v>
      </x:c>
      <x:c r="S828" s="14" t="n">
        <x:v>2025</x:v>
      </x:c>
      <x:c r="T828" s="14" t="n">
        <x:v>2025</x:v>
      </x:c>
      <x:c r="U828" s="14" t="str">
        <x:v>Post-2021 casting excluded</x:v>
      </x:c>
      <x:c r="V828" s="14" t="str">
        <x:v>Earliest supplied year is 2025, later than the 2021 study year.</x:v>
      </x:c>
      <x:c r="W828" s="14"/>
      <x:c r="X828" s="14" t="str">
        <x:v>Included</x:v>
      </x:c>
      <x:c r="Y828" s="14"/>
      <x:c r="Z828" s="14" t="str">
        <x:v>The Madame Blanc Mysteries.docx</x:v>
      </x:c>
      <x:c r="AA828" s="14" t="str">
        <x:v>HYPERLINK is not implemented. linkLocation=https://www.imdb.com/title/tt15499118/fullcredits/, friendlyName=Open source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Channel 5 / 5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8" s="14" t="str">
        <x:v>No qualifying BBC relationship</x:v>
      </x:c>
      <x:c r="AO828" s="14" t="str">
        <x:v>No</x:v>
      </x:c>
      <x:c r="AP828" s="14" t="str">
        <x:v>Out of scope</x:v>
      </x:c>
      <x:c r="AQ828" s="14" t="str">
        <x:v>No</x:v>
      </x:c>
      <x:c r="AR828" s="14" t="str">
        <x:v>Resolved from master register</x:v>
      </x:c>
      <x:c r="AS828" s="14" t="str">
        <x:v>No established-register match</x:v>
      </x:c>
      <x:c r="AT828" s="14"/>
      <x:c r="AU828" s="14"/>
      <x:c r="AV828" s="14" t="str">
        <x:v>No established apparent-disability match</x:v>
      </x:c>
      <x:c r="AW828" s="14"/>
      <x:c r="AX828" s="14" t="str">
        <x:v>No</x:v>
      </x:c>
      <x:c r="AY828" s="14" t="str">
        <x:v>Unmatched</x:v>
      </x:c>
      <x:c r="AZ828" s="14" t="str">
        <x:v>Final supplied register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28</x:v>
      </x:c>
      <x:c r="BP828" s="14" t="str">
        <x:v>Maximum eligible IMDb cast-credit total (28), shared by 4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0.03571428571428571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4" t="str">
        <x:v>HYPERLINK is not implemented. linkLocation=https://www.imdb.com/title/tt15499118/fullcredits/, friendlyName=Open source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tt15499118|nm7111262|nellie ocase</x:v>
      </x:c>
      <x:c r="B829" s="14" t="str">
        <x:v>03</x:v>
      </x:c>
      <x:c r="C829" s="14" t="str">
        <x:v>2021_IMDb_Cast_Lists_Batch_03(1).xlsx</x:v>
      </x:c>
      <x:c r="D829" s="14" t="str">
        <x:v>The Madame Blanc Mysteries</x:v>
      </x:c>
      <x:c r="E829" s="14" t="n">
        <x:v>145</x:v>
      </x:c>
      <x:c r="F829" s="14" t="str">
        <x:v>The Madame Blanc Mysteries</x:v>
      </x:c>
      <x:c r="G829" s="14" t="str">
        <x:v>tt15499118</x:v>
      </x:c>
      <x:c r="H829" s="14" t="n">
        <x:v>2021</x:v>
      </x:c>
      <x:c r="I829" s="14" t="n">
        <x:v>2025</x:v>
      </x:c>
      <x:c r="J829" s="14" t="str">
        <x:v>Earlier-Production Carry-In Cohort</x:v>
      </x:c>
      <x:c r="K829" s="14" t="n">
        <x:v>2021</x:v>
      </x:c>
      <x:c r="L829" s="14" t="str">
        <x:v>Available from 2021 analysis</x:v>
      </x:c>
      <x:c r="M829" s="15" t="n">
        <x:v>138</x:v>
      </x:c>
      <x:c r="N829" s="14" t="str">
        <x:v>Tegen Short</x:v>
      </x:c>
      <x:c r="O829" s="14" t="str">
        <x:v>nm7111262</x:v>
      </x:c>
      <x:c r="P829" s="14" t="str">
        <x:v>Nellie Ocase</x:v>
      </x:c>
      <x:c r="Q829" s="15" t="n">
        <x:v>1</x:v>
      </x:c>
      <x:c r="R829" s="14" t="str">
        <x:v>2025</x:v>
      </x:c>
      <x:c r="S829" s="14" t="n">
        <x:v>2025</x:v>
      </x:c>
      <x:c r="T829" s="14" t="n">
        <x:v>2025</x:v>
      </x:c>
      <x:c r="U829" s="14" t="str">
        <x:v>Post-2021 casting excluded</x:v>
      </x:c>
      <x:c r="V829" s="14" t="str">
        <x:v>Earliest supplied year is 2025, later than the 2021 study year.</x:v>
      </x:c>
      <x:c r="W829" s="14"/>
      <x:c r="X829" s="14" t="str">
        <x:v>Included</x:v>
      </x:c>
      <x:c r="Y829" s="14"/>
      <x:c r="Z829" s="14" t="str">
        <x:v>The Madame Blanc Mysteries.docx</x:v>
      </x:c>
      <x:c r="AA829" s="14" t="str">
        <x:v>HYPERLINK is not implemented. linkLocation=https://www.imdb.com/title/tt15499118/fullcredits/, friendlyName=Open source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Channel 5 / 5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29" s="14" t="str">
        <x:v>No qualifying BBC relationship</x:v>
      </x:c>
      <x:c r="AO829" s="14" t="str">
        <x:v>No</x:v>
      </x:c>
      <x:c r="AP829" s="14" t="str">
        <x:v>Out of scope</x:v>
      </x:c>
      <x:c r="AQ829" s="14" t="str">
        <x:v>No</x:v>
      </x:c>
      <x:c r="AR829" s="14" t="str">
        <x:v>Resolved from master register</x:v>
      </x:c>
      <x:c r="AS829" s="14" t="str">
        <x:v>No established-register match</x:v>
      </x:c>
      <x:c r="AT829" s="14"/>
      <x:c r="AU829" s="14"/>
      <x:c r="AV829" s="14" t="str">
        <x:v>No established apparent-disability match</x:v>
      </x:c>
      <x:c r="AW829" s="14"/>
      <x:c r="AX829" s="14" t="str">
        <x:v>No</x:v>
      </x:c>
      <x:c r="AY829" s="14" t="str">
        <x:v>Unmatched</x:v>
      </x:c>
      <x:c r="AZ829" s="14" t="str">
        <x:v>Final supplied register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28</x:v>
      </x:c>
      <x:c r="BP829" s="14" t="str">
        <x:v>Maximum eligible IMDb cast-credit total (28), shared by 4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0.03571428571428571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4" t="str">
        <x:v>HYPERLINK is not implemented. linkLocation=https://www.imdb.com/title/tt15499118/fullcredits/, friendlyName=Open source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tt15499118|nm12415996|suzanne</x:v>
      </x:c>
      <x:c r="B830" s="14" t="str">
        <x:v>03</x:v>
      </x:c>
      <x:c r="C830" s="14" t="str">
        <x:v>2021_IMDb_Cast_Lists_Batch_03(1).xlsx</x:v>
      </x:c>
      <x:c r="D830" s="14" t="str">
        <x:v>The Madame Blanc Mysteries</x:v>
      </x:c>
      <x:c r="E830" s="14" t="n">
        <x:v>147</x:v>
      </x:c>
      <x:c r="F830" s="14" t="str">
        <x:v>The Madame Blanc Mysteries</x:v>
      </x:c>
      <x:c r="G830" s="14" t="str">
        <x:v>tt15499118</x:v>
      </x:c>
      <x:c r="H830" s="14" t="n">
        <x:v>2021</x:v>
      </x:c>
      <x:c r="I830" s="14" t="n">
        <x:v>2025</x:v>
      </x:c>
      <x:c r="J830" s="14" t="str">
        <x:v>Earlier-Production Carry-In Cohort</x:v>
      </x:c>
      <x:c r="K830" s="14" t="n">
        <x:v>2021</x:v>
      </x:c>
      <x:c r="L830" s="14" t="str">
        <x:v>Available from 2021 analysis</x:v>
      </x:c>
      <x:c r="M830" s="15" t="n">
        <x:v>140</x:v>
      </x:c>
      <x:c r="N830" s="14" t="str">
        <x:v>Marta Vella</x:v>
      </x:c>
      <x:c r="O830" s="14" t="str">
        <x:v>nm12415996</x:v>
      </x:c>
      <x:c r="P830" s="14" t="str">
        <x:v>Suzanne</x:v>
      </x:c>
      <x:c r="Q830" s="15" t="n">
        <x:v>1</x:v>
      </x:c>
      <x:c r="R830" s="14" t="str">
        <x:v>2025</x:v>
      </x:c>
      <x:c r="S830" s="14" t="n">
        <x:v>2025</x:v>
      </x:c>
      <x:c r="T830" s="14" t="n">
        <x:v>2025</x:v>
      </x:c>
      <x:c r="U830" s="14" t="str">
        <x:v>Post-2021 casting excluded</x:v>
      </x:c>
      <x:c r="V830" s="14" t="str">
        <x:v>Earliest supplied year is 2025, later than the 2021 study year.</x:v>
      </x:c>
      <x:c r="W830" s="14"/>
      <x:c r="X830" s="14" t="str">
        <x:v>Included</x:v>
      </x:c>
      <x:c r="Y830" s="14"/>
      <x:c r="Z830" s="14" t="str">
        <x:v>The Madame Blanc Mysteries.docx</x:v>
      </x:c>
      <x:c r="AA830" s="14" t="str">
        <x:v>HYPERLINK is not implemented. linkLocation=https://www.imdb.com/title/tt15499118/fullcredits/, friendlyName=Open source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Channel 5 / 5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0" s="14" t="str">
        <x:v>No qualifying BBC relationship</x:v>
      </x:c>
      <x:c r="AO830" s="14" t="str">
        <x:v>No</x:v>
      </x:c>
      <x:c r="AP830" s="14" t="str">
        <x:v>Out of scope</x:v>
      </x:c>
      <x:c r="AQ830" s="14" t="str">
        <x:v>No</x:v>
      </x:c>
      <x:c r="AR830" s="14" t="str">
        <x:v>Resolved from master register</x:v>
      </x:c>
      <x:c r="AS830" s="14" t="str">
        <x:v>No established-register match</x:v>
      </x:c>
      <x:c r="AT830" s="14"/>
      <x:c r="AU830" s="14"/>
      <x:c r="AV830" s="14" t="str">
        <x:v>No established apparent-disability match</x:v>
      </x:c>
      <x:c r="AW830" s="14"/>
      <x:c r="AX830" s="14" t="str">
        <x:v>No</x:v>
      </x:c>
      <x:c r="AY830" s="14" t="str">
        <x:v>Unmatched</x:v>
      </x:c>
      <x:c r="AZ830" s="14" t="str">
        <x:v>Final supplied register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28</x:v>
      </x:c>
      <x:c r="BP830" s="14" t="str">
        <x:v>Maximum eligible IMDb cast-credit total (28), shared by 4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0.03571428571428571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4" t="str">
        <x:v>HYPERLINK is not implemented. linkLocation=https://www.imdb.com/title/tt15499118/fullcredits/, friendlyName=Open source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tt15499118|nm1528671|sangita pardeep</x:v>
      </x:c>
      <x:c r="B831" s="14" t="str">
        <x:v>03</x:v>
      </x:c>
      <x:c r="C831" s="14" t="str">
        <x:v>2021_IMDb_Cast_Lists_Batch_03(1).xlsx</x:v>
      </x:c>
      <x:c r="D831" s="14" t="str">
        <x:v>The Madame Blanc Mysteries</x:v>
      </x:c>
      <x:c r="E831" s="14" t="n">
        <x:v>148</x:v>
      </x:c>
      <x:c r="F831" s="14" t="str">
        <x:v>The Madame Blanc Mysteries</x:v>
      </x:c>
      <x:c r="G831" s="14" t="str">
        <x:v>tt15499118</x:v>
      </x:c>
      <x:c r="H831" s="14" t="n">
        <x:v>2021</x:v>
      </x:c>
      <x:c r="I831" s="14" t="n">
        <x:v>2025</x:v>
      </x:c>
      <x:c r="J831" s="14" t="str">
        <x:v>Earlier-Production Carry-In Cohort</x:v>
      </x:c>
      <x:c r="K831" s="14" t="n">
        <x:v>2021</x:v>
      </x:c>
      <x:c r="L831" s="14" t="str">
        <x:v>Available from 2021 analysis</x:v>
      </x:c>
      <x:c r="M831" s="15" t="n">
        <x:v>141</x:v>
      </x:c>
      <x:c r="N831" s="14" t="str">
        <x:v>Manjinder Virk</x:v>
      </x:c>
      <x:c r="O831" s="14" t="str">
        <x:v>nm1528671</x:v>
      </x:c>
      <x:c r="P831" s="14" t="str">
        <x:v>Sangita Pardeep</x:v>
      </x:c>
      <x:c r="Q831" s="15" t="n">
        <x:v>1</x:v>
      </x:c>
      <x:c r="R831" s="14" t="str">
        <x:v>2025</x:v>
      </x:c>
      <x:c r="S831" s="14" t="n">
        <x:v>2025</x:v>
      </x:c>
      <x:c r="T831" s="14" t="n">
        <x:v>2025</x:v>
      </x:c>
      <x:c r="U831" s="14" t="str">
        <x:v>Post-2021 casting excluded</x:v>
      </x:c>
      <x:c r="V831" s="14" t="str">
        <x:v>Earliest supplied year is 2025, later than the 2021 study year.</x:v>
      </x:c>
      <x:c r="W831" s="14"/>
      <x:c r="X831" s="14" t="str">
        <x:v>Included</x:v>
      </x:c>
      <x:c r="Y831" s="14"/>
      <x:c r="Z831" s="14" t="str">
        <x:v>The Madame Blanc Mysteries.docx</x:v>
      </x:c>
      <x:c r="AA831" s="14" t="str">
        <x:v>HYPERLINK is not implemented. linkLocation=https://www.imdb.com/title/tt15499118/fullcredits/, friendlyName=Open source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Channel 5 / 5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7" t="e">
        <x:f>HYPERLINK("https://en.wikipedia.org/wiki/The_Madame_Blanc_Mysteries","Open source")</x:f>
        <x:v>HYPERLINK is not implemented. linkLocation=https://en.wikipedia.org/wiki/The_Madame_Blanc_Mysteries, friendlyName=Open source</x:v>
      </x:c>
      <x:c r="AN831" s="14" t="str">
        <x:v>No qualifying BBC relationship</x:v>
      </x:c>
      <x:c r="AO831" s="14" t="str">
        <x:v>No</x:v>
      </x:c>
      <x:c r="AP831" s="14" t="str">
        <x:v>Out of scope</x:v>
      </x:c>
      <x:c r="AQ831" s="14" t="str">
        <x:v>No</x:v>
      </x:c>
      <x:c r="AR831" s="14" t="str">
        <x:v>Resolved from master register</x:v>
      </x:c>
      <x:c r="AS831" s="14" t="str">
        <x:v>No established-register match</x:v>
      </x:c>
      <x:c r="AT831" s="14"/>
      <x:c r="AU831" s="14"/>
      <x:c r="AV831" s="14" t="str">
        <x:v>No established apparent-disability match</x:v>
      </x:c>
      <x:c r="AW831" s="14"/>
      <x:c r="AX831" s="14" t="str">
        <x:v>No</x:v>
      </x:c>
      <x:c r="AY831" s="14" t="str">
        <x:v>Unmatched</x:v>
      </x:c>
      <x:c r="AZ831" s="14" t="str">
        <x:v>Final supplied register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28</x:v>
      </x:c>
      <x:c r="BP831" s="14" t="str">
        <x:v>Maximum eligible IMDb cast-credit total (28), shared by 4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0.03571428571428571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4" t="str">
        <x:v>HYPERLINK is not implemented. linkLocation=https://www.imdb.com/title/tt15499118/fullcredits/, friendlyName=Open source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6030f781c69f45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5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Post-2025 exclusion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557 records retained for audit but excluded from the five-year findings.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tt33305711|nm3743365|abs</x:v>
      </x:c>
      <x:c r="B6" s="14" t="str">
        <x:v>01</x:v>
      </x:c>
      <x:c r="C6" s="14" t="str">
        <x:v>2025_IMDb_Cast_Lists_Batch_01(1).xlsx</x:v>
      </x:c>
      <x:c r="D6" s="14" t="str">
        <x:v>Amandaland</x:v>
      </x:c>
      <x:c r="E6" s="14" t="n">
        <x:v>20</x:v>
      </x:c>
      <x:c r="F6" s="14" t="str">
        <x:v>Amandaland</x:v>
      </x:c>
      <x:c r="G6" s="14" t="str">
        <x:v>tt33305711</x:v>
      </x:c>
      <x:c r="H6" s="14" t="n">
        <x:v>2025</x:v>
      </x:c>
      <x:c r="I6" s="14" t="n">
        <x:v>2025</x:v>
      </x:c>
      <x:c r="J6" s="14" t="str">
        <x:v>Post-study cohort</x:v>
      </x:c>
      <x:c r="K6" s="14"/>
      <x:c r="L6" s="14" t="str">
        <x:v>Not inherited</x:v>
      </x:c>
      <x:c r="M6" s="15" t="n">
        <x:v>13</x:v>
      </x:c>
      <x:c r="N6" s="14" t="str">
        <x:v>Harriet Webb</x:v>
      </x:c>
      <x:c r="O6" s="14" t="str">
        <x:v>nm3743365</x:v>
      </x:c>
      <x:c r="P6" s="14" t="str">
        <x:v>Abs</x:v>
      </x:c>
      <x:c r="Q6" s="15" t="n">
        <x:v>6</x:v>
      </x:c>
      <x:c r="R6" s="14" t="str">
        <x:v>2026</x:v>
      </x:c>
      <x:c r="S6" s="14" t="n">
        <x:v>2026</x:v>
      </x:c>
      <x:c r="T6" s="14" t="n">
        <x:v>2026</x:v>
      </x:c>
      <x:c r="U6" s="14" t="str">
        <x:v>Explicit source first year retained</x:v>
      </x:c>
      <x:c r="V6" s="14" t="str">
        <x:v>Earliest supplied year is 2026.</x:v>
      </x:c>
      <x:c r="W6" s="14"/>
      <x:c r="X6" s="14" t="str">
        <x:v>Excluded: after 2025</x:v>
      </x:c>
      <x:c r="Y6" s="14"/>
      <x:c r="Z6" s="14" t="str">
        <x:v>Amandaland.docx</x:v>
      </x:c>
      <x:c r="AA6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7" t="e">
        <x:f>HYPERLINK("https://en.wikipedia.org/wiki/Amandaland","Open source")</x:f>
        <x:v>HYPERLINK is not implemented. linkLocation=https://en.wikipedia.org/wiki/Amandaland, friendlyName=Open source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13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0.46153846153846156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tt33305711|nm3053272|mr. hastings</x:v>
      </x:c>
      <x:c r="B7" s="14" t="str">
        <x:v>01</x:v>
      </x:c>
      <x:c r="C7" s="14" t="str">
        <x:v>2025_IMDb_Cast_Lists_Batch_01(1).xlsx</x:v>
      </x:c>
      <x:c r="D7" s="14" t="str">
        <x:v>Amandaland</x:v>
      </x:c>
      <x:c r="E7" s="14" t="n">
        <x:v>22</x:v>
      </x:c>
      <x:c r="F7" s="14" t="str">
        <x:v>Amandaland</x:v>
      </x:c>
      <x:c r="G7" s="14" t="str">
        <x:v>tt33305711</x:v>
      </x:c>
      <x:c r="H7" s="14" t="n">
        <x:v>2025</x:v>
      </x:c>
      <x:c r="I7" s="14" t="n">
        <x:v>2025</x:v>
      </x:c>
      <x:c r="J7" s="14" t="str">
        <x:v>Post-study cohort</x:v>
      </x:c>
      <x:c r="K7" s="14"/>
      <x:c r="L7" s="14" t="str">
        <x:v>Not inherited</x:v>
      </x:c>
      <x:c r="M7" s="15" t="n">
        <x:v>15</x:v>
      </x:c>
      <x:c r="N7" s="14" t="str">
        <x:v>Laurence Rickard</x:v>
      </x:c>
      <x:c r="O7" s="14" t="str">
        <x:v>nm3053272</x:v>
      </x:c>
      <x:c r="P7" s="14" t="str">
        <x:v>Mr. Hastings</x:v>
      </x:c>
      <x:c r="Q7" s="15" t="n">
        <x:v>3</x:v>
      </x:c>
      <x:c r="R7" s="14" t="str">
        <x:v>2026</x:v>
      </x:c>
      <x:c r="S7" s="14" t="n">
        <x:v>2026</x:v>
      </x:c>
      <x:c r="T7" s="14" t="n">
        <x:v>2026</x:v>
      </x:c>
      <x:c r="U7" s="14" t="str">
        <x:v>Explicit source first year retained</x:v>
      </x:c>
      <x:c r="V7" s="14" t="str">
        <x:v>Earliest supplied year is 2026.</x:v>
      </x:c>
      <x:c r="W7" s="14"/>
      <x:c r="X7" s="14" t="str">
        <x:v>Excluded: after 2025</x:v>
      </x:c>
      <x:c r="Y7" s="14"/>
      <x:c r="Z7" s="14" t="str">
        <x:v>Amandaland.docx</x:v>
      </x:c>
      <x:c r="AA7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7" t="e">
        <x:f>HYPERLINK("https://en.wikipedia.org/wiki/Amandaland","Open source")</x:f>
        <x:v>HYPERLINK is not implemented. linkLocation=https://en.wikipedia.org/wiki/Amandaland, friendlyName=Open source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13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3</x:v>
      </x:c>
      <x:c r="BS7" s="16" t="n">
        <x:v>0.23076923076923078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tt33305711|nm0274913|elspeth</x:v>
      </x:c>
      <x:c r="B8" s="14" t="str">
        <x:v>01</x:v>
      </x:c>
      <x:c r="C8" s="14" t="str">
        <x:v>2025_IMDb_Cast_Lists_Batch_01(1).xlsx</x:v>
      </x:c>
      <x:c r="D8" s="14" t="str">
        <x:v>Amandaland</x:v>
      </x:c>
      <x:c r="E8" s="14" t="n">
        <x:v>25</x:v>
      </x:c>
      <x:c r="F8" s="14" t="str">
        <x:v>Amandaland</x:v>
      </x:c>
      <x:c r="G8" s="14" t="str">
        <x:v>tt33305711</x:v>
      </x:c>
      <x:c r="H8" s="14" t="n">
        <x:v>2025</x:v>
      </x:c>
      <x:c r="I8" s="14" t="n">
        <x:v>2025</x:v>
      </x:c>
      <x:c r="J8" s="14" t="str">
        <x:v>Post-study cohort</x:v>
      </x:c>
      <x:c r="K8" s="14"/>
      <x:c r="L8" s="14" t="str">
        <x:v>Not inherited</x:v>
      </x:c>
      <x:c r="M8" s="15" t="n">
        <x:v>18</x:v>
      </x:c>
      <x:c r="N8" s="14" t="str">
        <x:v>Pam Ferris</x:v>
      </x:c>
      <x:c r="O8" s="14" t="str">
        <x:v>nm0274913</x:v>
      </x:c>
      <x:c r="P8" s="14" t="str">
        <x:v>Elspeth</x:v>
      </x:c>
      <x:c r="Q8" s="15" t="n">
        <x:v>1</x:v>
      </x:c>
      <x:c r="R8" s="14" t="str">
        <x:v>2026</x:v>
      </x:c>
      <x:c r="S8" s="14" t="n">
        <x:v>2026</x:v>
      </x:c>
      <x:c r="T8" s="14" t="n">
        <x:v>2026</x:v>
      </x:c>
      <x:c r="U8" s="14" t="str">
        <x:v>Explicit source first year retained</x:v>
      </x:c>
      <x:c r="V8" s="14" t="str">
        <x:v>Earliest supplied year is 2026.</x:v>
      </x:c>
      <x:c r="W8" s="14"/>
      <x:c r="X8" s="14" t="str">
        <x:v>Excluded: after 2025</x:v>
      </x:c>
      <x:c r="Y8" s="14"/>
      <x:c r="Z8" s="14" t="str">
        <x:v>Amandaland.docx</x:v>
      </x:c>
      <x:c r="AA8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7" t="e">
        <x:f>HYPERLINK("https://en.wikipedia.org/wiki/Amandaland","Open source")</x:f>
        <x:v>HYPERLINK is not implemented. linkLocation=https://en.wikipedia.org/wiki/Amandaland, friendlyName=Open source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13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1</x:v>
      </x:c>
      <x:c r="BS8" s="16" t="n">
        <x:v>0.07692307692307693</x:v>
      </x:c>
      <x:c r="BT8" s="14" t="str">
        <x:v>One episode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tt33305711|nm10433982|ellie</x:v>
      </x:c>
      <x:c r="B9" s="14" t="str">
        <x:v>01</x:v>
      </x:c>
      <x:c r="C9" s="14" t="str">
        <x:v>2025_IMDb_Cast_Lists_Batch_01(1).xlsx</x:v>
      </x:c>
      <x:c r="D9" s="14" t="str">
        <x:v>Amandaland</x:v>
      </x:c>
      <x:c r="E9" s="14" t="n">
        <x:v>26</x:v>
      </x:c>
      <x:c r="F9" s="14" t="str">
        <x:v>Amandaland</x:v>
      </x:c>
      <x:c r="G9" s="14" t="str">
        <x:v>tt33305711</x:v>
      </x:c>
      <x:c r="H9" s="14" t="n">
        <x:v>2025</x:v>
      </x:c>
      <x:c r="I9" s="14" t="n">
        <x:v>2025</x:v>
      </x:c>
      <x:c r="J9" s="14" t="str">
        <x:v>Post-study cohort</x:v>
      </x:c>
      <x:c r="K9" s="14"/>
      <x:c r="L9" s="14" t="str">
        <x:v>Not inherited</x:v>
      </x:c>
      <x:c r="M9" s="15" t="n">
        <x:v>19</x:v>
      </x:c>
      <x:c r="N9" s="14" t="str">
        <x:v>Juliette Motamed</x:v>
      </x:c>
      <x:c r="O9" s="14" t="str">
        <x:v>nm10433982</x:v>
      </x:c>
      <x:c r="P9" s="14" t="str">
        <x:v>Ellie</x:v>
      </x:c>
      <x:c r="Q9" s="15" t="n">
        <x:v>1</x:v>
      </x:c>
      <x:c r="R9" s="14" t="str">
        <x:v>2026</x:v>
      </x:c>
      <x:c r="S9" s="14" t="n">
        <x:v>2026</x:v>
      </x:c>
      <x:c r="T9" s="14" t="n">
        <x:v>2026</x:v>
      </x:c>
      <x:c r="U9" s="14" t="str">
        <x:v>Explicit source first year retained</x:v>
      </x:c>
      <x:c r="V9" s="14" t="str">
        <x:v>Earliest supplied year is 2026.</x:v>
      </x:c>
      <x:c r="W9" s="14"/>
      <x:c r="X9" s="14" t="str">
        <x:v>Excluded: after 2025</x:v>
      </x:c>
      <x:c r="Y9" s="14"/>
      <x:c r="Z9" s="14" t="str">
        <x:v>Amandaland.docx</x:v>
      </x:c>
      <x:c r="AA9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7" t="e">
        <x:f>HYPERLINK("https://en.wikipedia.org/wiki/Amandaland","Open source")</x:f>
        <x:v>HYPERLINK is not implemented. linkLocation=https://en.wikipedia.org/wiki/Amandaland, friendlyName=Open source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13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1</x:v>
      </x:c>
      <x:c r="BS9" s="16" t="n">
        <x:v>0.07692307692307693</x:v>
      </x:c>
      <x:c r="BT9" s="14" t="str">
        <x:v>One episode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tt33305711|nm0114482|hi-vis guy</x:v>
      </x:c>
      <x:c r="B10" s="14" t="str">
        <x:v>01</x:v>
      </x:c>
      <x:c r="C10" s="14" t="str">
        <x:v>2025_IMDb_Cast_Lists_Batch_01(1).xlsx</x:v>
      </x:c>
      <x:c r="D10" s="14" t="str">
        <x:v>Amandaland</x:v>
      </x:c>
      <x:c r="E10" s="14" t="n">
        <x:v>27</x:v>
      </x:c>
      <x:c r="F10" s="14" t="str">
        <x:v>Amandaland</x:v>
      </x:c>
      <x:c r="G10" s="14" t="str">
        <x:v>tt33305711</x:v>
      </x:c>
      <x:c r="H10" s="14" t="n">
        <x:v>2025</x:v>
      </x:c>
      <x:c r="I10" s="14" t="n">
        <x:v>2025</x:v>
      </x:c>
      <x:c r="J10" s="14" t="str">
        <x:v>Post-study cohort</x:v>
      </x:c>
      <x:c r="K10" s="14"/>
      <x:c r="L10" s="14" t="str">
        <x:v>Not inherited</x:v>
      </x:c>
      <x:c r="M10" s="15" t="n">
        <x:v>20</x:v>
      </x:c>
      <x:c r="N10" s="14" t="str">
        <x:v>Ray Emmet Brown</x:v>
      </x:c>
      <x:c r="O10" s="14" t="str">
        <x:v>nm0114482</x:v>
      </x:c>
      <x:c r="P10" s="14" t="str">
        <x:v>Hi-Vis Guy</x:v>
      </x:c>
      <x:c r="Q10" s="15" t="n">
        <x:v>1</x:v>
      </x:c>
      <x:c r="R10" s="14" t="str">
        <x:v>2026</x:v>
      </x:c>
      <x:c r="S10" s="14" t="n">
        <x:v>2026</x:v>
      </x:c>
      <x:c r="T10" s="14" t="n">
        <x:v>2026</x:v>
      </x:c>
      <x:c r="U10" s="14" t="str">
        <x:v>Explicit source first year retained</x:v>
      </x:c>
      <x:c r="V10" s="14" t="str">
        <x:v>Earliest supplied year is 2026.</x:v>
      </x:c>
      <x:c r="W10" s="14"/>
      <x:c r="X10" s="14" t="str">
        <x:v>Excluded: after 2025</x:v>
      </x:c>
      <x:c r="Y10" s="14"/>
      <x:c r="Z10" s="14" t="str">
        <x:v>Amandaland.docx</x:v>
      </x:c>
      <x:c r="AA10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7" t="e">
        <x:f>HYPERLINK("https://en.wikipedia.org/wiki/Amandaland","Open source")</x:f>
        <x:v>HYPERLINK is not implemented. linkLocation=https://en.wikipedia.org/wiki/Amandaland, friendlyName=Open source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13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1</x:v>
      </x:c>
      <x:c r="BS10" s="16" t="n">
        <x:v>0.07692307692307693</x:v>
      </x:c>
      <x:c r="BT10" s="14" t="str">
        <x:v>One episode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tt33305711|nm0146803|claire</x:v>
      </x:c>
      <x:c r="B11" s="14" t="str">
        <x:v>01</x:v>
      </x:c>
      <x:c r="C11" s="14" t="str">
        <x:v>2025_IMDb_Cast_Lists_Batch_01(1).xlsx</x:v>
      </x:c>
      <x:c r="D11" s="14" t="str">
        <x:v>Amandaland</x:v>
      </x:c>
      <x:c r="E11" s="14" t="n">
        <x:v>28</x:v>
      </x:c>
      <x:c r="F11" s="14" t="str">
        <x:v>Amandaland</x:v>
      </x:c>
      <x:c r="G11" s="14" t="str">
        <x:v>tt33305711</x:v>
      </x:c>
      <x:c r="H11" s="14" t="n">
        <x:v>2025</x:v>
      </x:c>
      <x:c r="I11" s="14" t="n">
        <x:v>2025</x:v>
      </x:c>
      <x:c r="J11" s="14" t="str">
        <x:v>Post-study cohort</x:v>
      </x:c>
      <x:c r="K11" s="14"/>
      <x:c r="L11" s="14" t="str">
        <x:v>Not inherited</x:v>
      </x:c>
      <x:c r="M11" s="15" t="n">
        <x:v>21</x:v>
      </x:c>
      <x:c r="N11" s="14" t="str">
        <x:v>Rosie Cavaliero</x:v>
      </x:c>
      <x:c r="O11" s="14" t="str">
        <x:v>nm0146803</x:v>
      </x:c>
      <x:c r="P11" s="14" t="str">
        <x:v>Claire</x:v>
      </x:c>
      <x:c r="Q11" s="15" t="n">
        <x:v>1</x:v>
      </x:c>
      <x:c r="R11" s="14" t="str">
        <x:v>2026</x:v>
      </x:c>
      <x:c r="S11" s="14" t="n">
        <x:v>2026</x:v>
      </x:c>
      <x:c r="T11" s="14" t="n">
        <x:v>2026</x:v>
      </x:c>
      <x:c r="U11" s="14" t="str">
        <x:v>Explicit source first year retained</x:v>
      </x:c>
      <x:c r="V11" s="14" t="str">
        <x:v>Earliest supplied year is 2026.</x:v>
      </x:c>
      <x:c r="W11" s="14"/>
      <x:c r="X11" s="14" t="str">
        <x:v>Excluded: after 2025</x:v>
      </x:c>
      <x:c r="Y11" s="14"/>
      <x:c r="Z11" s="14" t="str">
        <x:v>Amandaland.docx</x:v>
      </x:c>
      <x:c r="AA11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7" t="e">
        <x:f>HYPERLINK("https://en.wikipedia.org/wiki/Amandaland","Open source")</x:f>
        <x:v>HYPERLINK is not implemented. linkLocation=https://en.wikipedia.org/wiki/Amandaland, friendlyName=Open source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13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1</x:v>
      </x:c>
      <x:c r="BS11" s="16" t="n">
        <x:v>0.07692307692307693</x:v>
      </x:c>
      <x:c r="BT11" s="14" t="str">
        <x:v>One episode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tt33305711|nm0437446|maggie</x:v>
      </x:c>
      <x:c r="B12" s="14" t="str">
        <x:v>01</x:v>
      </x:c>
      <x:c r="C12" s="14" t="str">
        <x:v>2025_IMDb_Cast_Lists_Batch_01(1).xlsx</x:v>
      </x:c>
      <x:c r="D12" s="14" t="str">
        <x:v>Amandaland</x:v>
      </x:c>
      <x:c r="E12" s="14" t="n">
        <x:v>29</x:v>
      </x:c>
      <x:c r="F12" s="14" t="str">
        <x:v>Amandaland</x:v>
      </x:c>
      <x:c r="G12" s="14" t="str">
        <x:v>tt33305711</x:v>
      </x:c>
      <x:c r="H12" s="14" t="n">
        <x:v>2025</x:v>
      </x:c>
      <x:c r="I12" s="14" t="n">
        <x:v>2025</x:v>
      </x:c>
      <x:c r="J12" s="14" t="str">
        <x:v>Post-study cohort</x:v>
      </x:c>
      <x:c r="K12" s="14"/>
      <x:c r="L12" s="14" t="str">
        <x:v>Not inherited</x:v>
      </x:c>
      <x:c r="M12" s="15" t="n">
        <x:v>22</x:v>
      </x:c>
      <x:c r="N12" s="14" t="str">
        <x:v>Susy Kane</x:v>
      </x:c>
      <x:c r="O12" s="14" t="str">
        <x:v>nm0437446</x:v>
      </x:c>
      <x:c r="P12" s="14" t="str">
        <x:v>Maggie</x:v>
      </x:c>
      <x:c r="Q12" s="15" t="n">
        <x:v>1</x:v>
      </x:c>
      <x:c r="R12" s="14" t="str">
        <x:v>2026</x:v>
      </x:c>
      <x:c r="S12" s="14" t="n">
        <x:v>2026</x:v>
      </x:c>
      <x:c r="T12" s="14" t="n">
        <x:v>2026</x:v>
      </x:c>
      <x:c r="U12" s="14" t="str">
        <x:v>Explicit source first year retained</x:v>
      </x:c>
      <x:c r="V12" s="14" t="str">
        <x:v>Earliest supplied year is 2026.</x:v>
      </x:c>
      <x:c r="W12" s="14"/>
      <x:c r="X12" s="14" t="str">
        <x:v>Excluded: after 2025</x:v>
      </x:c>
      <x:c r="Y12" s="14"/>
      <x:c r="Z12" s="14" t="str">
        <x:v>Amandaland.docx</x:v>
      </x:c>
      <x:c r="AA12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7" t="e">
        <x:f>HYPERLINK("https://en.wikipedia.org/wiki/Amandaland","Open source")</x:f>
        <x:v>HYPERLINK is not implemented. linkLocation=https://en.wikipedia.org/wiki/Amandaland, friendlyName=Open source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13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0.07692307692307693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tt33305711|nm10254472|finley</x:v>
      </x:c>
      <x:c r="B13" s="14" t="str">
        <x:v>01</x:v>
      </x:c>
      <x:c r="C13" s="14" t="str">
        <x:v>2025_IMDb_Cast_Lists_Batch_01(1).xlsx</x:v>
      </x:c>
      <x:c r="D13" s="14" t="str">
        <x:v>Amandaland</x:v>
      </x:c>
      <x:c r="E13" s="14" t="n">
        <x:v>30</x:v>
      </x:c>
      <x:c r="F13" s="14" t="str">
        <x:v>Amandaland</x:v>
      </x:c>
      <x:c r="G13" s="14" t="str">
        <x:v>tt33305711</x:v>
      </x:c>
      <x:c r="H13" s="14" t="n">
        <x:v>2025</x:v>
      </x:c>
      <x:c r="I13" s="14" t="n">
        <x:v>2025</x:v>
      </x:c>
      <x:c r="J13" s="14" t="str">
        <x:v>Post-study cohort</x:v>
      </x:c>
      <x:c r="K13" s="14"/>
      <x:c r="L13" s="14" t="str">
        <x:v>Not inherited</x:v>
      </x:c>
      <x:c r="M13" s="15" t="n">
        <x:v>23</x:v>
      </x:c>
      <x:c r="N13" s="14" t="str">
        <x:v>Ebenezer Gyau</x:v>
      </x:c>
      <x:c r="O13" s="14" t="str">
        <x:v>nm10254472</x:v>
      </x:c>
      <x:c r="P13" s="14" t="str">
        <x:v>Finley</x:v>
      </x:c>
      <x:c r="Q13" s="15" t="n">
        <x:v>1</x:v>
      </x:c>
      <x:c r="R13" s="14" t="str">
        <x:v>2026</x:v>
      </x:c>
      <x:c r="S13" s="14" t="n">
        <x:v>2026</x:v>
      </x:c>
      <x:c r="T13" s="14" t="n">
        <x:v>2026</x:v>
      </x:c>
      <x:c r="U13" s="14" t="str">
        <x:v>Explicit source first year retained</x:v>
      </x:c>
      <x:c r="V13" s="14" t="str">
        <x:v>Earliest supplied year is 2026.</x:v>
      </x:c>
      <x:c r="W13" s="14"/>
      <x:c r="X13" s="14" t="str">
        <x:v>Excluded: after 2025</x:v>
      </x:c>
      <x:c r="Y13" s="14"/>
      <x:c r="Z13" s="14" t="str">
        <x:v>Amandaland.docx</x:v>
      </x:c>
      <x:c r="AA13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7" t="e">
        <x:f>HYPERLINK("https://en.wikipedia.org/wiki/Amandaland","Open source")</x:f>
        <x:v>HYPERLINK is not implemented. linkLocation=https://en.wikipedia.org/wiki/Amandaland, friendlyName=Open source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13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0.07692307692307693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tt33305711|nm5339264|passing woman</x:v>
      </x:c>
      <x:c r="B14" s="14" t="str">
        <x:v>01</x:v>
      </x:c>
      <x:c r="C14" s="14" t="str">
        <x:v>2025_IMDb_Cast_Lists_Batch_01(1).xlsx</x:v>
      </x:c>
      <x:c r="D14" s="14" t="str">
        <x:v>Amandaland</x:v>
      </x:c>
      <x:c r="E14" s="14" t="n">
        <x:v>31</x:v>
      </x:c>
      <x:c r="F14" s="14" t="str">
        <x:v>Amandaland</x:v>
      </x:c>
      <x:c r="G14" s="14" t="str">
        <x:v>tt33305711</x:v>
      </x:c>
      <x:c r="H14" s="14" t="n">
        <x:v>2025</x:v>
      </x:c>
      <x:c r="I14" s="14" t="n">
        <x:v>2025</x:v>
      </x:c>
      <x:c r="J14" s="14" t="str">
        <x:v>Post-study cohort</x:v>
      </x:c>
      <x:c r="K14" s="14"/>
      <x:c r="L14" s="14" t="str">
        <x:v>Not inherited</x:v>
      </x:c>
      <x:c r="M14" s="15" t="n">
        <x:v>24</x:v>
      </x:c>
      <x:c r="N14" s="14" t="str">
        <x:v>Emily Houghton</x:v>
      </x:c>
      <x:c r="O14" s="14" t="str">
        <x:v>nm5339264</x:v>
      </x:c>
      <x:c r="P14" s="14" t="str">
        <x:v>Passing Woman</x:v>
      </x:c>
      <x:c r="Q14" s="15" t="n">
        <x:v>1</x:v>
      </x:c>
      <x:c r="R14" s="14" t="str">
        <x:v>2026</x:v>
      </x:c>
      <x:c r="S14" s="14" t="n">
        <x:v>2026</x:v>
      </x:c>
      <x:c r="T14" s="14" t="n">
        <x:v>2026</x:v>
      </x:c>
      <x:c r="U14" s="14" t="str">
        <x:v>Explicit source first year retained</x:v>
      </x:c>
      <x:c r="V14" s="14" t="str">
        <x:v>Earliest supplied year is 2026.</x:v>
      </x:c>
      <x:c r="W14" s="14"/>
      <x:c r="X14" s="14" t="str">
        <x:v>Excluded: after 2025</x:v>
      </x:c>
      <x:c r="Y14" s="14"/>
      <x:c r="Z14" s="14" t="str">
        <x:v>Amandaland.docx</x:v>
      </x:c>
      <x:c r="AA14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7" t="e">
        <x:f>HYPERLINK("https://en.wikipedia.org/wiki/Amandaland","Open source")</x:f>
        <x:v>HYPERLINK is not implemented. linkLocation=https://en.wikipedia.org/wiki/Amandaland, friendlyName=Open source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13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0.07692307692307693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tt33305711|nm6741238|deliveroo person</x:v>
      </x:c>
      <x:c r="B15" s="14" t="str">
        <x:v>01</x:v>
      </x:c>
      <x:c r="C15" s="14" t="str">
        <x:v>2025_IMDb_Cast_Lists_Batch_01(1).xlsx</x:v>
      </x:c>
      <x:c r="D15" s="14" t="str">
        <x:v>Amandaland</x:v>
      </x:c>
      <x:c r="E15" s="14" t="n">
        <x:v>32</x:v>
      </x:c>
      <x:c r="F15" s="14" t="str">
        <x:v>Amandaland</x:v>
      </x:c>
      <x:c r="G15" s="14" t="str">
        <x:v>tt33305711</x:v>
      </x:c>
      <x:c r="H15" s="14" t="n">
        <x:v>2025</x:v>
      </x:c>
      <x:c r="I15" s="14" t="n">
        <x:v>2025</x:v>
      </x:c>
      <x:c r="J15" s="14" t="str">
        <x:v>Post-study cohort</x:v>
      </x:c>
      <x:c r="K15" s="14"/>
      <x:c r="L15" s="14" t="str">
        <x:v>Not inherited</x:v>
      </x:c>
      <x:c r="M15" s="15" t="n">
        <x:v>25</x:v>
      </x:c>
      <x:c r="N15" s="14" t="str">
        <x:v>Ali Barouti</x:v>
      </x:c>
      <x:c r="O15" s="14" t="str">
        <x:v>nm6741238</x:v>
      </x:c>
      <x:c r="P15" s="14" t="str">
        <x:v>Deliveroo Person</x:v>
      </x:c>
      <x:c r="Q15" s="15" t="n">
        <x:v>1</x:v>
      </x:c>
      <x:c r="R15" s="14" t="str">
        <x:v>2026</x:v>
      </x:c>
      <x:c r="S15" s="14" t="n">
        <x:v>2026</x:v>
      </x:c>
      <x:c r="T15" s="14" t="n">
        <x:v>2026</x:v>
      </x:c>
      <x:c r="U15" s="14" t="str">
        <x:v>Explicit source first year retained</x:v>
      </x:c>
      <x:c r="V15" s="14" t="str">
        <x:v>Earliest supplied year is 2026.</x:v>
      </x:c>
      <x:c r="W15" s="14"/>
      <x:c r="X15" s="14" t="str">
        <x:v>Excluded: after 2025</x:v>
      </x:c>
      <x:c r="Y15" s="14"/>
      <x:c r="Z15" s="14" t="str">
        <x:v>Amandaland.docx</x:v>
      </x:c>
      <x:c r="AA15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7" t="e">
        <x:f>HYPERLINK("https://en.wikipedia.org/wiki/Amandaland","Open source")</x:f>
        <x:v>HYPERLINK is not implemented. linkLocation=https://en.wikipedia.org/wiki/Amandaland, friendlyName=Open source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13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0.07692307692307693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tt33305711|nm2082147|tony</x:v>
      </x:c>
      <x:c r="B16" s="14" t="str">
        <x:v>01</x:v>
      </x:c>
      <x:c r="C16" s="14" t="str">
        <x:v>2025_IMDb_Cast_Lists_Batch_01(1).xlsx</x:v>
      </x:c>
      <x:c r="D16" s="14" t="str">
        <x:v>Amandaland</x:v>
      </x:c>
      <x:c r="E16" s="14" t="n">
        <x:v>33</x:v>
      </x:c>
      <x:c r="F16" s="14" t="str">
        <x:v>Amandaland</x:v>
      </x:c>
      <x:c r="G16" s="14" t="str">
        <x:v>tt33305711</x:v>
      </x:c>
      <x:c r="H16" s="14" t="n">
        <x:v>2025</x:v>
      </x:c>
      <x:c r="I16" s="14" t="n">
        <x:v>2025</x:v>
      </x:c>
      <x:c r="J16" s="14" t="str">
        <x:v>Post-study cohort</x:v>
      </x:c>
      <x:c r="K16" s="14"/>
      <x:c r="L16" s="14" t="str">
        <x:v>Not inherited</x:v>
      </x:c>
      <x:c r="M16" s="15" t="n">
        <x:v>26</x:v>
      </x:c>
      <x:c r="N16" s="14" t="str">
        <x:v>Daniel Fearn</x:v>
      </x:c>
      <x:c r="O16" s="14" t="str">
        <x:v>nm2082147</x:v>
      </x:c>
      <x:c r="P16" s="14" t="str">
        <x:v>Tony</x:v>
      </x:c>
      <x:c r="Q16" s="15" t="n">
        <x:v>1</x:v>
      </x:c>
      <x:c r="R16" s="14" t="str">
        <x:v>2026</x:v>
      </x:c>
      <x:c r="S16" s="14" t="n">
        <x:v>2026</x:v>
      </x:c>
      <x:c r="T16" s="14" t="n">
        <x:v>2026</x:v>
      </x:c>
      <x:c r="U16" s="14" t="str">
        <x:v>Explicit source first year retained</x:v>
      </x:c>
      <x:c r="V16" s="14" t="str">
        <x:v>Earliest supplied year is 2026.</x:v>
      </x:c>
      <x:c r="W16" s="14"/>
      <x:c r="X16" s="14" t="str">
        <x:v>Excluded: after 2025</x:v>
      </x:c>
      <x:c r="Y16" s="14"/>
      <x:c r="Z16" s="14" t="str">
        <x:v>Amandaland.docx</x:v>
      </x:c>
      <x:c r="AA16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7" t="e">
        <x:f>HYPERLINK("https://en.wikipedia.org/wiki/Amandaland","Open source")</x:f>
        <x:v>HYPERLINK is not implemented. linkLocation=https://en.wikipedia.org/wiki/Amandaland, friendlyName=Open source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13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0.07692307692307693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tt33305711|nm18644989|jen</x:v>
      </x:c>
      <x:c r="B17" s="14" t="str">
        <x:v>01</x:v>
      </x:c>
      <x:c r="C17" s="14" t="str">
        <x:v>2025_IMDb_Cast_Lists_Batch_01(1).xlsx</x:v>
      </x:c>
      <x:c r="D17" s="14" t="str">
        <x:v>Amandaland</x:v>
      </x:c>
      <x:c r="E17" s="14" t="n">
        <x:v>34</x:v>
      </x:c>
      <x:c r="F17" s="14" t="str">
        <x:v>Amandaland</x:v>
      </x:c>
      <x:c r="G17" s="14" t="str">
        <x:v>tt33305711</x:v>
      </x:c>
      <x:c r="H17" s="14" t="n">
        <x:v>2025</x:v>
      </x:c>
      <x:c r="I17" s="14" t="n">
        <x:v>2025</x:v>
      </x:c>
      <x:c r="J17" s="14" t="str">
        <x:v>Post-study cohort</x:v>
      </x:c>
      <x:c r="K17" s="14"/>
      <x:c r="L17" s="14" t="str">
        <x:v>Not inherited</x:v>
      </x:c>
      <x:c r="M17" s="15" t="n">
        <x:v>27</x:v>
      </x:c>
      <x:c r="N17" s="14" t="str">
        <x:v>Jessica Hulme</x:v>
      </x:c>
      <x:c r="O17" s="14" t="str">
        <x:v>nm18644989</x:v>
      </x:c>
      <x:c r="P17" s="14" t="str">
        <x:v>Jen</x:v>
      </x:c>
      <x:c r="Q17" s="15" t="n">
        <x:v>1</x:v>
      </x:c>
      <x:c r="R17" s="14" t="str">
        <x:v>2026</x:v>
      </x:c>
      <x:c r="S17" s="14" t="n">
        <x:v>2026</x:v>
      </x:c>
      <x:c r="T17" s="14" t="n">
        <x:v>2026</x:v>
      </x:c>
      <x:c r="U17" s="14" t="str">
        <x:v>Explicit source first year retained</x:v>
      </x:c>
      <x:c r="V17" s="14" t="str">
        <x:v>Earliest supplied year is 2026.</x:v>
      </x:c>
      <x:c r="W17" s="14"/>
      <x:c r="X17" s="14" t="str">
        <x:v>Excluded: after 2025</x:v>
      </x:c>
      <x:c r="Y17" s="14"/>
      <x:c r="Z17" s="14" t="str">
        <x:v>Amandaland.docx</x:v>
      </x:c>
      <x:c r="AA17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7" t="e">
        <x:f>HYPERLINK("https://en.wikipedia.org/wiki/Amandaland","Open source")</x:f>
        <x:v>HYPERLINK is not implemented. linkLocation=https://en.wikipedia.org/wiki/Amandaland, friendlyName=Open source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13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0.07692307692307693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tt33305711|nm0311563|garry</x:v>
      </x:c>
      <x:c r="B18" s="14" t="str">
        <x:v>01</x:v>
      </x:c>
      <x:c r="C18" s="14" t="str">
        <x:v>2025_IMDb_Cast_Lists_Batch_01(1).xlsx</x:v>
      </x:c>
      <x:c r="D18" s="14" t="str">
        <x:v>Amandaland</x:v>
      </x:c>
      <x:c r="E18" s="14" t="n">
        <x:v>35</x:v>
      </x:c>
      <x:c r="F18" s="14" t="str">
        <x:v>Amandaland</x:v>
      </x:c>
      <x:c r="G18" s="14" t="str">
        <x:v>tt33305711</x:v>
      </x:c>
      <x:c r="H18" s="14" t="n">
        <x:v>2025</x:v>
      </x:c>
      <x:c r="I18" s="14" t="n">
        <x:v>2025</x:v>
      </x:c>
      <x:c r="J18" s="14" t="str">
        <x:v>Post-study cohort</x:v>
      </x:c>
      <x:c r="K18" s="14"/>
      <x:c r="L18" s="14" t="str">
        <x:v>Not inherited</x:v>
      </x:c>
      <x:c r="M18" s="15" t="n">
        <x:v>28</x:v>
      </x:c>
      <x:c r="N18" s="14" t="str">
        <x:v>Robbie Gee</x:v>
      </x:c>
      <x:c r="O18" s="14" t="str">
        <x:v>nm0311563</x:v>
      </x:c>
      <x:c r="P18" s="14" t="str">
        <x:v>Garry</x:v>
      </x:c>
      <x:c r="Q18" s="15" t="n">
        <x:v>1</x:v>
      </x:c>
      <x:c r="R18" s="14" t="str">
        <x:v>2026</x:v>
      </x:c>
      <x:c r="S18" s="14" t="n">
        <x:v>2026</x:v>
      </x:c>
      <x:c r="T18" s="14" t="n">
        <x:v>2026</x:v>
      </x:c>
      <x:c r="U18" s="14" t="str">
        <x:v>Explicit source first year retained</x:v>
      </x:c>
      <x:c r="V18" s="14" t="str">
        <x:v>Earliest supplied year is 2026.</x:v>
      </x:c>
      <x:c r="W18" s="14"/>
      <x:c r="X18" s="14" t="str">
        <x:v>Excluded: after 2025</x:v>
      </x:c>
      <x:c r="Y18" s="14"/>
      <x:c r="Z18" s="14" t="str">
        <x:v>Amandaland.docx</x:v>
      </x:c>
      <x:c r="AA18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7" t="e">
        <x:f>HYPERLINK("https://en.wikipedia.org/wiki/Amandaland","Open source")</x:f>
        <x:v>HYPERLINK is not implemented. linkLocation=https://en.wikipedia.org/wiki/Amandaland, friendlyName=Open source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13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0.07692307692307693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tt33305711|nm7246937|doctor</x:v>
      </x:c>
      <x:c r="B19" s="14" t="str">
        <x:v>01</x:v>
      </x:c>
      <x:c r="C19" s="14" t="str">
        <x:v>2025_IMDb_Cast_Lists_Batch_01(1).xlsx</x:v>
      </x:c>
      <x:c r="D19" s="14" t="str">
        <x:v>Amandaland</x:v>
      </x:c>
      <x:c r="E19" s="14" t="n">
        <x:v>36</x:v>
      </x:c>
      <x:c r="F19" s="14" t="str">
        <x:v>Amandaland</x:v>
      </x:c>
      <x:c r="G19" s="14" t="str">
        <x:v>tt33305711</x:v>
      </x:c>
      <x:c r="H19" s="14" t="n">
        <x:v>2025</x:v>
      </x:c>
      <x:c r="I19" s="14" t="n">
        <x:v>2025</x:v>
      </x:c>
      <x:c r="J19" s="14" t="str">
        <x:v>Post-study cohort</x:v>
      </x:c>
      <x:c r="K19" s="14"/>
      <x:c r="L19" s="14" t="str">
        <x:v>Not inherited</x:v>
      </x:c>
      <x:c r="M19" s="15" t="n">
        <x:v>29</x:v>
      </x:c>
      <x:c r="N19" s="14" t="str">
        <x:v>Natalie Kimmerling</x:v>
      </x:c>
      <x:c r="O19" s="14" t="str">
        <x:v>nm7246937</x:v>
      </x:c>
      <x:c r="P19" s="14" t="str">
        <x:v>Doctor</x:v>
      </x:c>
      <x:c r="Q19" s="15" t="n">
        <x:v>1</x:v>
      </x:c>
      <x:c r="R19" s="14" t="str">
        <x:v>2026</x:v>
      </x:c>
      <x:c r="S19" s="14" t="n">
        <x:v>2026</x:v>
      </x:c>
      <x:c r="T19" s="14" t="n">
        <x:v>2026</x:v>
      </x:c>
      <x:c r="U19" s="14" t="str">
        <x:v>Explicit source first year retained</x:v>
      </x:c>
      <x:c r="V19" s="14" t="str">
        <x:v>Earliest supplied year is 2026.</x:v>
      </x:c>
      <x:c r="W19" s="14"/>
      <x:c r="X19" s="14" t="str">
        <x:v>Excluded: after 2025</x:v>
      </x:c>
      <x:c r="Y19" s="14"/>
      <x:c r="Z19" s="14" t="str">
        <x:v>Amandaland.docx</x:v>
      </x:c>
      <x:c r="AA19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7" t="e">
        <x:f>HYPERLINK("https://en.wikipedia.org/wiki/Amandaland","Open source")</x:f>
        <x:v>HYPERLINK is not implemented. linkLocation=https://en.wikipedia.org/wiki/Amandaland, friendlyName=Open source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13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0.07692307692307693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tt33305711|nm11125256|pc kendra hoskins</x:v>
      </x:c>
      <x:c r="B20" s="14" t="str">
        <x:v>01</x:v>
      </x:c>
      <x:c r="C20" s="14" t="str">
        <x:v>2025_IMDb_Cast_Lists_Batch_01(1).xlsx</x:v>
      </x:c>
      <x:c r="D20" s="14" t="str">
        <x:v>Amandaland</x:v>
      </x:c>
      <x:c r="E20" s="14" t="n">
        <x:v>37</x:v>
      </x:c>
      <x:c r="F20" s="14" t="str">
        <x:v>Amandaland</x:v>
      </x:c>
      <x:c r="G20" s="14" t="str">
        <x:v>tt33305711</x:v>
      </x:c>
      <x:c r="H20" s="14" t="n">
        <x:v>2025</x:v>
      </x:c>
      <x:c r="I20" s="14" t="n">
        <x:v>2025</x:v>
      </x:c>
      <x:c r="J20" s="14" t="str">
        <x:v>Post-study cohort</x:v>
      </x:c>
      <x:c r="K20" s="14"/>
      <x:c r="L20" s="14" t="str">
        <x:v>Not inherited</x:v>
      </x:c>
      <x:c r="M20" s="15" t="n">
        <x:v>30</x:v>
      </x:c>
      <x:c r="N20" s="14" t="str">
        <x:v>Clare Pointing</x:v>
      </x:c>
      <x:c r="O20" s="14" t="str">
        <x:v>nm11125256</x:v>
      </x:c>
      <x:c r="P20" s="14" t="str">
        <x:v>PC Kendra Hoskins</x:v>
      </x:c>
      <x:c r="Q20" s="15" t="n">
        <x:v>1</x:v>
      </x:c>
      <x:c r="R20" s="14" t="str">
        <x:v>2026</x:v>
      </x:c>
      <x:c r="S20" s="14" t="n">
        <x:v>2026</x:v>
      </x:c>
      <x:c r="T20" s="14" t="n">
        <x:v>2026</x:v>
      </x:c>
      <x:c r="U20" s="14" t="str">
        <x:v>Explicit source first year retained</x:v>
      </x:c>
      <x:c r="V20" s="14" t="str">
        <x:v>Earliest supplied year is 2026.</x:v>
      </x:c>
      <x:c r="W20" s="14"/>
      <x:c r="X20" s="14" t="str">
        <x:v>Excluded: after 2025</x:v>
      </x:c>
      <x:c r="Y20" s="14" t="str">
        <x:v>(as Claire Pointing)</x:v>
      </x:c>
      <x:c r="Z20" s="14" t="str">
        <x:v>Amandaland.docx</x:v>
      </x:c>
      <x:c r="AA20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7" t="e">
        <x:f>HYPERLINK("https://en.wikipedia.org/wiki/Amandaland","Open source")</x:f>
        <x:v>HYPERLINK is not implemented. linkLocation=https://en.wikipedia.org/wiki/Amandaland, friendlyName=Open source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13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0.07692307692307693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tt33305711|nm2669710|aiden</x:v>
      </x:c>
      <x:c r="B21" s="14" t="str">
        <x:v>01</x:v>
      </x:c>
      <x:c r="C21" s="14" t="str">
        <x:v>2025_IMDb_Cast_Lists_Batch_01(1).xlsx</x:v>
      </x:c>
      <x:c r="D21" s="14" t="str">
        <x:v>Amandaland</x:v>
      </x:c>
      <x:c r="E21" s="14" t="n">
        <x:v>38</x:v>
      </x:c>
      <x:c r="F21" s="14" t="str">
        <x:v>Amandaland</x:v>
      </x:c>
      <x:c r="G21" s="14" t="str">
        <x:v>tt33305711</x:v>
      </x:c>
      <x:c r="H21" s="14" t="n">
        <x:v>2025</x:v>
      </x:c>
      <x:c r="I21" s="14" t="n">
        <x:v>2025</x:v>
      </x:c>
      <x:c r="J21" s="14" t="str">
        <x:v>Post-study cohort</x:v>
      </x:c>
      <x:c r="K21" s="14"/>
      <x:c r="L21" s="14" t="str">
        <x:v>Not inherited</x:v>
      </x:c>
      <x:c r="M21" s="15" t="n">
        <x:v>31</x:v>
      </x:c>
      <x:c r="N21" s="14" t="str">
        <x:v>David Proud</x:v>
      </x:c>
      <x:c r="O21" s="14" t="str">
        <x:v>nm2669710</x:v>
      </x:c>
      <x:c r="P21" s="14" t="str">
        <x:v>Aiden</x:v>
      </x:c>
      <x:c r="Q21" s="15" t="n">
        <x:v>1</x:v>
      </x:c>
      <x:c r="R21" s="14" t="str">
        <x:v>2026</x:v>
      </x:c>
      <x:c r="S21" s="14" t="n">
        <x:v>2026</x:v>
      </x:c>
      <x:c r="T21" s="14" t="n">
        <x:v>2026</x:v>
      </x:c>
      <x:c r="U21" s="14" t="str">
        <x:v>Explicit source first year retained</x:v>
      </x:c>
      <x:c r="V21" s="14" t="str">
        <x:v>Earliest supplied year is 2026.</x:v>
      </x:c>
      <x:c r="W21" s="14"/>
      <x:c r="X21" s="14" t="str">
        <x:v>Excluded: after 2025</x:v>
      </x:c>
      <x:c r="Y21" s="14"/>
      <x:c r="Z21" s="14" t="str">
        <x:v>Amandaland.docx</x:v>
      </x:c>
      <x:c r="AA21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1" s="14" t="str">
        <x:v>Existing established-register match</x:v>
      </x:c>
      <x:c r="AC21" s="14" t="str">
        <x:v>Wheelchair user | Physical disability</x:v>
      </x:c>
      <x:c r="AD21" s="14" t="str">
        <x:v>Existing register classification: Wheelchair user | Physical disability</x:v>
      </x:c>
      <x:c r="AE21" s="14" t="str">
        <x:v>Established_Disability_Category_Register V1.2.xlsx</x:v>
      </x:c>
      <x:c r="AF21" s="14"/>
      <x:c r="AG21" s="14" t="str">
        <x:v>Established user-supplied classification retained for deduplication; evidence was not re-researched in this batch.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7" t="e">
        <x:f>HYPERLINK("https://en.wikipedia.org/wiki/Amandaland","Open source")</x:f>
        <x:v>HYPERLINK is not implemented. linkLocation=https://en.wikipedia.org/wiki/Amandaland, friendlyName=Open source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Exact IMDb performer ID match</x:v>
      </x:c>
      <x:c r="BC21" s="14" t="str">
        <x:v>nm2669710</x:v>
      </x:c>
      <x:c r="BD21" s="14" t="str">
        <x:v>David Proud</x:v>
      </x:c>
      <x:c r="BE21" s="14" t="str">
        <x:v>Wheelchair user | Physical disability</x:v>
      </x:c>
      <x:c r="BF21" s="14" t="str">
        <x:v>Yes</x:v>
      </x:c>
      <x:c r="BG21" s="14" t="str">
        <x:v>Wheelchair user | Physical disability</x:v>
      </x:c>
      <x:c r="BH21" s="14" t="str">
        <x:v>No</x:v>
      </x:c>
      <x:c r="BI21" s="14" t="str">
        <x:v>User-supplied established classification</x:v>
      </x:c>
      <x:c r="BJ21" s="14" t="str">
        <x:v>03_Wheelchair_user.csv | 04_Physical_disability.csv</x:v>
      </x:c>
      <x:c r="BK21" s="14"/>
      <x:c r="BL21" s="14" t="str">
        <x:v>Matched</x:v>
      </x:c>
      <x:c r="BM21" s="14" t="str">
        <x:v>Final supplied register</x:v>
      </x:c>
      <x:c r="BN21" s="14"/>
      <x:c r="BO21" s="14" t="n">
        <x:v>13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0.07692307692307693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tt33305711|nm1187883|ai voice</x:v>
      </x:c>
      <x:c r="B22" s="14" t="str">
        <x:v>01</x:v>
      </x:c>
      <x:c r="C22" s="14" t="str">
        <x:v>2025_IMDb_Cast_Lists_Batch_01(1).xlsx</x:v>
      </x:c>
      <x:c r="D22" s="14" t="str">
        <x:v>Amandaland</x:v>
      </x:c>
      <x:c r="E22" s="14" t="n">
        <x:v>39</x:v>
      </x:c>
      <x:c r="F22" s="14" t="str">
        <x:v>Amandaland</x:v>
      </x:c>
      <x:c r="G22" s="14" t="str">
        <x:v>tt33305711</x:v>
      </x:c>
      <x:c r="H22" s="14" t="n">
        <x:v>2025</x:v>
      </x:c>
      <x:c r="I22" s="14" t="n">
        <x:v>2025</x:v>
      </x:c>
      <x:c r="J22" s="14" t="str">
        <x:v>Post-study cohort</x:v>
      </x:c>
      <x:c r="K22" s="14"/>
      <x:c r="L22" s="14" t="str">
        <x:v>Not inherited</x:v>
      </x:c>
      <x:c r="M22" s="15" t="n">
        <x:v>32</x:v>
      </x:c>
      <x:c r="N22" s="14" t="str">
        <x:v>Matt Green</x:v>
      </x:c>
      <x:c r="O22" s="14" t="str">
        <x:v>nm1187883</x:v>
      </x:c>
      <x:c r="P22" s="14" t="str">
        <x:v>AI Voice</x:v>
      </x:c>
      <x:c r="Q22" s="15" t="n">
        <x:v>1</x:v>
      </x:c>
      <x:c r="R22" s="14" t="str">
        <x:v>2026</x:v>
      </x:c>
      <x:c r="S22" s="14" t="n">
        <x:v>2026</x:v>
      </x:c>
      <x:c r="T22" s="14" t="n">
        <x:v>2026</x:v>
      </x:c>
      <x:c r="U22" s="14" t="str">
        <x:v>Explicit source first year retained</x:v>
      </x:c>
      <x:c r="V22" s="14" t="str">
        <x:v>Earliest supplied year is 2026.</x:v>
      </x:c>
      <x:c r="W22" s="14"/>
      <x:c r="X22" s="14" t="str">
        <x:v>Excluded: after 2025</x:v>
      </x:c>
      <x:c r="Y22" s="14"/>
      <x:c r="Z22" s="14" t="str">
        <x:v>Amandaland.docx</x:v>
      </x:c>
      <x:c r="AA22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7" t="e">
        <x:f>HYPERLINK("https://en.wikipedia.org/wiki/Amandaland","Open source")</x:f>
        <x:v>HYPERLINK is not implemented. linkLocation=https://en.wikipedia.org/wiki/Amandaland, friendlyName=Open source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13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0.07692307692307693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tt33305711|nm16427677|zahan</x:v>
      </x:c>
      <x:c r="B23" s="14" t="str">
        <x:v>01</x:v>
      </x:c>
      <x:c r="C23" s="14" t="str">
        <x:v>2025_IMDb_Cast_Lists_Batch_01(1).xlsx</x:v>
      </x:c>
      <x:c r="D23" s="14" t="str">
        <x:v>Amandaland</x:v>
      </x:c>
      <x:c r="E23" s="14" t="n">
        <x:v>40</x:v>
      </x:c>
      <x:c r="F23" s="14" t="str">
        <x:v>Amandaland</x:v>
      </x:c>
      <x:c r="G23" s="14" t="str">
        <x:v>tt33305711</x:v>
      </x:c>
      <x:c r="H23" s="14" t="n">
        <x:v>2025</x:v>
      </x:c>
      <x:c r="I23" s="14" t="n">
        <x:v>2025</x:v>
      </x:c>
      <x:c r="J23" s="14" t="str">
        <x:v>Post-study cohort</x:v>
      </x:c>
      <x:c r="K23" s="14"/>
      <x:c r="L23" s="14" t="str">
        <x:v>Not inherited</x:v>
      </x:c>
      <x:c r="M23" s="15" t="n">
        <x:v>33</x:v>
      </x:c>
      <x:c r="N23" s="14" t="str">
        <x:v>Kaedon Skerritt</x:v>
      </x:c>
      <x:c r="O23" s="14" t="str">
        <x:v>nm16427677</x:v>
      </x:c>
      <x:c r="P23" s="14" t="str">
        <x:v>Zahan</x:v>
      </x:c>
      <x:c r="Q23" s="15" t="n">
        <x:v>1</x:v>
      </x:c>
      <x:c r="R23" s="14" t="str">
        <x:v>2026</x:v>
      </x:c>
      <x:c r="S23" s="14" t="n">
        <x:v>2026</x:v>
      </x:c>
      <x:c r="T23" s="14" t="n">
        <x:v>2026</x:v>
      </x:c>
      <x:c r="U23" s="14" t="str">
        <x:v>Explicit source first year retained</x:v>
      </x:c>
      <x:c r="V23" s="14" t="str">
        <x:v>Earliest supplied year is 2026.</x:v>
      </x:c>
      <x:c r="W23" s="14"/>
      <x:c r="X23" s="14" t="str">
        <x:v>Excluded: after 2025</x:v>
      </x:c>
      <x:c r="Y23" s="14"/>
      <x:c r="Z23" s="14" t="str">
        <x:v>Amandaland.docx</x:v>
      </x:c>
      <x:c r="AA23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7" t="e">
        <x:f>HYPERLINK("https://en.wikipedia.org/wiki/Amandaland","Open source")</x:f>
        <x:v>HYPERLINK is not implemented. linkLocation=https://en.wikipedia.org/wiki/Amandaland, friendlyName=Open source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13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0.07692307692307693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tt33305711|nm1542456|radio presenter</x:v>
      </x:c>
      <x:c r="B24" s="14" t="str">
        <x:v>01</x:v>
      </x:c>
      <x:c r="C24" s="14" t="str">
        <x:v>2025_IMDb_Cast_Lists_Batch_01(1).xlsx</x:v>
      </x:c>
      <x:c r="D24" s="14" t="str">
        <x:v>Amandaland</x:v>
      </x:c>
      <x:c r="E24" s="14" t="n">
        <x:v>41</x:v>
      </x:c>
      <x:c r="F24" s="14" t="str">
        <x:v>Amandaland</x:v>
      </x:c>
      <x:c r="G24" s="14" t="str">
        <x:v>tt33305711</x:v>
      </x:c>
      <x:c r="H24" s="14" t="n">
        <x:v>2025</x:v>
      </x:c>
      <x:c r="I24" s="14" t="n">
        <x:v>2025</x:v>
      </x:c>
      <x:c r="J24" s="14" t="str">
        <x:v>Post-study cohort</x:v>
      </x:c>
      <x:c r="K24" s="14"/>
      <x:c r="L24" s="14" t="str">
        <x:v>Not inherited</x:v>
      </x:c>
      <x:c r="M24" s="15" t="n">
        <x:v>34</x:v>
      </x:c>
      <x:c r="N24" s="14" t="str">
        <x:v>Andy Goldstein</x:v>
      </x:c>
      <x:c r="O24" s="14" t="str">
        <x:v>nm1542456</x:v>
      </x:c>
      <x:c r="P24" s="14" t="str">
        <x:v>Radio Presenter</x:v>
      </x:c>
      <x:c r="Q24" s="15" t="n">
        <x:v>1</x:v>
      </x:c>
      <x:c r="R24" s="14" t="str">
        <x:v>2026</x:v>
      </x:c>
      <x:c r="S24" s="14" t="n">
        <x:v>2026</x:v>
      </x:c>
      <x:c r="T24" s="14" t="n">
        <x:v>2026</x:v>
      </x:c>
      <x:c r="U24" s="14" t="str">
        <x:v>Explicit source first year retained</x:v>
      </x:c>
      <x:c r="V24" s="14" t="str">
        <x:v>Earliest supplied year is 2026.</x:v>
      </x:c>
      <x:c r="W24" s="14"/>
      <x:c r="X24" s="14" t="str">
        <x:v>Excluded: after 2025</x:v>
      </x:c>
      <x:c r="Y24" s="14"/>
      <x:c r="Z24" s="14" t="str">
        <x:v>Amandaland.docx</x:v>
      </x:c>
      <x:c r="AA24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7" t="e">
        <x:f>HYPERLINK("https://en.wikipedia.org/wiki/Amandaland","Open source")</x:f>
        <x:v>HYPERLINK is not implemented. linkLocation=https://en.wikipedia.org/wiki/Amandaland, friendlyName=Open source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13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0.07692307692307693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tt33305711|nm12985609|jen</x:v>
      </x:c>
      <x:c r="B25" s="14" t="str">
        <x:v>01</x:v>
      </x:c>
      <x:c r="C25" s="14" t="str">
        <x:v>2025_IMDb_Cast_Lists_Batch_01(1).xlsx</x:v>
      </x:c>
      <x:c r="D25" s="14" t="str">
        <x:v>Amandaland</x:v>
      </x:c>
      <x:c r="E25" s="14" t="n">
        <x:v>58</x:v>
      </x:c>
      <x:c r="F25" s="14" t="str">
        <x:v>Amandaland</x:v>
      </x:c>
      <x:c r="G25" s="14" t="str">
        <x:v>tt33305711</x:v>
      </x:c>
      <x:c r="H25" s="14" t="n">
        <x:v>2025</x:v>
      </x:c>
      <x:c r="I25" s="14" t="n">
        <x:v>2025</x:v>
      </x:c>
      <x:c r="J25" s="14" t="str">
        <x:v>Post-study cohort</x:v>
      </x:c>
      <x:c r="K25" s="14"/>
      <x:c r="L25" s="14" t="str">
        <x:v>Not inherited</x:v>
      </x:c>
      <x:c r="M25" s="15" t="n">
        <x:v>51</x:v>
      </x:c>
      <x:c r="N25" s="14" t="str">
        <x:v>Jessica Hulme</x:v>
      </x:c>
      <x:c r="O25" s="14" t="str">
        <x:v>nm12985609</x:v>
      </x:c>
      <x:c r="P25" s="14" t="str">
        <x:v>Jen</x:v>
      </x:c>
      <x:c r="Q25" s="15" t="n">
        <x:v>1</x:v>
      </x:c>
      <x:c r="R25" s="14" t="str">
        <x:v>2026</x:v>
      </x:c>
      <x:c r="S25" s="14" t="n">
        <x:v>2026</x:v>
      </x:c>
      <x:c r="T25" s="14" t="n">
        <x:v>2026</x:v>
      </x:c>
      <x:c r="U25" s="14" t="str">
        <x:v>Explicit source first year retained</x:v>
      </x:c>
      <x:c r="V25" s="14" t="str">
        <x:v>Earliest supplied year is 2026.</x:v>
      </x:c>
      <x:c r="W25" s="14"/>
      <x:c r="X25" s="14" t="str">
        <x:v>Excluded: after 2025</x:v>
      </x:c>
      <x:c r="Y25" s="14"/>
      <x:c r="Z25" s="14" t="str">
        <x:v>Amandaland.docx</x:v>
      </x:c>
      <x:c r="AA25" s="17" t="e">
        <x:f>HYPERLINK("https://www.imdb.com/title/tt33305711/fullcredits/","Open source")</x:f>
        <x:v>HYPERLINK is not implemented. linkLocation=https://www.imdb.com/title/tt33305711/fullcredits/,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7" t="e">
        <x:f>HYPERLINK("https://en.wikipedia.org/wiki/Amandaland","Open source")</x:f>
        <x:v>HYPERLINK is not implemented. linkLocation=https://en.wikipedia.org/wiki/Amandaland, friendlyName=Open source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13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0.07692307692307693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HYPERLINK("https://www.imdb.com/title/tt33305711/fullcredits/","Open source")</x:f>
        <x:v>HYPERLINK is not implemented. linkLocation=https://www.imdb.com/title/tt33305711/fullcredits/,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tt9800658|nm1326375|nicola</x:v>
      </x:c>
      <x:c r="B26" s="14" t="str">
        <x:v>01</x:v>
      </x:c>
      <x:c r="C26" s="14" t="str">
        <x:v>2025_IMDb_Cast_Lists_Batch_01(1).xlsx</x:v>
      </x:c>
      <x:c r="D26" s="14" t="str">
        <x:v>Bergerac</x:v>
      </x:c>
      <x:c r="E26" s="14" t="n">
        <x:v>15</x:v>
      </x:c>
      <x:c r="F26" s="14" t="str">
        <x:v>Bergerac</x:v>
      </x:c>
      <x:c r="G26" s="14" t="str">
        <x:v>tt9800658</x:v>
      </x:c>
      <x:c r="H26" s="14" t="n">
        <x:v>2025</x:v>
      </x:c>
      <x:c r="I26" s="14" t="n">
        <x:v>2025</x:v>
      </x:c>
      <x:c r="J26" s="14" t="str">
        <x:v>Post-study cohort</x:v>
      </x:c>
      <x:c r="K26" s="14"/>
      <x:c r="L26" s="14" t="str">
        <x:v>Not inherited</x:v>
      </x:c>
      <x:c r="M26" s="15" t="n">
        <x:v>8</x:v>
      </x:c>
      <x:c r="N26" s="14" t="str">
        <x:v>Camilla Beeput</x:v>
      </x:c>
      <x:c r="O26" s="14" t="str">
        <x:v>nm1326375</x:v>
      </x:c>
      <x:c r="P26" s="14" t="str">
        <x:v>Nicola</x:v>
      </x:c>
      <x:c r="Q26" s="15" t="n">
        <x:v>6</x:v>
      </x:c>
      <x:c r="R26" s="14" t="str">
        <x:v>2026</x:v>
      </x:c>
      <x:c r="S26" s="14" t="n">
        <x:v>2026</x:v>
      </x:c>
      <x:c r="T26" s="14" t="n">
        <x:v>2026</x:v>
      </x:c>
      <x:c r="U26" s="14" t="str">
        <x:v>Explicit source first year retained</x:v>
      </x:c>
      <x:c r="V26" s="14" t="str">
        <x:v>Earliest supplied year is 2026.</x:v>
      </x:c>
      <x:c r="W26" s="14"/>
      <x:c r="X26" s="14" t="str">
        <x:v>Excluded: after 2025</x:v>
      </x:c>
      <x:c r="Y26" s="14"/>
      <x:c r="Z26" s="14" t="str">
        <x:v>Bergerac.docx</x:v>
      </x:c>
      <x:c r="AA26" s="17" t="e">
        <x:f>HYPERLINK("https://www.imdb.com/title/tt9800658/fullcredits/","Open source")</x:f>
        <x:v>HYPERLINK is not implemented. linkLocation=https://www.imdb.com/title/tt9800658/fullcredits/,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 Studios / UKTV (U&amp;Alibi)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7" t="e">
        <x:f>HYPERLINK("https://en.wikipedia.org/wiki/Bergerac","Open source")</x:f>
        <x:v>HYPERLINK is not implemented. linkLocation=https://en.wikipedia.org/wiki/Bergerac, friendlyName=Open source</x:v>
      </x:c>
      <x:c r="AN26" s="14" t="str">
        <x:v>BBC Studios production for another broadcaster</x:v>
      </x:c>
      <x:c r="AO26" s="14" t="str">
        <x:v>Yes</x:v>
      </x:c>
      <x:c r="AP26" s="14" t="str">
        <x:v>Wider BBC commercial-group context only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12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6</x:v>
      </x:c>
      <x:c r="BS26" s="16" t="n">
        <x:v>0.5</x:v>
      </x:c>
      <x:c r="BT26" s="14" t="str">
        <x:v>Minority of episodes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HYPERLINK("https://www.imdb.com/title/tt9800658/fullcredits/","Open source")</x:f>
        <x:v>HYPERLINK is not implemented. linkLocation=https://www.imdb.com/title/tt9800658/fullcredits/,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tt9800658|nm0789093|monica</x:v>
      </x:c>
      <x:c r="B27" s="14" t="str">
        <x:v>01</x:v>
      </x:c>
      <x:c r="C27" s="14" t="str">
        <x:v>2025_IMDb_Cast_Lists_Batch_01(1).xlsx</x:v>
      </x:c>
      <x:c r="D27" s="14" t="str">
        <x:v>Bergerac</x:v>
      </x:c>
      <x:c r="E27" s="14" t="n">
        <x:v>17</x:v>
      </x:c>
      <x:c r="F27" s="14" t="str">
        <x:v>Bergerac</x:v>
      </x:c>
      <x:c r="G27" s="14" t="str">
        <x:v>tt9800658</x:v>
      </x:c>
      <x:c r="H27" s="14" t="n">
        <x:v>2025</x:v>
      </x:c>
      <x:c r="I27" s="14" t="n">
        <x:v>2025</x:v>
      </x:c>
      <x:c r="J27" s="14" t="str">
        <x:v>Post-study cohort</x:v>
      </x:c>
      <x:c r="K27" s="14"/>
      <x:c r="L27" s="14" t="str">
        <x:v>Not inherited</x:v>
      </x:c>
      <x:c r="M27" s="15" t="n">
        <x:v>10</x:v>
      </x:c>
      <x:c r="N27" s="14" t="str">
        <x:v>Lesley Sharp</x:v>
      </x:c>
      <x:c r="O27" s="14" t="str">
        <x:v>nm0789093</x:v>
      </x:c>
      <x:c r="P27" s="14" t="str">
        <x:v>Monica</x:v>
      </x:c>
      <x:c r="Q27" s="15" t="n">
        <x:v>6</x:v>
      </x:c>
      <x:c r="R27" s="14" t="str">
        <x:v>2026</x:v>
      </x:c>
      <x:c r="S27" s="14" t="n">
        <x:v>2026</x:v>
      </x:c>
      <x:c r="T27" s="14" t="n">
        <x:v>2026</x:v>
      </x:c>
      <x:c r="U27" s="14" t="str">
        <x:v>Explicit source first year retained</x:v>
      </x:c>
      <x:c r="V27" s="14" t="str">
        <x:v>Earliest supplied year is 2026.</x:v>
      </x:c>
      <x:c r="W27" s="14"/>
      <x:c r="X27" s="14" t="str">
        <x:v>Excluded: after 2025</x:v>
      </x:c>
      <x:c r="Y27" s="14"/>
      <x:c r="Z27" s="14" t="str">
        <x:v>Bergerac.docx</x:v>
      </x:c>
      <x:c r="AA27" s="17" t="e">
        <x:f>HYPERLINK("https://www.imdb.com/title/tt9800658/fullcredits/","Open source")</x:f>
        <x:v>HYPERLINK is not implemented. linkLocation=https://www.imdb.com/title/tt9800658/fullcredits/,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 Studios / UKTV (U&amp;Alibi)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7" t="e">
        <x:f>HYPERLINK("https://en.wikipedia.org/wiki/Bergerac","Open source")</x:f>
        <x:v>HYPERLINK is not implemented. linkLocation=https://en.wikipedia.org/wiki/Bergerac, friendlyName=Open source</x:v>
      </x:c>
      <x:c r="AN27" s="14" t="str">
        <x:v>BBC Studios production for another broadcaster</x:v>
      </x:c>
      <x:c r="AO27" s="14" t="str">
        <x:v>Yes</x:v>
      </x:c>
      <x:c r="AP27" s="14" t="str">
        <x:v>Wider BBC commercial-group context only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12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6</x:v>
      </x:c>
      <x:c r="BS27" s="16" t="n">
        <x:v>0.5</x:v>
      </x:c>
      <x:c r="BT27" s="14" t="str">
        <x:v>Minority of episodes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HYPERLINK("https://www.imdb.com/title/tt9800658/fullcredits/","Open source")</x:f>
        <x:v>HYPERLINK is not implemented. linkLocation=https://www.imdb.com/title/tt9800658/fullcredits/,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tt9800658|nm6100857|michael</x:v>
      </x:c>
      <x:c r="B28" s="14" t="str">
        <x:v>01</x:v>
      </x:c>
      <x:c r="C28" s="14" t="str">
        <x:v>2025_IMDb_Cast_Lists_Batch_01(1).xlsx</x:v>
      </x:c>
      <x:c r="D28" s="14" t="str">
        <x:v>Bergerac</x:v>
      </x:c>
      <x:c r="E28" s="14" t="n">
        <x:v>18</x:v>
      </x:c>
      <x:c r="F28" s="14" t="str">
        <x:v>Bergerac</x:v>
      </x:c>
      <x:c r="G28" s="14" t="str">
        <x:v>tt9800658</x:v>
      </x:c>
      <x:c r="H28" s="14" t="n">
        <x:v>2025</x:v>
      </x:c>
      <x:c r="I28" s="14" t="n">
        <x:v>2025</x:v>
      </x:c>
      <x:c r="J28" s="14" t="str">
        <x:v>Post-study cohort</x:v>
      </x:c>
      <x:c r="K28" s="14"/>
      <x:c r="L28" s="14" t="str">
        <x:v>Not inherited</x:v>
      </x:c>
      <x:c r="M28" s="15" t="n">
        <x:v>11</x:v>
      </x:c>
      <x:c r="N28" s="14" t="str">
        <x:v>Turlough Convery</x:v>
      </x:c>
      <x:c r="O28" s="14" t="str">
        <x:v>nm6100857</x:v>
      </x:c>
      <x:c r="P28" s="14" t="str">
        <x:v>Michael</x:v>
      </x:c>
      <x:c r="Q28" s="15" t="n">
        <x:v>6</x:v>
      </x:c>
      <x:c r="R28" s="14" t="str">
        <x:v>2026</x:v>
      </x:c>
      <x:c r="S28" s="14" t="n">
        <x:v>2026</x:v>
      </x:c>
      <x:c r="T28" s="14" t="n">
        <x:v>2026</x:v>
      </x:c>
      <x:c r="U28" s="14" t="str">
        <x:v>Explicit source first year retained</x:v>
      </x:c>
      <x:c r="V28" s="14" t="str">
        <x:v>Earliest supplied year is 2026.</x:v>
      </x:c>
      <x:c r="W28" s="14"/>
      <x:c r="X28" s="14" t="str">
        <x:v>Excluded: after 2025</x:v>
      </x:c>
      <x:c r="Y28" s="14"/>
      <x:c r="Z28" s="14" t="str">
        <x:v>Bergerac.docx</x:v>
      </x:c>
      <x:c r="AA28" s="17" t="e">
        <x:f>HYPERLINK("https://www.imdb.com/title/tt9800658/fullcredits/","Open source")</x:f>
        <x:v>HYPERLINK is not implemented. linkLocation=https://www.imdb.com/title/tt9800658/fullcredits/,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 Studios / UKTV (U&amp;Alibi)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7" t="e">
        <x:f>HYPERLINK("https://en.wikipedia.org/wiki/Bergerac","Open source")</x:f>
        <x:v>HYPERLINK is not implemented. linkLocation=https://en.wikipedia.org/wiki/Bergerac, friendlyName=Open source</x:v>
      </x:c>
      <x:c r="AN28" s="14" t="str">
        <x:v>BBC Studios production for another broadcaster</x:v>
      </x:c>
      <x:c r="AO28" s="14" t="str">
        <x:v>Yes</x:v>
      </x:c>
      <x:c r="AP28" s="14" t="str">
        <x:v>Wider BBC commercial-group context only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12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6</x:v>
      </x:c>
      <x:c r="BS28" s="16" t="n">
        <x:v>0.5</x:v>
      </x:c>
      <x:c r="BT28" s="14" t="str">
        <x:v>Minority of episodes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HYPERLINK("https://www.imdb.com/title/tt9800658/fullcredits/","Open source")</x:f>
        <x:v>HYPERLINK is not implemented. linkLocation=https://www.imdb.com/title/tt9800658/fullcredits/,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tt9800658|nm0249528|nigel</x:v>
      </x:c>
      <x:c r="B29" s="14" t="str">
        <x:v>01</x:v>
      </x:c>
      <x:c r="C29" s="14" t="str">
        <x:v>2025_IMDb_Cast_Lists_Batch_01(1).xlsx</x:v>
      </x:c>
      <x:c r="D29" s="14" t="str">
        <x:v>Bergerac</x:v>
      </x:c>
      <x:c r="E29" s="14" t="n">
        <x:v>20</x:v>
      </x:c>
      <x:c r="F29" s="14" t="str">
        <x:v>Bergerac</x:v>
      </x:c>
      <x:c r="G29" s="14" t="str">
        <x:v>tt9800658</x:v>
      </x:c>
      <x:c r="H29" s="14" t="n">
        <x:v>2025</x:v>
      </x:c>
      <x:c r="I29" s="14" t="n">
        <x:v>2025</x:v>
      </x:c>
      <x:c r="J29" s="14" t="str">
        <x:v>Post-study cohort</x:v>
      </x:c>
      <x:c r="K29" s="14"/>
      <x:c r="L29" s="14" t="str">
        <x:v>Not inherited</x:v>
      </x:c>
      <x:c r="M29" s="15" t="n">
        <x:v>13</x:v>
      </x:c>
      <x:c r="N29" s="14" t="str">
        <x:v>Adrian Edmondson</x:v>
      </x:c>
      <x:c r="O29" s="14" t="str">
        <x:v>nm0249528</x:v>
      </x:c>
      <x:c r="P29" s="14" t="str">
        <x:v>Nigel</x:v>
      </x:c>
      <x:c r="Q29" s="15" t="n">
        <x:v>6</x:v>
      </x:c>
      <x:c r="R29" s="14" t="str">
        <x:v>2026</x:v>
      </x:c>
      <x:c r="S29" s="14" t="n">
        <x:v>2026</x:v>
      </x:c>
      <x:c r="T29" s="14" t="n">
        <x:v>2026</x:v>
      </x:c>
      <x:c r="U29" s="14" t="str">
        <x:v>Explicit source first year retained</x:v>
      </x:c>
      <x:c r="V29" s="14" t="str">
        <x:v>Earliest supplied year is 2026.</x:v>
      </x:c>
      <x:c r="W29" s="14"/>
      <x:c r="X29" s="14" t="str">
        <x:v>Excluded: after 2025</x:v>
      </x:c>
      <x:c r="Y29" s="14"/>
      <x:c r="Z29" s="14" t="str">
        <x:v>Bergerac.docx</x:v>
      </x:c>
      <x:c r="AA29" s="17" t="e">
        <x:f>HYPERLINK("https://www.imdb.com/title/tt9800658/fullcredits/","Open source")</x:f>
        <x:v>HYPERLINK is not implemented. linkLocation=https://www.imdb.com/title/tt9800658/fullcredits/,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 Studios / UKTV (U&amp;Alibi)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7" t="e">
        <x:f>HYPERLINK("https://en.wikipedia.org/wiki/Bergerac","Open source")</x:f>
        <x:v>HYPERLINK is not implemented. linkLocation=https://en.wikipedia.org/wiki/Bergerac, friendlyName=Open source</x:v>
      </x:c>
      <x:c r="AN29" s="14" t="str">
        <x:v>BBC Studios production for another broadcaster</x:v>
      </x:c>
      <x:c r="AO29" s="14" t="str">
        <x:v>Yes</x:v>
      </x:c>
      <x:c r="AP29" s="14" t="str">
        <x:v>Wider BBC commercial-group context only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12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6</x:v>
      </x:c>
      <x:c r="BS29" s="16" t="n">
        <x:v>0.5</x:v>
      </x:c>
      <x:c r="BT29" s="14" t="str">
        <x:v>Minority of episodes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HYPERLINK("https://www.imdb.com/title/tt9800658/fullcredits/","Open source")</x:f>
        <x:v>HYPERLINK is not implemented. linkLocation=https://www.imdb.com/title/tt9800658/fullcredits/,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tt9800658|nm1873687|ruth</x:v>
      </x:c>
      <x:c r="B30" s="14" t="str">
        <x:v>01</x:v>
      </x:c>
      <x:c r="C30" s="14" t="str">
        <x:v>2025_IMDb_Cast_Lists_Batch_01(1).xlsx</x:v>
      </x:c>
      <x:c r="D30" s="14" t="str">
        <x:v>Bergerac</x:v>
      </x:c>
      <x:c r="E30" s="14" t="n">
        <x:v>22</x:v>
      </x:c>
      <x:c r="F30" s="14" t="str">
        <x:v>Bergerac</x:v>
      </x:c>
      <x:c r="G30" s="14" t="str">
        <x:v>tt9800658</x:v>
      </x:c>
      <x:c r="H30" s="14" t="n">
        <x:v>2025</x:v>
      </x:c>
      <x:c r="I30" s="14" t="n">
        <x:v>2025</x:v>
      </x:c>
      <x:c r="J30" s="14" t="str">
        <x:v>Post-study cohort</x:v>
      </x:c>
      <x:c r="K30" s="14"/>
      <x:c r="L30" s="14" t="str">
        <x:v>Not inherited</x:v>
      </x:c>
      <x:c r="M30" s="15" t="n">
        <x:v>15</x:v>
      </x:c>
      <x:c r="N30" s="14" t="str">
        <x:v>Georgina Rich</x:v>
      </x:c>
      <x:c r="O30" s="14" t="str">
        <x:v>nm1873687</x:v>
      </x:c>
      <x:c r="P30" s="14" t="str">
        <x:v>Ruth</x:v>
      </x:c>
      <x:c r="Q30" s="15" t="n">
        <x:v>6</x:v>
      </x:c>
      <x:c r="R30" s="14" t="str">
        <x:v>2026</x:v>
      </x:c>
      <x:c r="S30" s="14" t="n">
        <x:v>2026</x:v>
      </x:c>
      <x:c r="T30" s="14" t="n">
        <x:v>2026</x:v>
      </x:c>
      <x:c r="U30" s="14" t="str">
        <x:v>Explicit source first year retained</x:v>
      </x:c>
      <x:c r="V30" s="14" t="str">
        <x:v>Earliest supplied year is 2026.</x:v>
      </x:c>
      <x:c r="W30" s="14"/>
      <x:c r="X30" s="14" t="str">
        <x:v>Excluded: after 2025</x:v>
      </x:c>
      <x:c r="Y30" s="14"/>
      <x:c r="Z30" s="14" t="str">
        <x:v>Bergerac.docx</x:v>
      </x:c>
      <x:c r="AA30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 Studios / UKTV (U&amp;Alibi)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7" t="e">
        <x:f>HYPERLINK("https://en.wikipedia.org/wiki/Bergerac","Open source")</x:f>
        <x:v>HYPERLINK is not implemented. linkLocation=https://en.wikipedia.org/wiki/Bergerac, friendlyName=Open source</x:v>
      </x:c>
      <x:c r="AN30" s="14" t="str">
        <x:v>BBC Studios production for another broadcaster</x:v>
      </x:c>
      <x:c r="AO30" s="14" t="str">
        <x:v>Yes</x:v>
      </x:c>
      <x:c r="AP30" s="14" t="str">
        <x:v>Wider BBC commercial-group context only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12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6</x:v>
      </x:c>
      <x:c r="BS30" s="16" t="n">
        <x:v>0.5</x:v>
      </x:c>
      <x:c r="BT30" s="14" t="str">
        <x:v>Minority of episodes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tt9800658|nm0197656|ian</x:v>
      </x:c>
      <x:c r="B31" s="14" t="str">
        <x:v>01</x:v>
      </x:c>
      <x:c r="C31" s="14" t="str">
        <x:v>2025_IMDb_Cast_Lists_Batch_01(1).xlsx</x:v>
      </x:c>
      <x:c r="D31" s="14" t="str">
        <x:v>Bergerac</x:v>
      </x:c>
      <x:c r="E31" s="14" t="n">
        <x:v>28</x:v>
      </x:c>
      <x:c r="F31" s="14" t="str">
        <x:v>Bergerac</x:v>
      </x:c>
      <x:c r="G31" s="14" t="str">
        <x:v>tt9800658</x:v>
      </x:c>
      <x:c r="H31" s="14" t="n">
        <x:v>2025</x:v>
      </x:c>
      <x:c r="I31" s="14" t="n">
        <x:v>2025</x:v>
      </x:c>
      <x:c r="J31" s="14" t="str">
        <x:v>Post-study cohort</x:v>
      </x:c>
      <x:c r="K31" s="14"/>
      <x:c r="L31" s="14" t="str">
        <x:v>Not inherited</x:v>
      </x:c>
      <x:c r="M31" s="15" t="n">
        <x:v>21</x:v>
      </x:c>
      <x:c r="N31" s="14" t="str">
        <x:v>Charles Dale</x:v>
      </x:c>
      <x:c r="O31" s="14" t="str">
        <x:v>nm0197656</x:v>
      </x:c>
      <x:c r="P31" s="14" t="str">
        <x:v>Ian</x:v>
      </x:c>
      <x:c r="Q31" s="15" t="n">
        <x:v>3</x:v>
      </x:c>
      <x:c r="R31" s="14" t="str">
        <x:v>2026</x:v>
      </x:c>
      <x:c r="S31" s="14" t="n">
        <x:v>2026</x:v>
      </x:c>
      <x:c r="T31" s="14" t="n">
        <x:v>2026</x:v>
      </x:c>
      <x:c r="U31" s="14" t="str">
        <x:v>Explicit source first year retained</x:v>
      </x:c>
      <x:c r="V31" s="14" t="str">
        <x:v>Earliest supplied year is 2026.</x:v>
      </x:c>
      <x:c r="W31" s="14"/>
      <x:c r="X31" s="14" t="str">
        <x:v>Excluded: after 2025</x:v>
      </x:c>
      <x:c r="Y31" s="14"/>
      <x:c r="Z31" s="14" t="str">
        <x:v>Bergerac.docx</x:v>
      </x:c>
      <x:c r="AA31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 Studios / UKTV (U&amp;Alibi)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7" t="e">
        <x:f>HYPERLINK("https://en.wikipedia.org/wiki/Bergerac","Open source")</x:f>
        <x:v>HYPERLINK is not implemented. linkLocation=https://en.wikipedia.org/wiki/Bergerac, friendlyName=Open source</x:v>
      </x:c>
      <x:c r="AN31" s="14" t="str">
        <x:v>BBC Studios production for another broadcaster</x:v>
      </x:c>
      <x:c r="AO31" s="14" t="str">
        <x:v>Yes</x:v>
      </x:c>
      <x:c r="AP31" s="14" t="str">
        <x:v>Wider BBC commercial-group context only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12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3</x:v>
      </x:c>
      <x:c r="BS31" s="16" t="n">
        <x:v>0.25</x:v>
      </x:c>
      <x:c r="BT31" s="14" t="str">
        <x:v>Minority of episodes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tt9800658|nm0034877|richard</x:v>
      </x:c>
      <x:c r="B32" s="14" t="str">
        <x:v>01</x:v>
      </x:c>
      <x:c r="C32" s="14" t="str">
        <x:v>2025_IMDb_Cast_Lists_Batch_01(1).xlsx</x:v>
      </x:c>
      <x:c r="D32" s="14" t="str">
        <x:v>Bergerac</x:v>
      </x:c>
      <x:c r="E32" s="14" t="n">
        <x:v>29</x:v>
      </x:c>
      <x:c r="F32" s="14" t="str">
        <x:v>Bergerac</x:v>
      </x:c>
      <x:c r="G32" s="14" t="str">
        <x:v>tt9800658</x:v>
      </x:c>
      <x:c r="H32" s="14" t="n">
        <x:v>2025</x:v>
      </x:c>
      <x:c r="I32" s="14" t="n">
        <x:v>2025</x:v>
      </x:c>
      <x:c r="J32" s="14" t="str">
        <x:v>Post-study cohort</x:v>
      </x:c>
      <x:c r="K32" s="14"/>
      <x:c r="L32" s="14" t="str">
        <x:v>Not inherited</x:v>
      </x:c>
      <x:c r="M32" s="15" t="n">
        <x:v>22</x:v>
      </x:c>
      <x:c r="N32" s="14" t="str">
        <x:v>Jonathan Aris</x:v>
      </x:c>
      <x:c r="O32" s="14" t="str">
        <x:v>nm0034877</x:v>
      </x:c>
      <x:c r="P32" s="14" t="str">
        <x:v>Richard</x:v>
      </x:c>
      <x:c r="Q32" s="15" t="n">
        <x:v>3</x:v>
      </x:c>
      <x:c r="R32" s="14" t="str">
        <x:v>2026</x:v>
      </x:c>
      <x:c r="S32" s="14" t="n">
        <x:v>2026</x:v>
      </x:c>
      <x:c r="T32" s="14" t="n">
        <x:v>2026</x:v>
      </x:c>
      <x:c r="U32" s="14" t="str">
        <x:v>Explicit source first year retained</x:v>
      </x:c>
      <x:c r="V32" s="14" t="str">
        <x:v>Earliest supplied year is 2026.</x:v>
      </x:c>
      <x:c r="W32" s="14"/>
      <x:c r="X32" s="14" t="str">
        <x:v>Excluded: after 2025</x:v>
      </x:c>
      <x:c r="Y32" s="14"/>
      <x:c r="Z32" s="14" t="str">
        <x:v>Bergerac.docx</x:v>
      </x:c>
      <x:c r="AA32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BBC Studios / UKTV (U&amp;Alibi)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7" t="e">
        <x:f>HYPERLINK("https://en.wikipedia.org/wiki/Bergerac","Open source")</x:f>
        <x:v>HYPERLINK is not implemented. linkLocation=https://en.wikipedia.org/wiki/Bergerac, friendlyName=Open source</x:v>
      </x:c>
      <x:c r="AN32" s="14" t="str">
        <x:v>BBC Studios production for another broadcaster</x:v>
      </x:c>
      <x:c r="AO32" s="14" t="str">
        <x:v>Yes</x:v>
      </x:c>
      <x:c r="AP32" s="14" t="str">
        <x:v>Wider BBC commercial-group context only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12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3</x:v>
      </x:c>
      <x:c r="BS32" s="16" t="n">
        <x:v>0.25</x:v>
      </x:c>
      <x:c r="BT32" s="14" t="str">
        <x:v>Minority of episodes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tt9800658|nm1646345|tony</x:v>
      </x:c>
      <x:c r="B33" s="14" t="str">
        <x:v>01</x:v>
      </x:c>
      <x:c r="C33" s="14" t="str">
        <x:v>2025_IMDb_Cast_Lists_Batch_01(1).xlsx</x:v>
      </x:c>
      <x:c r="D33" s="14" t="str">
        <x:v>Bergerac</x:v>
      </x:c>
      <x:c r="E33" s="14" t="n">
        <x:v>31</x:v>
      </x:c>
      <x:c r="F33" s="14" t="str">
        <x:v>Bergerac</x:v>
      </x:c>
      <x:c r="G33" s="14" t="str">
        <x:v>tt9800658</x:v>
      </x:c>
      <x:c r="H33" s="14" t="n">
        <x:v>2025</x:v>
      </x:c>
      <x:c r="I33" s="14" t="n">
        <x:v>2025</x:v>
      </x:c>
      <x:c r="J33" s="14" t="str">
        <x:v>Post-study cohort</x:v>
      </x:c>
      <x:c r="K33" s="14"/>
      <x:c r="L33" s="14" t="str">
        <x:v>Not inherited</x:v>
      </x:c>
      <x:c r="M33" s="15" t="n">
        <x:v>24</x:v>
      </x:c>
      <x:c r="N33" s="14" t="str">
        <x:v>Mark Noble</x:v>
      </x:c>
      <x:c r="O33" s="14" t="str">
        <x:v>nm1646345</x:v>
      </x:c>
      <x:c r="P33" s="14" t="str">
        <x:v>Tony</x:v>
      </x:c>
      <x:c r="Q33" s="15" t="n">
        <x:v>2</x:v>
      </x:c>
      <x:c r="R33" s="14" t="str">
        <x:v>2026</x:v>
      </x:c>
      <x:c r="S33" s="14" t="n">
        <x:v>2026</x:v>
      </x:c>
      <x:c r="T33" s="14" t="n">
        <x:v>2026</x:v>
      </x:c>
      <x:c r="U33" s="14" t="str">
        <x:v>Explicit source first year retained</x:v>
      </x:c>
      <x:c r="V33" s="14" t="str">
        <x:v>Earliest supplied year is 2026.</x:v>
      </x:c>
      <x:c r="W33" s="14"/>
      <x:c r="X33" s="14" t="str">
        <x:v>Excluded: after 2025</x:v>
      </x:c>
      <x:c r="Y33" s="14"/>
      <x:c r="Z33" s="14" t="str">
        <x:v>Bergerac.docx</x:v>
      </x:c>
      <x:c r="AA33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 Studios / UKTV (U&amp;Alibi)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7" t="e">
        <x:f>HYPERLINK("https://en.wikipedia.org/wiki/Bergerac","Open source")</x:f>
        <x:v>HYPERLINK is not implemented. linkLocation=https://en.wikipedia.org/wiki/Bergerac, friendlyName=Open source</x:v>
      </x:c>
      <x:c r="AN33" s="14" t="str">
        <x:v>BBC Studios production for another broadcaster</x:v>
      </x:c>
      <x:c r="AO33" s="14" t="str">
        <x:v>Yes</x:v>
      </x:c>
      <x:c r="AP33" s="14" t="str">
        <x:v>Wider BBC commercial-group context only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12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2</x:v>
      </x:c>
      <x:c r="BS33" s="16" t="n">
        <x:v>0.16666666666666666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tt9800658|nm4452922|karl</x:v>
      </x:c>
      <x:c r="B34" s="14" t="str">
        <x:v>01</x:v>
      </x:c>
      <x:c r="C34" s="14" t="str">
        <x:v>2025_IMDb_Cast_Lists_Batch_01(1).xlsx</x:v>
      </x:c>
      <x:c r="D34" s="14" t="str">
        <x:v>Bergerac</x:v>
      </x:c>
      <x:c r="E34" s="14" t="n">
        <x:v>32</x:v>
      </x:c>
      <x:c r="F34" s="14" t="str">
        <x:v>Bergerac</x:v>
      </x:c>
      <x:c r="G34" s="14" t="str">
        <x:v>tt9800658</x:v>
      </x:c>
      <x:c r="H34" s="14" t="n">
        <x:v>2025</x:v>
      </x:c>
      <x:c r="I34" s="14" t="n">
        <x:v>2025</x:v>
      </x:c>
      <x:c r="J34" s="14" t="str">
        <x:v>Post-study cohort</x:v>
      </x:c>
      <x:c r="K34" s="14"/>
      <x:c r="L34" s="14" t="str">
        <x:v>Not inherited</x:v>
      </x:c>
      <x:c r="M34" s="15" t="n">
        <x:v>25</x:v>
      </x:c>
      <x:c r="N34" s="14" t="str">
        <x:v>Luke Hornsby</x:v>
      </x:c>
      <x:c r="O34" s="14" t="str">
        <x:v>nm4452922</x:v>
      </x:c>
      <x:c r="P34" s="14" t="str">
        <x:v>Karl</x:v>
      </x:c>
      <x:c r="Q34" s="15" t="n">
        <x:v>2</x:v>
      </x:c>
      <x:c r="R34" s="14" t="str">
        <x:v>2026</x:v>
      </x:c>
      <x:c r="S34" s="14" t="n">
        <x:v>2026</x:v>
      </x:c>
      <x:c r="T34" s="14" t="n">
        <x:v>2026</x:v>
      </x:c>
      <x:c r="U34" s="14" t="str">
        <x:v>Explicit source first year retained</x:v>
      </x:c>
      <x:c r="V34" s="14" t="str">
        <x:v>Earliest supplied year is 2026.</x:v>
      </x:c>
      <x:c r="W34" s="14"/>
      <x:c r="X34" s="14" t="str">
        <x:v>Excluded: after 2025</x:v>
      </x:c>
      <x:c r="Y34" s="14" t="str">
        <x:v>(as Luke Hornsby-Smith)</x:v>
      </x:c>
      <x:c r="Z34" s="14" t="str">
        <x:v>Bergerac.docx</x:v>
      </x:c>
      <x:c r="AA34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 Studios / UKTV (U&amp;Alibi)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7" t="e">
        <x:f>HYPERLINK("https://en.wikipedia.org/wiki/Bergerac","Open source")</x:f>
        <x:v>HYPERLINK is not implemented. linkLocation=https://en.wikipedia.org/wiki/Bergerac, friendlyName=Open source</x:v>
      </x:c>
      <x:c r="AN34" s="14" t="str">
        <x:v>BBC Studios production for another broadcaster</x:v>
      </x:c>
      <x:c r="AO34" s="14" t="str">
        <x:v>Yes</x:v>
      </x:c>
      <x:c r="AP34" s="14" t="str">
        <x:v>Wider BBC commercial-group context only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12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0.16666666666666666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tt9800658|nm2542896|daisy</x:v>
      </x:c>
      <x:c r="B35" s="14" t="str">
        <x:v>01</x:v>
      </x:c>
      <x:c r="C35" s="14" t="str">
        <x:v>2025_IMDb_Cast_Lists_Batch_01(1).xlsx</x:v>
      </x:c>
      <x:c r="D35" s="14" t="str">
        <x:v>Bergerac</x:v>
      </x:c>
      <x:c r="E35" s="14" t="n">
        <x:v>33</x:v>
      </x:c>
      <x:c r="F35" s="14" t="str">
        <x:v>Bergerac</x:v>
      </x:c>
      <x:c r="G35" s="14" t="str">
        <x:v>tt9800658</x:v>
      </x:c>
      <x:c r="H35" s="14" t="n">
        <x:v>2025</x:v>
      </x:c>
      <x:c r="I35" s="14" t="n">
        <x:v>2025</x:v>
      </x:c>
      <x:c r="J35" s="14" t="str">
        <x:v>Post-study cohort</x:v>
      </x:c>
      <x:c r="K35" s="14"/>
      <x:c r="L35" s="14" t="str">
        <x:v>Not inherited</x:v>
      </x:c>
      <x:c r="M35" s="15" t="n">
        <x:v>26</x:v>
      </x:c>
      <x:c r="N35" s="14" t="str">
        <x:v>Alix Wilton Regan</x:v>
      </x:c>
      <x:c r="O35" s="14" t="str">
        <x:v>nm2542896</x:v>
      </x:c>
      <x:c r="P35" s="14" t="str">
        <x:v>Daisy</x:v>
      </x:c>
      <x:c r="Q35" s="15" t="n">
        <x:v>2</x:v>
      </x:c>
      <x:c r="R35" s="14" t="str">
        <x:v>2026</x:v>
      </x:c>
      <x:c r="S35" s="14" t="n">
        <x:v>2026</x:v>
      </x:c>
      <x:c r="T35" s="14" t="n">
        <x:v>2026</x:v>
      </x:c>
      <x:c r="U35" s="14" t="str">
        <x:v>Explicit source first year retained</x:v>
      </x:c>
      <x:c r="V35" s="14" t="str">
        <x:v>Earliest supplied year is 2026.</x:v>
      </x:c>
      <x:c r="W35" s="14"/>
      <x:c r="X35" s="14" t="str">
        <x:v>Excluded: after 2025</x:v>
      </x:c>
      <x:c r="Y35" s="14"/>
      <x:c r="Z35" s="14" t="str">
        <x:v>Bergerac.docx</x:v>
      </x:c>
      <x:c r="AA35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 Studios / UKTV (U&amp;Alibi)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7" t="e">
        <x:f>HYPERLINK("https://en.wikipedia.org/wiki/Bergerac","Open source")</x:f>
        <x:v>HYPERLINK is not implemented. linkLocation=https://en.wikipedia.org/wiki/Bergerac, friendlyName=Open source</x:v>
      </x:c>
      <x:c r="AN35" s="14" t="str">
        <x:v>BBC Studios production for another broadcaster</x:v>
      </x:c>
      <x:c r="AO35" s="14" t="str">
        <x:v>Yes</x:v>
      </x:c>
      <x:c r="AP35" s="14" t="str">
        <x:v>Wider BBC commercial-group context only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12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2</x:v>
      </x:c>
      <x:c r="BS35" s="16" t="n">
        <x:v>0.16666666666666666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tt9800658|nm12184946|receptionist</x:v>
      </x:c>
      <x:c r="B36" s="14" t="str">
        <x:v>01</x:v>
      </x:c>
      <x:c r="C36" s="14" t="str">
        <x:v>2025_IMDb_Cast_Lists_Batch_01(1).xlsx</x:v>
      </x:c>
      <x:c r="D36" s="14" t="str">
        <x:v>Bergerac</x:v>
      </x:c>
      <x:c r="E36" s="14" t="n">
        <x:v>35</x:v>
      </x:c>
      <x:c r="F36" s="14" t="str">
        <x:v>Bergerac</x:v>
      </x:c>
      <x:c r="G36" s="14" t="str">
        <x:v>tt9800658</x:v>
      </x:c>
      <x:c r="H36" s="14" t="n">
        <x:v>2025</x:v>
      </x:c>
      <x:c r="I36" s="14" t="n">
        <x:v>2025</x:v>
      </x:c>
      <x:c r="J36" s="14" t="str">
        <x:v>Post-study cohort</x:v>
      </x:c>
      <x:c r="K36" s="14"/>
      <x:c r="L36" s="14" t="str">
        <x:v>Not inherited</x:v>
      </x:c>
      <x:c r="M36" s="15" t="n">
        <x:v>28</x:v>
      </x:c>
      <x:c r="N36" s="14" t="str">
        <x:v>Lucy Anna Richardson</x:v>
      </x:c>
      <x:c r="O36" s="14" t="str">
        <x:v>nm12184946</x:v>
      </x:c>
      <x:c r="P36" s="14" t="str">
        <x:v>Receptionist</x:v>
      </x:c>
      <x:c r="Q36" s="15" t="n">
        <x:v>2</x:v>
      </x:c>
      <x:c r="R36" s="14" t="str">
        <x:v>2026</x:v>
      </x:c>
      <x:c r="S36" s="14" t="n">
        <x:v>2026</x:v>
      </x:c>
      <x:c r="T36" s="14" t="n">
        <x:v>2026</x:v>
      </x:c>
      <x:c r="U36" s="14" t="str">
        <x:v>Explicit source first year retained</x:v>
      </x:c>
      <x:c r="V36" s="14" t="str">
        <x:v>Earliest supplied year is 2026.</x:v>
      </x:c>
      <x:c r="W36" s="14"/>
      <x:c r="X36" s="14" t="str">
        <x:v>Excluded: after 2025</x:v>
      </x:c>
      <x:c r="Y36" s="14"/>
      <x:c r="Z36" s="14" t="str">
        <x:v>Bergerac.docx</x:v>
      </x:c>
      <x:c r="AA36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 Studios / UKTV (U&amp;Alibi)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7" t="e">
        <x:f>HYPERLINK("https://en.wikipedia.org/wiki/Bergerac","Open source")</x:f>
        <x:v>HYPERLINK is not implemented. linkLocation=https://en.wikipedia.org/wiki/Bergerac, friendlyName=Open source</x:v>
      </x:c>
      <x:c r="AN36" s="14" t="str">
        <x:v>BBC Studios production for another broadcaster</x:v>
      </x:c>
      <x:c r="AO36" s="14" t="str">
        <x:v>Yes</x:v>
      </x:c>
      <x:c r="AP36" s="14" t="str">
        <x:v>Wider BBC commercial-group context only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12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2</x:v>
      </x:c>
      <x:c r="BS36" s="16" t="n">
        <x:v>0.16666666666666666</x:v>
      </x:c>
      <x:c r="BT36" s="14" t="str">
        <x:v>Minority of episodes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tt9800658|nm0942682|emma</x:v>
      </x:c>
      <x:c r="B37" s="14" t="str">
        <x:v>01</x:v>
      </x:c>
      <x:c r="C37" s="14" t="str">
        <x:v>2025_IMDb_Cast_Lists_Batch_01(1).xlsx</x:v>
      </x:c>
      <x:c r="D37" s="14" t="str">
        <x:v>Bergerac</x:v>
      </x:c>
      <x:c r="E37" s="14" t="n">
        <x:v>36</x:v>
      </x:c>
      <x:c r="F37" s="14" t="str">
        <x:v>Bergerac</x:v>
      </x:c>
      <x:c r="G37" s="14" t="str">
        <x:v>tt9800658</x:v>
      </x:c>
      <x:c r="H37" s="14" t="n">
        <x:v>2025</x:v>
      </x:c>
      <x:c r="I37" s="14" t="n">
        <x:v>2025</x:v>
      </x:c>
      <x:c r="J37" s="14" t="str">
        <x:v>Post-study cohort</x:v>
      </x:c>
      <x:c r="K37" s="14"/>
      <x:c r="L37" s="14" t="str">
        <x:v>Not inherited</x:v>
      </x:c>
      <x:c r="M37" s="15" t="n">
        <x:v>29</x:v>
      </x:c>
      <x:c r="N37" s="14" t="str">
        <x:v>Nicola Wright</x:v>
      </x:c>
      <x:c r="O37" s="14" t="str">
        <x:v>nm0942682</x:v>
      </x:c>
      <x:c r="P37" s="14" t="str">
        <x:v>Emma</x:v>
      </x:c>
      <x:c r="Q37" s="15" t="n">
        <x:v>2</x:v>
      </x:c>
      <x:c r="R37" s="14" t="str">
        <x:v>2026</x:v>
      </x:c>
      <x:c r="S37" s="14" t="n">
        <x:v>2026</x:v>
      </x:c>
      <x:c r="T37" s="14" t="n">
        <x:v>2026</x:v>
      </x:c>
      <x:c r="U37" s="14" t="str">
        <x:v>Explicit source first year retained</x:v>
      </x:c>
      <x:c r="V37" s="14" t="str">
        <x:v>Earliest supplied year is 2026.</x:v>
      </x:c>
      <x:c r="W37" s="14"/>
      <x:c r="X37" s="14" t="str">
        <x:v>Excluded: after 2025</x:v>
      </x:c>
      <x:c r="Y37" s="14"/>
      <x:c r="Z37" s="14" t="str">
        <x:v>Bergerac.docx</x:v>
      </x:c>
      <x:c r="AA37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 Studios / UKTV (U&amp;Alibi)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7" t="e">
        <x:f>HYPERLINK("https://en.wikipedia.org/wiki/Bergerac","Open source")</x:f>
        <x:v>HYPERLINK is not implemented. linkLocation=https://en.wikipedia.org/wiki/Bergerac, friendlyName=Open source</x:v>
      </x:c>
      <x:c r="AN37" s="14" t="str">
        <x:v>BBC Studios production for another broadcaster</x:v>
      </x:c>
      <x:c r="AO37" s="14" t="str">
        <x:v>Yes</x:v>
      </x:c>
      <x:c r="AP37" s="14" t="str">
        <x:v>Wider BBC commercial-group context only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12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2</x:v>
      </x:c>
      <x:c r="BS37" s="16" t="n">
        <x:v>0.16666666666666666</x:v>
      </x:c>
      <x:c r="BT37" s="14" t="str">
        <x:v>Minority of episodes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tt9800658|nm13045195|andy</x:v>
      </x:c>
      <x:c r="B38" s="14" t="str">
        <x:v>01</x:v>
      </x:c>
      <x:c r="C38" s="14" t="str">
        <x:v>2025_IMDb_Cast_Lists_Batch_01(1).xlsx</x:v>
      </x:c>
      <x:c r="D38" s="14" t="str">
        <x:v>Bergerac</x:v>
      </x:c>
      <x:c r="E38" s="14" t="n">
        <x:v>43</x:v>
      </x:c>
      <x:c r="F38" s="14" t="str">
        <x:v>Bergerac</x:v>
      </x:c>
      <x:c r="G38" s="14" t="str">
        <x:v>tt9800658</x:v>
      </x:c>
      <x:c r="H38" s="14" t="n">
        <x:v>2025</x:v>
      </x:c>
      <x:c r="I38" s="14" t="n">
        <x:v>2025</x:v>
      </x:c>
      <x:c r="J38" s="14" t="str">
        <x:v>Post-study cohort</x:v>
      </x:c>
      <x:c r="K38" s="14"/>
      <x:c r="L38" s="14" t="str">
        <x:v>Not inherited</x:v>
      </x:c>
      <x:c r="M38" s="15" t="n">
        <x:v>36</x:v>
      </x:c>
      <x:c r="N38" s="14" t="str">
        <x:v>Denzel Baidoo</x:v>
      </x:c>
      <x:c r="O38" s="14" t="str">
        <x:v>nm13045195</x:v>
      </x:c>
      <x:c r="P38" s="14" t="str">
        <x:v>Andy</x:v>
      </x:c>
      <x:c r="Q38" s="15" t="n">
        <x:v>1</x:v>
      </x:c>
      <x:c r="R38" s="14" t="str">
        <x:v>2026</x:v>
      </x:c>
      <x:c r="S38" s="14" t="n">
        <x:v>2026</x:v>
      </x:c>
      <x:c r="T38" s="14" t="n">
        <x:v>2026</x:v>
      </x:c>
      <x:c r="U38" s="14" t="str">
        <x:v>Explicit source first year retained</x:v>
      </x:c>
      <x:c r="V38" s="14" t="str">
        <x:v>Earliest supplied year is 2026.</x:v>
      </x:c>
      <x:c r="W38" s="14"/>
      <x:c r="X38" s="14" t="str">
        <x:v>Excluded: after 2025</x:v>
      </x:c>
      <x:c r="Y38" s="14"/>
      <x:c r="Z38" s="14" t="str">
        <x:v>Bergerac.docx</x:v>
      </x:c>
      <x:c r="AA38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 Studios / UKTV (U&amp;Alibi)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7" t="e">
        <x:f>HYPERLINK("https://en.wikipedia.org/wiki/Bergerac","Open source")</x:f>
        <x:v>HYPERLINK is not implemented. linkLocation=https://en.wikipedia.org/wiki/Bergerac, friendlyName=Open source</x:v>
      </x:c>
      <x:c r="AN38" s="14" t="str">
        <x:v>BBC Studios production for another broadcaster</x:v>
      </x:c>
      <x:c r="AO38" s="14" t="str">
        <x:v>Yes</x:v>
      </x:c>
      <x:c r="AP38" s="14" t="str">
        <x:v>Wider BBC commercial-group context only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0.08333333333333333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tt9800658|nm1676538|best man martin</x:v>
      </x:c>
      <x:c r="B39" s="14" t="str">
        <x:v>01</x:v>
      </x:c>
      <x:c r="C39" s="14" t="str">
        <x:v>2025_IMDb_Cast_Lists_Batch_01(1).xlsx</x:v>
      </x:c>
      <x:c r="D39" s="14" t="str">
        <x:v>Bergerac</x:v>
      </x:c>
      <x:c r="E39" s="14" t="n">
        <x:v>44</x:v>
      </x:c>
      <x:c r="F39" s="14" t="str">
        <x:v>Bergerac</x:v>
      </x:c>
      <x:c r="G39" s="14" t="str">
        <x:v>tt9800658</x:v>
      </x:c>
      <x:c r="H39" s="14" t="n">
        <x:v>2025</x:v>
      </x:c>
      <x:c r="I39" s="14" t="n">
        <x:v>2025</x:v>
      </x:c>
      <x:c r="J39" s="14" t="str">
        <x:v>Post-study cohort</x:v>
      </x:c>
      <x:c r="K39" s="14"/>
      <x:c r="L39" s="14" t="str">
        <x:v>Not inherited</x:v>
      </x:c>
      <x:c r="M39" s="15" t="n">
        <x:v>37</x:v>
      </x:c>
      <x:c r="N39" s="14" t="str">
        <x:v>Peter Eastland</x:v>
      </x:c>
      <x:c r="O39" s="14" t="str">
        <x:v>nm1676538</x:v>
      </x:c>
      <x:c r="P39" s="14" t="str">
        <x:v>Best Man Martin</x:v>
      </x:c>
      <x:c r="Q39" s="15" t="n">
        <x:v>1</x:v>
      </x:c>
      <x:c r="R39" s="14" t="str">
        <x:v>2026</x:v>
      </x:c>
      <x:c r="S39" s="14" t="n">
        <x:v>2026</x:v>
      </x:c>
      <x:c r="T39" s="14" t="n">
        <x:v>2026</x:v>
      </x:c>
      <x:c r="U39" s="14" t="str">
        <x:v>Explicit source first year retained</x:v>
      </x:c>
      <x:c r="V39" s="14" t="str">
        <x:v>Earliest supplied year is 2026.</x:v>
      </x:c>
      <x:c r="W39" s="14"/>
      <x:c r="X39" s="14" t="str">
        <x:v>Excluded: after 2025</x:v>
      </x:c>
      <x:c r="Y39" s="14"/>
      <x:c r="Z39" s="14" t="str">
        <x:v>Bergerac.docx</x:v>
      </x:c>
      <x:c r="AA39" s="17" t="e">
        <x:f>HYPERLINK("https://www.imdb.com/title/tt9800658/fullcredits/","Open source")</x:f>
        <x:v>HYPERLINK is not implemented. linkLocation=https://www.imdb.com/title/tt9800658/fullcredits/,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 Studios / UKTV (U&amp;Alibi)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7" t="e">
        <x:f>HYPERLINK("https://en.wikipedia.org/wiki/Bergerac","Open source")</x:f>
        <x:v>HYPERLINK is not implemented. linkLocation=https://en.wikipedia.org/wiki/Bergerac, friendlyName=Open source</x:v>
      </x:c>
      <x:c r="AN39" s="14" t="str">
        <x:v>BBC Studios production for another broadcaster</x:v>
      </x:c>
      <x:c r="AO39" s="14" t="str">
        <x:v>Yes</x:v>
      </x:c>
      <x:c r="AP39" s="14" t="str">
        <x:v>Wider BBC commercial-group context only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0.08333333333333333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HYPERLINK("https://www.imdb.com/title/tt9800658/fullcredits/","Open source")</x:f>
        <x:v>HYPERLINK is not implemented. linkLocation=https://www.imdb.com/title/tt9800658/fullcredits/,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tt9800658|nm13089913|officer 1</x:v>
      </x:c>
      <x:c r="B40" s="14" t="str">
        <x:v>01</x:v>
      </x:c>
      <x:c r="C40" s="14" t="str">
        <x:v>2025_IMDb_Cast_Lists_Batch_01(1).xlsx</x:v>
      </x:c>
      <x:c r="D40" s="14" t="str">
        <x:v>Bergerac</x:v>
      </x:c>
      <x:c r="E40" s="14" t="n">
        <x:v>46</x:v>
      </x:c>
      <x:c r="F40" s="14" t="str">
        <x:v>Bergerac</x:v>
      </x:c>
      <x:c r="G40" s="14" t="str">
        <x:v>tt9800658</x:v>
      </x:c>
      <x:c r="H40" s="14" t="n">
        <x:v>2025</x:v>
      </x:c>
      <x:c r="I40" s="14" t="n">
        <x:v>2025</x:v>
      </x:c>
      <x:c r="J40" s="14" t="str">
        <x:v>Post-study cohort</x:v>
      </x:c>
      <x:c r="K40" s="14"/>
      <x:c r="L40" s="14" t="str">
        <x:v>Not inherited</x:v>
      </x:c>
      <x:c r="M40" s="15" t="n">
        <x:v>39</x:v>
      </x:c>
      <x:c r="N40" s="14" t="str">
        <x:v>Vickie Mogford</x:v>
      </x:c>
      <x:c r="O40" s="14" t="str">
        <x:v>nm13089913</x:v>
      </x:c>
      <x:c r="P40" s="14" t="str">
        <x:v>Officer 1</x:v>
      </x:c>
      <x:c r="Q40" s="15" t="n">
        <x:v>1</x:v>
      </x:c>
      <x:c r="R40" s="14" t="str">
        <x:v>2026</x:v>
      </x:c>
      <x:c r="S40" s="14" t="n">
        <x:v>2026</x:v>
      </x:c>
      <x:c r="T40" s="14" t="n">
        <x:v>2026</x:v>
      </x:c>
      <x:c r="U40" s="14" t="str">
        <x:v>Explicit source first year retained</x:v>
      </x:c>
      <x:c r="V40" s="14" t="str">
        <x:v>Earliest supplied year is 2026.</x:v>
      </x:c>
      <x:c r="W40" s="14"/>
      <x:c r="X40" s="14" t="str">
        <x:v>Excluded: after 2025</x:v>
      </x:c>
      <x:c r="Y40" s="14"/>
      <x:c r="Z40" s="14" t="str">
        <x:v>Bergerac.docx</x:v>
      </x:c>
      <x:c r="AA40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 Studios / UKTV (U&amp;Alibi)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7" t="e">
        <x:f>HYPERLINK("https://en.wikipedia.org/wiki/Bergerac","Open source")</x:f>
        <x:v>HYPERLINK is not implemented. linkLocation=https://en.wikipedia.org/wiki/Bergerac, friendlyName=Open source</x:v>
      </x:c>
      <x:c r="AN40" s="14" t="str">
        <x:v>BBC Studios production for another broadcaster</x:v>
      </x:c>
      <x:c r="AO40" s="14" t="str">
        <x:v>Yes</x:v>
      </x:c>
      <x:c r="AP40" s="14" t="str">
        <x:v>Wider BBC commercial-group context only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0.08333333333333333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tt9800658|nm9181993|glenn</x:v>
      </x:c>
      <x:c r="B41" s="14" t="str">
        <x:v>01</x:v>
      </x:c>
      <x:c r="C41" s="14" t="str">
        <x:v>2025_IMDb_Cast_Lists_Batch_01(1).xlsx</x:v>
      </x:c>
      <x:c r="D41" s="14" t="str">
        <x:v>Bergerac</x:v>
      </x:c>
      <x:c r="E41" s="14" t="n">
        <x:v>51</x:v>
      </x:c>
      <x:c r="F41" s="14" t="str">
        <x:v>Bergerac</x:v>
      </x:c>
      <x:c r="G41" s="14" t="str">
        <x:v>tt9800658</x:v>
      </x:c>
      <x:c r="H41" s="14" t="n">
        <x:v>2025</x:v>
      </x:c>
      <x:c r="I41" s="14" t="n">
        <x:v>2025</x:v>
      </x:c>
      <x:c r="J41" s="14" t="str">
        <x:v>Post-study cohort</x:v>
      </x:c>
      <x:c r="K41" s="14"/>
      <x:c r="L41" s="14" t="str">
        <x:v>Not inherited</x:v>
      </x:c>
      <x:c r="M41" s="15" t="n">
        <x:v>44</x:v>
      </x:c>
      <x:c r="N41" s="14" t="str">
        <x:v>Ed Larkin</x:v>
      </x:c>
      <x:c r="O41" s="14" t="str">
        <x:v>nm9181993</x:v>
      </x:c>
      <x:c r="P41" s="14" t="str">
        <x:v>Glenn</x:v>
      </x:c>
      <x:c r="Q41" s="15" t="n">
        <x:v>1</x:v>
      </x:c>
      <x:c r="R41" s="14" t="str">
        <x:v>2026</x:v>
      </x:c>
      <x:c r="S41" s="14" t="n">
        <x:v>2026</x:v>
      </x:c>
      <x:c r="T41" s="14" t="n">
        <x:v>2026</x:v>
      </x:c>
      <x:c r="U41" s="14" t="str">
        <x:v>Explicit source first year retained</x:v>
      </x:c>
      <x:c r="V41" s="14" t="str">
        <x:v>Earliest supplied year is 2026.</x:v>
      </x:c>
      <x:c r="W41" s="14"/>
      <x:c r="X41" s="14" t="str">
        <x:v>Excluded: after 2025</x:v>
      </x:c>
      <x:c r="Y41" s="14"/>
      <x:c r="Z41" s="14" t="str">
        <x:v>Bergerac.docx</x:v>
      </x:c>
      <x:c r="AA41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1" s="14" t="str">
        <x:v>Existing established-register match</x:v>
      </x:c>
      <x:c r="AC41" s="14" t="str">
        <x:v>Wheelchair user | Physical disability | Cerebral palsy or brain injury</x:v>
      </x:c>
      <x:c r="AD41" s="14" t="str">
        <x:v>Existing register classification: Wheelchair user | Physical disability | Cerebral palsy or brain injury</x:v>
      </x:c>
      <x:c r="AE41" s="14" t="str">
        <x:v>Established_Disability_Category_Register V1.2.xlsx</x:v>
      </x:c>
      <x:c r="AF41" s="14"/>
      <x:c r="AG41" s="14" t="str">
        <x:v>Established user-supplied classification retained for deduplication; evidence was not re-researched in this batch.</x:v>
      </x:c>
      <x:c r="AH41" s="14" t="str">
        <x:v>BBC Studios / UKTV (U&amp;Alibi)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7" t="e">
        <x:f>HYPERLINK("https://en.wikipedia.org/wiki/Bergerac","Open source")</x:f>
        <x:v>HYPERLINK is not implemented. linkLocation=https://en.wikipedia.org/wiki/Bergerac, friendlyName=Open source</x:v>
      </x:c>
      <x:c r="AN41" s="14" t="str">
        <x:v>BBC Studios production for another broadcaster</x:v>
      </x:c>
      <x:c r="AO41" s="14" t="str">
        <x:v>Yes</x:v>
      </x:c>
      <x:c r="AP41" s="14" t="str">
        <x:v>Wider BBC commercial-group context only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Exact IMDb performer ID match</x:v>
      </x:c>
      <x:c r="BC41" s="14" t="str">
        <x:v>nm9181993</x:v>
      </x:c>
      <x:c r="BD41" s="14" t="str">
        <x:v>Ed Larkin</x:v>
      </x:c>
      <x:c r="BE41" s="14" t="str">
        <x:v>Wheelchair user | Physical disability | Cerebral palsy or brain injury</x:v>
      </x:c>
      <x:c r="BF41" s="14" t="str">
        <x:v>Yes</x:v>
      </x:c>
      <x:c r="BG41" s="14" t="str">
        <x:v>Wheelchair user | Physical disability | Cerebral palsy or brain injury</x:v>
      </x:c>
      <x:c r="BH41" s="14" t="str">
        <x:v>No</x:v>
      </x:c>
      <x:c r="BI41" s="14" t="str">
        <x:v>User-supplied established classification</x:v>
      </x:c>
      <x:c r="BJ41" s="14" t="str">
        <x:v>03_Wheelchair_user.csv | 04_Physical_disability.csv | 08_Cerebral_palsy_or_brain_injury.csv</x:v>
      </x:c>
      <x:c r="BK41" s="14"/>
      <x:c r="BL41" s="14" t="str">
        <x:v>Matched</x:v>
      </x:c>
      <x:c r="BM41" s="14" t="str">
        <x:v>Final supplied register</x:v>
      </x:c>
      <x:c r="BN41" s="14"/>
      <x:c r="BO41" s="14" t="n">
        <x:v>12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0.08333333333333333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tt9800658|nm1830418|nurse cox</x:v>
      </x:c>
      <x:c r="B42" s="14" t="str">
        <x:v>01</x:v>
      </x:c>
      <x:c r="C42" s="14" t="str">
        <x:v>2025_IMDb_Cast_Lists_Batch_01(1).xlsx</x:v>
      </x:c>
      <x:c r="D42" s="14" t="str">
        <x:v>Bergerac</x:v>
      </x:c>
      <x:c r="E42" s="14" t="n">
        <x:v>54</x:v>
      </x:c>
      <x:c r="F42" s="14" t="str">
        <x:v>Bergerac</x:v>
      </x:c>
      <x:c r="G42" s="14" t="str">
        <x:v>tt9800658</x:v>
      </x:c>
      <x:c r="H42" s="14" t="n">
        <x:v>2025</x:v>
      </x:c>
      <x:c r="I42" s="14" t="n">
        <x:v>2025</x:v>
      </x:c>
      <x:c r="J42" s="14" t="str">
        <x:v>Post-study cohort</x:v>
      </x:c>
      <x:c r="K42" s="14"/>
      <x:c r="L42" s="14" t="str">
        <x:v>Not inherited</x:v>
      </x:c>
      <x:c r="M42" s="15" t="n">
        <x:v>47</x:v>
      </x:c>
      <x:c r="N42" s="14" t="str">
        <x:v>Lisa Davina Phillip</x:v>
      </x:c>
      <x:c r="O42" s="14" t="str">
        <x:v>nm1830418</x:v>
      </x:c>
      <x:c r="P42" s="14" t="str">
        <x:v>Nurse Cox</x:v>
      </x:c>
      <x:c r="Q42" s="15" t="n">
        <x:v>1</x:v>
      </x:c>
      <x:c r="R42" s="14" t="str">
        <x:v>2026</x:v>
      </x:c>
      <x:c r="S42" s="14" t="n">
        <x:v>2026</x:v>
      </x:c>
      <x:c r="T42" s="14" t="n">
        <x:v>2026</x:v>
      </x:c>
      <x:c r="U42" s="14" t="str">
        <x:v>Explicit source first year retained</x:v>
      </x:c>
      <x:c r="V42" s="14" t="str">
        <x:v>Earliest supplied year is 2026.</x:v>
      </x:c>
      <x:c r="W42" s="14"/>
      <x:c r="X42" s="14" t="str">
        <x:v>Excluded: after 2025</x:v>
      </x:c>
      <x:c r="Y42" s="14"/>
      <x:c r="Z42" s="14" t="str">
        <x:v>Bergerac.docx</x:v>
      </x:c>
      <x:c r="AA42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 Studios / UKTV (U&amp;Alibi)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7" t="e">
        <x:f>HYPERLINK("https://en.wikipedia.org/wiki/Bergerac","Open source")</x:f>
        <x:v>HYPERLINK is not implemented. linkLocation=https://en.wikipedia.org/wiki/Bergerac, friendlyName=Open source</x:v>
      </x:c>
      <x:c r="AN42" s="14" t="str">
        <x:v>BBC Studios production for another broadcaster</x:v>
      </x:c>
      <x:c r="AO42" s="14" t="str">
        <x:v>Yes</x:v>
      </x:c>
      <x:c r="AP42" s="14" t="str">
        <x:v>Wider BBC commercial-group context only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0.08333333333333333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tt9800658|nm14623293|police officer</x:v>
      </x:c>
      <x:c r="B43" s="14" t="str">
        <x:v>01</x:v>
      </x:c>
      <x:c r="C43" s="14" t="str">
        <x:v>2025_IMDb_Cast_Lists_Batch_01(1).xlsx</x:v>
      </x:c>
      <x:c r="D43" s="14" t="str">
        <x:v>Bergerac</x:v>
      </x:c>
      <x:c r="E43" s="14" t="n">
        <x:v>57</x:v>
      </x:c>
      <x:c r="F43" s="14" t="str">
        <x:v>Bergerac</x:v>
      </x:c>
      <x:c r="G43" s="14" t="str">
        <x:v>tt9800658</x:v>
      </x:c>
      <x:c r="H43" s="14" t="n">
        <x:v>2025</x:v>
      </x:c>
      <x:c r="I43" s="14" t="n">
        <x:v>2025</x:v>
      </x:c>
      <x:c r="J43" s="14" t="str">
        <x:v>Post-study cohort</x:v>
      </x:c>
      <x:c r="K43" s="14"/>
      <x:c r="L43" s="14" t="str">
        <x:v>Not inherited</x:v>
      </x:c>
      <x:c r="M43" s="15" t="n">
        <x:v>50</x:v>
      </x:c>
      <x:c r="N43" s="14" t="str">
        <x:v>Claire Riecol</x:v>
      </x:c>
      <x:c r="O43" s="14" t="str">
        <x:v>nm14623293</x:v>
      </x:c>
      <x:c r="P43" s="14" t="str">
        <x:v>Police Officer</x:v>
      </x:c>
      <x:c r="Q43" s="15" t="n">
        <x:v>1</x:v>
      </x:c>
      <x:c r="R43" s="14" t="str">
        <x:v>2026</x:v>
      </x:c>
      <x:c r="S43" s="14" t="n">
        <x:v>2026</x:v>
      </x:c>
      <x:c r="T43" s="14" t="n">
        <x:v>2026</x:v>
      </x:c>
      <x:c r="U43" s="14" t="str">
        <x:v>Explicit source first year retained</x:v>
      </x:c>
      <x:c r="V43" s="14" t="str">
        <x:v>Earliest supplied year is 2026.</x:v>
      </x:c>
      <x:c r="W43" s="14"/>
      <x:c r="X43" s="14" t="str">
        <x:v>Excluded: after 2025</x:v>
      </x:c>
      <x:c r="Y43" s="14"/>
      <x:c r="Z43" s="14" t="str">
        <x:v>Bergerac.docx</x:v>
      </x:c>
      <x:c r="AA43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 Studios / UKTV (U&amp;Alibi)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7" t="e">
        <x:f>HYPERLINK("https://en.wikipedia.org/wiki/Bergerac","Open source")</x:f>
        <x:v>HYPERLINK is not implemented. linkLocation=https://en.wikipedia.org/wiki/Bergerac, friendlyName=Open source</x:v>
      </x:c>
      <x:c r="AN43" s="14" t="str">
        <x:v>BBC Studios production for another broadcaster</x:v>
      </x:c>
      <x:c r="AO43" s="14" t="str">
        <x:v>Yes</x:v>
      </x:c>
      <x:c r="AP43" s="14" t="str">
        <x:v>Wider BBC commercial-group context only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0.08333333333333333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tt9800658|nm0031524|donald</x:v>
      </x:c>
      <x:c r="B44" s="14" t="str">
        <x:v>01</x:v>
      </x:c>
      <x:c r="C44" s="14" t="str">
        <x:v>2025_IMDb_Cast_Lists_Batch_01(1).xlsx</x:v>
      </x:c>
      <x:c r="D44" s="14" t="str">
        <x:v>Bergerac</x:v>
      </x:c>
      <x:c r="E44" s="14" t="n">
        <x:v>61</x:v>
      </x:c>
      <x:c r="F44" s="14" t="str">
        <x:v>Bergerac</x:v>
      </x:c>
      <x:c r="G44" s="14" t="str">
        <x:v>tt9800658</x:v>
      </x:c>
      <x:c r="H44" s="14" t="n">
        <x:v>2025</x:v>
      </x:c>
      <x:c r="I44" s="14" t="n">
        <x:v>2025</x:v>
      </x:c>
      <x:c r="J44" s="14" t="str">
        <x:v>Post-study cohort</x:v>
      </x:c>
      <x:c r="K44" s="14"/>
      <x:c r="L44" s="14" t="str">
        <x:v>Not inherited</x:v>
      </x:c>
      <x:c r="M44" s="15" t="n">
        <x:v>54</x:v>
      </x:c>
      <x:c r="N44" s="14" t="str">
        <x:v>Paul Antony-Barber</x:v>
      </x:c>
      <x:c r="O44" s="14" t="str">
        <x:v>nm0031524</x:v>
      </x:c>
      <x:c r="P44" s="14" t="str">
        <x:v>Donald</x:v>
      </x:c>
      <x:c r="Q44" s="15" t="n">
        <x:v>1</x:v>
      </x:c>
      <x:c r="R44" s="14" t="str">
        <x:v>2026</x:v>
      </x:c>
      <x:c r="S44" s="14" t="n">
        <x:v>2026</x:v>
      </x:c>
      <x:c r="T44" s="14" t="n">
        <x:v>2026</x:v>
      </x:c>
      <x:c r="U44" s="14" t="str">
        <x:v>Explicit source first year retained</x:v>
      </x:c>
      <x:c r="V44" s="14" t="str">
        <x:v>Earliest supplied year is 2026.</x:v>
      </x:c>
      <x:c r="W44" s="14"/>
      <x:c r="X44" s="14" t="str">
        <x:v>Excluded: after 2025</x:v>
      </x:c>
      <x:c r="Y44" s="14"/>
      <x:c r="Z44" s="14" t="str">
        <x:v>Bergerac.docx</x:v>
      </x:c>
      <x:c r="AA44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 Studios / UKTV (U&amp;Alibi)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7" t="e">
        <x:f>HYPERLINK("https://en.wikipedia.org/wiki/Bergerac","Open source")</x:f>
        <x:v>HYPERLINK is not implemented. linkLocation=https://en.wikipedia.org/wiki/Bergerac, friendlyName=Open source</x:v>
      </x:c>
      <x:c r="AN44" s="14" t="str">
        <x:v>BBC Studios production for another broadcaster</x:v>
      </x:c>
      <x:c r="AO44" s="14" t="str">
        <x:v>Yes</x:v>
      </x:c>
      <x:c r="AP44" s="14" t="str">
        <x:v>Wider BBC commercial-group context only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0.08333333333333333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tt9800658|nm11459217|libby</x:v>
      </x:c>
      <x:c r="B45" s="14" t="str">
        <x:v>01</x:v>
      </x:c>
      <x:c r="C45" s="14" t="str">
        <x:v>2025_IMDb_Cast_Lists_Batch_01(1).xlsx</x:v>
      </x:c>
      <x:c r="D45" s="14" t="str">
        <x:v>Bergerac</x:v>
      </x:c>
      <x:c r="E45" s="14" t="n">
        <x:v>62</x:v>
      </x:c>
      <x:c r="F45" s="14" t="str">
        <x:v>Bergerac</x:v>
      </x:c>
      <x:c r="G45" s="14" t="str">
        <x:v>tt9800658</x:v>
      </x:c>
      <x:c r="H45" s="14" t="n">
        <x:v>2025</x:v>
      </x:c>
      <x:c r="I45" s="14" t="n">
        <x:v>2025</x:v>
      </x:c>
      <x:c r="J45" s="14" t="str">
        <x:v>Post-study cohort</x:v>
      </x:c>
      <x:c r="K45" s="14"/>
      <x:c r="L45" s="14" t="str">
        <x:v>Not inherited</x:v>
      </x:c>
      <x:c r="M45" s="15" t="n">
        <x:v>55</x:v>
      </x:c>
      <x:c r="N45" s="14" t="str">
        <x:v>Palmer Newson</x:v>
      </x:c>
      <x:c r="O45" s="14" t="str">
        <x:v>nm11459217</x:v>
      </x:c>
      <x:c r="P45" s="14" t="str">
        <x:v>Libby</x:v>
      </x:c>
      <x:c r="Q45" s="15" t="n">
        <x:v>1</x:v>
      </x:c>
      <x:c r="R45" s="14" t="str">
        <x:v>2026</x:v>
      </x:c>
      <x:c r="S45" s="14" t="n">
        <x:v>2026</x:v>
      </x:c>
      <x:c r="T45" s="14" t="n">
        <x:v>2026</x:v>
      </x:c>
      <x:c r="U45" s="14" t="str">
        <x:v>Explicit source first year retained</x:v>
      </x:c>
      <x:c r="V45" s="14" t="str">
        <x:v>Earliest supplied year is 2026.</x:v>
      </x:c>
      <x:c r="W45" s="14"/>
      <x:c r="X45" s="14" t="str">
        <x:v>Excluded: after 2025</x:v>
      </x:c>
      <x:c r="Y45" s="14" t="str">
        <x:v>(as Palmer Avery Newson)</x:v>
      </x:c>
      <x:c r="Z45" s="14" t="str">
        <x:v>Bergerac.docx</x:v>
      </x:c>
      <x:c r="AA45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 Studios / UKTV (U&amp;Alibi)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7" t="e">
        <x:f>HYPERLINK("https://en.wikipedia.org/wiki/Bergerac","Open source")</x:f>
        <x:v>HYPERLINK is not implemented. linkLocation=https://en.wikipedia.org/wiki/Bergerac, friendlyName=Open source</x:v>
      </x:c>
      <x:c r="AN45" s="14" t="str">
        <x:v>BBC Studios production for another broadcaster</x:v>
      </x:c>
      <x:c r="AO45" s="14" t="str">
        <x:v>Yes</x:v>
      </x:c>
      <x:c r="AP45" s="14" t="str">
        <x:v>Wider BBC commercial-group context only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0.08333333333333333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tt9800658|nm3311616|sarah</x:v>
      </x:c>
      <x:c r="B46" s="14" t="str">
        <x:v>01</x:v>
      </x:c>
      <x:c r="C46" s="14" t="str">
        <x:v>2025_IMDb_Cast_Lists_Batch_01(1).xlsx</x:v>
      </x:c>
      <x:c r="D46" s="14" t="str">
        <x:v>Bergerac</x:v>
      </x:c>
      <x:c r="E46" s="14" t="n">
        <x:v>64</x:v>
      </x:c>
      <x:c r="F46" s="14" t="str">
        <x:v>Bergerac</x:v>
      </x:c>
      <x:c r="G46" s="14" t="str">
        <x:v>tt9800658</x:v>
      </x:c>
      <x:c r="H46" s="14" t="n">
        <x:v>2025</x:v>
      </x:c>
      <x:c r="I46" s="14" t="n">
        <x:v>2025</x:v>
      </x:c>
      <x:c r="J46" s="14" t="str">
        <x:v>Post-study cohort</x:v>
      </x:c>
      <x:c r="K46" s="14"/>
      <x:c r="L46" s="14" t="str">
        <x:v>Not inherited</x:v>
      </x:c>
      <x:c r="M46" s="15" t="n">
        <x:v>57</x:v>
      </x:c>
      <x:c r="N46" s="14" t="str">
        <x:v>Sarah Lawn</x:v>
      </x:c>
      <x:c r="O46" s="14" t="str">
        <x:v>nm3311616</x:v>
      </x:c>
      <x:c r="P46" s="14" t="str">
        <x:v>Sarah</x:v>
      </x:c>
      <x:c r="Q46" s="15" t="n">
        <x:v>1</x:v>
      </x:c>
      <x:c r="R46" s="14" t="str">
        <x:v>2026</x:v>
      </x:c>
      <x:c r="S46" s="14" t="n">
        <x:v>2026</x:v>
      </x:c>
      <x:c r="T46" s="14" t="n">
        <x:v>2026</x:v>
      </x:c>
      <x:c r="U46" s="14" t="str">
        <x:v>Explicit source first year retained</x:v>
      </x:c>
      <x:c r="V46" s="14" t="str">
        <x:v>Earliest supplied year is 2026.</x:v>
      </x:c>
      <x:c r="W46" s="14"/>
      <x:c r="X46" s="14" t="str">
        <x:v>Excluded: after 2025</x:v>
      </x:c>
      <x:c r="Y46" s="14"/>
      <x:c r="Z46" s="14" t="str">
        <x:v>Bergerac.docx</x:v>
      </x:c>
      <x:c r="AA46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 Studios / UKTV (U&amp;Alibi)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7" t="e">
        <x:f>HYPERLINK("https://en.wikipedia.org/wiki/Bergerac","Open source")</x:f>
        <x:v>HYPERLINK is not implemented. linkLocation=https://en.wikipedia.org/wiki/Bergerac, friendlyName=Open source</x:v>
      </x:c>
      <x:c r="AN46" s="14" t="str">
        <x:v>BBC Studios production for another broadcaster</x:v>
      </x:c>
      <x:c r="AO46" s="14" t="str">
        <x:v>Yes</x:v>
      </x:c>
      <x:c r="AP46" s="14" t="str">
        <x:v>Wider BBC commercial-group context only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0.08333333333333333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tt9800658|nm3878493|bouncer</x:v>
      </x:c>
      <x:c r="B47" s="14" t="str">
        <x:v>01</x:v>
      </x:c>
      <x:c r="C47" s="14" t="str">
        <x:v>2025_IMDb_Cast_Lists_Batch_01(1).xlsx</x:v>
      </x:c>
      <x:c r="D47" s="14" t="str">
        <x:v>Bergerac</x:v>
      </x:c>
      <x:c r="E47" s="14" t="n">
        <x:v>66</x:v>
      </x:c>
      <x:c r="F47" s="14" t="str">
        <x:v>Bergerac</x:v>
      </x:c>
      <x:c r="G47" s="14" t="str">
        <x:v>tt9800658</x:v>
      </x:c>
      <x:c r="H47" s="14" t="n">
        <x:v>2025</x:v>
      </x:c>
      <x:c r="I47" s="14" t="n">
        <x:v>2025</x:v>
      </x:c>
      <x:c r="J47" s="14" t="str">
        <x:v>Post-study cohort</x:v>
      </x:c>
      <x:c r="K47" s="14"/>
      <x:c r="L47" s="14" t="str">
        <x:v>Not inherited</x:v>
      </x:c>
      <x:c r="M47" s="15" t="n">
        <x:v>59</x:v>
      </x:c>
      <x:c r="N47" s="14" t="str">
        <x:v>James Wilkinson</x:v>
      </x:c>
      <x:c r="O47" s="14" t="str">
        <x:v>nm3878493</x:v>
      </x:c>
      <x:c r="P47" s="14" t="str">
        <x:v>Bouncer</x:v>
      </x:c>
      <x:c r="Q47" s="15" t="n">
        <x:v>1</x:v>
      </x:c>
      <x:c r="R47" s="14" t="str">
        <x:v>2026</x:v>
      </x:c>
      <x:c r="S47" s="14" t="n">
        <x:v>2026</x:v>
      </x:c>
      <x:c r="T47" s="14" t="n">
        <x:v>2026</x:v>
      </x:c>
      <x:c r="U47" s="14" t="str">
        <x:v>Explicit source first year retained</x:v>
      </x:c>
      <x:c r="V47" s="14" t="str">
        <x:v>Earliest supplied year is 2026.</x:v>
      </x:c>
      <x:c r="W47" s="14"/>
      <x:c r="X47" s="14" t="str">
        <x:v>Excluded: after 2025</x:v>
      </x:c>
      <x:c r="Y47" s="14"/>
      <x:c r="Z47" s="14" t="str">
        <x:v>Bergerac.docx</x:v>
      </x:c>
      <x:c r="AA47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 Studios / UKTV (U&amp;Alibi)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7" t="e">
        <x:f>HYPERLINK("https://en.wikipedia.org/wiki/Bergerac","Open source")</x:f>
        <x:v>HYPERLINK is not implemented. linkLocation=https://en.wikipedia.org/wiki/Bergerac, friendlyName=Open source</x:v>
      </x:c>
      <x:c r="AN47" s="14" t="str">
        <x:v>BBC Studios production for another broadcaster</x:v>
      </x:c>
      <x:c r="AO47" s="14" t="str">
        <x:v>Yes</x:v>
      </x:c>
      <x:c r="AP47" s="14" t="str">
        <x:v>Wider BBC commercial-group context only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0.08333333333333333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tt9800658|nm0209457|tommy</x:v>
      </x:c>
      <x:c r="B48" s="14" t="str">
        <x:v>01</x:v>
      </x:c>
      <x:c r="C48" s="14" t="str">
        <x:v>2025_IMDb_Cast_Lists_Batch_01(1).xlsx</x:v>
      </x:c>
      <x:c r="D48" s="14" t="str">
        <x:v>Bergerac</x:v>
      </x:c>
      <x:c r="E48" s="14" t="n">
        <x:v>68</x:v>
      </x:c>
      <x:c r="F48" s="14" t="str">
        <x:v>Bergerac</x:v>
      </x:c>
      <x:c r="G48" s="14" t="str">
        <x:v>tt9800658</x:v>
      </x:c>
      <x:c r="H48" s="14" t="n">
        <x:v>2025</x:v>
      </x:c>
      <x:c r="I48" s="14" t="n">
        <x:v>2025</x:v>
      </x:c>
      <x:c r="J48" s="14" t="str">
        <x:v>Post-study cohort</x:v>
      </x:c>
      <x:c r="K48" s="14"/>
      <x:c r="L48" s="14" t="str">
        <x:v>Not inherited</x:v>
      </x:c>
      <x:c r="M48" s="15" t="n">
        <x:v>61</x:v>
      </x:c>
      <x:c r="N48" s="14" t="str">
        <x:v>Luke de Lacey</x:v>
      </x:c>
      <x:c r="O48" s="14" t="str">
        <x:v>nm0209457</x:v>
      </x:c>
      <x:c r="P48" s="14" t="str">
        <x:v>Tommy</x:v>
      </x:c>
      <x:c r="Q48" s="15" t="n">
        <x:v>1</x:v>
      </x:c>
      <x:c r="R48" s="14" t="str">
        <x:v>2026</x:v>
      </x:c>
      <x:c r="S48" s="14" t="n">
        <x:v>2026</x:v>
      </x:c>
      <x:c r="T48" s="14" t="n">
        <x:v>2026</x:v>
      </x:c>
      <x:c r="U48" s="14" t="str">
        <x:v>Explicit source first year retained</x:v>
      </x:c>
      <x:c r="V48" s="14" t="str">
        <x:v>Earliest supplied year is 2026.</x:v>
      </x:c>
      <x:c r="W48" s="14"/>
      <x:c r="X48" s="14" t="str">
        <x:v>Excluded: after 2025</x:v>
      </x:c>
      <x:c r="Y48" s="14"/>
      <x:c r="Z48" s="14" t="str">
        <x:v>Bergerac.docx</x:v>
      </x:c>
      <x:c r="AA48" s="17" t="e">
        <x:f>HYPERLINK("https://www.imdb.com/title/tt9800658/fullcredits/","Open source")</x:f>
        <x:v>HYPERLINK is not implemented. linkLocation=https://www.imdb.com/title/tt9800658/fullcredits/,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 Studios / UKTV (U&amp;Alibi)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7" t="e">
        <x:f>HYPERLINK("https://en.wikipedia.org/wiki/Bergerac","Open source")</x:f>
        <x:v>HYPERLINK is not implemented. linkLocation=https://en.wikipedia.org/wiki/Bergerac, friendlyName=Open source</x:v>
      </x:c>
      <x:c r="AN48" s="14" t="str">
        <x:v>BBC Studios production for another broadcaster</x:v>
      </x:c>
      <x:c r="AO48" s="14" t="str">
        <x:v>Yes</x:v>
      </x:c>
      <x:c r="AP48" s="14" t="str">
        <x:v>Wider BBC commercial-group context only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0.08333333333333333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7" t="e">
        <x:f>HYPERLINK("https://www.imdb.com/title/tt9800658/fullcredits/","Open source")</x:f>
        <x:v>HYPERLINK is not implemented. linkLocation=https://www.imdb.com/title/tt9800658/fullcredits/,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tt32066226|nm11332821|flynn</x:v>
      </x:c>
      <x:c r="B49" s="14" t="str">
        <x:v>01</x:v>
      </x:c>
      <x:c r="C49" s="14" t="str">
        <x:v>2025_IMDb_Cast_Lists_Batch_01(1).xlsx</x:v>
      </x:c>
      <x:c r="D49" s="14" t="str">
        <x:v>Bookish</x:v>
      </x:c>
      <x:c r="E49" s="14" t="n">
        <x:v>44</x:v>
      </x:c>
      <x:c r="F49" s="14" t="str">
        <x:v>Bookish</x:v>
      </x:c>
      <x:c r="G49" s="14" t="str">
        <x:v>tt32066226</x:v>
      </x:c>
      <x:c r="H49" s="14" t="n">
        <x:v>2025</x:v>
      </x:c>
      <x:c r="I49" s="14" t="n">
        <x:v>2025</x:v>
      </x:c>
      <x:c r="J49" s="14" t="str">
        <x:v>Post-study cohort</x:v>
      </x:c>
      <x:c r="K49" s="14"/>
      <x:c r="L49" s="14" t="str">
        <x:v>Not inherited</x:v>
      </x:c>
      <x:c r="M49" s="15" t="n">
        <x:v>37</x:v>
      </x:c>
      <x:c r="N49" s="14" t="str">
        <x:v>Ruth Codd</x:v>
      </x:c>
      <x:c r="O49" s="14" t="str">
        <x:v>nm11332821</x:v>
      </x:c>
      <x:c r="P49" s="14" t="str">
        <x:v>Flynn</x:v>
      </x:c>
      <x:c r="Q49" s="15" t="n">
        <x:v>2</x:v>
      </x:c>
      <x:c r="R49" s="14" t="str">
        <x:v>2026</x:v>
      </x:c>
      <x:c r="S49" s="14" t="n">
        <x:v>2026</x:v>
      </x:c>
      <x:c r="T49" s="14" t="n">
        <x:v>2026</x:v>
      </x:c>
      <x:c r="U49" s="14" t="str">
        <x:v>Explicit source first year retained</x:v>
      </x:c>
      <x:c r="V49" s="14" t="str">
        <x:v>Earliest supplied year is 2026.</x:v>
      </x:c>
      <x:c r="W49" s="14"/>
      <x:c r="X49" s="14" t="str">
        <x:v>Excluded: after 2025</x:v>
      </x:c>
      <x:c r="Y49" s="14"/>
      <x:c r="Z49" s="14" t="str">
        <x:v>Bookish.docx</x:v>
      </x:c>
      <x:c r="AA49" s="17" t="e">
        <x:f>HYPERLINK("https://www.imdb.com/title/tt32066226/fullcredits/","Open source")</x:f>
        <x:v>HYPERLINK is not implemented. linkLocation=https://www.imdb.com/title/tt32066226/fullcredits/, friendlyName=Open source</x:v>
      </x:c>
      <x:c r="AB49" s="14" t="str">
        <x:v>Existing established-register match</x:v>
      </x:c>
      <x:c r="AC49" s="14" t="str">
        <x:v>Physical disability</x:v>
      </x:c>
      <x:c r="AD49" s="14" t="str">
        <x:v>Existing register classification: Physical disability</x:v>
      </x:c>
      <x:c r="AE49" s="14" t="str">
        <x:v>Established_Disability_Category_Register V1.2.xlsx</x:v>
      </x:c>
      <x:c r="AF49" s="14"/>
      <x:c r="AG49" s="14" t="str">
        <x:v>Established user-supplied classification retained for deduplication; evidence was not re-researched in this batch.</x:v>
      </x:c>
      <x:c r="AH49" s="14" t="str">
        <x:v>BBC Studios / UKTV (U&amp;Alibi)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7" t="e">
        <x:f>HYPERLINK("https://en.wikipedia.org/wiki/Bookish","Open source")</x:f>
        <x:v>HYPERLINK is not implemented. linkLocation=https://en.wikipedia.org/wiki/Bookish, friendlyName=Open source</x:v>
      </x:c>
      <x:c r="AN49" s="14" t="str">
        <x:v>BBC Studios production for another broadcaster</x:v>
      </x:c>
      <x:c r="AO49" s="14" t="str">
        <x:v>Yes</x:v>
      </x:c>
      <x:c r="AP49" s="14" t="str">
        <x:v>Wider BBC commercial-group context only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Exact IMDb performer ID match</x:v>
      </x:c>
      <x:c r="BC49" s="14" t="str">
        <x:v>nm11332821</x:v>
      </x:c>
      <x:c r="BD49" s="14" t="str">
        <x:v>Ruth Codd</x:v>
      </x:c>
      <x:c r="BE49" s="14" t="str">
        <x:v>Physical disability</x:v>
      </x:c>
      <x:c r="BF49" s="14" t="str">
        <x:v>Yes</x:v>
      </x:c>
      <x:c r="BG49" s="14" t="str">
        <x:v>Physical disability</x:v>
      </x:c>
      <x:c r="BH49" s="14" t="str">
        <x:v>No</x:v>
      </x:c>
      <x:c r="BI49" s="14" t="str">
        <x:v>User-supplied established classification</x:v>
      </x:c>
      <x:c r="BJ49" s="14" t="str">
        <x:v>04_Physical_disability.csv</x:v>
      </x:c>
      <x:c r="BK49" s="14"/>
      <x:c r="BL49" s="14" t="str">
        <x:v>Matched</x:v>
      </x:c>
      <x:c r="BM49" s="14" t="str">
        <x:v>Final supplied register</x:v>
      </x:c>
      <x:c r="BN49" s="14"/>
      <x:c r="BO49" s="14" t="n">
        <x:v>6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2</x:v>
      </x:c>
      <x:c r="BS49" s="16" t="n">
        <x:v>0.3333333333333333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7" t="e">
        <x:f>HYPERLINK("https://www.imdb.com/title/tt32066226/fullcredits/","Open source")</x:f>
        <x:v>HYPERLINK is not implemented. linkLocation=https://www.imdb.com/title/tt32066226/fullcredits/,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tt32066226|nm12855598|hannah krasinski</x:v>
      </x:c>
      <x:c r="B50" s="14" t="str">
        <x:v>01</x:v>
      </x:c>
      <x:c r="C50" s="14" t="str">
        <x:v>2025_IMDb_Cast_Lists_Batch_01(1).xlsx</x:v>
      </x:c>
      <x:c r="D50" s="14" t="str">
        <x:v>Bookish</x:v>
      </x:c>
      <x:c r="E50" s="14" t="n">
        <x:v>55</x:v>
      </x:c>
      <x:c r="F50" s="14" t="str">
        <x:v>Bookish</x:v>
      </x:c>
      <x:c r="G50" s="14" t="str">
        <x:v>tt32066226</x:v>
      </x:c>
      <x:c r="H50" s="14" t="n">
        <x:v>2025</x:v>
      </x:c>
      <x:c r="I50" s="14" t="n">
        <x:v>2025</x:v>
      </x:c>
      <x:c r="J50" s="14" t="str">
        <x:v>Post-study cohort</x:v>
      </x:c>
      <x:c r="K50" s="14"/>
      <x:c r="L50" s="14" t="str">
        <x:v>Not inherited</x:v>
      </x:c>
      <x:c r="M50" s="15" t="n">
        <x:v>48</x:v>
      </x:c>
      <x:c r="N50" s="14" t="str">
        <x:v>Oli Fyne</x:v>
      </x:c>
      <x:c r="O50" s="14" t="str">
        <x:v>nm12855598</x:v>
      </x:c>
      <x:c r="P50" s="14" t="str">
        <x:v>Hannah Krasinski</x:v>
      </x:c>
      <x:c r="Q50" s="15" t="n">
        <x:v>1</x:v>
      </x:c>
      <x:c r="R50" s="14" t="str">
        <x:v>2026</x:v>
      </x:c>
      <x:c r="S50" s="14" t="n">
        <x:v>2026</x:v>
      </x:c>
      <x:c r="T50" s="14" t="n">
        <x:v>2026</x:v>
      </x:c>
      <x:c r="U50" s="14" t="str">
        <x:v>Explicit source first year retained</x:v>
      </x:c>
      <x:c r="V50" s="14" t="str">
        <x:v>Earliest supplied year is 2026.</x:v>
      </x:c>
      <x:c r="W50" s="14"/>
      <x:c r="X50" s="14" t="str">
        <x:v>Excluded: after 2025</x:v>
      </x:c>
      <x:c r="Y50" s="14"/>
      <x:c r="Z50" s="14" t="str">
        <x:v>Bookish.docx</x:v>
      </x:c>
      <x:c r="AA50" s="17" t="e">
        <x:f>HYPERLINK("https://www.imdb.com/title/tt32066226/fullcredits/","Open source")</x:f>
        <x:v>HYPERLINK is not implemented. linkLocation=https://www.imdb.com/title/tt32066226/fullcredits/,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 Studios / UKTV (U&amp;Alibi)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7" t="e">
        <x:f>HYPERLINK("https://en.wikipedia.org/wiki/Bookish","Open source")</x:f>
        <x:v>HYPERLINK is not implemented. linkLocation=https://en.wikipedia.org/wiki/Bookish, friendlyName=Open source</x:v>
      </x:c>
      <x:c r="AN50" s="14" t="str">
        <x:v>BBC Studios production for another broadcaster</x:v>
      </x:c>
      <x:c r="AO50" s="14" t="str">
        <x:v>Yes</x:v>
      </x:c>
      <x:c r="AP50" s="14" t="str">
        <x:v>Wider BBC commercial-group context only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6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1</x:v>
      </x:c>
      <x:c r="BS50" s="16" t="n">
        <x:v>0.16666666666666666</x:v>
      </x:c>
      <x:c r="BT50" s="14" t="str">
        <x:v>One episode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7" t="e">
        <x:f>HYPERLINK("https://www.imdb.com/title/tt32066226/fullcredits/","Open source")</x:f>
        <x:v>HYPERLINK is not implemented. linkLocation=https://www.imdb.com/title/tt32066226/fullcredits/,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tt32066226|nm10953730|douglas</x:v>
      </x:c>
      <x:c r="B51" s="14" t="str">
        <x:v>01</x:v>
      </x:c>
      <x:c r="C51" s="14" t="str">
        <x:v>2025_IMDb_Cast_Lists_Batch_01(1).xlsx</x:v>
      </x:c>
      <x:c r="D51" s="14" t="str">
        <x:v>Bookish</x:v>
      </x:c>
      <x:c r="E51" s="14" t="n">
        <x:v>56</x:v>
      </x:c>
      <x:c r="F51" s="14" t="str">
        <x:v>Bookish</x:v>
      </x:c>
      <x:c r="G51" s="14" t="str">
        <x:v>tt32066226</x:v>
      </x:c>
      <x:c r="H51" s="14" t="n">
        <x:v>2025</x:v>
      </x:c>
      <x:c r="I51" s="14" t="n">
        <x:v>2025</x:v>
      </x:c>
      <x:c r="J51" s="14" t="str">
        <x:v>Post-study cohort</x:v>
      </x:c>
      <x:c r="K51" s="14"/>
      <x:c r="L51" s="14" t="str">
        <x:v>Not inherited</x:v>
      </x:c>
      <x:c r="M51" s="15" t="n">
        <x:v>49</x:v>
      </x:c>
      <x:c r="N51" s="14" t="str">
        <x:v>Matteo Franco</x:v>
      </x:c>
      <x:c r="O51" s="14" t="str">
        <x:v>nm10953730</x:v>
      </x:c>
      <x:c r="P51" s="14" t="str">
        <x:v>Douglas</x:v>
      </x:c>
      <x:c r="Q51" s="15" t="n">
        <x:v>1</x:v>
      </x:c>
      <x:c r="R51" s="14" t="str">
        <x:v>2026</x:v>
      </x:c>
      <x:c r="S51" s="14" t="n">
        <x:v>2026</x:v>
      </x:c>
      <x:c r="T51" s="14" t="n">
        <x:v>2026</x:v>
      </x:c>
      <x:c r="U51" s="14" t="str">
        <x:v>Explicit source first year retained</x:v>
      </x:c>
      <x:c r="V51" s="14" t="str">
        <x:v>Earliest supplied year is 2026.</x:v>
      </x:c>
      <x:c r="W51" s="14"/>
      <x:c r="X51" s="14" t="str">
        <x:v>Excluded: after 2025</x:v>
      </x:c>
      <x:c r="Y51" s="14"/>
      <x:c r="Z51" s="14" t="str">
        <x:v>Bookish.docx</x:v>
      </x:c>
      <x:c r="AA51" s="17" t="e">
        <x:f>HYPERLINK("https://www.imdb.com/title/tt32066226/fullcredits/","Open source")</x:f>
        <x:v>HYPERLINK is not implemented. linkLocation=https://www.imdb.com/title/tt32066226/fullcredits/,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BBC Studios / UKTV (U&amp;Alibi)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7" t="e">
        <x:f>HYPERLINK("https://en.wikipedia.org/wiki/Bookish","Open source")</x:f>
        <x:v>HYPERLINK is not implemented. linkLocation=https://en.wikipedia.org/wiki/Bookish, friendlyName=Open source</x:v>
      </x:c>
      <x:c r="AN51" s="14" t="str">
        <x:v>BBC Studios production for another broadcaster</x:v>
      </x:c>
      <x:c r="AO51" s="14" t="str">
        <x:v>Yes</x:v>
      </x:c>
      <x:c r="AP51" s="14" t="str">
        <x:v>Wider BBC commercial-group context only</x:v>
      </x:c>
      <x:c r="AQ51" s="14" t="str">
        <x:v>Yes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6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0.16666666666666666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7" t="e">
        <x:f>HYPERLINK("https://www.imdb.com/title/tt32066226/fullcredits/","Open source")</x:f>
        <x:v>HYPERLINK is not implemented. linkLocation=https://www.imdb.com/title/tt32066226/fullcredits/,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tt32066226|nm8261290|mona</x:v>
      </x:c>
      <x:c r="B52" s="14" t="str">
        <x:v>01</x:v>
      </x:c>
      <x:c r="C52" s="14" t="str">
        <x:v>2025_IMDb_Cast_Lists_Batch_01(1).xlsx</x:v>
      </x:c>
      <x:c r="D52" s="14" t="str">
        <x:v>Bookish</x:v>
      </x:c>
      <x:c r="E52" s="14" t="n">
        <x:v>57</x:v>
      </x:c>
      <x:c r="F52" s="14" t="str">
        <x:v>Bookish</x:v>
      </x:c>
      <x:c r="G52" s="14" t="str">
        <x:v>tt32066226</x:v>
      </x:c>
      <x:c r="H52" s="14" t="n">
        <x:v>2025</x:v>
      </x:c>
      <x:c r="I52" s="14" t="n">
        <x:v>2025</x:v>
      </x:c>
      <x:c r="J52" s="14" t="str">
        <x:v>Post-study cohort</x:v>
      </x:c>
      <x:c r="K52" s="14"/>
      <x:c r="L52" s="14" t="str">
        <x:v>Not inherited</x:v>
      </x:c>
      <x:c r="M52" s="15" t="n">
        <x:v>50</x:v>
      </x:c>
      <x:c r="N52" s="14" t="str">
        <x:v>Lucy Brownhill</x:v>
      </x:c>
      <x:c r="O52" s="14" t="str">
        <x:v>nm8261290</x:v>
      </x:c>
      <x:c r="P52" s="14" t="str">
        <x:v>Mona</x:v>
      </x:c>
      <x:c r="Q52" s="15" t="n">
        <x:v>1</x:v>
      </x:c>
      <x:c r="R52" s="14" t="str">
        <x:v>2026</x:v>
      </x:c>
      <x:c r="S52" s="14" t="n">
        <x:v>2026</x:v>
      </x:c>
      <x:c r="T52" s="14" t="n">
        <x:v>2026</x:v>
      </x:c>
      <x:c r="U52" s="14" t="str">
        <x:v>Explicit source first year retained</x:v>
      </x:c>
      <x:c r="V52" s="14" t="str">
        <x:v>Earliest supplied year is 2026.</x:v>
      </x:c>
      <x:c r="W52" s="14"/>
      <x:c r="X52" s="14" t="str">
        <x:v>Excluded: after 2025</x:v>
      </x:c>
      <x:c r="Y52" s="14"/>
      <x:c r="Z52" s="14" t="str">
        <x:v>Bookish.docx</x:v>
      </x:c>
      <x:c r="AA52" s="17" t="e">
        <x:f>HYPERLINK("https://www.imdb.com/title/tt32066226/fullcredits/","Open source")</x:f>
        <x:v>HYPERLINK is not implemented. linkLocation=https://www.imdb.com/title/tt32066226/fullcredits/,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BBC Studios / UKTV (U&amp;Alibi)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7" t="e">
        <x:f>HYPERLINK("https://en.wikipedia.org/wiki/Bookish","Open source")</x:f>
        <x:v>HYPERLINK is not implemented. linkLocation=https://en.wikipedia.org/wiki/Bookish, friendlyName=Open source</x:v>
      </x:c>
      <x:c r="AN52" s="14" t="str">
        <x:v>BBC Studios production for another broadcaster</x:v>
      </x:c>
      <x:c r="AO52" s="14" t="str">
        <x:v>Yes</x:v>
      </x:c>
      <x:c r="AP52" s="14" t="str">
        <x:v>Wider BBC commercial-group context only</x:v>
      </x:c>
      <x:c r="AQ52" s="14" t="str">
        <x:v>Yes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6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0.16666666666666666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7" t="e">
        <x:f>HYPERLINK("https://www.imdb.com/title/tt32066226/fullcredits/","Open source")</x:f>
        <x:v>HYPERLINK is not implemented. linkLocation=https://www.imdb.com/title/tt32066226/fullcredits/,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tt32409123|nm0853583|michael mallowan</x:v>
      </x:c>
      <x:c r="B53" s="14" t="str">
        <x:v>02</x:v>
      </x:c>
      <x:c r="C53" s="14" t="str">
        <x:v>2025_IMDb_Cast_Lists_Batch_02(1).xlsx</x:v>
      </x:c>
      <x:c r="D53" s="14" t="str">
        <x:v>Death Valley</x:v>
      </x:c>
      <x:c r="E53" s="14" t="n">
        <x:v>17</x:v>
      </x:c>
      <x:c r="F53" s="14" t="str">
        <x:v>Death Valley</x:v>
      </x:c>
      <x:c r="G53" s="14" t="str">
        <x:v>tt32409123</x:v>
      </x:c>
      <x:c r="H53" s="14" t="n">
        <x:v>2025</x:v>
      </x:c>
      <x:c r="I53" s="14" t="n">
        <x:v>2025</x:v>
      </x:c>
      <x:c r="J53" s="14" t="str">
        <x:v>Post-study cohort</x:v>
      </x:c>
      <x:c r="K53" s="14"/>
      <x:c r="L53" s="14" t="str">
        <x:v>Not inherited</x:v>
      </x:c>
      <x:c r="M53" s="15" t="n">
        <x:v>10</x:v>
      </x:c>
      <x:c r="N53" s="14" t="str">
        <x:v>Owen Teale</x:v>
      </x:c>
      <x:c r="O53" s="14" t="str">
        <x:v>nm0853583</x:v>
      </x:c>
      <x:c r="P53" s="14" t="str">
        <x:v>Michael Mallowan</x:v>
      </x:c>
      <x:c r="Q53" s="15" t="n">
        <x:v>3</x:v>
      </x:c>
      <x:c r="R53" s="14" t="str">
        <x:v>2026</x:v>
      </x:c>
      <x:c r="S53" s="14" t="n">
        <x:v>2026</x:v>
      </x:c>
      <x:c r="T53" s="14" t="n">
        <x:v>2026</x:v>
      </x:c>
      <x:c r="U53" s="14" t="str">
        <x:v>Explicit source first year retained</x:v>
      </x:c>
      <x:c r="V53" s="14" t="str">
        <x:v>Earliest supplied year is 2026.</x:v>
      </x:c>
      <x:c r="W53" s="14"/>
      <x:c r="X53" s="14" t="str">
        <x:v>Excluded: after 2025</x:v>
      </x:c>
      <x:c r="Y53" s="14"/>
      <x:c r="Z53" s="14" t="str">
        <x:v>Death Valley.docx</x:v>
      </x:c>
      <x:c r="AA5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BBC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7" t="e">
        <x:f>HYPERLINK("https://en.wikipedia.org/wiki/Death_Valley","Open source")</x:f>
        <x:v>HYPERLINK is not implemented. linkLocation=https://en.wikipedia.org/wiki/Death_Valley, friendlyName=Open source</x:v>
      </x:c>
      <x:c r="AN53" s="14" t="str">
        <x:v>BBC public-service commission</x:v>
      </x:c>
      <x:c r="AO53" s="14" t="str">
        <x:v>Yes</x:v>
      </x:c>
      <x:c r="AP53" s="14" t="str">
        <x:v>Direct BBC public-service scope</x:v>
      </x:c>
      <x:c r="AQ53" s="14" t="str">
        <x:v>Yes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3</x:v>
      </x:c>
      <x:c r="BS53" s="16" t="n">
        <x:v>0.25</x:v>
      </x:c>
      <x:c r="BT53" s="14" t="str">
        <x:v>Minority of episodes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tt32409123|nm4421176|karen hughes</x:v>
      </x:c>
      <x:c r="B54" s="14" t="str">
        <x:v>02</x:v>
      </x:c>
      <x:c r="C54" s="14" t="str">
        <x:v>2025_IMDb_Cast_Lists_Batch_02(1).xlsx</x:v>
      </x:c>
      <x:c r="D54" s="14" t="str">
        <x:v>Death Valley</x:v>
      </x:c>
      <x:c r="E54" s="14" t="n">
        <x:v>25</x:v>
      </x:c>
      <x:c r="F54" s="14" t="str">
        <x:v>Death Valley</x:v>
      </x:c>
      <x:c r="G54" s="14" t="str">
        <x:v>tt32409123</x:v>
      </x:c>
      <x:c r="H54" s="14" t="n">
        <x:v>2025</x:v>
      </x:c>
      <x:c r="I54" s="14" t="n">
        <x:v>2025</x:v>
      </x:c>
      <x:c r="J54" s="14" t="str">
        <x:v>Post-study cohort</x:v>
      </x:c>
      <x:c r="K54" s="14"/>
      <x:c r="L54" s="14" t="str">
        <x:v>Not inherited</x:v>
      </x:c>
      <x:c r="M54" s="15" t="n">
        <x:v>18</x:v>
      </x:c>
      <x:c r="N54" s="14" t="str">
        <x:v>Roisin Conaty</x:v>
      </x:c>
      <x:c r="O54" s="14" t="str">
        <x:v>nm4421176</x:v>
      </x:c>
      <x:c r="P54" s="14" t="str">
        <x:v>Karen Hughes</x:v>
      </x:c>
      <x:c r="Q54" s="15" t="n">
        <x:v>1</x:v>
      </x:c>
      <x:c r="R54" s="14" t="str">
        <x:v>2026</x:v>
      </x:c>
      <x:c r="S54" s="14" t="n">
        <x:v>2026</x:v>
      </x:c>
      <x:c r="T54" s="14" t="n">
        <x:v>2026</x:v>
      </x:c>
      <x:c r="U54" s="14" t="str">
        <x:v>Explicit source first year retained</x:v>
      </x:c>
      <x:c r="V54" s="14" t="str">
        <x:v>Earliest supplied year is 2026.</x:v>
      </x:c>
      <x:c r="W54" s="14"/>
      <x:c r="X54" s="14" t="str">
        <x:v>Excluded: after 2025</x:v>
      </x:c>
      <x:c r="Y54" s="14"/>
      <x:c r="Z54" s="14" t="str">
        <x:v>Death Valley.docx</x:v>
      </x:c>
      <x:c r="AA5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BBC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7" t="e">
        <x:f>HYPERLINK("https://en.wikipedia.org/wiki/Death_Valley","Open source")</x:f>
        <x:v>HYPERLINK is not implemented. linkLocation=https://en.wikipedia.org/wiki/Death_Valley, friendlyName=Open source</x:v>
      </x:c>
      <x:c r="AN54" s="14" t="str">
        <x:v>BBC public-service commission</x:v>
      </x:c>
      <x:c r="AO54" s="14" t="str">
        <x:v>Yes</x:v>
      </x:c>
      <x:c r="AP54" s="14" t="str">
        <x:v>Direct BBC public-service scope</x:v>
      </x:c>
      <x:c r="AQ54" s="14" t="str">
        <x:v>Yes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0.08333333333333333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tt32409123|nm0197656|terry daniels</x:v>
      </x:c>
      <x:c r="B55" s="14" t="str">
        <x:v>02</x:v>
      </x:c>
      <x:c r="C55" s="14" t="str">
        <x:v>2025_IMDb_Cast_Lists_Batch_02(1).xlsx</x:v>
      </x:c>
      <x:c r="D55" s="14" t="str">
        <x:v>Death Valley</x:v>
      </x:c>
      <x:c r="E55" s="14" t="n">
        <x:v>26</x:v>
      </x:c>
      <x:c r="F55" s="14" t="str">
        <x:v>Death Valley</x:v>
      </x:c>
      <x:c r="G55" s="14" t="str">
        <x:v>tt32409123</x:v>
      </x:c>
      <x:c r="H55" s="14" t="n">
        <x:v>2025</x:v>
      </x:c>
      <x:c r="I55" s="14" t="n">
        <x:v>2025</x:v>
      </x:c>
      <x:c r="J55" s="14" t="str">
        <x:v>Post-study cohort</x:v>
      </x:c>
      <x:c r="K55" s="14"/>
      <x:c r="L55" s="14" t="str">
        <x:v>Not inherited</x:v>
      </x:c>
      <x:c r="M55" s="15" t="n">
        <x:v>19</x:v>
      </x:c>
      <x:c r="N55" s="14" t="str">
        <x:v>Charles Dale</x:v>
      </x:c>
      <x:c r="O55" s="14" t="str">
        <x:v>nm0197656</x:v>
      </x:c>
      <x:c r="P55" s="14" t="str">
        <x:v>Terry Daniels</x:v>
      </x:c>
      <x:c r="Q55" s="15" t="n">
        <x:v>1</x:v>
      </x:c>
      <x:c r="R55" s="14" t="str">
        <x:v>2026</x:v>
      </x:c>
      <x:c r="S55" s="14" t="n">
        <x:v>2026</x:v>
      </x:c>
      <x:c r="T55" s="14" t="n">
        <x:v>2026</x:v>
      </x:c>
      <x:c r="U55" s="14" t="str">
        <x:v>Explicit source first year retained</x:v>
      </x:c>
      <x:c r="V55" s="14" t="str">
        <x:v>Earliest supplied year is 2026.</x:v>
      </x:c>
      <x:c r="W55" s="14"/>
      <x:c r="X55" s="14" t="str">
        <x:v>Excluded: after 2025</x:v>
      </x:c>
      <x:c r="Y55" s="14"/>
      <x:c r="Z55" s="14" t="str">
        <x:v>Death Valley.docx</x:v>
      </x:c>
      <x:c r="AA5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BBC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7" t="e">
        <x:f>HYPERLINK("https://en.wikipedia.org/wiki/Death_Valley","Open source")</x:f>
        <x:v>HYPERLINK is not implemented. linkLocation=https://en.wikipedia.org/wiki/Death_Valley, friendlyName=Open source</x:v>
      </x:c>
      <x:c r="AN55" s="14" t="str">
        <x:v>BBC public-service commission</x:v>
      </x:c>
      <x:c r="AO55" s="14" t="str">
        <x:v>Yes</x:v>
      </x:c>
      <x:c r="AP55" s="14" t="str">
        <x:v>Direct BBC public-service scope</x:v>
      </x:c>
      <x:c r="AQ55" s="14" t="str">
        <x:v>Yes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0.08333333333333333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tt32409123|nm14276189|chloe</x:v>
      </x:c>
      <x:c r="B56" s="14" t="str">
        <x:v>02</x:v>
      </x:c>
      <x:c r="C56" s="14" t="str">
        <x:v>2025_IMDb_Cast_Lists_Batch_02(1).xlsx</x:v>
      </x:c>
      <x:c r="D56" s="14" t="str">
        <x:v>Death Valley</x:v>
      </x:c>
      <x:c r="E56" s="14" t="n">
        <x:v>27</x:v>
      </x:c>
      <x:c r="F56" s="14" t="str">
        <x:v>Death Valley</x:v>
      </x:c>
      <x:c r="G56" s="14" t="str">
        <x:v>tt32409123</x:v>
      </x:c>
      <x:c r="H56" s="14" t="n">
        <x:v>2025</x:v>
      </x:c>
      <x:c r="I56" s="14" t="n">
        <x:v>2025</x:v>
      </x:c>
      <x:c r="J56" s="14" t="str">
        <x:v>Post-study cohort</x:v>
      </x:c>
      <x:c r="K56" s="14"/>
      <x:c r="L56" s="14" t="str">
        <x:v>Not inherited</x:v>
      </x:c>
      <x:c r="M56" s="15" t="n">
        <x:v>20</x:v>
      </x:c>
      <x:c r="N56" s="14" t="str">
        <x:v>Ele McKenzie</x:v>
      </x:c>
      <x:c r="O56" s="14" t="str">
        <x:v>nm14276189</x:v>
      </x:c>
      <x:c r="P56" s="14" t="str">
        <x:v>Chloe</x:v>
      </x:c>
      <x:c r="Q56" s="15" t="n">
        <x:v>1</x:v>
      </x:c>
      <x:c r="R56" s="14" t="str">
        <x:v>2026</x:v>
      </x:c>
      <x:c r="S56" s="14" t="n">
        <x:v>2026</x:v>
      </x:c>
      <x:c r="T56" s="14" t="n">
        <x:v>2026</x:v>
      </x:c>
      <x:c r="U56" s="14" t="str">
        <x:v>Explicit source first year retained</x:v>
      </x:c>
      <x:c r="V56" s="14" t="str">
        <x:v>Earliest supplied year is 2026.</x:v>
      </x:c>
      <x:c r="W56" s="14"/>
      <x:c r="X56" s="14" t="str">
        <x:v>Excluded: after 2025</x:v>
      </x:c>
      <x:c r="Y56" s="14"/>
      <x:c r="Z56" s="14" t="str">
        <x:v>Death Valley.docx</x:v>
      </x:c>
      <x:c r="AA5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BBC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7" t="e">
        <x:f>HYPERLINK("https://en.wikipedia.org/wiki/Death_Valley","Open source")</x:f>
        <x:v>HYPERLINK is not implemented. linkLocation=https://en.wikipedia.org/wiki/Death_Valley, friendlyName=Open source</x:v>
      </x:c>
      <x:c r="AN56" s="14" t="str">
        <x:v>BBC public-service commission</x:v>
      </x:c>
      <x:c r="AO56" s="14" t="str">
        <x:v>Yes</x:v>
      </x:c>
      <x:c r="AP56" s="14" t="str">
        <x:v>Direct BBC public-service scope</x:v>
      </x:c>
      <x:c r="AQ56" s="14" t="str">
        <x:v>Yes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tt32409123|nm0428765|gareth merwin</x:v>
      </x:c>
      <x:c r="B57" s="14" t="str">
        <x:v>02</x:v>
      </x:c>
      <x:c r="C57" s="14" t="str">
        <x:v>2025_IMDb_Cast_Lists_Batch_02(1).xlsx</x:v>
      </x:c>
      <x:c r="D57" s="14" t="str">
        <x:v>Death Valley</x:v>
      </x:c>
      <x:c r="E57" s="14" t="n">
        <x:v>34</x:v>
      </x:c>
      <x:c r="F57" s="14" t="str">
        <x:v>Death Valley</x:v>
      </x:c>
      <x:c r="G57" s="14" t="str">
        <x:v>tt32409123</x:v>
      </x:c>
      <x:c r="H57" s="14" t="n">
        <x:v>2025</x:v>
      </x:c>
      <x:c r="I57" s="14" t="n">
        <x:v>2025</x:v>
      </x:c>
      <x:c r="J57" s="14" t="str">
        <x:v>Post-study cohort</x:v>
      </x:c>
      <x:c r="K57" s="14"/>
      <x:c r="L57" s="14" t="str">
        <x:v>Not inherited</x:v>
      </x:c>
      <x:c r="M57" s="15" t="n">
        <x:v>27</x:v>
      </x:c>
      <x:c r="N57" s="14" t="str">
        <x:v>Mark Lewis Jones</x:v>
      </x:c>
      <x:c r="O57" s="14" t="str">
        <x:v>nm0428765</x:v>
      </x:c>
      <x:c r="P57" s="14" t="str">
        <x:v>Gareth Merwin</x:v>
      </x:c>
      <x:c r="Q57" s="15" t="n">
        <x:v>1</x:v>
      </x:c>
      <x:c r="R57" s="14" t="str">
        <x:v>2026</x:v>
      </x:c>
      <x:c r="S57" s="14" t="n">
        <x:v>2026</x:v>
      </x:c>
      <x:c r="T57" s="14" t="n">
        <x:v>2026</x:v>
      </x:c>
      <x:c r="U57" s="14" t="str">
        <x:v>Explicit source first year retained</x:v>
      </x:c>
      <x:c r="V57" s="14" t="str">
        <x:v>Earliest supplied year is 2026.</x:v>
      </x:c>
      <x:c r="W57" s="14"/>
      <x:c r="X57" s="14" t="str">
        <x:v>Excluded: after 2025</x:v>
      </x:c>
      <x:c r="Y57" s="14"/>
      <x:c r="Z57" s="14" t="str">
        <x:v>Death Valley.docx</x:v>
      </x:c>
      <x:c r="AA5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BBC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7" t="e">
        <x:f>HYPERLINK("https://en.wikipedia.org/wiki/Death_Valley","Open source")</x:f>
        <x:v>HYPERLINK is not implemented. linkLocation=https://en.wikipedia.org/wiki/Death_Valley, friendlyName=Open source</x:v>
      </x:c>
      <x:c r="AN57" s="14" t="str">
        <x:v>BBC public-service commission</x:v>
      </x:c>
      <x:c r="AO57" s="14" t="str">
        <x:v>Yes</x:v>
      </x:c>
      <x:c r="AP57" s="14" t="str">
        <x:v>Direct BBC public-service scope</x:v>
      </x:c>
      <x:c r="AQ57" s="14" t="str">
        <x:v>Yes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tt32409123|nm7333049|minerva maddox</x:v>
      </x:c>
      <x:c r="B58" s="14" t="str">
        <x:v>02</x:v>
      </x:c>
      <x:c r="C58" s="14" t="str">
        <x:v>2025_IMDb_Cast_Lists_Batch_02(1).xlsx</x:v>
      </x:c>
      <x:c r="D58" s="14" t="str">
        <x:v>Death Valley</x:v>
      </x:c>
      <x:c r="E58" s="14" t="n">
        <x:v>35</x:v>
      </x:c>
      <x:c r="F58" s="14" t="str">
        <x:v>Death Valley</x:v>
      </x:c>
      <x:c r="G58" s="14" t="str">
        <x:v>tt32409123</x:v>
      </x:c>
      <x:c r="H58" s="14" t="n">
        <x:v>2025</x:v>
      </x:c>
      <x:c r="I58" s="14" t="n">
        <x:v>2025</x:v>
      </x:c>
      <x:c r="J58" s="14" t="str">
        <x:v>Post-study cohort</x:v>
      </x:c>
      <x:c r="K58" s="14"/>
      <x:c r="L58" s="14" t="str">
        <x:v>Not inherited</x:v>
      </x:c>
      <x:c r="M58" s="15" t="n">
        <x:v>28</x:v>
      </x:c>
      <x:c r="N58" s="14" t="str">
        <x:v>Rhiannon Clements</x:v>
      </x:c>
      <x:c r="O58" s="14" t="str">
        <x:v>nm7333049</x:v>
      </x:c>
      <x:c r="P58" s="14" t="str">
        <x:v>Minerva Maddox</x:v>
      </x:c>
      <x:c r="Q58" s="15" t="n">
        <x:v>1</x:v>
      </x:c>
      <x:c r="R58" s="14" t="str">
        <x:v>2026</x:v>
      </x:c>
      <x:c r="S58" s="14" t="n">
        <x:v>2026</x:v>
      </x:c>
      <x:c r="T58" s="14" t="n">
        <x:v>2026</x:v>
      </x:c>
      <x:c r="U58" s="14" t="str">
        <x:v>Explicit source first year retained</x:v>
      </x:c>
      <x:c r="V58" s="14" t="str">
        <x:v>Earliest supplied year is 2026.</x:v>
      </x:c>
      <x:c r="W58" s="14"/>
      <x:c r="X58" s="14" t="str">
        <x:v>Excluded: after 2025</x:v>
      </x:c>
      <x:c r="Y58" s="14"/>
      <x:c r="Z58" s="14" t="str">
        <x:v>Death Valley.docx</x:v>
      </x:c>
      <x:c r="AA5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8" s="14" t="str">
        <x:v>Existing established-register match</x:v>
      </x:c>
      <x:c r="AC58" s="14" t="str">
        <x:v>Physical disability</x:v>
      </x:c>
      <x:c r="AD58" s="14" t="str">
        <x:v>Existing register classification: Physical disability</x:v>
      </x:c>
      <x:c r="AE58" s="14" t="str">
        <x:v>Established_Disability_Category_Register V1.2.xlsx</x:v>
      </x:c>
      <x:c r="AF58" s="14"/>
      <x:c r="AG58" s="14" t="str">
        <x:v>Established user-supplied classification retained for deduplication; evidence was not re-researched in this batch.</x:v>
      </x:c>
      <x:c r="AH58" s="14" t="str">
        <x:v>BBC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7" t="e">
        <x:f>HYPERLINK("https://en.wikipedia.org/wiki/Death_Valley","Open source")</x:f>
        <x:v>HYPERLINK is not implemented. linkLocation=https://en.wikipedia.org/wiki/Death_Valley, friendlyName=Open source</x:v>
      </x:c>
      <x:c r="AN58" s="14" t="str">
        <x:v>BBC public-service commission</x:v>
      </x:c>
      <x:c r="AO58" s="14" t="str">
        <x:v>Yes</x:v>
      </x:c>
      <x:c r="AP58" s="14" t="str">
        <x:v>Direct BBC public-service scope</x:v>
      </x:c>
      <x:c r="AQ58" s="14" t="str">
        <x:v>Yes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Exact IMDb performer ID match</x:v>
      </x:c>
      <x:c r="BC58" s="14" t="str">
        <x:v>nm7333049</x:v>
      </x:c>
      <x:c r="BD58" s="14" t="str">
        <x:v>Rhiannon Clements</x:v>
      </x:c>
      <x:c r="BE58" s="14" t="str">
        <x:v>Physical disability</x:v>
      </x:c>
      <x:c r="BF58" s="14" t="str">
        <x:v>Yes</x:v>
      </x:c>
      <x:c r="BG58" s="14" t="str">
        <x:v>Physical disability</x:v>
      </x:c>
      <x:c r="BH58" s="14" t="str">
        <x:v>No</x:v>
      </x:c>
      <x:c r="BI58" s="14" t="str">
        <x:v>User-supplied established classification</x:v>
      </x:c>
      <x:c r="BJ58" s="14" t="str">
        <x:v>04_Physical_disability.csv</x:v>
      </x:c>
      <x:c r="BK58" s="14"/>
      <x:c r="BL58" s="14" t="str">
        <x:v>Matched</x:v>
      </x:c>
      <x:c r="BM58" s="14" t="str">
        <x:v>Final supplied register</x:v>
      </x:c>
      <x:c r="BN58" s="14"/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0.08333333333333333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tt32409123|nm4410234|warren medwin</x:v>
      </x:c>
      <x:c r="B59" s="14" t="str">
        <x:v>02</x:v>
      </x:c>
      <x:c r="C59" s="14" t="str">
        <x:v>2025_IMDb_Cast_Lists_Batch_02(1).xlsx</x:v>
      </x:c>
      <x:c r="D59" s="14" t="str">
        <x:v>Death Valley</x:v>
      </x:c>
      <x:c r="E59" s="14" t="n">
        <x:v>36</x:v>
      </x:c>
      <x:c r="F59" s="14" t="str">
        <x:v>Death Valley</x:v>
      </x:c>
      <x:c r="G59" s="14" t="str">
        <x:v>tt32409123</x:v>
      </x:c>
      <x:c r="H59" s="14" t="n">
        <x:v>2025</x:v>
      </x:c>
      <x:c r="I59" s="14" t="n">
        <x:v>2025</x:v>
      </x:c>
      <x:c r="J59" s="14" t="str">
        <x:v>Post-study cohort</x:v>
      </x:c>
      <x:c r="K59" s="14"/>
      <x:c r="L59" s="14" t="str">
        <x:v>Not inherited</x:v>
      </x:c>
      <x:c r="M59" s="15" t="n">
        <x:v>29</x:v>
      </x:c>
      <x:c r="N59" s="14" t="str">
        <x:v>Hammed Animashaun</x:v>
      </x:c>
      <x:c r="O59" s="14" t="str">
        <x:v>nm4410234</x:v>
      </x:c>
      <x:c r="P59" s="14" t="str">
        <x:v>Warren Medwin</x:v>
      </x:c>
      <x:c r="Q59" s="15" t="n">
        <x:v>1</x:v>
      </x:c>
      <x:c r="R59" s="14" t="str">
        <x:v>2026</x:v>
      </x:c>
      <x:c r="S59" s="14" t="n">
        <x:v>2026</x:v>
      </x:c>
      <x:c r="T59" s="14" t="n">
        <x:v>2026</x:v>
      </x:c>
      <x:c r="U59" s="14" t="str">
        <x:v>Explicit source first year retained</x:v>
      </x:c>
      <x:c r="V59" s="14" t="str">
        <x:v>Earliest supplied year is 2026.</x:v>
      </x:c>
      <x:c r="W59" s="14"/>
      <x:c r="X59" s="14" t="str">
        <x:v>Excluded: after 2025</x:v>
      </x:c>
      <x:c r="Y59" s="14"/>
      <x:c r="Z59" s="14" t="str">
        <x:v>Death Valley.docx</x:v>
      </x:c>
      <x:c r="AA5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BBC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7" t="e">
        <x:f>HYPERLINK("https://en.wikipedia.org/wiki/Death_Valley","Open source")</x:f>
        <x:v>HYPERLINK is not implemented. linkLocation=https://en.wikipedia.org/wiki/Death_Valley, friendlyName=Open source</x:v>
      </x:c>
      <x:c r="AN59" s="14" t="str">
        <x:v>BBC public-service commission</x:v>
      </x:c>
      <x:c r="AO59" s="14" t="str">
        <x:v>Yes</x:v>
      </x:c>
      <x:c r="AP59" s="14" t="str">
        <x:v>Direct BBC public-service scope</x:v>
      </x:c>
      <x:c r="AQ59" s="14" t="str">
        <x:v>Yes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tt32409123|nm6465476|olivia whitmore</x:v>
      </x:c>
      <x:c r="B60" s="14" t="str">
        <x:v>02</x:v>
      </x:c>
      <x:c r="C60" s="14" t="str">
        <x:v>2025_IMDb_Cast_Lists_Batch_02(1).xlsx</x:v>
      </x:c>
      <x:c r="D60" s="14" t="str">
        <x:v>Death Valley</x:v>
      </x:c>
      <x:c r="E60" s="14" t="n">
        <x:v>37</x:v>
      </x:c>
      <x:c r="F60" s="14" t="str">
        <x:v>Death Valley</x:v>
      </x:c>
      <x:c r="G60" s="14" t="str">
        <x:v>tt32409123</x:v>
      </x:c>
      <x:c r="H60" s="14" t="n">
        <x:v>2025</x:v>
      </x:c>
      <x:c r="I60" s="14" t="n">
        <x:v>2025</x:v>
      </x:c>
      <x:c r="J60" s="14" t="str">
        <x:v>Post-study cohort</x:v>
      </x:c>
      <x:c r="K60" s="14"/>
      <x:c r="L60" s="14" t="str">
        <x:v>Not inherited</x:v>
      </x:c>
      <x:c r="M60" s="15" t="n">
        <x:v>30</x:v>
      </x:c>
      <x:c r="N60" s="14" t="str">
        <x:v>Leisa Gwenllian</x:v>
      </x:c>
      <x:c r="O60" s="14" t="str">
        <x:v>nm6465476</x:v>
      </x:c>
      <x:c r="P60" s="14" t="str">
        <x:v>Olivia Whitmore</x:v>
      </x:c>
      <x:c r="Q60" s="15" t="n">
        <x:v>1</x:v>
      </x:c>
      <x:c r="R60" s="14" t="str">
        <x:v>2026</x:v>
      </x:c>
      <x:c r="S60" s="14" t="n">
        <x:v>2026</x:v>
      </x:c>
      <x:c r="T60" s="14" t="n">
        <x:v>2026</x:v>
      </x:c>
      <x:c r="U60" s="14" t="str">
        <x:v>Explicit source first year retained</x:v>
      </x:c>
      <x:c r="V60" s="14" t="str">
        <x:v>Earliest supplied year is 2026.</x:v>
      </x:c>
      <x:c r="W60" s="14"/>
      <x:c r="X60" s="14" t="str">
        <x:v>Excluded: after 2025</x:v>
      </x:c>
      <x:c r="Y60" s="14"/>
      <x:c r="Z60" s="14" t="str">
        <x:v>Death Valley.docx</x:v>
      </x:c>
      <x:c r="AA6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BBC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7" t="e">
        <x:f>HYPERLINK("https://en.wikipedia.org/wiki/Death_Valley","Open source")</x:f>
        <x:v>HYPERLINK is not implemented. linkLocation=https://en.wikipedia.org/wiki/Death_Valley, friendlyName=Open source</x:v>
      </x:c>
      <x:c r="AN60" s="14" t="str">
        <x:v>BBC public-service commission</x:v>
      </x:c>
      <x:c r="AO60" s="14" t="str">
        <x:v>Yes</x:v>
      </x:c>
      <x:c r="AP60" s="14" t="str">
        <x:v>Direct BBC public-service scope</x:v>
      </x:c>
      <x:c r="AQ60" s="14" t="str">
        <x:v>Yes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tt32409123|nm9515059|abi michaels</x:v>
      </x:c>
      <x:c r="B61" s="14" t="str">
        <x:v>02</x:v>
      </x:c>
      <x:c r="C61" s="14" t="str">
        <x:v>2025_IMDb_Cast_Lists_Batch_02(1).xlsx</x:v>
      </x:c>
      <x:c r="D61" s="14" t="str">
        <x:v>Death Valley</x:v>
      </x:c>
      <x:c r="E61" s="14" t="n">
        <x:v>38</x:v>
      </x:c>
      <x:c r="F61" s="14" t="str">
        <x:v>Death Valley</x:v>
      </x:c>
      <x:c r="G61" s="14" t="str">
        <x:v>tt32409123</x:v>
      </x:c>
      <x:c r="H61" s="14" t="n">
        <x:v>2025</x:v>
      </x:c>
      <x:c r="I61" s="14" t="n">
        <x:v>2025</x:v>
      </x:c>
      <x:c r="J61" s="14" t="str">
        <x:v>Post-study cohort</x:v>
      </x:c>
      <x:c r="K61" s="14"/>
      <x:c r="L61" s="14" t="str">
        <x:v>Not inherited</x:v>
      </x:c>
      <x:c r="M61" s="15" t="n">
        <x:v>31</x:v>
      </x:c>
      <x:c r="N61" s="14" t="str">
        <x:v>Mali Ann Rees</x:v>
      </x:c>
      <x:c r="O61" s="14" t="str">
        <x:v>nm9515059</x:v>
      </x:c>
      <x:c r="P61" s="14" t="str">
        <x:v>Abi Michaels</x:v>
      </x:c>
      <x:c r="Q61" s="15" t="n">
        <x:v>1</x:v>
      </x:c>
      <x:c r="R61" s="14" t="str">
        <x:v>2026</x:v>
      </x:c>
      <x:c r="S61" s="14" t="n">
        <x:v>2026</x:v>
      </x:c>
      <x:c r="T61" s="14" t="n">
        <x:v>2026</x:v>
      </x:c>
      <x:c r="U61" s="14" t="str">
        <x:v>Explicit source first year retained</x:v>
      </x:c>
      <x:c r="V61" s="14" t="str">
        <x:v>Earliest supplied year is 2026.</x:v>
      </x:c>
      <x:c r="W61" s="14"/>
      <x:c r="X61" s="14" t="str">
        <x:v>Excluded: after 2025</x:v>
      </x:c>
      <x:c r="Y61" s="14"/>
      <x:c r="Z61" s="14" t="str">
        <x:v>Death Valley.docx</x:v>
      </x:c>
      <x:c r="AA6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BBC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7" t="e">
        <x:f>HYPERLINK("https://en.wikipedia.org/wiki/Death_Valley","Open source")</x:f>
        <x:v>HYPERLINK is not implemented. linkLocation=https://en.wikipedia.org/wiki/Death_Valley, friendlyName=Open source</x:v>
      </x:c>
      <x:c r="AN61" s="14" t="str">
        <x:v>BBC public-service commission</x:v>
      </x:c>
      <x:c r="AO61" s="14" t="str">
        <x:v>Yes</x:v>
      </x:c>
      <x:c r="AP61" s="14" t="str">
        <x:v>Direct BBC public-service scope</x:v>
      </x:c>
      <x:c r="AQ61" s="14" t="str">
        <x:v>Yes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tt32409123|nm5219130|omar sahni</x:v>
      </x:c>
      <x:c r="B62" s="14" t="str">
        <x:v>02</x:v>
      </x:c>
      <x:c r="C62" s="14" t="str">
        <x:v>2025_IMDb_Cast_Lists_Batch_02(1).xlsx</x:v>
      </x:c>
      <x:c r="D62" s="14" t="str">
        <x:v>Death Valley</x:v>
      </x:c>
      <x:c r="E62" s="14" t="n">
        <x:v>43</x:v>
      </x:c>
      <x:c r="F62" s="14" t="str">
        <x:v>Death Valley</x:v>
      </x:c>
      <x:c r="G62" s="14" t="str">
        <x:v>tt32409123</x:v>
      </x:c>
      <x:c r="H62" s="14" t="n">
        <x:v>2025</x:v>
      </x:c>
      <x:c r="I62" s="14" t="n">
        <x:v>2025</x:v>
      </x:c>
      <x:c r="J62" s="14" t="str">
        <x:v>Post-study cohort</x:v>
      </x:c>
      <x:c r="K62" s="14"/>
      <x:c r="L62" s="14" t="str">
        <x:v>Not inherited</x:v>
      </x:c>
      <x:c r="M62" s="15" t="n">
        <x:v>36</x:v>
      </x:c>
      <x:c r="N62" s="14" t="str">
        <x:v>Asim Chaudhry</x:v>
      </x:c>
      <x:c r="O62" s="14" t="str">
        <x:v>nm5219130</x:v>
      </x:c>
      <x:c r="P62" s="14" t="str">
        <x:v>Omar Sahni</x:v>
      </x:c>
      <x:c r="Q62" s="15" t="n">
        <x:v>1</x:v>
      </x:c>
      <x:c r="R62" s="14" t="str">
        <x:v>2026</x:v>
      </x:c>
      <x:c r="S62" s="14" t="n">
        <x:v>2026</x:v>
      </x:c>
      <x:c r="T62" s="14" t="n">
        <x:v>2026</x:v>
      </x:c>
      <x:c r="U62" s="14" t="str">
        <x:v>Explicit source first year retained</x:v>
      </x:c>
      <x:c r="V62" s="14" t="str">
        <x:v>Earliest supplied year is 2026.</x:v>
      </x:c>
      <x:c r="W62" s="14"/>
      <x:c r="X62" s="14" t="str">
        <x:v>Excluded: after 2025</x:v>
      </x:c>
      <x:c r="Y62" s="14"/>
      <x:c r="Z62" s="14" t="str">
        <x:v>Death Valley.docx</x:v>
      </x:c>
      <x:c r="AA6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BBC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7" t="e">
        <x:f>HYPERLINK("https://en.wikipedia.org/wiki/Death_Valley","Open source")</x:f>
        <x:v>HYPERLINK is not implemented. linkLocation=https://en.wikipedia.org/wiki/Death_Valley, friendlyName=Open source</x:v>
      </x:c>
      <x:c r="AN62" s="14" t="str">
        <x:v>BBC public-service commission</x:v>
      </x:c>
      <x:c r="AO62" s="14" t="str">
        <x:v>Yes</x:v>
      </x:c>
      <x:c r="AP62" s="14" t="str">
        <x:v>Direct BBC public-service scope</x:v>
      </x:c>
      <x:c r="AQ62" s="14" t="str">
        <x:v>Yes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tt32409123|nm2411576|joe richards</x:v>
      </x:c>
      <x:c r="B63" s="14" t="str">
        <x:v>02</x:v>
      </x:c>
      <x:c r="C63" s="14" t="str">
        <x:v>2025_IMDb_Cast_Lists_Batch_02(1).xlsx</x:v>
      </x:c>
      <x:c r="D63" s="14" t="str">
        <x:v>Death Valley</x:v>
      </x:c>
      <x:c r="E63" s="14" t="n">
        <x:v>44</x:v>
      </x:c>
      <x:c r="F63" s="14" t="str">
        <x:v>Death Valley</x:v>
      </x:c>
      <x:c r="G63" s="14" t="str">
        <x:v>tt32409123</x:v>
      </x:c>
      <x:c r="H63" s="14" t="n">
        <x:v>2025</x:v>
      </x:c>
      <x:c r="I63" s="14" t="n">
        <x:v>2025</x:v>
      </x:c>
      <x:c r="J63" s="14" t="str">
        <x:v>Post-study cohort</x:v>
      </x:c>
      <x:c r="K63" s="14"/>
      <x:c r="L63" s="14" t="str">
        <x:v>Not inherited</x:v>
      </x:c>
      <x:c r="M63" s="15" t="n">
        <x:v>37</x:v>
      </x:c>
      <x:c r="N63" s="14" t="str">
        <x:v>Ben McGregor</x:v>
      </x:c>
      <x:c r="O63" s="14" t="str">
        <x:v>nm2411576</x:v>
      </x:c>
      <x:c r="P63" s="14" t="str">
        <x:v>Joe Richards</x:v>
      </x:c>
      <x:c r="Q63" s="15" t="n">
        <x:v>1</x:v>
      </x:c>
      <x:c r="R63" s="14" t="str">
        <x:v>2026</x:v>
      </x:c>
      <x:c r="S63" s="14" t="n">
        <x:v>2026</x:v>
      </x:c>
      <x:c r="T63" s="14" t="n">
        <x:v>2026</x:v>
      </x:c>
      <x:c r="U63" s="14" t="str">
        <x:v>Explicit source first year retained</x:v>
      </x:c>
      <x:c r="V63" s="14" t="str">
        <x:v>Earliest supplied year is 2026.</x:v>
      </x:c>
      <x:c r="W63" s="14"/>
      <x:c r="X63" s="14" t="str">
        <x:v>Excluded: after 2025</x:v>
      </x:c>
      <x:c r="Y63" s="14"/>
      <x:c r="Z63" s="14" t="str">
        <x:v>Death Valley.docx</x:v>
      </x:c>
      <x:c r="AA6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BBC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7" t="e">
        <x:f>HYPERLINK("https://en.wikipedia.org/wiki/Death_Valley","Open source")</x:f>
        <x:v>HYPERLINK is not implemented. linkLocation=https://en.wikipedia.org/wiki/Death_Valley, friendlyName=Open source</x:v>
      </x:c>
      <x:c r="AN63" s="14" t="str">
        <x:v>BBC public-service commission</x:v>
      </x:c>
      <x:c r="AO63" s="14" t="str">
        <x:v>Yes</x:v>
      </x:c>
      <x:c r="AP63" s="14" t="str">
        <x:v>Direct BBC public-service scope</x:v>
      </x:c>
      <x:c r="AQ63" s="14" t="str">
        <x:v>Yes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tt32409123|nm11096315|magenta mei</x:v>
      </x:c>
      <x:c r="B64" s="14" t="str">
        <x:v>02</x:v>
      </x:c>
      <x:c r="C64" s="14" t="str">
        <x:v>2025_IMDb_Cast_Lists_Batch_02(1).xlsx</x:v>
      </x:c>
      <x:c r="D64" s="14" t="str">
        <x:v>Death Valley</x:v>
      </x:c>
      <x:c r="E64" s="14" t="n">
        <x:v>45</x:v>
      </x:c>
      <x:c r="F64" s="14" t="str">
        <x:v>Death Valley</x:v>
      </x:c>
      <x:c r="G64" s="14" t="str">
        <x:v>tt32409123</x:v>
      </x:c>
      <x:c r="H64" s="14" t="n">
        <x:v>2025</x:v>
      </x:c>
      <x:c r="I64" s="14" t="n">
        <x:v>2025</x:v>
      </x:c>
      <x:c r="J64" s="14" t="str">
        <x:v>Post-study cohort</x:v>
      </x:c>
      <x:c r="K64" s="14"/>
      <x:c r="L64" s="14" t="str">
        <x:v>Not inherited</x:v>
      </x:c>
      <x:c r="M64" s="15" t="n">
        <x:v>38</x:v>
      </x:c>
      <x:c r="N64" s="14" t="str">
        <x:v>Millicent Wong</x:v>
      </x:c>
      <x:c r="O64" s="14" t="str">
        <x:v>nm11096315</x:v>
      </x:c>
      <x:c r="P64" s="14" t="str">
        <x:v>Magenta Mei</x:v>
      </x:c>
      <x:c r="Q64" s="15" t="n">
        <x:v>1</x:v>
      </x:c>
      <x:c r="R64" s="14" t="str">
        <x:v>2026</x:v>
      </x:c>
      <x:c r="S64" s="14" t="n">
        <x:v>2026</x:v>
      </x:c>
      <x:c r="T64" s="14" t="n">
        <x:v>2026</x:v>
      </x:c>
      <x:c r="U64" s="14" t="str">
        <x:v>Explicit source first year retained</x:v>
      </x:c>
      <x:c r="V64" s="14" t="str">
        <x:v>Earliest supplied year is 2026.</x:v>
      </x:c>
      <x:c r="W64" s="14"/>
      <x:c r="X64" s="14" t="str">
        <x:v>Excluded: after 2025</x:v>
      </x:c>
      <x:c r="Y64" s="14"/>
      <x:c r="Z64" s="14" t="str">
        <x:v>Death Valley.docx</x:v>
      </x:c>
      <x:c r="AA6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BBC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7" t="e">
        <x:f>HYPERLINK("https://en.wikipedia.org/wiki/Death_Valley","Open source")</x:f>
        <x:v>HYPERLINK is not implemented. linkLocation=https://en.wikipedia.org/wiki/Death_Valley, friendlyName=Open source</x:v>
      </x:c>
      <x:c r="AN64" s="14" t="str">
        <x:v>BBC public-service commission</x:v>
      </x:c>
      <x:c r="AO64" s="14" t="str">
        <x:v>Yes</x:v>
      </x:c>
      <x:c r="AP64" s="14" t="str">
        <x:v>Direct BBC public-service scope</x:v>
      </x:c>
      <x:c r="AQ64" s="14" t="str">
        <x:v>Yes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tt32409123|nm0253687|sue dyer</x:v>
      </x:c>
      <x:c r="B65" s="14" t="str">
        <x:v>02</x:v>
      </x:c>
      <x:c r="C65" s="14" t="str">
        <x:v>2025_IMDb_Cast_Lists_Batch_02(1).xlsx</x:v>
      </x:c>
      <x:c r="D65" s="14" t="str">
        <x:v>Death Valley</x:v>
      </x:c>
      <x:c r="E65" s="14" t="n">
        <x:v>46</x:v>
      </x:c>
      <x:c r="F65" s="14" t="str">
        <x:v>Death Valley</x:v>
      </x:c>
      <x:c r="G65" s="14" t="str">
        <x:v>tt32409123</x:v>
      </x:c>
      <x:c r="H65" s="14" t="n">
        <x:v>2025</x:v>
      </x:c>
      <x:c r="I65" s="14" t="n">
        <x:v>2025</x:v>
      </x:c>
      <x:c r="J65" s="14" t="str">
        <x:v>Post-study cohort</x:v>
      </x:c>
      <x:c r="K65" s="14"/>
      <x:c r="L65" s="14" t="str">
        <x:v>Not inherited</x:v>
      </x:c>
      <x:c r="M65" s="15" t="n">
        <x:v>39</x:v>
      </x:c>
      <x:c r="N65" s="14" t="str">
        <x:v>Gillian Elisa</x:v>
      </x:c>
      <x:c r="O65" s="14" t="str">
        <x:v>nm0253687</x:v>
      </x:c>
      <x:c r="P65" s="14" t="str">
        <x:v>Sue Dyer</x:v>
      </x:c>
      <x:c r="Q65" s="15" t="n">
        <x:v>1</x:v>
      </x:c>
      <x:c r="R65" s="14" t="str">
        <x:v>2026</x:v>
      </x:c>
      <x:c r="S65" s="14" t="n">
        <x:v>2026</x:v>
      </x:c>
      <x:c r="T65" s="14" t="n">
        <x:v>2026</x:v>
      </x:c>
      <x:c r="U65" s="14" t="str">
        <x:v>Explicit source first year retained</x:v>
      </x:c>
      <x:c r="V65" s="14" t="str">
        <x:v>Earliest supplied year is 2026.</x:v>
      </x:c>
      <x:c r="W65" s="14"/>
      <x:c r="X65" s="14" t="str">
        <x:v>Excluded: after 2025</x:v>
      </x:c>
      <x:c r="Y65" s="14"/>
      <x:c r="Z65" s="14" t="str">
        <x:v>Death Valley.docx</x:v>
      </x:c>
      <x:c r="AA6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BBC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7" t="e">
        <x:f>HYPERLINK("https://en.wikipedia.org/wiki/Death_Valley","Open source")</x:f>
        <x:v>HYPERLINK is not implemented. linkLocation=https://en.wikipedia.org/wiki/Death_Valley, friendlyName=Open source</x:v>
      </x:c>
      <x:c r="AN65" s="14" t="str">
        <x:v>BBC public-service commission</x:v>
      </x:c>
      <x:c r="AO65" s="14" t="str">
        <x:v>Yes</x:v>
      </x:c>
      <x:c r="AP65" s="14" t="str">
        <x:v>Direct BBC public-service scope</x:v>
      </x:c>
      <x:c r="AQ65" s="14" t="str">
        <x:v>Yes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tt32409123|nm11736207|liam jenkins</x:v>
      </x:c>
      <x:c r="B66" s="14" t="str">
        <x:v>02</x:v>
      </x:c>
      <x:c r="C66" s="14" t="str">
        <x:v>2025_IMDb_Cast_Lists_Batch_02(1).xlsx</x:v>
      </x:c>
      <x:c r="D66" s="14" t="str">
        <x:v>Death Valley</x:v>
      </x:c>
      <x:c r="E66" s="14" t="n">
        <x:v>47</x:v>
      </x:c>
      <x:c r="F66" s="14" t="str">
        <x:v>Death Valley</x:v>
      </x:c>
      <x:c r="G66" s="14" t="str">
        <x:v>tt32409123</x:v>
      </x:c>
      <x:c r="H66" s="14" t="n">
        <x:v>2025</x:v>
      </x:c>
      <x:c r="I66" s="14" t="n">
        <x:v>2025</x:v>
      </x:c>
      <x:c r="J66" s="14" t="str">
        <x:v>Post-study cohort</x:v>
      </x:c>
      <x:c r="K66" s="14"/>
      <x:c r="L66" s="14" t="str">
        <x:v>Not inherited</x:v>
      </x:c>
      <x:c r="M66" s="15" t="n">
        <x:v>40</x:v>
      </x:c>
      <x:c r="N66" s="14" t="str">
        <x:v>Jacob Ethan Tanner</x:v>
      </x:c>
      <x:c r="O66" s="14" t="str">
        <x:v>nm11736207</x:v>
      </x:c>
      <x:c r="P66" s="14" t="str">
        <x:v>Liam Jenkins</x:v>
      </x:c>
      <x:c r="Q66" s="15" t="n">
        <x:v>1</x:v>
      </x:c>
      <x:c r="R66" s="14" t="str">
        <x:v>2026</x:v>
      </x:c>
      <x:c r="S66" s="14" t="n">
        <x:v>2026</x:v>
      </x:c>
      <x:c r="T66" s="14" t="n">
        <x:v>2026</x:v>
      </x:c>
      <x:c r="U66" s="14" t="str">
        <x:v>Explicit source first year retained</x:v>
      </x:c>
      <x:c r="V66" s="14" t="str">
        <x:v>Earliest supplied year is 2026.</x:v>
      </x:c>
      <x:c r="W66" s="14"/>
      <x:c r="X66" s="14" t="str">
        <x:v>Excluded: after 2025</x:v>
      </x:c>
      <x:c r="Y66" s="14"/>
      <x:c r="Z66" s="14" t="str">
        <x:v>Death Valley.docx</x:v>
      </x:c>
      <x:c r="AA6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BBC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7" t="e">
        <x:f>HYPERLINK("https://en.wikipedia.org/wiki/Death_Valley","Open source")</x:f>
        <x:v>HYPERLINK is not implemented. linkLocation=https://en.wikipedia.org/wiki/Death_Valley, friendlyName=Open source</x:v>
      </x:c>
      <x:c r="AN66" s="14" t="str">
        <x:v>BBC public-service commission</x:v>
      </x:c>
      <x:c r="AO66" s="14" t="str">
        <x:v>Yes</x:v>
      </x:c>
      <x:c r="AP66" s="14" t="str">
        <x:v>Direct BBC public-service scope</x:v>
      </x:c>
      <x:c r="AQ66" s="14" t="str">
        <x:v>Yes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tt32409123|nm0001363|polly trevor</x:v>
      </x:c>
      <x:c r="B67" s="14" t="str">
        <x:v>02</x:v>
      </x:c>
      <x:c r="C67" s="14" t="str">
        <x:v>2025_IMDb_Cast_Lists_Batch_02(1).xlsx</x:v>
      </x:c>
      <x:c r="D67" s="14" t="str">
        <x:v>Death Valley</x:v>
      </x:c>
      <x:c r="E67" s="14" t="n">
        <x:v>52</x:v>
      </x:c>
      <x:c r="F67" s="14" t="str">
        <x:v>Death Valley</x:v>
      </x:c>
      <x:c r="G67" s="14" t="str">
        <x:v>tt32409123</x:v>
      </x:c>
      <x:c r="H67" s="14" t="n">
        <x:v>2025</x:v>
      </x:c>
      <x:c r="I67" s="14" t="n">
        <x:v>2025</x:v>
      </x:c>
      <x:c r="J67" s="14" t="str">
        <x:v>Post-study cohort</x:v>
      </x:c>
      <x:c r="K67" s="14"/>
      <x:c r="L67" s="14" t="str">
        <x:v>Not inherited</x:v>
      </x:c>
      <x:c r="M67" s="15" t="n">
        <x:v>45</x:v>
      </x:c>
      <x:c r="N67" s="14" t="str">
        <x:v>Jane Horrocks</x:v>
      </x:c>
      <x:c r="O67" s="14" t="str">
        <x:v>nm0001363</x:v>
      </x:c>
      <x:c r="P67" s="14" t="str">
        <x:v>Polly Trevor</x:v>
      </x:c>
      <x:c r="Q67" s="15" t="n">
        <x:v>1</x:v>
      </x:c>
      <x:c r="R67" s="14" t="str">
        <x:v>2026</x:v>
      </x:c>
      <x:c r="S67" s="14" t="n">
        <x:v>2026</x:v>
      </x:c>
      <x:c r="T67" s="14" t="n">
        <x:v>2026</x:v>
      </x:c>
      <x:c r="U67" s="14" t="str">
        <x:v>Explicit source first year retained</x:v>
      </x:c>
      <x:c r="V67" s="14" t="str">
        <x:v>Earliest supplied year is 2026.</x:v>
      </x:c>
      <x:c r="W67" s="14"/>
      <x:c r="X67" s="14" t="str">
        <x:v>Excluded: after 2025</x:v>
      </x:c>
      <x:c r="Y67" s="14"/>
      <x:c r="Z67" s="14" t="str">
        <x:v>Death Valley.docx</x:v>
      </x:c>
      <x:c r="AA6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BBC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7" t="e">
        <x:f>HYPERLINK("https://en.wikipedia.org/wiki/Death_Valley","Open source")</x:f>
        <x:v>HYPERLINK is not implemented. linkLocation=https://en.wikipedia.org/wiki/Death_Valley, friendlyName=Open source</x:v>
      </x:c>
      <x:c r="AN67" s="14" t="str">
        <x:v>BBC public-service commission</x:v>
      </x:c>
      <x:c r="AO67" s="14" t="str">
        <x:v>Yes</x:v>
      </x:c>
      <x:c r="AP67" s="14" t="str">
        <x:v>Direct BBC public-service scope</x:v>
      </x:c>
      <x:c r="AQ67" s="14" t="str">
        <x:v>Yes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0.08333333333333333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tt32409123|nm11530750|tina bucknall</x:v>
      </x:c>
      <x:c r="B68" s="14" t="str">
        <x:v>02</x:v>
      </x:c>
      <x:c r="C68" s="14" t="str">
        <x:v>2025_IMDb_Cast_Lists_Batch_02(1).xlsx</x:v>
      </x:c>
      <x:c r="D68" s="14" t="str">
        <x:v>Death Valley</x:v>
      </x:c>
      <x:c r="E68" s="14" t="n">
        <x:v>53</x:v>
      </x:c>
      <x:c r="F68" s="14" t="str">
        <x:v>Death Valley</x:v>
      </x:c>
      <x:c r="G68" s="14" t="str">
        <x:v>tt32409123</x:v>
      </x:c>
      <x:c r="H68" s="14" t="n">
        <x:v>2025</x:v>
      </x:c>
      <x:c r="I68" s="14" t="n">
        <x:v>2025</x:v>
      </x:c>
      <x:c r="J68" s="14" t="str">
        <x:v>Post-study cohort</x:v>
      </x:c>
      <x:c r="K68" s="14"/>
      <x:c r="L68" s="14" t="str">
        <x:v>Not inherited</x:v>
      </x:c>
      <x:c r="M68" s="15" t="n">
        <x:v>46</x:v>
      </x:c>
      <x:c r="N68" s="14" t="str">
        <x:v>Libby Mai</x:v>
      </x:c>
      <x:c r="O68" s="14" t="str">
        <x:v>nm11530750</x:v>
      </x:c>
      <x:c r="P68" s="14" t="str">
        <x:v>Tina Bucknall</x:v>
      </x:c>
      <x:c r="Q68" s="15" t="n">
        <x:v>1</x:v>
      </x:c>
      <x:c r="R68" s="14" t="str">
        <x:v>2026</x:v>
      </x:c>
      <x:c r="S68" s="14" t="n">
        <x:v>2026</x:v>
      </x:c>
      <x:c r="T68" s="14" t="n">
        <x:v>2026</x:v>
      </x:c>
      <x:c r="U68" s="14" t="str">
        <x:v>Explicit source first year retained</x:v>
      </x:c>
      <x:c r="V68" s="14" t="str">
        <x:v>Earliest supplied year is 2026.</x:v>
      </x:c>
      <x:c r="W68" s="14"/>
      <x:c r="X68" s="14" t="str">
        <x:v>Excluded: after 2025</x:v>
      </x:c>
      <x:c r="Y68" s="14"/>
      <x:c r="Z68" s="14" t="str">
        <x:v>Death Valley.docx</x:v>
      </x:c>
      <x:c r="AA6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8" s="14" t="str">
        <x:v>Existing established-register match</x:v>
      </x:c>
      <x:c r="AC68" s="14" t="str">
        <x:v>Neurodivergent</x:v>
      </x:c>
      <x:c r="AD68" s="14" t="str">
        <x:v>Existing register classification: Neurodivergent</x:v>
      </x:c>
      <x:c r="AE68" s="14" t="str">
        <x:v>Established_Disability_Category_Register V1.2.xlsx</x:v>
      </x:c>
      <x:c r="AF68" s="14"/>
      <x:c r="AG68" s="14" t="str">
        <x:v>Established user-supplied classification retained for deduplication; evidence was not re-researched in this batch.</x:v>
      </x:c>
      <x:c r="AH68" s="14" t="str">
        <x:v>BBC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7" t="e">
        <x:f>HYPERLINK("https://en.wikipedia.org/wiki/Death_Valley","Open source")</x:f>
        <x:v>HYPERLINK is not implemented. linkLocation=https://en.wikipedia.org/wiki/Death_Valley, friendlyName=Open source</x:v>
      </x:c>
      <x:c r="AN68" s="14" t="str">
        <x:v>BBC public-service commission</x:v>
      </x:c>
      <x:c r="AO68" s="14" t="str">
        <x:v>Yes</x:v>
      </x:c>
      <x:c r="AP68" s="14" t="str">
        <x:v>Direct BBC public-service scope</x:v>
      </x:c>
      <x:c r="AQ68" s="14" t="str">
        <x:v>Yes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Exact IMDb performer ID match</x:v>
      </x:c>
      <x:c r="BC68" s="14" t="str">
        <x:v>nm11530750</x:v>
      </x:c>
      <x:c r="BD68" s="14" t="str">
        <x:v>Libby Mai</x:v>
      </x:c>
      <x:c r="BE68" s="14" t="str">
        <x:v>Neurodivergent</x:v>
      </x:c>
      <x:c r="BF68" s="14" t="str">
        <x:v>No</x:v>
      </x:c>
      <x:c r="BG68" s="14"/>
      <x:c r="BH68" s="14" t="str">
        <x:v>Yes</x:v>
      </x:c>
      <x:c r="BI68" s="14" t="str">
        <x:v>User-supplied established classification</x:v>
      </x:c>
      <x:c r="BJ68" s="14" t="str">
        <x:v>11_Neurodivergent..csv</x:v>
      </x:c>
      <x:c r="BK68" s="14"/>
      <x:c r="BL68" s="14" t="str">
        <x:v>Matched</x:v>
      </x:c>
      <x:c r="BM68" s="14" t="str">
        <x:v>Final supplied register</x:v>
      </x:c>
      <x:c r="BN68" s="14"/>
      <x:c r="BO68" s="14" t="n">
        <x:v>12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0.08333333333333333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tt32409123|nm9980586|amanda sahni</x:v>
      </x:c>
      <x:c r="B69" s="14" t="str">
        <x:v>02</x:v>
      </x:c>
      <x:c r="C69" s="14" t="str">
        <x:v>2025_IMDb_Cast_Lists_Batch_02(1).xlsx</x:v>
      </x:c>
      <x:c r="D69" s="14" t="str">
        <x:v>Death Valley</x:v>
      </x:c>
      <x:c r="E69" s="14" t="n">
        <x:v>54</x:v>
      </x:c>
      <x:c r="F69" s="14" t="str">
        <x:v>Death Valley</x:v>
      </x:c>
      <x:c r="G69" s="14" t="str">
        <x:v>tt32409123</x:v>
      </x:c>
      <x:c r="H69" s="14" t="n">
        <x:v>2025</x:v>
      </x:c>
      <x:c r="I69" s="14" t="n">
        <x:v>2025</x:v>
      </x:c>
      <x:c r="J69" s="14" t="str">
        <x:v>Post-study cohort</x:v>
      </x:c>
      <x:c r="K69" s="14"/>
      <x:c r="L69" s="14" t="str">
        <x:v>Not inherited</x:v>
      </x:c>
      <x:c r="M69" s="15" t="n">
        <x:v>47</x:v>
      </x:c>
      <x:c r="N69" s="14" t="str">
        <x:v>Tori Allen-Martin</x:v>
      </x:c>
      <x:c r="O69" s="14" t="str">
        <x:v>nm9980586</x:v>
      </x:c>
      <x:c r="P69" s="14" t="str">
        <x:v>Amanda Sahni</x:v>
      </x:c>
      <x:c r="Q69" s="15" t="n">
        <x:v>1</x:v>
      </x:c>
      <x:c r="R69" s="14" t="str">
        <x:v>2026</x:v>
      </x:c>
      <x:c r="S69" s="14" t="n">
        <x:v>2026</x:v>
      </x:c>
      <x:c r="T69" s="14" t="n">
        <x:v>2026</x:v>
      </x:c>
      <x:c r="U69" s="14" t="str">
        <x:v>Explicit source first year retained</x:v>
      </x:c>
      <x:c r="V69" s="14" t="str">
        <x:v>Earliest supplied year is 2026.</x:v>
      </x:c>
      <x:c r="W69" s="14"/>
      <x:c r="X69" s="14" t="str">
        <x:v>Excluded: after 2025</x:v>
      </x:c>
      <x:c r="Y69" s="14"/>
      <x:c r="Z69" s="14" t="str">
        <x:v>Death Valley.docx</x:v>
      </x:c>
      <x:c r="AA6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BBC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7" t="e">
        <x:f>HYPERLINK("https://en.wikipedia.org/wiki/Death_Valley","Open source")</x:f>
        <x:v>HYPERLINK is not implemented. linkLocation=https://en.wikipedia.org/wiki/Death_Valley, friendlyName=Open source</x:v>
      </x:c>
      <x:c r="AN69" s="14" t="str">
        <x:v>BBC public-service commission</x:v>
      </x:c>
      <x:c r="AO69" s="14" t="str">
        <x:v>Yes</x:v>
      </x:c>
      <x:c r="AP69" s="14" t="str">
        <x:v>Direct BBC public-service scope</x:v>
      </x:c>
      <x:c r="AQ69" s="14" t="str">
        <x:v>Yes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12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0.08333333333333333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tt32409123|nm12303338|josh daniels</x:v>
      </x:c>
      <x:c r="B70" s="14" t="str">
        <x:v>02</x:v>
      </x:c>
      <x:c r="C70" s="14" t="str">
        <x:v>2025_IMDb_Cast_Lists_Batch_02(1).xlsx</x:v>
      </x:c>
      <x:c r="D70" s="14" t="str">
        <x:v>Death Valley</x:v>
      </x:c>
      <x:c r="E70" s="14" t="n">
        <x:v>55</x:v>
      </x:c>
      <x:c r="F70" s="14" t="str">
        <x:v>Death Valley</x:v>
      </x:c>
      <x:c r="G70" s="14" t="str">
        <x:v>tt32409123</x:v>
      </x:c>
      <x:c r="H70" s="14" t="n">
        <x:v>2025</x:v>
      </x:c>
      <x:c r="I70" s="14" t="n">
        <x:v>2025</x:v>
      </x:c>
      <x:c r="J70" s="14" t="str">
        <x:v>Post-study cohort</x:v>
      </x:c>
      <x:c r="K70" s="14"/>
      <x:c r="L70" s="14" t="str">
        <x:v>Not inherited</x:v>
      </x:c>
      <x:c r="M70" s="15" t="n">
        <x:v>48</x:v>
      </x:c>
      <x:c r="N70" s="14" t="str">
        <x:v>Ieuan Evans</x:v>
      </x:c>
      <x:c r="O70" s="14" t="str">
        <x:v>nm12303338</x:v>
      </x:c>
      <x:c r="P70" s="14" t="str">
        <x:v>Josh Daniels</x:v>
      </x:c>
      <x:c r="Q70" s="15" t="n">
        <x:v>1</x:v>
      </x:c>
      <x:c r="R70" s="14" t="str">
        <x:v>2026</x:v>
      </x:c>
      <x:c r="S70" s="14" t="n">
        <x:v>2026</x:v>
      </x:c>
      <x:c r="T70" s="14" t="n">
        <x:v>2026</x:v>
      </x:c>
      <x:c r="U70" s="14" t="str">
        <x:v>Explicit source first year retained</x:v>
      </x:c>
      <x:c r="V70" s="14" t="str">
        <x:v>Earliest supplied year is 2026.</x:v>
      </x:c>
      <x:c r="W70" s="14"/>
      <x:c r="X70" s="14" t="str">
        <x:v>Excluded: after 2025</x:v>
      </x:c>
      <x:c r="Y70" s="14"/>
      <x:c r="Z70" s="14" t="str">
        <x:v>Death Valley.docx</x:v>
      </x:c>
      <x:c r="AA7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BBC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7" t="e">
        <x:f>HYPERLINK("https://en.wikipedia.org/wiki/Death_Valley","Open source")</x:f>
        <x:v>HYPERLINK is not implemented. linkLocation=https://en.wikipedia.org/wiki/Death_Valley, friendlyName=Open source</x:v>
      </x:c>
      <x:c r="AN70" s="14" t="str">
        <x:v>BBC public-service commission</x:v>
      </x:c>
      <x:c r="AO70" s="14" t="str">
        <x:v>Yes</x:v>
      </x:c>
      <x:c r="AP70" s="14" t="str">
        <x:v>Direct BBC public-service scope</x:v>
      </x:c>
      <x:c r="AQ70" s="14" t="str">
        <x:v>Yes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12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0.08333333333333333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tt32409123|nm9933709|gemma mason</x:v>
      </x:c>
      <x:c r="B71" s="14" t="str">
        <x:v>02</x:v>
      </x:c>
      <x:c r="C71" s="14" t="str">
        <x:v>2025_IMDb_Cast_Lists_Batch_02(1).xlsx</x:v>
      </x:c>
      <x:c r="D71" s="14" t="str">
        <x:v>Death Valley</x:v>
      </x:c>
      <x:c r="E71" s="14" t="n">
        <x:v>56</x:v>
      </x:c>
      <x:c r="F71" s="14" t="str">
        <x:v>Death Valley</x:v>
      </x:c>
      <x:c r="G71" s="14" t="str">
        <x:v>tt32409123</x:v>
      </x:c>
      <x:c r="H71" s="14" t="n">
        <x:v>2025</x:v>
      </x:c>
      <x:c r="I71" s="14" t="n">
        <x:v>2025</x:v>
      </x:c>
      <x:c r="J71" s="14" t="str">
        <x:v>Post-study cohort</x:v>
      </x:c>
      <x:c r="K71" s="14"/>
      <x:c r="L71" s="14" t="str">
        <x:v>Not inherited</x:v>
      </x:c>
      <x:c r="M71" s="15" t="n">
        <x:v>49</x:v>
      </x:c>
      <x:c r="N71" s="14" t="str">
        <x:v>Abby Vicky-Russell</x:v>
      </x:c>
      <x:c r="O71" s="14" t="str">
        <x:v>nm9933709</x:v>
      </x:c>
      <x:c r="P71" s="14" t="str">
        <x:v>Gemma Mason</x:v>
      </x:c>
      <x:c r="Q71" s="15" t="n">
        <x:v>1</x:v>
      </x:c>
      <x:c r="R71" s="14" t="str">
        <x:v>2026</x:v>
      </x:c>
      <x:c r="S71" s="14" t="n">
        <x:v>2026</x:v>
      </x:c>
      <x:c r="T71" s="14" t="n">
        <x:v>2026</x:v>
      </x:c>
      <x:c r="U71" s="14" t="str">
        <x:v>Explicit source first year retained</x:v>
      </x:c>
      <x:c r="V71" s="14" t="str">
        <x:v>Earliest supplied year is 2026.</x:v>
      </x:c>
      <x:c r="W71" s="14"/>
      <x:c r="X71" s="14" t="str">
        <x:v>Excluded: after 2025</x:v>
      </x:c>
      <x:c r="Y71" s="14"/>
      <x:c r="Z71" s="14" t="str">
        <x:v>Death Valley.docx</x:v>
      </x:c>
      <x:c r="AA7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BBC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7" t="e">
        <x:f>HYPERLINK("https://en.wikipedia.org/wiki/Death_Valley","Open source")</x:f>
        <x:v>HYPERLINK is not implemented. linkLocation=https://en.wikipedia.org/wiki/Death_Valley, friendlyName=Open source</x:v>
      </x:c>
      <x:c r="AN71" s="14" t="str">
        <x:v>BBC public-service commission</x:v>
      </x:c>
      <x:c r="AO71" s="14" t="str">
        <x:v>Yes</x:v>
      </x:c>
      <x:c r="AP71" s="14" t="str">
        <x:v>Direct BBC public-service scope</x:v>
      </x:c>
      <x:c r="AQ71" s="14" t="str">
        <x:v>Yes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12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0.08333333333333333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tt32409123|nm15858277|1sr ad</x:v>
      </x:c>
      <x:c r="B72" s="14" t="str">
        <x:v>02</x:v>
      </x:c>
      <x:c r="C72" s="14" t="str">
        <x:v>2025_IMDb_Cast_Lists_Batch_02(1).xlsx</x:v>
      </x:c>
      <x:c r="D72" s="14" t="str">
        <x:v>Death Valley</x:v>
      </x:c>
      <x:c r="E72" s="14" t="n">
        <x:v>57</x:v>
      </x:c>
      <x:c r="F72" s="14" t="str">
        <x:v>Death Valley</x:v>
      </x:c>
      <x:c r="G72" s="14" t="str">
        <x:v>tt32409123</x:v>
      </x:c>
      <x:c r="H72" s="14" t="n">
        <x:v>2025</x:v>
      </x:c>
      <x:c r="I72" s="14" t="n">
        <x:v>2025</x:v>
      </x:c>
      <x:c r="J72" s="14" t="str">
        <x:v>Post-study cohort</x:v>
      </x:c>
      <x:c r="K72" s="14"/>
      <x:c r="L72" s="14" t="str">
        <x:v>Not inherited</x:v>
      </x:c>
      <x:c r="M72" s="15" t="n">
        <x:v>50</x:v>
      </x:c>
      <x:c r="N72" s="14" t="str">
        <x:v>Louis Raghunathan</x:v>
      </x:c>
      <x:c r="O72" s="14" t="str">
        <x:v>nm15858277</x:v>
      </x:c>
      <x:c r="P72" s="14" t="str">
        <x:v>1sr AD</x:v>
      </x:c>
      <x:c r="Q72" s="15" t="n">
        <x:v>1</x:v>
      </x:c>
      <x:c r="R72" s="14" t="str">
        <x:v>2026</x:v>
      </x:c>
      <x:c r="S72" s="14" t="n">
        <x:v>2026</x:v>
      </x:c>
      <x:c r="T72" s="14" t="n">
        <x:v>2026</x:v>
      </x:c>
      <x:c r="U72" s="14" t="str">
        <x:v>Explicit source first year retained</x:v>
      </x:c>
      <x:c r="V72" s="14" t="str">
        <x:v>Earliest supplied year is 2026.</x:v>
      </x:c>
      <x:c r="W72" s="14"/>
      <x:c r="X72" s="14" t="str">
        <x:v>Excluded: after 2025</x:v>
      </x:c>
      <x:c r="Y72" s="14"/>
      <x:c r="Z72" s="14" t="str">
        <x:v>Death Valley.docx</x:v>
      </x:c>
      <x:c r="AA7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BBC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7" t="e">
        <x:f>HYPERLINK("https://en.wikipedia.org/wiki/Death_Valley","Open source")</x:f>
        <x:v>HYPERLINK is not implemented. linkLocation=https://en.wikipedia.org/wiki/Death_Valley, friendlyName=Open source</x:v>
      </x:c>
      <x:c r="AN72" s="14" t="str">
        <x:v>BBC public-service commission</x:v>
      </x:c>
      <x:c r="AO72" s="14" t="str">
        <x:v>Yes</x:v>
      </x:c>
      <x:c r="AP72" s="14" t="str">
        <x:v>Direct BBC public-service scope</x:v>
      </x:c>
      <x:c r="AQ72" s="14" t="str">
        <x:v>Yes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12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0.08333333333333333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tt32409123|nm0168554|dawn apsted</x:v>
      </x:c>
      <x:c r="B73" s="14" t="str">
        <x:v>02</x:v>
      </x:c>
      <x:c r="C73" s="14" t="str">
        <x:v>2025_IMDb_Cast_Lists_Batch_02(1).xlsx</x:v>
      </x:c>
      <x:c r="D73" s="14" t="str">
        <x:v>Death Valley</x:v>
      </x:c>
      <x:c r="E73" s="14" t="n">
        <x:v>64</x:v>
      </x:c>
      <x:c r="F73" s="14" t="str">
        <x:v>Death Valley</x:v>
      </x:c>
      <x:c r="G73" s="14" t="str">
        <x:v>tt32409123</x:v>
      </x:c>
      <x:c r="H73" s="14" t="n">
        <x:v>2025</x:v>
      </x:c>
      <x:c r="I73" s="14" t="n">
        <x:v>2025</x:v>
      </x:c>
      <x:c r="J73" s="14" t="str">
        <x:v>Post-study cohort</x:v>
      </x:c>
      <x:c r="K73" s="14"/>
      <x:c r="L73" s="14" t="str">
        <x:v>Not inherited</x:v>
      </x:c>
      <x:c r="M73" s="15" t="n">
        <x:v>57</x:v>
      </x:c>
      <x:c r="N73" s="14" t="str">
        <x:v>Camille Coduri</x:v>
      </x:c>
      <x:c r="O73" s="14" t="str">
        <x:v>nm0168554</x:v>
      </x:c>
      <x:c r="P73" s="14" t="str">
        <x:v>Dawn Apsted</x:v>
      </x:c>
      <x:c r="Q73" s="15" t="n">
        <x:v>1</x:v>
      </x:c>
      <x:c r="R73" s="14" t="str">
        <x:v>2026</x:v>
      </x:c>
      <x:c r="S73" s="14" t="n">
        <x:v>2026</x:v>
      </x:c>
      <x:c r="T73" s="14" t="n">
        <x:v>2026</x:v>
      </x:c>
      <x:c r="U73" s="14" t="str">
        <x:v>Explicit source first year retained</x:v>
      </x:c>
      <x:c r="V73" s="14" t="str">
        <x:v>Earliest supplied year is 2026.</x:v>
      </x:c>
      <x:c r="W73" s="14"/>
      <x:c r="X73" s="14" t="str">
        <x:v>Excluded: after 2025</x:v>
      </x:c>
      <x:c r="Y73" s="14"/>
      <x:c r="Z73" s="14" t="str">
        <x:v>Death Valley.docx</x:v>
      </x:c>
      <x:c r="AA7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BBC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7" t="e">
        <x:f>HYPERLINK("https://en.wikipedia.org/wiki/Death_Valley","Open source")</x:f>
        <x:v>HYPERLINK is not implemented. linkLocation=https://en.wikipedia.org/wiki/Death_Valley, friendlyName=Open source</x:v>
      </x:c>
      <x:c r="AN73" s="14" t="str">
        <x:v>BBC public-service commission</x:v>
      </x:c>
      <x:c r="AO73" s="14" t="str">
        <x:v>Yes</x:v>
      </x:c>
      <x:c r="AP73" s="14" t="str">
        <x:v>Direct BBC public-service scope</x:v>
      </x:c>
      <x:c r="AQ73" s="14" t="str">
        <x:v>Yes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12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0.08333333333333333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tt32409123|nm1770416|sally morris</x:v>
      </x:c>
      <x:c r="B74" s="14" t="str">
        <x:v>02</x:v>
      </x:c>
      <x:c r="C74" s="14" t="str">
        <x:v>2025_IMDb_Cast_Lists_Batch_02(1).xlsx</x:v>
      </x:c>
      <x:c r="D74" s="14" t="str">
        <x:v>Death Valley</x:v>
      </x:c>
      <x:c r="E74" s="14" t="n">
        <x:v>65</x:v>
      </x:c>
      <x:c r="F74" s="14" t="str">
        <x:v>Death Valley</x:v>
      </x:c>
      <x:c r="G74" s="14" t="str">
        <x:v>tt32409123</x:v>
      </x:c>
      <x:c r="H74" s="14" t="n">
        <x:v>2025</x:v>
      </x:c>
      <x:c r="I74" s="14" t="n">
        <x:v>2025</x:v>
      </x:c>
      <x:c r="J74" s="14" t="str">
        <x:v>Post-study cohort</x:v>
      </x:c>
      <x:c r="K74" s="14"/>
      <x:c r="L74" s="14" t="str">
        <x:v>Not inherited</x:v>
      </x:c>
      <x:c r="M74" s="15" t="n">
        <x:v>58</x:v>
      </x:c>
      <x:c r="N74" s="14" t="str">
        <x:v>Hannah Daniel</x:v>
      </x:c>
      <x:c r="O74" s="14" t="str">
        <x:v>nm1770416</x:v>
      </x:c>
      <x:c r="P74" s="14" t="str">
        <x:v>Sally Morris</x:v>
      </x:c>
      <x:c r="Q74" s="15" t="n">
        <x:v>1</x:v>
      </x:c>
      <x:c r="R74" s="14" t="str">
        <x:v>2026</x:v>
      </x:c>
      <x:c r="S74" s="14" t="n">
        <x:v>2026</x:v>
      </x:c>
      <x:c r="T74" s="14" t="n">
        <x:v>2026</x:v>
      </x:c>
      <x:c r="U74" s="14" t="str">
        <x:v>Explicit source first year retained</x:v>
      </x:c>
      <x:c r="V74" s="14" t="str">
        <x:v>Earliest supplied year is 2026.</x:v>
      </x:c>
      <x:c r="W74" s="14"/>
      <x:c r="X74" s="14" t="str">
        <x:v>Excluded: after 2025</x:v>
      </x:c>
      <x:c r="Y74" s="14"/>
      <x:c r="Z74" s="14" t="str">
        <x:v>Death Valley.docx</x:v>
      </x:c>
      <x:c r="AA7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BBC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7" t="e">
        <x:f>HYPERLINK("https://en.wikipedia.org/wiki/Death_Valley","Open source")</x:f>
        <x:v>HYPERLINK is not implemented. linkLocation=https://en.wikipedia.org/wiki/Death_Valley, friendlyName=Open source</x:v>
      </x:c>
      <x:c r="AN74" s="14" t="str">
        <x:v>BBC public-service commission</x:v>
      </x:c>
      <x:c r="AO74" s="14" t="str">
        <x:v>Yes</x:v>
      </x:c>
      <x:c r="AP74" s="14" t="str">
        <x:v>Direct BBC public-service scope</x:v>
      </x:c>
      <x:c r="AQ74" s="14" t="str">
        <x:v>Yes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12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0.08333333333333333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tt32409123|nm9793855|jack</x:v>
      </x:c>
      <x:c r="B75" s="14" t="str">
        <x:v>02</x:v>
      </x:c>
      <x:c r="C75" s="14" t="str">
        <x:v>2025_IMDb_Cast_Lists_Batch_02(1).xlsx</x:v>
      </x:c>
      <x:c r="D75" s="14" t="str">
        <x:v>Death Valley</x:v>
      </x:c>
      <x:c r="E75" s="14" t="n">
        <x:v>66</x:v>
      </x:c>
      <x:c r="F75" s="14" t="str">
        <x:v>Death Valley</x:v>
      </x:c>
      <x:c r="G75" s="14" t="str">
        <x:v>tt32409123</x:v>
      </x:c>
      <x:c r="H75" s="14" t="n">
        <x:v>2025</x:v>
      </x:c>
      <x:c r="I75" s="14" t="n">
        <x:v>2025</x:v>
      </x:c>
      <x:c r="J75" s="14" t="str">
        <x:v>Post-study cohort</x:v>
      </x:c>
      <x:c r="K75" s="14"/>
      <x:c r="L75" s="14" t="str">
        <x:v>Not inherited</x:v>
      </x:c>
      <x:c r="M75" s="15" t="n">
        <x:v>59</x:v>
      </x:c>
      <x:c r="N75" s="14" t="str">
        <x:v>Zak Douglas</x:v>
      </x:c>
      <x:c r="O75" s="14" t="str">
        <x:v>nm9793855</x:v>
      </x:c>
      <x:c r="P75" s="14" t="str">
        <x:v>Jack</x:v>
      </x:c>
      <x:c r="Q75" s="15" t="n">
        <x:v>1</x:v>
      </x:c>
      <x:c r="R75" s="14" t="str">
        <x:v>2026</x:v>
      </x:c>
      <x:c r="S75" s="14" t="n">
        <x:v>2026</x:v>
      </x:c>
      <x:c r="T75" s="14" t="n">
        <x:v>2026</x:v>
      </x:c>
      <x:c r="U75" s="14" t="str">
        <x:v>Explicit source first year retained</x:v>
      </x:c>
      <x:c r="V75" s="14" t="str">
        <x:v>Earliest supplied year is 2026.</x:v>
      </x:c>
      <x:c r="W75" s="14"/>
      <x:c r="X75" s="14" t="str">
        <x:v>Excluded: after 2025</x:v>
      </x:c>
      <x:c r="Y75" s="14"/>
      <x:c r="Z75" s="14" t="str">
        <x:v>Death Valley.docx</x:v>
      </x:c>
      <x:c r="AA7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BBC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7" t="e">
        <x:f>HYPERLINK("https://en.wikipedia.org/wiki/Death_Valley","Open source")</x:f>
        <x:v>HYPERLINK is not implemented. linkLocation=https://en.wikipedia.org/wiki/Death_Valley, friendlyName=Open source</x:v>
      </x:c>
      <x:c r="AN75" s="14" t="str">
        <x:v>BBC public-service commission</x:v>
      </x:c>
      <x:c r="AO75" s="14" t="str">
        <x:v>Yes</x:v>
      </x:c>
      <x:c r="AP75" s="14" t="str">
        <x:v>Direct BBC public-service scope</x:v>
      </x:c>
      <x:c r="AQ75" s="14" t="str">
        <x:v>Yes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12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0.08333333333333333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tt32409123|nm0928894|owen skinner</x:v>
      </x:c>
      <x:c r="B76" s="14" t="str">
        <x:v>02</x:v>
      </x:c>
      <x:c r="C76" s="14" t="str">
        <x:v>2025_IMDb_Cast_Lists_Batch_02(1).xlsx</x:v>
      </x:c>
      <x:c r="D76" s="14" t="str">
        <x:v>Death Valley</x:v>
      </x:c>
      <x:c r="E76" s="14" t="n">
        <x:v>67</x:v>
      </x:c>
      <x:c r="F76" s="14" t="str">
        <x:v>Death Valley</x:v>
      </x:c>
      <x:c r="G76" s="14" t="str">
        <x:v>tt32409123</x:v>
      </x:c>
      <x:c r="H76" s="14" t="n">
        <x:v>2025</x:v>
      </x:c>
      <x:c r="I76" s="14" t="n">
        <x:v>2025</x:v>
      </x:c>
      <x:c r="J76" s="14" t="str">
        <x:v>Post-study cohort</x:v>
      </x:c>
      <x:c r="K76" s="14"/>
      <x:c r="L76" s="14" t="str">
        <x:v>Not inherited</x:v>
      </x:c>
      <x:c r="M76" s="15" t="n">
        <x:v>60</x:v>
      </x:c>
      <x:c r="N76" s="14" t="str">
        <x:v>Robert Wilfort</x:v>
      </x:c>
      <x:c r="O76" s="14" t="str">
        <x:v>nm0928894</x:v>
      </x:c>
      <x:c r="P76" s="14" t="str">
        <x:v>Owen Skinner</x:v>
      </x:c>
      <x:c r="Q76" s="15" t="n">
        <x:v>1</x:v>
      </x:c>
      <x:c r="R76" s="14" t="str">
        <x:v>2026</x:v>
      </x:c>
      <x:c r="S76" s="14" t="n">
        <x:v>2026</x:v>
      </x:c>
      <x:c r="T76" s="14" t="n">
        <x:v>2026</x:v>
      </x:c>
      <x:c r="U76" s="14" t="str">
        <x:v>Explicit source first year retained</x:v>
      </x:c>
      <x:c r="V76" s="14" t="str">
        <x:v>Earliest supplied year is 2026.</x:v>
      </x:c>
      <x:c r="W76" s="14"/>
      <x:c r="X76" s="14" t="str">
        <x:v>Excluded: after 2025</x:v>
      </x:c>
      <x:c r="Y76" s="14"/>
      <x:c r="Z76" s="14" t="str">
        <x:v>Death Valley.docx</x:v>
      </x:c>
      <x:c r="AA7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BBC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7" t="e">
        <x:f>HYPERLINK("https://en.wikipedia.org/wiki/Death_Valley","Open source")</x:f>
        <x:v>HYPERLINK is not implemented. linkLocation=https://en.wikipedia.org/wiki/Death_Valley, friendlyName=Open source</x:v>
      </x:c>
      <x:c r="AN76" s="14" t="str">
        <x:v>BBC public-service commission</x:v>
      </x:c>
      <x:c r="AO76" s="14" t="str">
        <x:v>Yes</x:v>
      </x:c>
      <x:c r="AP76" s="14" t="str">
        <x:v>Direct BBC public-service scope</x:v>
      </x:c>
      <x:c r="AQ76" s="14" t="str">
        <x:v>Yes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12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0.08333333333333333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tt32409123|nm6301371|dale jenkins</x:v>
      </x:c>
      <x:c r="B77" s="14" t="str">
        <x:v>02</x:v>
      </x:c>
      <x:c r="C77" s="14" t="str">
        <x:v>2025_IMDb_Cast_Lists_Batch_02(1).xlsx</x:v>
      </x:c>
      <x:c r="D77" s="14" t="str">
        <x:v>Death Valley</x:v>
      </x:c>
      <x:c r="E77" s="14" t="n">
        <x:v>68</x:v>
      </x:c>
      <x:c r="F77" s="14" t="str">
        <x:v>Death Valley</x:v>
      </x:c>
      <x:c r="G77" s="14" t="str">
        <x:v>tt32409123</x:v>
      </x:c>
      <x:c r="H77" s="14" t="n">
        <x:v>2025</x:v>
      </x:c>
      <x:c r="I77" s="14" t="n">
        <x:v>2025</x:v>
      </x:c>
      <x:c r="J77" s="14" t="str">
        <x:v>Post-study cohort</x:v>
      </x:c>
      <x:c r="K77" s="14"/>
      <x:c r="L77" s="14" t="str">
        <x:v>Not inherited</x:v>
      </x:c>
      <x:c r="M77" s="15" t="n">
        <x:v>61</x:v>
      </x:c>
      <x:c r="N77" s="14" t="str">
        <x:v>Rhodri Trefor</x:v>
      </x:c>
      <x:c r="O77" s="14" t="str">
        <x:v>nm6301371</x:v>
      </x:c>
      <x:c r="P77" s="14" t="str">
        <x:v>Dale Jenkins</x:v>
      </x:c>
      <x:c r="Q77" s="15" t="n">
        <x:v>1</x:v>
      </x:c>
      <x:c r="R77" s="14" t="str">
        <x:v>2026</x:v>
      </x:c>
      <x:c r="S77" s="14" t="n">
        <x:v>2026</x:v>
      </x:c>
      <x:c r="T77" s="14" t="n">
        <x:v>2026</x:v>
      </x:c>
      <x:c r="U77" s="14" t="str">
        <x:v>Explicit source first year retained</x:v>
      </x:c>
      <x:c r="V77" s="14" t="str">
        <x:v>Earliest supplied year is 2026.</x:v>
      </x:c>
      <x:c r="W77" s="14"/>
      <x:c r="X77" s="14" t="str">
        <x:v>Excluded: after 2025</x:v>
      </x:c>
      <x:c r="Y77" s="14"/>
      <x:c r="Z77" s="14" t="str">
        <x:v>Death Valley.docx</x:v>
      </x:c>
      <x:c r="AA7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BBC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7" t="e">
        <x:f>HYPERLINK("https://en.wikipedia.org/wiki/Death_Valley","Open source")</x:f>
        <x:v>HYPERLINK is not implemented. linkLocation=https://en.wikipedia.org/wiki/Death_Valley, friendlyName=Open source</x:v>
      </x:c>
      <x:c r="AN77" s="14" t="str">
        <x:v>BBC public-service commission</x:v>
      </x:c>
      <x:c r="AO77" s="14" t="str">
        <x:v>Yes</x:v>
      </x:c>
      <x:c r="AP77" s="14" t="str">
        <x:v>Direct BBC public-service scope</x:v>
      </x:c>
      <x:c r="AQ77" s="14" t="str">
        <x:v>Yes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12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0.08333333333333333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tt32409123|nm18517903|scott winstanley</x:v>
      </x:c>
      <x:c r="B78" s="14" t="str">
        <x:v>02</x:v>
      </x:c>
      <x:c r="C78" s="14" t="str">
        <x:v>2025_IMDb_Cast_Lists_Batch_02(1).xlsx</x:v>
      </x:c>
      <x:c r="D78" s="14" t="str">
        <x:v>Death Valley</x:v>
      </x:c>
      <x:c r="E78" s="14" t="n">
        <x:v>69</x:v>
      </x:c>
      <x:c r="F78" s="14" t="str">
        <x:v>Death Valley</x:v>
      </x:c>
      <x:c r="G78" s="14" t="str">
        <x:v>tt32409123</x:v>
      </x:c>
      <x:c r="H78" s="14" t="n">
        <x:v>2025</x:v>
      </x:c>
      <x:c r="I78" s="14" t="n">
        <x:v>2025</x:v>
      </x:c>
      <x:c r="J78" s="14" t="str">
        <x:v>Post-study cohort</x:v>
      </x:c>
      <x:c r="K78" s="14"/>
      <x:c r="L78" s="14" t="str">
        <x:v>Not inherited</x:v>
      </x:c>
      <x:c r="M78" s="15" t="n">
        <x:v>62</x:v>
      </x:c>
      <x:c r="N78" s="14" t="str">
        <x:v>Isaac Neal</x:v>
      </x:c>
      <x:c r="O78" s="14" t="str">
        <x:v>nm18517903</x:v>
      </x:c>
      <x:c r="P78" s="14" t="str">
        <x:v>Scott Winstanley</x:v>
      </x:c>
      <x:c r="Q78" s="15" t="n">
        <x:v>1</x:v>
      </x:c>
      <x:c r="R78" s="14" t="str">
        <x:v>2026</x:v>
      </x:c>
      <x:c r="S78" s="14" t="n">
        <x:v>2026</x:v>
      </x:c>
      <x:c r="T78" s="14" t="n">
        <x:v>2026</x:v>
      </x:c>
      <x:c r="U78" s="14" t="str">
        <x:v>Explicit source first year retained</x:v>
      </x:c>
      <x:c r="V78" s="14" t="str">
        <x:v>Earliest supplied year is 2026.</x:v>
      </x:c>
      <x:c r="W78" s="14"/>
      <x:c r="X78" s="14" t="str">
        <x:v>Excluded: after 2025</x:v>
      </x:c>
      <x:c r="Y78" s="14"/>
      <x:c r="Z78" s="14" t="str">
        <x:v>Death Valley.docx</x:v>
      </x:c>
      <x:c r="AA7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BBC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7" t="e">
        <x:f>HYPERLINK("https://en.wikipedia.org/wiki/Death_Valley","Open source")</x:f>
        <x:v>HYPERLINK is not implemented. linkLocation=https://en.wikipedia.org/wiki/Death_Valley, friendlyName=Open source</x:v>
      </x:c>
      <x:c r="AN78" s="14" t="str">
        <x:v>BBC public-service commission</x:v>
      </x:c>
      <x:c r="AO78" s="14" t="str">
        <x:v>Yes</x:v>
      </x:c>
      <x:c r="AP78" s="14" t="str">
        <x:v>Direct BBC public-service scope</x:v>
      </x:c>
      <x:c r="AQ78" s="14" t="str">
        <x:v>Yes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12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0.08333333333333333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tt32409123|nm3789989|angela vaughan</x:v>
      </x:c>
      <x:c r="B79" s="14" t="str">
        <x:v>02</x:v>
      </x:c>
      <x:c r="C79" s="14" t="str">
        <x:v>2025_IMDb_Cast_Lists_Batch_02(1).xlsx</x:v>
      </x:c>
      <x:c r="D79" s="14" t="str">
        <x:v>Death Valley</x:v>
      </x:c>
      <x:c r="E79" s="14" t="n">
        <x:v>73</x:v>
      </x:c>
      <x:c r="F79" s="14" t="str">
        <x:v>Death Valley</x:v>
      </x:c>
      <x:c r="G79" s="14" t="str">
        <x:v>tt32409123</x:v>
      </x:c>
      <x:c r="H79" s="14" t="n">
        <x:v>2025</x:v>
      </x:c>
      <x:c r="I79" s="14" t="n">
        <x:v>2025</x:v>
      </x:c>
      <x:c r="J79" s="14" t="str">
        <x:v>Post-study cohort</x:v>
      </x:c>
      <x:c r="K79" s="14"/>
      <x:c r="L79" s="14" t="str">
        <x:v>Not inherited</x:v>
      </x:c>
      <x:c r="M79" s="15" t="n">
        <x:v>66</x:v>
      </x:c>
      <x:c r="N79" s="14" t="str">
        <x:v>Alexandra Roach</x:v>
      </x:c>
      <x:c r="O79" s="14" t="str">
        <x:v>nm3789989</x:v>
      </x:c>
      <x:c r="P79" s="14" t="str">
        <x:v>Angela Vaughan</x:v>
      </x:c>
      <x:c r="Q79" s="15" t="n">
        <x:v>1</x:v>
      </x:c>
      <x:c r="R79" s="14" t="str">
        <x:v>2026</x:v>
      </x:c>
      <x:c r="S79" s="14" t="n">
        <x:v>2026</x:v>
      </x:c>
      <x:c r="T79" s="14" t="n">
        <x:v>2026</x:v>
      </x:c>
      <x:c r="U79" s="14" t="str">
        <x:v>Explicit source first year retained</x:v>
      </x:c>
      <x:c r="V79" s="14" t="str">
        <x:v>Earliest supplied year is 2026.</x:v>
      </x:c>
      <x:c r="W79" s="14"/>
      <x:c r="X79" s="14" t="str">
        <x:v>Excluded: after 2025</x:v>
      </x:c>
      <x:c r="Y79" s="14"/>
      <x:c r="Z79" s="14" t="str">
        <x:v>Death Valley.docx</x:v>
      </x:c>
      <x:c r="AA7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BBC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7" t="e">
        <x:f>HYPERLINK("https://en.wikipedia.org/wiki/Death_Valley","Open source")</x:f>
        <x:v>HYPERLINK is not implemented. linkLocation=https://en.wikipedia.org/wiki/Death_Valley, friendlyName=Open source</x:v>
      </x:c>
      <x:c r="AN79" s="14" t="str">
        <x:v>BBC public-service commission</x:v>
      </x:c>
      <x:c r="AO79" s="14" t="str">
        <x:v>Yes</x:v>
      </x:c>
      <x:c r="AP79" s="14" t="str">
        <x:v>Direct BBC public-service scope</x:v>
      </x:c>
      <x:c r="AQ79" s="14" t="str">
        <x:v>Yes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12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0.08333333333333333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tt32409123|nm5777855|emyr davies</x:v>
      </x:c>
      <x:c r="B80" s="14" t="str">
        <x:v>02</x:v>
      </x:c>
      <x:c r="C80" s="14" t="str">
        <x:v>2025_IMDb_Cast_Lists_Batch_02(1).xlsx</x:v>
      </x:c>
      <x:c r="D80" s="14" t="str">
        <x:v>Death Valley</x:v>
      </x:c>
      <x:c r="E80" s="14" t="n">
        <x:v>74</x:v>
      </x:c>
      <x:c r="F80" s="14" t="str">
        <x:v>Death Valley</x:v>
      </x:c>
      <x:c r="G80" s="14" t="str">
        <x:v>tt32409123</x:v>
      </x:c>
      <x:c r="H80" s="14" t="n">
        <x:v>2025</x:v>
      </x:c>
      <x:c r="I80" s="14" t="n">
        <x:v>2025</x:v>
      </x:c>
      <x:c r="J80" s="14" t="str">
        <x:v>Post-study cohort</x:v>
      </x:c>
      <x:c r="K80" s="14"/>
      <x:c r="L80" s="14" t="str">
        <x:v>Not inherited</x:v>
      </x:c>
      <x:c r="M80" s="15" t="n">
        <x:v>67</x:v>
      </x:c>
      <x:c r="N80" s="14" t="str">
        <x:v>Jack Parry-Jones</x:v>
      </x:c>
      <x:c r="O80" s="14" t="str">
        <x:v>nm5777855</x:v>
      </x:c>
      <x:c r="P80" s="14" t="str">
        <x:v>Emyr Davies</x:v>
      </x:c>
      <x:c r="Q80" s="15" t="n">
        <x:v>1</x:v>
      </x:c>
      <x:c r="R80" s="14" t="str">
        <x:v>2026</x:v>
      </x:c>
      <x:c r="S80" s="14" t="n">
        <x:v>2026</x:v>
      </x:c>
      <x:c r="T80" s="14" t="n">
        <x:v>2026</x:v>
      </x:c>
      <x:c r="U80" s="14" t="str">
        <x:v>Explicit source first year retained</x:v>
      </x:c>
      <x:c r="V80" s="14" t="str">
        <x:v>Earliest supplied year is 2026.</x:v>
      </x:c>
      <x:c r="W80" s="14"/>
      <x:c r="X80" s="14" t="str">
        <x:v>Excluded: after 2025</x:v>
      </x:c>
      <x:c r="Y80" s="14"/>
      <x:c r="Z80" s="14" t="str">
        <x:v>Death Valley.docx</x:v>
      </x:c>
      <x:c r="AA8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BBC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7" t="e">
        <x:f>HYPERLINK("https://en.wikipedia.org/wiki/Death_Valley","Open source")</x:f>
        <x:v>HYPERLINK is not implemented. linkLocation=https://en.wikipedia.org/wiki/Death_Valley, friendlyName=Open source</x:v>
      </x:c>
      <x:c r="AN80" s="14" t="str">
        <x:v>BBC public-service commission</x:v>
      </x:c>
      <x:c r="AO80" s="14" t="str">
        <x:v>Yes</x:v>
      </x:c>
      <x:c r="AP80" s="14" t="str">
        <x:v>Direct BBC public-service scope</x:v>
      </x:c>
      <x:c r="AQ80" s="14" t="str">
        <x:v>Yes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12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0.08333333333333333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tt32409123|nm1746538|andy ashton</x:v>
      </x:c>
      <x:c r="B81" s="14" t="str">
        <x:v>02</x:v>
      </x:c>
      <x:c r="C81" s="14" t="str">
        <x:v>2025_IMDb_Cast_Lists_Batch_02(1).xlsx</x:v>
      </x:c>
      <x:c r="D81" s="14" t="str">
        <x:v>Death Valley</x:v>
      </x:c>
      <x:c r="E81" s="14" t="n">
        <x:v>75</x:v>
      </x:c>
      <x:c r="F81" s="14" t="str">
        <x:v>Death Valley</x:v>
      </x:c>
      <x:c r="G81" s="14" t="str">
        <x:v>tt32409123</x:v>
      </x:c>
      <x:c r="H81" s="14" t="n">
        <x:v>2025</x:v>
      </x:c>
      <x:c r="I81" s="14" t="n">
        <x:v>2025</x:v>
      </x:c>
      <x:c r="J81" s="14" t="str">
        <x:v>Post-study cohort</x:v>
      </x:c>
      <x:c r="K81" s="14"/>
      <x:c r="L81" s="14" t="str">
        <x:v>Not inherited</x:v>
      </x:c>
      <x:c r="M81" s="15" t="n">
        <x:v>68</x:v>
      </x:c>
      <x:c r="N81" s="14" t="str">
        <x:v>Ben Rufus Green</x:v>
      </x:c>
      <x:c r="O81" s="14" t="str">
        <x:v>nm1746538</x:v>
      </x:c>
      <x:c r="P81" s="14" t="str">
        <x:v>Andy Ashton</x:v>
      </x:c>
      <x:c r="Q81" s="15" t="n">
        <x:v>1</x:v>
      </x:c>
      <x:c r="R81" s="14" t="str">
        <x:v>2026</x:v>
      </x:c>
      <x:c r="S81" s="14" t="n">
        <x:v>2026</x:v>
      </x:c>
      <x:c r="T81" s="14" t="n">
        <x:v>2026</x:v>
      </x:c>
      <x:c r="U81" s="14" t="str">
        <x:v>Explicit source first year retained</x:v>
      </x:c>
      <x:c r="V81" s="14" t="str">
        <x:v>Earliest supplied year is 2026.</x:v>
      </x:c>
      <x:c r="W81" s="14"/>
      <x:c r="X81" s="14" t="str">
        <x:v>Excluded: after 2025</x:v>
      </x:c>
      <x:c r="Y81" s="14"/>
      <x:c r="Z81" s="14" t="str">
        <x:v>Death Valley.docx</x:v>
      </x:c>
      <x:c r="AA8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7" t="e">
        <x:f>HYPERLINK("https://en.wikipedia.org/wiki/Death_Valley","Open source")</x:f>
        <x:v>HYPERLINK is not implemented. linkLocation=https://en.wikipedia.org/wiki/Death_Valley, friendlyName=Open source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12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0.08333333333333333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tt32409123|nm0811217|nick</x:v>
      </x:c>
      <x:c r="B82" s="14" t="str">
        <x:v>02</x:v>
      </x:c>
      <x:c r="C82" s="14" t="str">
        <x:v>2025_IMDb_Cast_Lists_Batch_02(1).xlsx</x:v>
      </x:c>
      <x:c r="D82" s="14" t="str">
        <x:v>Death Valley</x:v>
      </x:c>
      <x:c r="E82" s="14" t="n">
        <x:v>76</x:v>
      </x:c>
      <x:c r="F82" s="14" t="str">
        <x:v>Death Valley</x:v>
      </x:c>
      <x:c r="G82" s="14" t="str">
        <x:v>tt32409123</x:v>
      </x:c>
      <x:c r="H82" s="14" t="n">
        <x:v>2025</x:v>
      </x:c>
      <x:c r="I82" s="14" t="n">
        <x:v>2025</x:v>
      </x:c>
      <x:c r="J82" s="14" t="str">
        <x:v>Post-study cohort</x:v>
      </x:c>
      <x:c r="K82" s="14"/>
      <x:c r="L82" s="14" t="str">
        <x:v>Not inherited</x:v>
      </x:c>
      <x:c r="M82" s="15" t="n">
        <x:v>69</x:v>
      </x:c>
      <x:c r="N82" s="14" t="str">
        <x:v>Gareth Snook</x:v>
      </x:c>
      <x:c r="O82" s="14" t="str">
        <x:v>nm0811217</x:v>
      </x:c>
      <x:c r="P82" s="14" t="str">
        <x:v>Nick</x:v>
      </x:c>
      <x:c r="Q82" s="15" t="n">
        <x:v>1</x:v>
      </x:c>
      <x:c r="R82" s="14" t="str">
        <x:v>2026</x:v>
      </x:c>
      <x:c r="S82" s="14" t="n">
        <x:v>2026</x:v>
      </x:c>
      <x:c r="T82" s="14" t="n">
        <x:v>2026</x:v>
      </x:c>
      <x:c r="U82" s="14" t="str">
        <x:v>Explicit source first year retained</x:v>
      </x:c>
      <x:c r="V82" s="14" t="str">
        <x:v>Earliest supplied year is 2026.</x:v>
      </x:c>
      <x:c r="W82" s="14"/>
      <x:c r="X82" s="14" t="str">
        <x:v>Excluded: after 2025</x:v>
      </x:c>
      <x:c r="Y82" s="14"/>
      <x:c r="Z82" s="14" t="str">
        <x:v>Death Valley.docx</x:v>
      </x:c>
      <x:c r="AA8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7" t="e">
        <x:f>HYPERLINK("https://en.wikipedia.org/wiki/Death_Valley","Open source")</x:f>
        <x:v>HYPERLINK is not implemented. linkLocation=https://en.wikipedia.org/wiki/Death_Valley, friendlyName=Open source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12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0.08333333333333333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tt32409123|nm1904716|ash shaw</x:v>
      </x:c>
      <x:c r="B83" s="14" t="str">
        <x:v>02</x:v>
      </x:c>
      <x:c r="C83" s="14" t="str">
        <x:v>2025_IMDb_Cast_Lists_Batch_02(1).xlsx</x:v>
      </x:c>
      <x:c r="D83" s="14" t="str">
        <x:v>Death Valley</x:v>
      </x:c>
      <x:c r="E83" s="14" t="n">
        <x:v>81</x:v>
      </x:c>
      <x:c r="F83" s="14" t="str">
        <x:v>Death Valley</x:v>
      </x:c>
      <x:c r="G83" s="14" t="str">
        <x:v>tt32409123</x:v>
      </x:c>
      <x:c r="H83" s="14" t="n">
        <x:v>2025</x:v>
      </x:c>
      <x:c r="I83" s="14" t="n">
        <x:v>2025</x:v>
      </x:c>
      <x:c r="J83" s="14" t="str">
        <x:v>Post-study cohort</x:v>
      </x:c>
      <x:c r="K83" s="14"/>
      <x:c r="L83" s="14" t="str">
        <x:v>Not inherited</x:v>
      </x:c>
      <x:c r="M83" s="15" t="n">
        <x:v>74</x:v>
      </x:c>
      <x:c r="N83" s="14" t="str">
        <x:v>Amit Shah</x:v>
      </x:c>
      <x:c r="O83" s="14" t="str">
        <x:v>nm1904716</x:v>
      </x:c>
      <x:c r="P83" s="14" t="str">
        <x:v>Ash Shaw</x:v>
      </x:c>
      <x:c r="Q83" s="15" t="n">
        <x:v>1</x:v>
      </x:c>
      <x:c r="R83" s="14" t="str">
        <x:v>2026</x:v>
      </x:c>
      <x:c r="S83" s="14" t="n">
        <x:v>2026</x:v>
      </x:c>
      <x:c r="T83" s="14" t="n">
        <x:v>2026</x:v>
      </x:c>
      <x:c r="U83" s="14" t="str">
        <x:v>Explicit source first year retained</x:v>
      </x:c>
      <x:c r="V83" s="14" t="str">
        <x:v>Earliest supplied year is 2026.</x:v>
      </x:c>
      <x:c r="W83" s="14"/>
      <x:c r="X83" s="14" t="str">
        <x:v>Excluded: after 2025</x:v>
      </x:c>
      <x:c r="Y83" s="14"/>
      <x:c r="Z83" s="14" t="str">
        <x:v>Death Valley.docx</x:v>
      </x:c>
      <x:c r="AA8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BBC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7" t="e">
        <x:f>HYPERLINK("https://en.wikipedia.org/wiki/Death_Valley","Open source")</x:f>
        <x:v>HYPERLINK is not implemented. linkLocation=https://en.wikipedia.org/wiki/Death_Valley, friendlyName=Open source</x:v>
      </x:c>
      <x:c r="AN83" s="14" t="str">
        <x:v>BBC public-service commission</x:v>
      </x:c>
      <x:c r="AO83" s="14" t="str">
        <x:v>Yes</x:v>
      </x:c>
      <x:c r="AP83" s="14" t="str">
        <x:v>Direct BBC public-service scope</x:v>
      </x:c>
      <x:c r="AQ83" s="14" t="str">
        <x:v>Yes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12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1</x:v>
      </x:c>
      <x:c r="BS83" s="16" t="n">
        <x:v>0.08333333333333333</x:v>
      </x:c>
      <x:c r="BT83" s="14" t="str">
        <x:v>One episode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tt32409123|nm0402937|lowri griffiths</x:v>
      </x:c>
      <x:c r="B84" s="14" t="str">
        <x:v>02</x:v>
      </x:c>
      <x:c r="C84" s="14" t="str">
        <x:v>2025_IMDb_Cast_Lists_Batch_02(1).xlsx</x:v>
      </x:c>
      <x:c r="D84" s="14" t="str">
        <x:v>Death Valley</x:v>
      </x:c>
      <x:c r="E84" s="14" t="n">
        <x:v>82</x:v>
      </x:c>
      <x:c r="F84" s="14" t="str">
        <x:v>Death Valley</x:v>
      </x:c>
      <x:c r="G84" s="14" t="str">
        <x:v>tt32409123</x:v>
      </x:c>
      <x:c r="H84" s="14" t="n">
        <x:v>2025</x:v>
      </x:c>
      <x:c r="I84" s="14" t="n">
        <x:v>2025</x:v>
      </x:c>
      <x:c r="J84" s="14" t="str">
        <x:v>Post-study cohort</x:v>
      </x:c>
      <x:c r="K84" s="14"/>
      <x:c r="L84" s="14" t="str">
        <x:v>Not inherited</x:v>
      </x:c>
      <x:c r="M84" s="15" t="n">
        <x:v>75</x:v>
      </x:c>
      <x:c r="N84" s="14" t="str">
        <x:v>Lynn Hunter</x:v>
      </x:c>
      <x:c r="O84" s="14" t="str">
        <x:v>nm0402937</x:v>
      </x:c>
      <x:c r="P84" s="14" t="str">
        <x:v>Lowri Griffiths</x:v>
      </x:c>
      <x:c r="Q84" s="15" t="n">
        <x:v>1</x:v>
      </x:c>
      <x:c r="R84" s="14" t="str">
        <x:v>2026</x:v>
      </x:c>
      <x:c r="S84" s="14" t="n">
        <x:v>2026</x:v>
      </x:c>
      <x:c r="T84" s="14" t="n">
        <x:v>2026</x:v>
      </x:c>
      <x:c r="U84" s="14" t="str">
        <x:v>Explicit source first year retained</x:v>
      </x:c>
      <x:c r="V84" s="14" t="str">
        <x:v>Earliest supplied year is 2026.</x:v>
      </x:c>
      <x:c r="W84" s="14"/>
      <x:c r="X84" s="14" t="str">
        <x:v>Excluded: after 2025</x:v>
      </x:c>
      <x:c r="Y84" s="14"/>
      <x:c r="Z84" s="14" t="str">
        <x:v>Death Valley.docx</x:v>
      </x:c>
      <x:c r="AA8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BBC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7" t="e">
        <x:f>HYPERLINK("https://en.wikipedia.org/wiki/Death_Valley","Open source")</x:f>
        <x:v>HYPERLINK is not implemented. linkLocation=https://en.wikipedia.org/wiki/Death_Valley, friendlyName=Open source</x:v>
      </x:c>
      <x:c r="AN84" s="14" t="str">
        <x:v>BBC public-service commission</x:v>
      </x:c>
      <x:c r="AO84" s="14" t="str">
        <x:v>Yes</x:v>
      </x:c>
      <x:c r="AP84" s="14" t="str">
        <x:v>Direct BBC public-service scope</x:v>
      </x:c>
      <x:c r="AQ84" s="14" t="str">
        <x:v>Yes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12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0.08333333333333333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tt32409123|nm8378173|aisha lanzetta</x:v>
      </x:c>
      <x:c r="B85" s="14" t="str">
        <x:v>02</x:v>
      </x:c>
      <x:c r="C85" s="14" t="str">
        <x:v>2025_IMDb_Cast_Lists_Batch_02(1).xlsx</x:v>
      </x:c>
      <x:c r="D85" s="14" t="str">
        <x:v>Death Valley</x:v>
      </x:c>
      <x:c r="E85" s="14" t="n">
        <x:v>83</x:v>
      </x:c>
      <x:c r="F85" s="14" t="str">
        <x:v>Death Valley</x:v>
      </x:c>
      <x:c r="G85" s="14" t="str">
        <x:v>tt32409123</x:v>
      </x:c>
      <x:c r="H85" s="14" t="n">
        <x:v>2025</x:v>
      </x:c>
      <x:c r="I85" s="14" t="n">
        <x:v>2025</x:v>
      </x:c>
      <x:c r="J85" s="14" t="str">
        <x:v>Post-study cohort</x:v>
      </x:c>
      <x:c r="K85" s="14"/>
      <x:c r="L85" s="14" t="str">
        <x:v>Not inherited</x:v>
      </x:c>
      <x:c r="M85" s="15" t="n">
        <x:v>76</x:v>
      </x:c>
      <x:c r="N85" s="14" t="str">
        <x:v>Nadia Wyn Abouayen</x:v>
      </x:c>
      <x:c r="O85" s="14" t="str">
        <x:v>nm8378173</x:v>
      </x:c>
      <x:c r="P85" s="14" t="str">
        <x:v>Aisha Lanzetta</x:v>
      </x:c>
      <x:c r="Q85" s="15" t="n">
        <x:v>1</x:v>
      </x:c>
      <x:c r="R85" s="14" t="str">
        <x:v>2026</x:v>
      </x:c>
      <x:c r="S85" s="14" t="n">
        <x:v>2026</x:v>
      </x:c>
      <x:c r="T85" s="14" t="n">
        <x:v>2026</x:v>
      </x:c>
      <x:c r="U85" s="14" t="str">
        <x:v>Explicit source first year retained</x:v>
      </x:c>
      <x:c r="V85" s="14" t="str">
        <x:v>Earliest supplied year is 2026.</x:v>
      </x:c>
      <x:c r="W85" s="14"/>
      <x:c r="X85" s="14" t="str">
        <x:v>Excluded: after 2025</x:v>
      </x:c>
      <x:c r="Y85" s="14"/>
      <x:c r="Z85" s="14" t="str">
        <x:v>Death Valley.docx</x:v>
      </x:c>
      <x:c r="AA8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BBC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7" t="e">
        <x:f>HYPERLINK("https://en.wikipedia.org/wiki/Death_Valley","Open source")</x:f>
        <x:v>HYPERLINK is not implemented. linkLocation=https://en.wikipedia.org/wiki/Death_Valley, friendlyName=Open source</x:v>
      </x:c>
      <x:c r="AN85" s="14" t="str">
        <x:v>BBC public-service commission</x:v>
      </x:c>
      <x:c r="AO85" s="14" t="str">
        <x:v>Yes</x:v>
      </x:c>
      <x:c r="AP85" s="14" t="str">
        <x:v>Direct BBC public-service scope</x:v>
      </x:c>
      <x:c r="AQ85" s="14" t="str">
        <x:v>Yes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12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0.08333333333333333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tt32409123|nm8663336|eddie morris</x:v>
      </x:c>
      <x:c r="B86" s="14" t="str">
        <x:v>02</x:v>
      </x:c>
      <x:c r="C86" s="14" t="str">
        <x:v>2025_IMDb_Cast_Lists_Batch_02(1).xlsx</x:v>
      </x:c>
      <x:c r="D86" s="14" t="str">
        <x:v>Death Valley</x:v>
      </x:c>
      <x:c r="E86" s="14" t="n">
        <x:v>84</x:v>
      </x:c>
      <x:c r="F86" s="14" t="str">
        <x:v>Death Valley</x:v>
      </x:c>
      <x:c r="G86" s="14" t="str">
        <x:v>tt32409123</x:v>
      </x:c>
      <x:c r="H86" s="14" t="n">
        <x:v>2025</x:v>
      </x:c>
      <x:c r="I86" s="14" t="n">
        <x:v>2025</x:v>
      </x:c>
      <x:c r="J86" s="14" t="str">
        <x:v>Post-study cohort</x:v>
      </x:c>
      <x:c r="K86" s="14"/>
      <x:c r="L86" s="14" t="str">
        <x:v>Not inherited</x:v>
      </x:c>
      <x:c r="M86" s="15" t="n">
        <x:v>77</x:v>
      </x:c>
      <x:c r="N86" s="14" t="str">
        <x:v>Martin Vose</x:v>
      </x:c>
      <x:c r="O86" s="14" t="str">
        <x:v>nm8663336</x:v>
      </x:c>
      <x:c r="P86" s="14" t="str">
        <x:v>Eddie Morris</x:v>
      </x:c>
      <x:c r="Q86" s="15" t="n">
        <x:v>1</x:v>
      </x:c>
      <x:c r="R86" s="14" t="str">
        <x:v>2026</x:v>
      </x:c>
      <x:c r="S86" s="14" t="n">
        <x:v>2026</x:v>
      </x:c>
      <x:c r="T86" s="14" t="n">
        <x:v>2026</x:v>
      </x:c>
      <x:c r="U86" s="14" t="str">
        <x:v>Explicit source first year retained</x:v>
      </x:c>
      <x:c r="V86" s="14" t="str">
        <x:v>Earliest supplied year is 2026.</x:v>
      </x:c>
      <x:c r="W86" s="14"/>
      <x:c r="X86" s="14" t="str">
        <x:v>Excluded: after 2025</x:v>
      </x:c>
      <x:c r="Y86" s="14"/>
      <x:c r="Z86" s="14" t="str">
        <x:v>Death Valley.docx</x:v>
      </x:c>
      <x:c r="AA8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BBC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7" t="e">
        <x:f>HYPERLINK("https://en.wikipedia.org/wiki/Death_Valley","Open source")</x:f>
        <x:v>HYPERLINK is not implemented. linkLocation=https://en.wikipedia.org/wiki/Death_Valley, friendlyName=Open source</x:v>
      </x:c>
      <x:c r="AN86" s="14" t="str">
        <x:v>BBC public-service commission</x:v>
      </x:c>
      <x:c r="AO86" s="14" t="str">
        <x:v>Yes</x:v>
      </x:c>
      <x:c r="AP86" s="14" t="str">
        <x:v>Direct BBC public-service scope</x:v>
      </x:c>
      <x:c r="AQ86" s="14" t="str">
        <x:v>Yes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12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0.08333333333333333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tt32409123|nm4419317|fiona challoner</x:v>
      </x:c>
      <x:c r="B87" s="14" t="str">
        <x:v>02</x:v>
      </x:c>
      <x:c r="C87" s="14" t="str">
        <x:v>2025_IMDb_Cast_Lists_Batch_02(1).xlsx</x:v>
      </x:c>
      <x:c r="D87" s="14" t="str">
        <x:v>Death Valley</x:v>
      </x:c>
      <x:c r="E87" s="14" t="n">
        <x:v>86</x:v>
      </x:c>
      <x:c r="F87" s="14" t="str">
        <x:v>Death Valley</x:v>
      </x:c>
      <x:c r="G87" s="14" t="str">
        <x:v>tt32409123</x:v>
      </x:c>
      <x:c r="H87" s="14" t="n">
        <x:v>2025</x:v>
      </x:c>
      <x:c r="I87" s="14" t="n">
        <x:v>2025</x:v>
      </x:c>
      <x:c r="J87" s="14" t="str">
        <x:v>Post-study cohort</x:v>
      </x:c>
      <x:c r="K87" s="14"/>
      <x:c r="L87" s="14" t="str">
        <x:v>Not inherited</x:v>
      </x:c>
      <x:c r="M87" s="15" t="n">
        <x:v>79</x:v>
      </x:c>
      <x:c r="N87" s="14" t="str">
        <x:v>Liz Carr</x:v>
      </x:c>
      <x:c r="O87" s="14" t="str">
        <x:v>nm4419317</x:v>
      </x:c>
      <x:c r="P87" s="14" t="str">
        <x:v>Fiona Challoner</x:v>
      </x:c>
      <x:c r="Q87" s="15" t="n">
        <x:v>1</x:v>
      </x:c>
      <x:c r="R87" s="14" t="str">
        <x:v>2026</x:v>
      </x:c>
      <x:c r="S87" s="14" t="n">
        <x:v>2026</x:v>
      </x:c>
      <x:c r="T87" s="14" t="n">
        <x:v>2026</x:v>
      </x:c>
      <x:c r="U87" s="14" t="str">
        <x:v>Explicit source first year retained</x:v>
      </x:c>
      <x:c r="V87" s="14" t="str">
        <x:v>Earliest supplied year is 2026.</x:v>
      </x:c>
      <x:c r="W87" s="14"/>
      <x:c r="X87" s="14" t="str">
        <x:v>Excluded: after 2025</x:v>
      </x:c>
      <x:c r="Y87" s="14"/>
      <x:c r="Z87" s="14" t="str">
        <x:v>Death Valley.docx</x:v>
      </x:c>
      <x:c r="AA8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7" s="14" t="str">
        <x:v>Existing established-register match</x:v>
      </x:c>
      <x:c r="AC87" s="14" t="str">
        <x:v>Wheelchair user | Physical disability</x:v>
      </x:c>
      <x:c r="AD87" s="14" t="str">
        <x:v>Existing register classification: Wheelchair user | Physical disability</x:v>
      </x:c>
      <x:c r="AE87" s="14" t="str">
        <x:v>Established_Disability_Category_Register V1.2.xlsx</x:v>
      </x:c>
      <x:c r="AF87" s="14"/>
      <x:c r="AG87" s="14" t="str">
        <x:v>Established user-supplied classification retained for deduplication; evidence was not re-researched in this batch.</x:v>
      </x:c>
      <x:c r="AH87" s="14" t="str">
        <x:v>BBC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7" t="e">
        <x:f>HYPERLINK("https://en.wikipedia.org/wiki/Death_Valley","Open source")</x:f>
        <x:v>HYPERLINK is not implemented. linkLocation=https://en.wikipedia.org/wiki/Death_Valley, friendlyName=Open source</x:v>
      </x:c>
      <x:c r="AN87" s="14" t="str">
        <x:v>BBC public-service commission</x:v>
      </x:c>
      <x:c r="AO87" s="14" t="str">
        <x:v>Yes</x:v>
      </x:c>
      <x:c r="AP87" s="14" t="str">
        <x:v>Direct BBC public-service scope</x:v>
      </x:c>
      <x:c r="AQ87" s="14" t="str">
        <x:v>Yes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Exact IMDb performer ID match</x:v>
      </x:c>
      <x:c r="BC87" s="14" t="str">
        <x:v>nm4419317</x:v>
      </x:c>
      <x:c r="BD87" s="14" t="str">
        <x:v>Liz Carr</x:v>
      </x:c>
      <x:c r="BE87" s="14" t="str">
        <x:v>Wheelchair user | Physical disability</x:v>
      </x:c>
      <x:c r="BF87" s="14" t="str">
        <x:v>Yes</x:v>
      </x:c>
      <x:c r="BG87" s="14" t="str">
        <x:v>Wheelchair user | Physical disability</x:v>
      </x:c>
      <x:c r="BH87" s="14" t="str">
        <x:v>No</x:v>
      </x:c>
      <x:c r="BI87" s="14" t="str">
        <x:v>User-supplied established classification</x:v>
      </x:c>
      <x:c r="BJ87" s="14" t="str">
        <x:v>03_Wheelchair_user.csv | 04_Physical_disability.csv</x:v>
      </x:c>
      <x:c r="BK87" s="14"/>
      <x:c r="BL87" s="14" t="str">
        <x:v>Matched</x:v>
      </x:c>
      <x:c r="BM87" s="14" t="str">
        <x:v>Final supplied register</x:v>
      </x:c>
      <x:c r="BN87" s="14"/>
      <x:c r="BO87" s="14" t="n">
        <x:v>12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0.08333333333333333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tt32409123|nm6544402|rachel jenkins</x:v>
      </x:c>
      <x:c r="B88" s="14" t="str">
        <x:v>02</x:v>
      </x:c>
      <x:c r="C88" s="14" t="str">
        <x:v>2025_IMDb_Cast_Lists_Batch_02(1).xlsx</x:v>
      </x:c>
      <x:c r="D88" s="14" t="str">
        <x:v>Death Valley</x:v>
      </x:c>
      <x:c r="E88" s="14" t="n">
        <x:v>87</x:v>
      </x:c>
      <x:c r="F88" s="14" t="str">
        <x:v>Death Valley</x:v>
      </x:c>
      <x:c r="G88" s="14" t="str">
        <x:v>tt32409123</x:v>
      </x:c>
      <x:c r="H88" s="14" t="n">
        <x:v>2025</x:v>
      </x:c>
      <x:c r="I88" s="14" t="n">
        <x:v>2025</x:v>
      </x:c>
      <x:c r="J88" s="14" t="str">
        <x:v>Post-study cohort</x:v>
      </x:c>
      <x:c r="K88" s="14"/>
      <x:c r="L88" s="14" t="str">
        <x:v>Not inherited</x:v>
      </x:c>
      <x:c r="M88" s="15" t="n">
        <x:v>80</x:v>
      </x:c>
      <x:c r="N88" s="14" t="str">
        <x:v>Kate Entwistle</x:v>
      </x:c>
      <x:c r="O88" s="14" t="str">
        <x:v>nm6544402</x:v>
      </x:c>
      <x:c r="P88" s="14" t="str">
        <x:v>Rachel Jenkins</x:v>
      </x:c>
      <x:c r="Q88" s="15" t="n">
        <x:v>1</x:v>
      </x:c>
      <x:c r="R88" s="14" t="str">
        <x:v>2026</x:v>
      </x:c>
      <x:c r="S88" s="14" t="n">
        <x:v>2026</x:v>
      </x:c>
      <x:c r="T88" s="14" t="n">
        <x:v>2026</x:v>
      </x:c>
      <x:c r="U88" s="14" t="str">
        <x:v>Explicit source first year retained</x:v>
      </x:c>
      <x:c r="V88" s="14" t="str">
        <x:v>Earliest supplied year is 2026.</x:v>
      </x:c>
      <x:c r="W88" s="14"/>
      <x:c r="X88" s="14" t="str">
        <x:v>Excluded: after 2025</x:v>
      </x:c>
      <x:c r="Y88" s="14"/>
      <x:c r="Z88" s="14" t="str">
        <x:v>Death Valley.docx</x:v>
      </x:c>
      <x:c r="AA8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BBC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7" t="e">
        <x:f>HYPERLINK("https://en.wikipedia.org/wiki/Death_Valley","Open source")</x:f>
        <x:v>HYPERLINK is not implemented. linkLocation=https://en.wikipedia.org/wiki/Death_Valley, friendlyName=Open source</x:v>
      </x:c>
      <x:c r="AN88" s="14" t="str">
        <x:v>BBC public-service commission</x:v>
      </x:c>
      <x:c r="AO88" s="14" t="str">
        <x:v>Yes</x:v>
      </x:c>
      <x:c r="AP88" s="14" t="str">
        <x:v>Direct BBC public-service scope</x:v>
      </x:c>
      <x:c r="AQ88" s="14" t="str">
        <x:v>Yes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12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0.08333333333333333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tt32409123|nm5618130|aled griffiths</x:v>
      </x:c>
      <x:c r="B89" s="14" t="str">
        <x:v>02</x:v>
      </x:c>
      <x:c r="C89" s="14" t="str">
        <x:v>2025_IMDb_Cast_Lists_Batch_02(1).xlsx</x:v>
      </x:c>
      <x:c r="D89" s="14" t="str">
        <x:v>Death Valley</x:v>
      </x:c>
      <x:c r="E89" s="14" t="n">
        <x:v>88</x:v>
      </x:c>
      <x:c r="F89" s="14" t="str">
        <x:v>Death Valley</x:v>
      </x:c>
      <x:c r="G89" s="14" t="str">
        <x:v>tt32409123</x:v>
      </x:c>
      <x:c r="H89" s="14" t="n">
        <x:v>2025</x:v>
      </x:c>
      <x:c r="I89" s="14" t="n">
        <x:v>2025</x:v>
      </x:c>
      <x:c r="J89" s="14" t="str">
        <x:v>Post-study cohort</x:v>
      </x:c>
      <x:c r="K89" s="14"/>
      <x:c r="L89" s="14" t="str">
        <x:v>Not inherited</x:v>
      </x:c>
      <x:c r="M89" s="15" t="n">
        <x:v>81</x:v>
      </x:c>
      <x:c r="N89" s="14" t="str">
        <x:v>Joshua McCord</x:v>
      </x:c>
      <x:c r="O89" s="14" t="str">
        <x:v>nm5618130</x:v>
      </x:c>
      <x:c r="P89" s="14" t="str">
        <x:v>Aled Griffiths</x:v>
      </x:c>
      <x:c r="Q89" s="15" t="n">
        <x:v>1</x:v>
      </x:c>
      <x:c r="R89" s="14" t="str">
        <x:v>2026</x:v>
      </x:c>
      <x:c r="S89" s="14" t="n">
        <x:v>2026</x:v>
      </x:c>
      <x:c r="T89" s="14" t="n">
        <x:v>2026</x:v>
      </x:c>
      <x:c r="U89" s="14" t="str">
        <x:v>Explicit source first year retained</x:v>
      </x:c>
      <x:c r="V89" s="14" t="str">
        <x:v>Earliest supplied year is 2026.</x:v>
      </x:c>
      <x:c r="W89" s="14"/>
      <x:c r="X89" s="14" t="str">
        <x:v>Excluded: after 2025</x:v>
      </x:c>
      <x:c r="Y89" s="14"/>
      <x:c r="Z89" s="14" t="str">
        <x:v>Death Valley.docx</x:v>
      </x:c>
      <x:c r="AA8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BBC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7" t="e">
        <x:f>HYPERLINK("https://en.wikipedia.org/wiki/Death_Valley","Open source")</x:f>
        <x:v>HYPERLINK is not implemented. linkLocation=https://en.wikipedia.org/wiki/Death_Valley, friendlyName=Open source</x:v>
      </x:c>
      <x:c r="AN89" s="14" t="str">
        <x:v>BBC public-service commission</x:v>
      </x:c>
      <x:c r="AO89" s="14" t="str">
        <x:v>Yes</x:v>
      </x:c>
      <x:c r="AP89" s="14" t="str">
        <x:v>Direct BBC public-service scope</x:v>
      </x:c>
      <x:c r="AQ89" s="14" t="str">
        <x:v>Yes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12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0.08333333333333333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tt32409123|nm18519188|ben</x:v>
      </x:c>
      <x:c r="B90" s="14" t="str">
        <x:v>02</x:v>
      </x:c>
      <x:c r="C90" s="14" t="str">
        <x:v>2025_IMDb_Cast_Lists_Batch_02(1).xlsx</x:v>
      </x:c>
      <x:c r="D90" s="14" t="str">
        <x:v>Death Valley</x:v>
      </x:c>
      <x:c r="E90" s="14" t="n">
        <x:v>89</x:v>
      </x:c>
      <x:c r="F90" s="14" t="str">
        <x:v>Death Valley</x:v>
      </x:c>
      <x:c r="G90" s="14" t="str">
        <x:v>tt32409123</x:v>
      </x:c>
      <x:c r="H90" s="14" t="n">
        <x:v>2025</x:v>
      </x:c>
      <x:c r="I90" s="14" t="n">
        <x:v>2025</x:v>
      </x:c>
      <x:c r="J90" s="14" t="str">
        <x:v>Post-study cohort</x:v>
      </x:c>
      <x:c r="K90" s="14"/>
      <x:c r="L90" s="14" t="str">
        <x:v>Not inherited</x:v>
      </x:c>
      <x:c r="M90" s="15" t="n">
        <x:v>82</x:v>
      </x:c>
      <x:c r="N90" s="14" t="str">
        <x:v>Lucas Edwards</x:v>
      </x:c>
      <x:c r="O90" s="14" t="str">
        <x:v>nm18519188</x:v>
      </x:c>
      <x:c r="P90" s="14" t="str">
        <x:v>Ben</x:v>
      </x:c>
      <x:c r="Q90" s="15" t="n">
        <x:v>1</x:v>
      </x:c>
      <x:c r="R90" s="14" t="str">
        <x:v>2026</x:v>
      </x:c>
      <x:c r="S90" s="14" t="n">
        <x:v>2026</x:v>
      </x:c>
      <x:c r="T90" s="14" t="n">
        <x:v>2026</x:v>
      </x:c>
      <x:c r="U90" s="14" t="str">
        <x:v>Explicit source first year retained</x:v>
      </x:c>
      <x:c r="V90" s="14" t="str">
        <x:v>Earliest supplied year is 2026.</x:v>
      </x:c>
      <x:c r="W90" s="14"/>
      <x:c r="X90" s="14" t="str">
        <x:v>Excluded: after 2025</x:v>
      </x:c>
      <x:c r="Y90" s="14"/>
      <x:c r="Z90" s="14" t="str">
        <x:v>Death Valley.docx</x:v>
      </x:c>
      <x:c r="AA9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7" t="e">
        <x:f>HYPERLINK("https://en.wikipedia.org/wiki/Death_Valley","Open source")</x:f>
        <x:v>HYPERLINK is not implemented. linkLocation=https://en.wikipedia.org/wiki/Death_Valley, friendlyName=Open source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12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1</x:v>
      </x:c>
      <x:c r="BS90" s="16" t="n">
        <x:v>0.08333333333333333</x:v>
      </x:c>
      <x:c r="BT90" s="14" t="str">
        <x:v>One episode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tt32409123|nm5521079|phil holmes</x:v>
      </x:c>
      <x:c r="B91" s="14" t="str">
        <x:v>02</x:v>
      </x:c>
      <x:c r="C91" s="14" t="str">
        <x:v>2025_IMDb_Cast_Lists_Batch_02(1).xlsx</x:v>
      </x:c>
      <x:c r="D91" s="14" t="str">
        <x:v>Death Valley</x:v>
      </x:c>
      <x:c r="E91" s="14" t="n">
        <x:v>94</x:v>
      </x:c>
      <x:c r="F91" s="14" t="str">
        <x:v>Death Valley</x:v>
      </x:c>
      <x:c r="G91" s="14" t="str">
        <x:v>tt32409123</x:v>
      </x:c>
      <x:c r="H91" s="14" t="n">
        <x:v>2025</x:v>
      </x:c>
      <x:c r="I91" s="14" t="n">
        <x:v>2025</x:v>
      </x:c>
      <x:c r="J91" s="14" t="str">
        <x:v>Post-study cohort</x:v>
      </x:c>
      <x:c r="K91" s="14"/>
      <x:c r="L91" s="14" t="str">
        <x:v>Not inherited</x:v>
      </x:c>
      <x:c r="M91" s="15" t="n">
        <x:v>87</x:v>
      </x:c>
      <x:c r="N91" s="14" t="str">
        <x:v>Andrew Docker</x:v>
      </x:c>
      <x:c r="O91" s="14" t="str">
        <x:v>nm5521079</x:v>
      </x:c>
      <x:c r="P91" s="14" t="str">
        <x:v>Phil Holmes</x:v>
      </x:c>
      <x:c r="Q91" s="15" t="n">
        <x:v>1</x:v>
      </x:c>
      <x:c r="R91" s="14" t="str">
        <x:v>2026</x:v>
      </x:c>
      <x:c r="S91" s="14" t="n">
        <x:v>2026</x:v>
      </x:c>
      <x:c r="T91" s="14" t="n">
        <x:v>2026</x:v>
      </x:c>
      <x:c r="U91" s="14" t="str">
        <x:v>Explicit source first year retained</x:v>
      </x:c>
      <x:c r="V91" s="14" t="str">
        <x:v>Earliest supplied year is 2026.</x:v>
      </x:c>
      <x:c r="W91" s="14"/>
      <x:c r="X91" s="14" t="str">
        <x:v>Excluded: after 2025</x:v>
      </x:c>
      <x:c r="Y91" s="14"/>
      <x:c r="Z91" s="14" t="str">
        <x:v>Death Valley.docx</x:v>
      </x:c>
      <x:c r="AA9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7" t="e">
        <x:f>HYPERLINK("https://en.wikipedia.org/wiki/Death_Valley","Open source")</x:f>
        <x:v>HYPERLINK is not implemented. linkLocation=https://en.wikipedia.org/wiki/Death_Valley, friendlyName=Open source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12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1</x:v>
      </x:c>
      <x:c r="BS91" s="16" t="n">
        <x:v>0.08333333333333333</x:v>
      </x:c>
      <x:c r="BT91" s="14" t="str">
        <x:v>One episode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tt32409123|nm18519402|chief</x:v>
      </x:c>
      <x:c r="B92" s="14" t="str">
        <x:v>02</x:v>
      </x:c>
      <x:c r="C92" s="14" t="str">
        <x:v>2025_IMDb_Cast_Lists_Batch_02(1).xlsx</x:v>
      </x:c>
      <x:c r="D92" s="14" t="str">
        <x:v>Death Valley</x:v>
      </x:c>
      <x:c r="E92" s="14" t="n">
        <x:v>95</x:v>
      </x:c>
      <x:c r="F92" s="14" t="str">
        <x:v>Death Valley</x:v>
      </x:c>
      <x:c r="G92" s="14" t="str">
        <x:v>tt32409123</x:v>
      </x:c>
      <x:c r="H92" s="14" t="n">
        <x:v>2025</x:v>
      </x:c>
      <x:c r="I92" s="14" t="n">
        <x:v>2025</x:v>
      </x:c>
      <x:c r="J92" s="14" t="str">
        <x:v>Post-study cohort</x:v>
      </x:c>
      <x:c r="K92" s="14"/>
      <x:c r="L92" s="14" t="str">
        <x:v>Not inherited</x:v>
      </x:c>
      <x:c r="M92" s="15" t="n">
        <x:v>88</x:v>
      </x:c>
      <x:c r="N92" s="14" t="str">
        <x:v>Brian Robinson</x:v>
      </x:c>
      <x:c r="O92" s="14" t="str">
        <x:v>nm18519402</x:v>
      </x:c>
      <x:c r="P92" s="14" t="str">
        <x:v>Chief</x:v>
      </x:c>
      <x:c r="Q92" s="15" t="n">
        <x:v>1</x:v>
      </x:c>
      <x:c r="R92" s="14" t="str">
        <x:v>2026</x:v>
      </x:c>
      <x:c r="S92" s="14" t="n">
        <x:v>2026</x:v>
      </x:c>
      <x:c r="T92" s="14" t="n">
        <x:v>2026</x:v>
      </x:c>
      <x:c r="U92" s="14" t="str">
        <x:v>Explicit source first year retained</x:v>
      </x:c>
      <x:c r="V92" s="14" t="str">
        <x:v>Earliest supplied year is 2026.</x:v>
      </x:c>
      <x:c r="W92" s="14"/>
      <x:c r="X92" s="14" t="str">
        <x:v>Excluded: after 2025</x:v>
      </x:c>
      <x:c r="Y92" s="14"/>
      <x:c r="Z92" s="14" t="str">
        <x:v>Death Valley.docx</x:v>
      </x:c>
      <x:c r="AA9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7" t="e">
        <x:f>HYPERLINK("https://en.wikipedia.org/wiki/Death_Valley","Open source")</x:f>
        <x:v>HYPERLINK is not implemented. linkLocation=https://en.wikipedia.org/wiki/Death_Valley, friendlyName=Open source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12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0.08333333333333333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tt32409123|nm5146541|cafe customer</x:v>
      </x:c>
      <x:c r="B93" s="14" t="str">
        <x:v>02</x:v>
      </x:c>
      <x:c r="C93" s="14" t="str">
        <x:v>2025_IMDb_Cast_Lists_Batch_02(1).xlsx</x:v>
      </x:c>
      <x:c r="D93" s="14" t="str">
        <x:v>Death Valley</x:v>
      </x:c>
      <x:c r="E93" s="14" t="n">
        <x:v>100</x:v>
      </x:c>
      <x:c r="F93" s="14" t="str">
        <x:v>Death Valley</x:v>
      </x:c>
      <x:c r="G93" s="14" t="str">
        <x:v>tt32409123</x:v>
      </x:c>
      <x:c r="H93" s="14" t="n">
        <x:v>2025</x:v>
      </x:c>
      <x:c r="I93" s="14" t="n">
        <x:v>2025</x:v>
      </x:c>
      <x:c r="J93" s="14" t="str">
        <x:v>Post-study cohort</x:v>
      </x:c>
      <x:c r="K93" s="14"/>
      <x:c r="L93" s="14" t="str">
        <x:v>Not inherited</x:v>
      </x:c>
      <x:c r="M93" s="15" t="n">
        <x:v>93</x:v>
      </x:c>
      <x:c r="N93" s="14" t="str">
        <x:v>Sera Cracroft</x:v>
      </x:c>
      <x:c r="O93" s="14" t="str">
        <x:v>nm5146541</x:v>
      </x:c>
      <x:c r="P93" s="14" t="str">
        <x:v>Cafe Customer</x:v>
      </x:c>
      <x:c r="Q93" s="15" t="n">
        <x:v>1</x:v>
      </x:c>
      <x:c r="R93" s="14" t="str">
        <x:v>2026</x:v>
      </x:c>
      <x:c r="S93" s="14" t="n">
        <x:v>2026</x:v>
      </x:c>
      <x:c r="T93" s="14" t="n">
        <x:v>2026</x:v>
      </x:c>
      <x:c r="U93" s="14" t="str">
        <x:v>Explicit source first year retained</x:v>
      </x:c>
      <x:c r="V93" s="14" t="str">
        <x:v>Earliest supplied year is 2026.</x:v>
      </x:c>
      <x:c r="W93" s="14"/>
      <x:c r="X93" s="14" t="str">
        <x:v>Excluded: after 2025</x:v>
      </x:c>
      <x:c r="Y93" s="14"/>
      <x:c r="Z93" s="14" t="str">
        <x:v>Death Valley.docx</x:v>
      </x:c>
      <x:c r="AA9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7" t="e">
        <x:f>HYPERLINK("https://en.wikipedia.org/wiki/Death_Valley","Open source")</x:f>
        <x:v>HYPERLINK is not implemented. linkLocation=https://en.wikipedia.org/wiki/Death_Valley, friendlyName=Open source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12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0.08333333333333333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tt32409123|nm11950870|base runner</x:v>
      </x:c>
      <x:c r="B94" s="14" t="str">
        <x:v>02</x:v>
      </x:c>
      <x:c r="C94" s="14" t="str">
        <x:v>2025_IMDb_Cast_Lists_Batch_02(1).xlsx</x:v>
      </x:c>
      <x:c r="D94" s="14" t="str">
        <x:v>Death Valley</x:v>
      </x:c>
      <x:c r="E94" s="14" t="n">
        <x:v>105</x:v>
      </x:c>
      <x:c r="F94" s="14" t="str">
        <x:v>Death Valley</x:v>
      </x:c>
      <x:c r="G94" s="14" t="str">
        <x:v>tt32409123</x:v>
      </x:c>
      <x:c r="H94" s="14" t="n">
        <x:v>2025</x:v>
      </x:c>
      <x:c r="I94" s="14" t="n">
        <x:v>2025</x:v>
      </x:c>
      <x:c r="J94" s="14" t="str">
        <x:v>Post-study cohort</x:v>
      </x:c>
      <x:c r="K94" s="14"/>
      <x:c r="L94" s="14" t="str">
        <x:v>Not inherited</x:v>
      </x:c>
      <x:c r="M94" s="15" t="n">
        <x:v>98</x:v>
      </x:c>
      <x:c r="N94" s="14" t="str">
        <x:v>Geri McNamara</x:v>
      </x:c>
      <x:c r="O94" s="14" t="str">
        <x:v>nm11950870</x:v>
      </x:c>
      <x:c r="P94" s="14" t="str">
        <x:v>Base Runner</x:v>
      </x:c>
      <x:c r="Q94" s="15" t="n">
        <x:v>1</x:v>
      </x:c>
      <x:c r="R94" s="14" t="str">
        <x:v>2026</x:v>
      </x:c>
      <x:c r="S94" s="14" t="n">
        <x:v>2026</x:v>
      </x:c>
      <x:c r="T94" s="14" t="n">
        <x:v>2026</x:v>
      </x:c>
      <x:c r="U94" s="14" t="str">
        <x:v>Explicit source first year retained</x:v>
      </x:c>
      <x:c r="V94" s="14" t="str">
        <x:v>Earliest supplied year is 2026.</x:v>
      </x:c>
      <x:c r="W94" s="14"/>
      <x:c r="X94" s="14" t="str">
        <x:v>Excluded: after 2025</x:v>
      </x:c>
      <x:c r="Y94" s="14"/>
      <x:c r="Z94" s="14" t="str">
        <x:v>Death Valley.docx</x:v>
      </x:c>
      <x:c r="AA9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7" t="e">
        <x:f>HYPERLINK("https://en.wikipedia.org/wiki/Death_Valley","Open source")</x:f>
        <x:v>HYPERLINK is not implemented. linkLocation=https://en.wikipedia.org/wiki/Death_Valley, friendlyName=Open source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12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0.08333333333333333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tt32409123|nm13702010|showroom manager</x:v>
      </x:c>
      <x:c r="B95" s="14" t="str">
        <x:v>02</x:v>
      </x:c>
      <x:c r="C95" s="14" t="str">
        <x:v>2025_IMDb_Cast_Lists_Batch_02(1).xlsx</x:v>
      </x:c>
      <x:c r="D95" s="14" t="str">
        <x:v>Death Valley</x:v>
      </x:c>
      <x:c r="E95" s="14" t="n">
        <x:v>108</x:v>
      </x:c>
      <x:c r="F95" s="14" t="str">
        <x:v>Death Valley</x:v>
      </x:c>
      <x:c r="G95" s="14" t="str">
        <x:v>tt32409123</x:v>
      </x:c>
      <x:c r="H95" s="14" t="n">
        <x:v>2025</x:v>
      </x:c>
      <x:c r="I95" s="14" t="n">
        <x:v>2025</x:v>
      </x:c>
      <x:c r="J95" s="14" t="str">
        <x:v>Post-study cohort</x:v>
      </x:c>
      <x:c r="K95" s="14"/>
      <x:c r="L95" s="14" t="str">
        <x:v>Not inherited</x:v>
      </x:c>
      <x:c r="M95" s="15" t="n">
        <x:v>101</x:v>
      </x:c>
      <x:c r="N95" s="14" t="str">
        <x:v>Callum Mardy</x:v>
      </x:c>
      <x:c r="O95" s="14" t="str">
        <x:v>nm13702010</x:v>
      </x:c>
      <x:c r="P95" s="14" t="str">
        <x:v>Showroom Manager</x:v>
      </x:c>
      <x:c r="Q95" s="15" t="n">
        <x:v>1</x:v>
      </x:c>
      <x:c r="R95" s="14" t="str">
        <x:v>2026</x:v>
      </x:c>
      <x:c r="S95" s="14" t="n">
        <x:v>2026</x:v>
      </x:c>
      <x:c r="T95" s="14" t="n">
        <x:v>2026</x:v>
      </x:c>
      <x:c r="U95" s="14" t="str">
        <x:v>Explicit source first year retained</x:v>
      </x:c>
      <x:c r="V95" s="14" t="str">
        <x:v>Earliest supplied year is 2026.</x:v>
      </x:c>
      <x:c r="W95" s="14"/>
      <x:c r="X95" s="14" t="str">
        <x:v>Excluded: after 2025</x:v>
      </x:c>
      <x:c r="Y95" s="14"/>
      <x:c r="Z95" s="14" t="str">
        <x:v>Death Valley.docx</x:v>
      </x:c>
      <x:c r="AA9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7" t="e">
        <x:f>HYPERLINK("https://en.wikipedia.org/wiki/Death_Valley","Open source")</x:f>
        <x:v>HYPERLINK is not implemented. linkLocation=https://en.wikipedia.org/wiki/Death_Valley, friendlyName=Open source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12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0.08333333333333333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tt32409123|nm12482188|linda</x:v>
      </x:c>
      <x:c r="B96" s="14" t="str">
        <x:v>02</x:v>
      </x:c>
      <x:c r="C96" s="14" t="str">
        <x:v>2025_IMDb_Cast_Lists_Batch_02(1).xlsx</x:v>
      </x:c>
      <x:c r="D96" s="14" t="str">
        <x:v>Death Valley</x:v>
      </x:c>
      <x:c r="E96" s="14" t="n">
        <x:v>109</x:v>
      </x:c>
      <x:c r="F96" s="14" t="str">
        <x:v>Death Valley</x:v>
      </x:c>
      <x:c r="G96" s="14" t="str">
        <x:v>tt32409123</x:v>
      </x:c>
      <x:c r="H96" s="14" t="n">
        <x:v>2025</x:v>
      </x:c>
      <x:c r="I96" s="14" t="n">
        <x:v>2025</x:v>
      </x:c>
      <x:c r="J96" s="14" t="str">
        <x:v>Post-study cohort</x:v>
      </x:c>
      <x:c r="K96" s="14"/>
      <x:c r="L96" s="14" t="str">
        <x:v>Not inherited</x:v>
      </x:c>
      <x:c r="M96" s="15" t="n">
        <x:v>102</x:v>
      </x:c>
      <x:c r="N96" s="14" t="str">
        <x:v>Siobhan Bevan</x:v>
      </x:c>
      <x:c r="O96" s="14" t="str">
        <x:v>nm12482188</x:v>
      </x:c>
      <x:c r="P96" s="14" t="str">
        <x:v>Linda</x:v>
      </x:c>
      <x:c r="Q96" s="15" t="n">
        <x:v>1</x:v>
      </x:c>
      <x:c r="R96" s="14" t="str">
        <x:v>2026</x:v>
      </x:c>
      <x:c r="S96" s="14" t="n">
        <x:v>2026</x:v>
      </x:c>
      <x:c r="T96" s="14" t="n">
        <x:v>2026</x:v>
      </x:c>
      <x:c r="U96" s="14" t="str">
        <x:v>Explicit source first year retained</x:v>
      </x:c>
      <x:c r="V96" s="14" t="str">
        <x:v>Earliest supplied year is 2026.</x:v>
      </x:c>
      <x:c r="W96" s="14"/>
      <x:c r="X96" s="14" t="str">
        <x:v>Excluded: after 2025</x:v>
      </x:c>
      <x:c r="Y96" s="14"/>
      <x:c r="Z96" s="14" t="str">
        <x:v>Death Valley.docx</x:v>
      </x:c>
      <x:c r="AA9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7" t="e">
        <x:f>HYPERLINK("https://en.wikipedia.org/wiki/Death_Valley","Open source")</x:f>
        <x:v>HYPERLINK is not implemented. linkLocation=https://en.wikipedia.org/wiki/Death_Valley, friendlyName=Open source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12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0.08333333333333333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tt32409123|nm17618760|callum</x:v>
      </x:c>
      <x:c r="B97" s="14" t="str">
        <x:v>02</x:v>
      </x:c>
      <x:c r="C97" s="14" t="str">
        <x:v>2025_IMDb_Cast_Lists_Batch_02(1).xlsx</x:v>
      </x:c>
      <x:c r="D97" s="14" t="str">
        <x:v>Death Valley</x:v>
      </x:c>
      <x:c r="E97" s="14" t="n">
        <x:v>110</x:v>
      </x:c>
      <x:c r="F97" s="14" t="str">
        <x:v>Death Valley</x:v>
      </x:c>
      <x:c r="G97" s="14" t="str">
        <x:v>tt32409123</x:v>
      </x:c>
      <x:c r="H97" s="14" t="n">
        <x:v>2025</x:v>
      </x:c>
      <x:c r="I97" s="14" t="n">
        <x:v>2025</x:v>
      </x:c>
      <x:c r="J97" s="14" t="str">
        <x:v>Post-study cohort</x:v>
      </x:c>
      <x:c r="K97" s="14"/>
      <x:c r="L97" s="14" t="str">
        <x:v>Not inherited</x:v>
      </x:c>
      <x:c r="M97" s="15" t="n">
        <x:v>103</x:v>
      </x:c>
      <x:c r="N97" s="14" t="str">
        <x:v>Ben Skym</x:v>
      </x:c>
      <x:c r="O97" s="14" t="str">
        <x:v>nm17618760</x:v>
      </x:c>
      <x:c r="P97" s="14" t="str">
        <x:v>Callum</x:v>
      </x:c>
      <x:c r="Q97" s="15" t="n">
        <x:v>1</x:v>
      </x:c>
      <x:c r="R97" s="14" t="str">
        <x:v>2026</x:v>
      </x:c>
      <x:c r="S97" s="14" t="n">
        <x:v>2026</x:v>
      </x:c>
      <x:c r="T97" s="14" t="n">
        <x:v>2026</x:v>
      </x:c>
      <x:c r="U97" s="14" t="str">
        <x:v>Explicit source first year retained</x:v>
      </x:c>
      <x:c r="V97" s="14" t="str">
        <x:v>Earliest supplied year is 2026.</x:v>
      </x:c>
      <x:c r="W97" s="14"/>
      <x:c r="X97" s="14" t="str">
        <x:v>Excluded: after 2025</x:v>
      </x:c>
      <x:c r="Y97" s="14"/>
      <x:c r="Z97" s="14" t="str">
        <x:v>Death Valley.docx</x:v>
      </x:c>
      <x:c r="AA9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7" t="e">
        <x:f>HYPERLINK("https://en.wikipedia.org/wiki/Death_Valley","Open source")</x:f>
        <x:v>HYPERLINK is not implemented. linkLocation=https://en.wikipedia.org/wiki/Death_Valley, friendlyName=Open source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12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0.08333333333333333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tt32409123|nm2814157|solictor</x:v>
      </x:c>
      <x:c r="B98" s="14" t="str">
        <x:v>02</x:v>
      </x:c>
      <x:c r="C98" s="14" t="str">
        <x:v>2025_IMDb_Cast_Lists_Batch_02(1).xlsx</x:v>
      </x:c>
      <x:c r="D98" s="14" t="str">
        <x:v>Death Valley</x:v>
      </x:c>
      <x:c r="E98" s="14" t="n">
        <x:v>113</x:v>
      </x:c>
      <x:c r="F98" s="14" t="str">
        <x:v>Death Valley</x:v>
      </x:c>
      <x:c r="G98" s="14" t="str">
        <x:v>tt32409123</x:v>
      </x:c>
      <x:c r="H98" s="14" t="n">
        <x:v>2025</x:v>
      </x:c>
      <x:c r="I98" s="14" t="n">
        <x:v>2025</x:v>
      </x:c>
      <x:c r="J98" s="14" t="str">
        <x:v>Post-study cohort</x:v>
      </x:c>
      <x:c r="K98" s="14"/>
      <x:c r="L98" s="14" t="str">
        <x:v>Not inherited</x:v>
      </x:c>
      <x:c r="M98" s="15" t="n">
        <x:v>106</x:v>
      </x:c>
      <x:c r="N98" s="14" t="str">
        <x:v>Owen Brazendale</x:v>
      </x:c>
      <x:c r="O98" s="14" t="str">
        <x:v>nm2814157</x:v>
      </x:c>
      <x:c r="P98" s="14" t="str">
        <x:v>Solictor</x:v>
      </x:c>
      <x:c r="Q98" s="15" t="n">
        <x:v>1</x:v>
      </x:c>
      <x:c r="R98" s="14" t="str">
        <x:v>2026</x:v>
      </x:c>
      <x:c r="S98" s="14" t="n">
        <x:v>2026</x:v>
      </x:c>
      <x:c r="T98" s="14" t="n">
        <x:v>2026</x:v>
      </x:c>
      <x:c r="U98" s="14" t="str">
        <x:v>Explicit source first year retained</x:v>
      </x:c>
      <x:c r="V98" s="14" t="str">
        <x:v>Earliest supplied year is 2026.</x:v>
      </x:c>
      <x:c r="W98" s="14"/>
      <x:c r="X98" s="14" t="str">
        <x:v>Excluded: after 2025</x:v>
      </x:c>
      <x:c r="Y98" s="14"/>
      <x:c r="Z98" s="14" t="str">
        <x:v>Death Valley.docx</x:v>
      </x:c>
      <x:c r="AA9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7" t="e">
        <x:f>HYPERLINK("https://en.wikipedia.org/wiki/Death_Valley","Open source")</x:f>
        <x:v>HYPERLINK is not implemented. linkLocation=https://en.wikipedia.org/wiki/Death_Valley, friendlyName=Open source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12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0.08333333333333333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tt32409123|nm3327712|solicitor</x:v>
      </x:c>
      <x:c r="B99" s="14" t="str">
        <x:v>02</x:v>
      </x:c>
      <x:c r="C99" s="14" t="str">
        <x:v>2025_IMDb_Cast_Lists_Batch_02(1).xlsx</x:v>
      </x:c>
      <x:c r="D99" s="14" t="str">
        <x:v>Death Valley</x:v>
      </x:c>
      <x:c r="E99" s="14" t="n">
        <x:v>114</x:v>
      </x:c>
      <x:c r="F99" s="14" t="str">
        <x:v>Death Valley</x:v>
      </x:c>
      <x:c r="G99" s="14" t="str">
        <x:v>tt32409123</x:v>
      </x:c>
      <x:c r="H99" s="14" t="n">
        <x:v>2025</x:v>
      </x:c>
      <x:c r="I99" s="14" t="n">
        <x:v>2025</x:v>
      </x:c>
      <x:c r="J99" s="14" t="str">
        <x:v>Post-study cohort</x:v>
      </x:c>
      <x:c r="K99" s="14"/>
      <x:c r="L99" s="14" t="str">
        <x:v>Not inherited</x:v>
      </x:c>
      <x:c r="M99" s="15" t="n">
        <x:v>107</x:v>
      </x:c>
      <x:c r="N99" s="14" t="str">
        <x:v>Rhiannon Meades</x:v>
      </x:c>
      <x:c r="O99" s="14" t="str">
        <x:v>nm3327712</x:v>
      </x:c>
      <x:c r="P99" s="14" t="str">
        <x:v>Solicitor</x:v>
      </x:c>
      <x:c r="Q99" s="15" t="n">
        <x:v>1</x:v>
      </x:c>
      <x:c r="R99" s="14" t="str">
        <x:v>2026</x:v>
      </x:c>
      <x:c r="S99" s="14" t="n">
        <x:v>2026</x:v>
      </x:c>
      <x:c r="T99" s="14" t="n">
        <x:v>2026</x:v>
      </x:c>
      <x:c r="U99" s="14" t="str">
        <x:v>Explicit source first year retained</x:v>
      </x:c>
      <x:c r="V99" s="14" t="str">
        <x:v>Earliest supplied year is 2026.</x:v>
      </x:c>
      <x:c r="W99" s="14"/>
      <x:c r="X99" s="14" t="str">
        <x:v>Excluded: after 2025</x:v>
      </x:c>
      <x:c r="Y99" s="14"/>
      <x:c r="Z99" s="14" t="str">
        <x:v>Death Valley.docx</x:v>
      </x:c>
      <x:c r="AA9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7" t="e">
        <x:f>HYPERLINK("https://en.wikipedia.org/wiki/Death_Valley","Open source")</x:f>
        <x:v>HYPERLINK is not implemented. linkLocation=https://en.wikipedia.org/wiki/Death_Valley, friendlyName=Open source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12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0.08333333333333333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tt32409123|nm0731047|dennis dyer</x:v>
      </x:c>
      <x:c r="B100" s="14" t="str">
        <x:v>02</x:v>
      </x:c>
      <x:c r="C100" s="14" t="str">
        <x:v>2025_IMDb_Cast_Lists_Batch_02(1).xlsx</x:v>
      </x:c>
      <x:c r="D100" s="14" t="str">
        <x:v>Death Valley</x:v>
      </x:c>
      <x:c r="E100" s="14" t="n">
        <x:v>116</x:v>
      </x:c>
      <x:c r="F100" s="14" t="str">
        <x:v>Death Valley</x:v>
      </x:c>
      <x:c r="G100" s="14" t="str">
        <x:v>tt32409123</x:v>
      </x:c>
      <x:c r="H100" s="14" t="n">
        <x:v>2025</x:v>
      </x:c>
      <x:c r="I100" s="14" t="n">
        <x:v>2025</x:v>
      </x:c>
      <x:c r="J100" s="14" t="str">
        <x:v>Post-study cohort</x:v>
      </x:c>
      <x:c r="K100" s="14"/>
      <x:c r="L100" s="14" t="str">
        <x:v>Not inherited</x:v>
      </x:c>
      <x:c r="M100" s="15" t="n">
        <x:v>109</x:v>
      </x:c>
      <x:c r="N100" s="14" t="str">
        <x:v>Dyfan Roberts</x:v>
      </x:c>
      <x:c r="O100" s="14" t="str">
        <x:v>nm0731047</x:v>
      </x:c>
      <x:c r="P100" s="14" t="str">
        <x:v>Dennis Dyer</x:v>
      </x:c>
      <x:c r="Q100" s="15" t="n">
        <x:v>1</x:v>
      </x:c>
      <x:c r="R100" s="14" t="str">
        <x:v>2026</x:v>
      </x:c>
      <x:c r="S100" s="14" t="n">
        <x:v>2026</x:v>
      </x:c>
      <x:c r="T100" s="14" t="n">
        <x:v>2026</x:v>
      </x:c>
      <x:c r="U100" s="14" t="str">
        <x:v>Explicit source first year retained</x:v>
      </x:c>
      <x:c r="V100" s="14" t="str">
        <x:v>Earliest supplied year is 2026.</x:v>
      </x:c>
      <x:c r="W100" s="14"/>
      <x:c r="X100" s="14" t="str">
        <x:v>Excluded: after 2025</x:v>
      </x:c>
      <x:c r="Y100" s="14"/>
      <x:c r="Z100" s="14" t="str">
        <x:v>Death Valley.docx</x:v>
      </x:c>
      <x:c r="AA10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7" t="e">
        <x:f>HYPERLINK("https://en.wikipedia.org/wiki/Death_Valley","Open source")</x:f>
        <x:v>HYPERLINK is not implemented. linkLocation=https://en.wikipedia.org/wiki/Death_Valley, friendlyName=Open source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12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0.08333333333333333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7" t="e">
        <x:f>HYPERLINK("https://www.imdb.com/title/tt32409123/fullcredits/","Open source")</x:f>
        <x:v>HYPERLINK is not implemented. linkLocation=https://www.imdb.com/title/tt32409123/fullcredits/, friendlyName=Open source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tt35712820|nm10689622|grainne duffy</x:v>
      </x:c>
      <x:c r="B101" s="14" t="str">
        <x:v>02</x:v>
      </x:c>
      <x:c r="C101" s="14" t="str">
        <x:v>2025_IMDb_Cast_Lists_Batch_02(1).xlsx</x:v>
      </x:c>
      <x:c r="D101" s="14" t="str">
        <x:v>Funboys</x:v>
      </x:c>
      <x:c r="E101" s="14" t="n">
        <x:v>19</x:v>
      </x:c>
      <x:c r="F101" s="14" t="str">
        <x:v>Funboys</x:v>
      </x:c>
      <x:c r="G101" s="14" t="str">
        <x:v>tt35712820</x:v>
      </x:c>
      <x:c r="H101" s="14" t="n">
        <x:v>2025</x:v>
      </x:c>
      <x:c r="I101" s="14" t="n">
        <x:v>2025</x:v>
      </x:c>
      <x:c r="J101" s="14" t="str">
        <x:v>Post-study cohort</x:v>
      </x:c>
      <x:c r="K101" s="14"/>
      <x:c r="L101" s="14" t="str">
        <x:v>Not inherited</x:v>
      </x:c>
      <x:c r="M101" s="15" t="n">
        <x:v>12</x:v>
      </x:c>
      <x:c r="N101" s="14" t="str">
        <x:v>Nicky Harley</x:v>
      </x:c>
      <x:c r="O101" s="14" t="str">
        <x:v>nm10689622</x:v>
      </x:c>
      <x:c r="P101" s="14" t="str">
        <x:v>Grainne Duffy</x:v>
      </x:c>
      <x:c r="Q101" s="15" t="n">
        <x:v>3</x:v>
      </x:c>
      <x:c r="R101" s="14" t="str">
        <x:v>2026</x:v>
      </x:c>
      <x:c r="S101" s="14" t="n">
        <x:v>2026</x:v>
      </x:c>
      <x:c r="T101" s="14" t="n">
        <x:v>2026</x:v>
      </x:c>
      <x:c r="U101" s="14" t="str">
        <x:v>Explicit source first year retained</x:v>
      </x:c>
      <x:c r="V101" s="14" t="str">
        <x:v>Earliest supplied year is 2026.</x:v>
      </x:c>
      <x:c r="W101" s="14"/>
      <x:c r="X101" s="14" t="str">
        <x:v>Excluded: after 2025</x:v>
      </x:c>
      <x:c r="Y101" s="14"/>
      <x:c r="Z101" s="14" t="str">
        <x:v>Funboys.docx</x:v>
      </x:c>
      <x:c r="AA101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7" t="e">
        <x:f>HYPERLINK("https://en.wikipedia.org/wiki/Funboys","Open source")</x:f>
        <x:v>HYPERLINK is not implemented. linkLocation=https://en.wikipedia.org/wiki/Funboys, friendlyName=Open source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8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3</x:v>
      </x:c>
      <x:c r="BS101" s="16" t="n">
        <x:v>0.375</x:v>
      </x:c>
      <x:c r="BT101" s="14" t="str">
        <x:v>Minority of episodes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tt35712820|nm10884554|gwen mccarton</x:v>
      </x:c>
      <x:c r="B102" s="14" t="str">
        <x:v>02</x:v>
      </x:c>
      <x:c r="C102" s="14" t="str">
        <x:v>2025_IMDb_Cast_Lists_Batch_02(1).xlsx</x:v>
      </x:c>
      <x:c r="D102" s="14" t="str">
        <x:v>Funboys</x:v>
      </x:c>
      <x:c r="E102" s="14" t="n">
        <x:v>21</x:v>
      </x:c>
      <x:c r="F102" s="14" t="str">
        <x:v>Funboys</x:v>
      </x:c>
      <x:c r="G102" s="14" t="str">
        <x:v>tt35712820</x:v>
      </x:c>
      <x:c r="H102" s="14" t="n">
        <x:v>2025</x:v>
      </x:c>
      <x:c r="I102" s="14" t="n">
        <x:v>2025</x:v>
      </x:c>
      <x:c r="J102" s="14" t="str">
        <x:v>Post-study cohort</x:v>
      </x:c>
      <x:c r="K102" s="14"/>
      <x:c r="L102" s="14" t="str">
        <x:v>Not inherited</x:v>
      </x:c>
      <x:c r="M102" s="15" t="n">
        <x:v>14</x:v>
      </x:c>
      <x:c r="N102" s="14" t="str">
        <x:v>Saorlaoith Brady</x:v>
      </x:c>
      <x:c r="O102" s="14" t="str">
        <x:v>nm10884554</x:v>
      </x:c>
      <x:c r="P102" s="14" t="str">
        <x:v>Gwen McCarton</x:v>
      </x:c>
      <x:c r="Q102" s="15" t="n">
        <x:v>1</x:v>
      </x:c>
      <x:c r="R102" s="14" t="str">
        <x:v>2026</x:v>
      </x:c>
      <x:c r="S102" s="14" t="n">
        <x:v>2026</x:v>
      </x:c>
      <x:c r="T102" s="14" t="n">
        <x:v>2026</x:v>
      </x:c>
      <x:c r="U102" s="14" t="str">
        <x:v>Explicit source first year retained</x:v>
      </x:c>
      <x:c r="V102" s="14" t="str">
        <x:v>Earliest supplied year is 2026.</x:v>
      </x:c>
      <x:c r="W102" s="14"/>
      <x:c r="X102" s="14" t="str">
        <x:v>Excluded: after 2025</x:v>
      </x:c>
      <x:c r="Y102" s="14"/>
      <x:c r="Z102" s="14" t="str">
        <x:v>Funboys.docx</x:v>
      </x:c>
      <x:c r="AA102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7" t="e">
        <x:f>HYPERLINK("https://en.wikipedia.org/wiki/Funboys","Open source")</x:f>
        <x:v>HYPERLINK is not implemented. linkLocation=https://en.wikipedia.org/wiki/Funboys, friendlyName=Open source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8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0.125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tt35712820|nm3837915|chancer lady</x:v>
      </x:c>
      <x:c r="B103" s="14" t="str">
        <x:v>02</x:v>
      </x:c>
      <x:c r="C103" s="14" t="str">
        <x:v>2025_IMDb_Cast_Lists_Batch_02(1).xlsx</x:v>
      </x:c>
      <x:c r="D103" s="14" t="str">
        <x:v>Funboys</x:v>
      </x:c>
      <x:c r="E103" s="14" t="n">
        <x:v>23</x:v>
      </x:c>
      <x:c r="F103" s="14" t="str">
        <x:v>Funboys</x:v>
      </x:c>
      <x:c r="G103" s="14" t="str">
        <x:v>tt35712820</x:v>
      </x:c>
      <x:c r="H103" s="14" t="n">
        <x:v>2025</x:v>
      </x:c>
      <x:c r="I103" s="14" t="n">
        <x:v>2025</x:v>
      </x:c>
      <x:c r="J103" s="14" t="str">
        <x:v>Post-study cohort</x:v>
      </x:c>
      <x:c r="K103" s="14"/>
      <x:c r="L103" s="14" t="str">
        <x:v>Not inherited</x:v>
      </x:c>
      <x:c r="M103" s="15" t="n">
        <x:v>16</x:v>
      </x:c>
      <x:c r="N103" s="14" t="str">
        <x:v>Amanda Doherty</x:v>
      </x:c>
      <x:c r="O103" s="14" t="str">
        <x:v>nm3837915</x:v>
      </x:c>
      <x:c r="P103" s="14" t="str">
        <x:v>Chancer Lady</x:v>
      </x:c>
      <x:c r="Q103" s="15" t="n">
        <x:v>1</x:v>
      </x:c>
      <x:c r="R103" s="14" t="str">
        <x:v>2026</x:v>
      </x:c>
      <x:c r="S103" s="14" t="n">
        <x:v>2026</x:v>
      </x:c>
      <x:c r="T103" s="14" t="n">
        <x:v>2026</x:v>
      </x:c>
      <x:c r="U103" s="14" t="str">
        <x:v>Explicit source first year retained</x:v>
      </x:c>
      <x:c r="V103" s="14" t="str">
        <x:v>Earliest supplied year is 2026.</x:v>
      </x:c>
      <x:c r="W103" s="14"/>
      <x:c r="X103" s="14" t="str">
        <x:v>Excluded: after 2025</x:v>
      </x:c>
      <x:c r="Y103" s="14"/>
      <x:c r="Z103" s="14" t="str">
        <x:v>Funboys.docx</x:v>
      </x:c>
      <x:c r="AA103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7" t="e">
        <x:f>HYPERLINK("https://en.wikipedia.org/wiki/Funboys","Open source")</x:f>
        <x:v>HYPERLINK is not implemented. linkLocation=https://en.wikipedia.org/wiki/Funboys, friendlyName=Open source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8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0.125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tt35712820|nm0176869|phillip cantwell</x:v>
      </x:c>
      <x:c r="B104" s="14" t="str">
        <x:v>02</x:v>
      </x:c>
      <x:c r="C104" s="14" t="str">
        <x:v>2025_IMDb_Cast_Lists_Batch_02(1).xlsx</x:v>
      </x:c>
      <x:c r="D104" s="14" t="str">
        <x:v>Funboys</x:v>
      </x:c>
      <x:c r="E104" s="14" t="n">
        <x:v>25</x:v>
      </x:c>
      <x:c r="F104" s="14" t="str">
        <x:v>Funboys</x:v>
      </x:c>
      <x:c r="G104" s="14" t="str">
        <x:v>tt35712820</x:v>
      </x:c>
      <x:c r="H104" s="14" t="n">
        <x:v>2025</x:v>
      </x:c>
      <x:c r="I104" s="14" t="n">
        <x:v>2025</x:v>
      </x:c>
      <x:c r="J104" s="14" t="str">
        <x:v>Post-study cohort</x:v>
      </x:c>
      <x:c r="K104" s="14"/>
      <x:c r="L104" s="14" t="str">
        <x:v>Not inherited</x:v>
      </x:c>
      <x:c r="M104" s="15" t="n">
        <x:v>18</x:v>
      </x:c>
      <x:c r="N104" s="14" t="str">
        <x:v>Steve Coogan</x:v>
      </x:c>
      <x:c r="O104" s="14" t="str">
        <x:v>nm0176869</x:v>
      </x:c>
      <x:c r="P104" s="14" t="str">
        <x:v>Phillip Cantwell</x:v>
      </x:c>
      <x:c r="Q104" s="15" t="n">
        <x:v>1</x:v>
      </x:c>
      <x:c r="R104" s="14" t="str">
        <x:v>2026</x:v>
      </x:c>
      <x:c r="S104" s="14" t="n">
        <x:v>2026</x:v>
      </x:c>
      <x:c r="T104" s="14" t="n">
        <x:v>2026</x:v>
      </x:c>
      <x:c r="U104" s="14" t="str">
        <x:v>Explicit source first year retained</x:v>
      </x:c>
      <x:c r="V104" s="14" t="str">
        <x:v>Earliest supplied year is 2026.</x:v>
      </x:c>
      <x:c r="W104" s="14"/>
      <x:c r="X104" s="14" t="str">
        <x:v>Excluded: after 2025</x:v>
      </x:c>
      <x:c r="Y104" s="14"/>
      <x:c r="Z104" s="14" t="str">
        <x:v>Funboys.docx</x:v>
      </x:c>
      <x:c r="AA104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7" t="e">
        <x:f>HYPERLINK("https://en.wikipedia.org/wiki/Funboys","Open source")</x:f>
        <x:v>HYPERLINK is not implemented. linkLocation=https://en.wikipedia.org/wiki/Funboys, friendlyName=Open source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8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0.125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tt35712820|nm4010532|fergal mckenna</x:v>
      </x:c>
      <x:c r="B105" s="14" t="str">
        <x:v>02</x:v>
      </x:c>
      <x:c r="C105" s="14" t="str">
        <x:v>2025_IMDb_Cast_Lists_Batch_02(1).xlsx</x:v>
      </x:c>
      <x:c r="D105" s="14" t="str">
        <x:v>Funboys</x:v>
      </x:c>
      <x:c r="E105" s="14" t="n">
        <x:v>26</x:v>
      </x:c>
      <x:c r="F105" s="14" t="str">
        <x:v>Funboys</x:v>
      </x:c>
      <x:c r="G105" s="14" t="str">
        <x:v>tt35712820</x:v>
      </x:c>
      <x:c r="H105" s="14" t="n">
        <x:v>2025</x:v>
      </x:c>
      <x:c r="I105" s="14" t="n">
        <x:v>2025</x:v>
      </x:c>
      <x:c r="J105" s="14" t="str">
        <x:v>Post-study cohort</x:v>
      </x:c>
      <x:c r="K105" s="14"/>
      <x:c r="L105" s="14" t="str">
        <x:v>Not inherited</x:v>
      </x:c>
      <x:c r="M105" s="15" t="n">
        <x:v>19</x:v>
      </x:c>
      <x:c r="N105" s="14" t="str">
        <x:v>Donal O'Hanlon</x:v>
      </x:c>
      <x:c r="O105" s="14" t="str">
        <x:v>nm4010532</x:v>
      </x:c>
      <x:c r="P105" s="14" t="str">
        <x:v>Fergal McKenna</x:v>
      </x:c>
      <x:c r="Q105" s="15" t="n">
        <x:v>1</x:v>
      </x:c>
      <x:c r="R105" s="14" t="str">
        <x:v>2026</x:v>
      </x:c>
      <x:c r="S105" s="14" t="n">
        <x:v>2026</x:v>
      </x:c>
      <x:c r="T105" s="14" t="n">
        <x:v>2026</x:v>
      </x:c>
      <x:c r="U105" s="14" t="str">
        <x:v>Explicit source first year retained</x:v>
      </x:c>
      <x:c r="V105" s="14" t="str">
        <x:v>Earliest supplied year is 2026.</x:v>
      </x:c>
      <x:c r="W105" s="14"/>
      <x:c r="X105" s="14" t="str">
        <x:v>Excluded: after 2025</x:v>
      </x:c>
      <x:c r="Y105" s="14"/>
      <x:c r="Z105" s="14" t="str">
        <x:v>Funboys.docx</x:v>
      </x:c>
      <x:c r="AA105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7" t="e">
        <x:f>HYPERLINK("https://en.wikipedia.org/wiki/Funboys","Open source")</x:f>
        <x:v>HYPERLINK is not implemented. linkLocation=https://en.wikipedia.org/wiki/Funboys, friendlyName=Open source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8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0.125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tt35712820|nm0734498|arnold murphy</x:v>
      </x:c>
      <x:c r="B106" s="14" t="str">
        <x:v>02</x:v>
      </x:c>
      <x:c r="C106" s="14" t="str">
        <x:v>2025_IMDb_Cast_Lists_Batch_02(1).xlsx</x:v>
      </x:c>
      <x:c r="D106" s="14" t="str">
        <x:v>Funboys</x:v>
      </x:c>
      <x:c r="E106" s="14" t="n">
        <x:v>27</x:v>
      </x:c>
      <x:c r="F106" s="14" t="str">
        <x:v>Funboys</x:v>
      </x:c>
      <x:c r="G106" s="14" t="str">
        <x:v>tt35712820</x:v>
      </x:c>
      <x:c r="H106" s="14" t="n">
        <x:v>2025</x:v>
      </x:c>
      <x:c r="I106" s="14" t="n">
        <x:v>2025</x:v>
      </x:c>
      <x:c r="J106" s="14" t="str">
        <x:v>Post-study cohort</x:v>
      </x:c>
      <x:c r="K106" s="14"/>
      <x:c r="L106" s="14" t="str">
        <x:v>Not inherited</x:v>
      </x:c>
      <x:c r="M106" s="15" t="n">
        <x:v>20</x:v>
      </x:c>
      <x:c r="N106" s="14" t="str">
        <x:v>Lalor Roddy</x:v>
      </x:c>
      <x:c r="O106" s="14" t="str">
        <x:v>nm0734498</x:v>
      </x:c>
      <x:c r="P106" s="14" t="str">
        <x:v>Arnold Murphy</x:v>
      </x:c>
      <x:c r="Q106" s="15" t="n">
        <x:v>1</x:v>
      </x:c>
      <x:c r="R106" s="14" t="str">
        <x:v>2026</x:v>
      </x:c>
      <x:c r="S106" s="14" t="n">
        <x:v>2026</x:v>
      </x:c>
      <x:c r="T106" s="14" t="n">
        <x:v>2026</x:v>
      </x:c>
      <x:c r="U106" s="14" t="str">
        <x:v>Explicit source first year retained</x:v>
      </x:c>
      <x:c r="V106" s="14" t="str">
        <x:v>Earliest supplied year is 2026.</x:v>
      </x:c>
      <x:c r="W106" s="14"/>
      <x:c r="X106" s="14" t="str">
        <x:v>Excluded: after 2025</x:v>
      </x:c>
      <x:c r="Y106" s="14"/>
      <x:c r="Z106" s="14" t="str">
        <x:v>Funboys.docx</x:v>
      </x:c>
      <x:c r="AA106" s="17" t="e">
        <x:f>HYPERLINK("https://www.imdb.com/title/tt35712820/fullcredits/","Open source")</x:f>
        <x:v>HYPERLINK is not implemented. linkLocation=https://www.imdb.com/title/tt35712820/fullcredits/, friendlyName=Open source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7" t="e">
        <x:f>HYPERLINK("https://en.wikipedia.org/wiki/Funboys","Open source")</x:f>
        <x:v>HYPERLINK is not implemented. linkLocation=https://en.wikipedia.org/wiki/Funboys, friendlyName=Open source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8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0.125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7" t="e">
        <x:f>HYPERLINK("https://www.imdb.com/title/tt35712820/fullcredits/","Open source")</x:f>
        <x:v>HYPERLINK is not implemented. linkLocation=https://www.imdb.com/title/tt35712820/fullcredits/, friendlyName=Open source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tt31259038|nm9555373|prisoner</x:v>
      </x:c>
      <x:c r="B107" s="14" t="str">
        <x:v>02</x:v>
      </x:c>
      <x:c r="C107" s="14" t="str">
        <x:v>2025_IMDb_Cast_Lists_Batch_02(1).xlsx</x:v>
      </x:c>
      <x:c r="D107" s="14" t="str">
        <x:v>I, Jack Wright</x:v>
      </x:c>
      <x:c r="E107" s="14" t="n">
        <x:v>36</x:v>
      </x:c>
      <x:c r="F107" s="14" t="str">
        <x:v>I, Jack Wright</x:v>
      </x:c>
      <x:c r="G107" s="14" t="str">
        <x:v>tt31259038</x:v>
      </x:c>
      <x:c r="H107" s="14" t="n">
        <x:v>2025</x:v>
      </x:c>
      <x:c r="I107" s="14" t="n">
        <x:v>2025</x:v>
      </x:c>
      <x:c r="J107" s="14" t="str">
        <x:v>Post-study cohort</x:v>
      </x:c>
      <x:c r="K107" s="14"/>
      <x:c r="L107" s="14" t="str">
        <x:v>Not inherited</x:v>
      </x:c>
      <x:c r="M107" s="15" t="n">
        <x:v>29</x:v>
      </x:c>
      <x:c r="N107" s="14" t="str">
        <x:v>Will Rowlands</x:v>
      </x:c>
      <x:c r="O107" s="14" t="str">
        <x:v>nm9555373</x:v>
      </x:c>
      <x:c r="P107" s="14" t="str">
        <x:v>Prisoner</x:v>
      </x:c>
      <x:c r="Q107" s="15" t="n">
        <x:v>3</x:v>
      </x:c>
      <x:c r="R107" s="14" t="str">
        <x:v>2026</x:v>
      </x:c>
      <x:c r="S107" s="14" t="n">
        <x:v>2026</x:v>
      </x:c>
      <x:c r="T107" s="14" t="n">
        <x:v>2026</x:v>
      </x:c>
      <x:c r="U107" s="14" t="str">
        <x:v>Explicit source first year retained</x:v>
      </x:c>
      <x:c r="V107" s="14" t="str">
        <x:v>Earliest supplied year is 2026.</x:v>
      </x:c>
      <x:c r="W107" s="14"/>
      <x:c r="X107" s="14" t="str">
        <x:v>Excluded: after 2025</x:v>
      </x:c>
      <x:c r="Y107" s="14"/>
      <x:c r="Z107" s="14" t="str">
        <x:v>I, Jack Wright.docx</x:v>
      </x:c>
      <x:c r="AA107" s="17" t="e">
        <x:f>HYPERLINK("https://www.imdb.com/title/tt31259038/fullcredits/","Open source")</x:f>
        <x:v>HYPERLINK is not implemented. linkLocation=https://www.imdb.com/title/tt31259038/fullcredits/, friendlyName=Open source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 Studios / UKTV (U&amp;Alibi)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7" t="e">
        <x:f>HYPERLINK("https://en.wikipedia.org/wiki/I,_Jack_Wright","Open source")</x:f>
        <x:v>HYPERLINK is not implemented. linkLocation=https://en.wikipedia.org/wiki/I,_Jack_Wright, friendlyName=Open source</x:v>
      </x:c>
      <x:c r="AN107" s="14" t="str">
        <x:v>BBC Studios production for another broadcaster</x:v>
      </x:c>
      <x:c r="AO107" s="14" t="str">
        <x:v>Yes</x:v>
      </x:c>
      <x:c r="AP107" s="14" t="str">
        <x:v>Wider BBC commercial-group context only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6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3</x:v>
      </x:c>
      <x:c r="BS107" s="16" t="n">
        <x:v>0.5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7" t="e">
        <x:f>HYPERLINK("https://www.imdb.com/title/tt31259038/fullcredits/","Open source")</x:f>
        <x:v>HYPERLINK is not implemented. linkLocation=https://www.imdb.com/title/tt31259038/fullcredits/, friendlyName=Open source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tt31495377|nm0828961|di frankie monroe</x:v>
      </x:c>
      <x:c r="B108" s="14" t="str">
        <x:v>03</x:v>
      </x:c>
      <x:c r="C108" s="14" t="str">
        <x:v>2025_IMDb_Cast_Lists_Batch_03(1).xlsx</x:v>
      </x:c>
      <x:c r="D108" s="14" t="str">
        <x:v>Patience</x:v>
      </x:c>
      <x:c r="E108" s="14" t="n">
        <x:v>15</x:v>
      </x:c>
      <x:c r="F108" s="14" t="str">
        <x:v>Patience</x:v>
      </x:c>
      <x:c r="G108" s="14" t="str">
        <x:v>tt31495377</x:v>
      </x:c>
      <x:c r="H108" s="14" t="n">
        <x:v>2025</x:v>
      </x:c>
      <x:c r="I108" s="14" t="n">
        <x:v>2025</x:v>
      </x:c>
      <x:c r="J108" s="14" t="str">
        <x:v>Post-study cohort</x:v>
      </x:c>
      <x:c r="K108" s="14"/>
      <x:c r="L108" s="14" t="str">
        <x:v>Not inherited</x:v>
      </x:c>
      <x:c r="M108" s="15" t="n">
        <x:v>8</x:v>
      </x:c>
      <x:c r="N108" s="14" t="str">
        <x:v>Jessica Hynes</x:v>
      </x:c>
      <x:c r="O108" s="14" t="str">
        <x:v>nm0828961</x:v>
      </x:c>
      <x:c r="P108" s="14" t="str">
        <x:v>DI Frankie Monroe</x:v>
      </x:c>
      <x:c r="Q108" s="15" t="n">
        <x:v>8</x:v>
      </x:c>
      <x:c r="R108" s="14" t="str">
        <x:v>2026</x:v>
      </x:c>
      <x:c r="S108" s="14" t="n">
        <x:v>2026</x:v>
      </x:c>
      <x:c r="T108" s="14" t="n">
        <x:v>2026</x:v>
      </x:c>
      <x:c r="U108" s="14" t="str">
        <x:v>Explicit source first year retained</x:v>
      </x:c>
      <x:c r="V108" s="14" t="str">
        <x:v>Earliest supplied year is 2026.</x:v>
      </x:c>
      <x:c r="W108" s="14"/>
      <x:c r="X108" s="14" t="str">
        <x:v>Excluded: after 2025</x:v>
      </x:c>
      <x:c r="Y108" s="14"/>
      <x:c r="Z108" s="14" t="str">
        <x:v>Patience.docx</x:v>
      </x:c>
      <x:c r="AA10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Channel 4 / E4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7" t="e">
        <x:f>HYPERLINK("https://en.wikipedia.org/wiki/Patience","Open source")</x:f>
        <x:v>HYPERLINK is not implemented. linkLocation=https://en.wikipedia.org/wiki/Patience, friendlyName=Open source</x:v>
      </x:c>
      <x:c r="AN108" s="14" t="str">
        <x:v>No qualifying BBC relationship</x:v>
      </x:c>
      <x:c r="AO108" s="14" t="str">
        <x:v>No</x:v>
      </x:c>
      <x:c r="AP108" s="14" t="str">
        <x:v>Out of scope</x:v>
      </x:c>
      <x:c r="AQ108" s="14" t="str">
        <x:v>No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14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8</x:v>
      </x:c>
      <x:c r="BS108" s="16" t="n">
        <x:v>0.5714285714285714</x:v>
      </x:c>
      <x:c r="BT108" s="14" t="str">
        <x:v>Majority of episodes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tt31495377|nm7333049|zinzi rooks</x:v>
      </x:c>
      <x:c r="B109" s="14" t="str">
        <x:v>03</x:v>
      </x:c>
      <x:c r="C109" s="14" t="str">
        <x:v>2025_IMDb_Cast_Lists_Batch_03(1).xlsx</x:v>
      </x:c>
      <x:c r="D109" s="14" t="str">
        <x:v>Patience</x:v>
      </x:c>
      <x:c r="E109" s="14" t="n">
        <x:v>21</x:v>
      </x:c>
      <x:c r="F109" s="14" t="str">
        <x:v>Patience</x:v>
      </x:c>
      <x:c r="G109" s="14" t="str">
        <x:v>tt31495377</x:v>
      </x:c>
      <x:c r="H109" s="14" t="n">
        <x:v>2025</x:v>
      </x:c>
      <x:c r="I109" s="14" t="n">
        <x:v>2025</x:v>
      </x:c>
      <x:c r="J109" s="14" t="str">
        <x:v>Post-study cohort</x:v>
      </x:c>
      <x:c r="K109" s="14"/>
      <x:c r="L109" s="14" t="str">
        <x:v>Not inherited</x:v>
      </x:c>
      <x:c r="M109" s="15" t="n">
        <x:v>14</x:v>
      </x:c>
      <x:c r="N109" s="14" t="str">
        <x:v>Rhiannon Clements</x:v>
      </x:c>
      <x:c r="O109" s="14" t="str">
        <x:v>nm7333049</x:v>
      </x:c>
      <x:c r="P109" s="14" t="str">
        <x:v>Zinzi Rooks</x:v>
      </x:c>
      <x:c r="Q109" s="15" t="n">
        <x:v>5</x:v>
      </x:c>
      <x:c r="R109" s="14" t="str">
        <x:v>2026</x:v>
      </x:c>
      <x:c r="S109" s="14" t="n">
        <x:v>2026</x:v>
      </x:c>
      <x:c r="T109" s="14" t="n">
        <x:v>2026</x:v>
      </x:c>
      <x:c r="U109" s="14" t="str">
        <x:v>Explicit source first year retained</x:v>
      </x:c>
      <x:c r="V109" s="14" t="str">
        <x:v>Earliest supplied year is 2026.</x:v>
      </x:c>
      <x:c r="W109" s="14"/>
      <x:c r="X109" s="14" t="str">
        <x:v>Excluded: after 2025</x:v>
      </x:c>
      <x:c r="Y109" s="14"/>
      <x:c r="Z109" s="14" t="str">
        <x:v>Patience.docx</x:v>
      </x:c>
      <x:c r="AA10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09" s="14" t="str">
        <x:v>Existing established-register match</x:v>
      </x:c>
      <x:c r="AC109" s="14" t="str">
        <x:v>Physical disability</x:v>
      </x:c>
      <x:c r="AD109" s="14" t="str">
        <x:v>Existing register classification: Physical disability</x:v>
      </x:c>
      <x:c r="AE109" s="14" t="str">
        <x:v>Established_Disability_Category_Register V1.2.xlsx</x:v>
      </x:c>
      <x:c r="AF109" s="14"/>
      <x:c r="AG109" s="14" t="str">
        <x:v>Established user-supplied classification retained for deduplication; evidence was not re-researched in this batch.</x:v>
      </x:c>
      <x:c r="AH109" s="14" t="str">
        <x:v>Channel 4 / E4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7" t="e">
        <x:f>HYPERLINK("https://en.wikipedia.org/wiki/Patience","Open source")</x:f>
        <x:v>HYPERLINK is not implemented. linkLocation=https://en.wikipedia.org/wiki/Patience, friendlyName=Open source</x:v>
      </x:c>
      <x:c r="AN109" s="14" t="str">
        <x:v>No qualifying BBC relationship</x:v>
      </x:c>
      <x:c r="AO109" s="14" t="str">
        <x:v>No</x:v>
      </x:c>
      <x:c r="AP109" s="14" t="str">
        <x:v>Out of scope</x:v>
      </x:c>
      <x:c r="AQ109" s="14" t="str">
        <x:v>No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Exact IMDb performer ID match</x:v>
      </x:c>
      <x:c r="BC109" s="14" t="str">
        <x:v>nm7333049</x:v>
      </x:c>
      <x:c r="BD109" s="14" t="str">
        <x:v>Rhiannon Clements</x:v>
      </x:c>
      <x:c r="BE109" s="14" t="str">
        <x:v>Physical disability</x:v>
      </x:c>
      <x:c r="BF109" s="14" t="str">
        <x:v>Yes</x:v>
      </x:c>
      <x:c r="BG109" s="14" t="str">
        <x:v>Physical disability</x:v>
      </x:c>
      <x:c r="BH109" s="14" t="str">
        <x:v>No</x:v>
      </x:c>
      <x:c r="BI109" s="14" t="str">
        <x:v>User-supplied established classification</x:v>
      </x:c>
      <x:c r="BJ109" s="14" t="str">
        <x:v>04_Physical_disability.csv</x:v>
      </x:c>
      <x:c r="BK109" s="14"/>
      <x:c r="BL109" s="14" t="str">
        <x:v>Matched</x:v>
      </x:c>
      <x:c r="BM109" s="14" t="str">
        <x:v>Final supplied register</x:v>
      </x:c>
      <x:c r="BN109" s="14"/>
      <x:c r="BO109" s="14" t="n">
        <x:v>14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5</x:v>
      </x:c>
      <x:c r="BS109" s="16" t="n">
        <x:v>0.35714285714285715</x:v>
      </x:c>
      <x:c r="BT109" s="14" t="str">
        <x:v>Minority of episodes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tt31495377|nm4752015|clara</x:v>
      </x:c>
      <x:c r="B110" s="14" t="str">
        <x:v>03</x:v>
      </x:c>
      <x:c r="C110" s="14" t="str">
        <x:v>2025_IMDb_Cast_Lists_Batch_03(1).xlsx</x:v>
      </x:c>
      <x:c r="D110" s="14" t="str">
        <x:v>Patience</x:v>
      </x:c>
      <x:c r="E110" s="14" t="n">
        <x:v>24</x:v>
      </x:c>
      <x:c r="F110" s="14" t="str">
        <x:v>Patience</x:v>
      </x:c>
      <x:c r="G110" s="14" t="str">
        <x:v>tt31495377</x:v>
      </x:c>
      <x:c r="H110" s="14" t="n">
        <x:v>2025</x:v>
      </x:c>
      <x:c r="I110" s="14" t="n">
        <x:v>2025</x:v>
      </x:c>
      <x:c r="J110" s="14" t="str">
        <x:v>Post-study cohort</x:v>
      </x:c>
      <x:c r="K110" s="14"/>
      <x:c r="L110" s="14" t="str">
        <x:v>Not inherited</x:v>
      </x:c>
      <x:c r="M110" s="15" t="n">
        <x:v>17</x:v>
      </x:c>
      <x:c r="N110" s="14" t="str">
        <x:v>Aruhan Galieva</x:v>
      </x:c>
      <x:c r="O110" s="14" t="str">
        <x:v>nm4752015</x:v>
      </x:c>
      <x:c r="P110" s="14" t="str">
        <x:v>Clara</x:v>
      </x:c>
      <x:c r="Q110" s="15" t="n">
        <x:v>4</x:v>
      </x:c>
      <x:c r="R110" s="14" t="str">
        <x:v>2026</x:v>
      </x:c>
      <x:c r="S110" s="14" t="n">
        <x:v>2026</x:v>
      </x:c>
      <x:c r="T110" s="14" t="n">
        <x:v>2026</x:v>
      </x:c>
      <x:c r="U110" s="14" t="str">
        <x:v>Explicit source first year retained</x:v>
      </x:c>
      <x:c r="V110" s="14" t="str">
        <x:v>Earliest supplied year is 2026.</x:v>
      </x:c>
      <x:c r="W110" s="14"/>
      <x:c r="X110" s="14" t="str">
        <x:v>Excluded: after 2025</x:v>
      </x:c>
      <x:c r="Y110" s="14"/>
      <x:c r="Z110" s="14" t="str">
        <x:v>Patience.docx</x:v>
      </x:c>
      <x:c r="AA11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Channel 4 / E4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7" t="e">
        <x:f>HYPERLINK("https://en.wikipedia.org/wiki/Patience","Open source")</x:f>
        <x:v>HYPERLINK is not implemented. linkLocation=https://en.wikipedia.org/wiki/Patience, friendlyName=Open source</x:v>
      </x:c>
      <x:c r="AN110" s="14" t="str">
        <x:v>No qualifying BBC relationship</x:v>
      </x:c>
      <x:c r="AO110" s="14" t="str">
        <x:v>No</x:v>
      </x:c>
      <x:c r="AP110" s="14" t="str">
        <x:v>Out of scope</x:v>
      </x:c>
      <x:c r="AQ110" s="14" t="str">
        <x:v>No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14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4</x:v>
      </x:c>
      <x:c r="BS110" s="16" t="n">
        <x:v>0.2857142857142857</x:v>
      </x:c>
      <x:c r="BT110" s="14" t="str">
        <x:v>Minority of episodes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tt31495377|nm1585872|alex</x:v>
      </x:c>
      <x:c r="B111" s="14" t="str">
        <x:v>03</x:v>
      </x:c>
      <x:c r="C111" s="14" t="str">
        <x:v>2025_IMDb_Cast_Lists_Batch_03(1).xlsx</x:v>
      </x:c>
      <x:c r="D111" s="14" t="str">
        <x:v>Patience</x:v>
      </x:c>
      <x:c r="E111" s="14" t="n">
        <x:v>25</x:v>
      </x:c>
      <x:c r="F111" s="14" t="str">
        <x:v>Patience</x:v>
      </x:c>
      <x:c r="G111" s="14" t="str">
        <x:v>tt31495377</x:v>
      </x:c>
      <x:c r="H111" s="14" t="n">
        <x:v>2025</x:v>
      </x:c>
      <x:c r="I111" s="14" t="n">
        <x:v>2025</x:v>
      </x:c>
      <x:c r="J111" s="14" t="str">
        <x:v>Post-study cohort</x:v>
      </x:c>
      <x:c r="K111" s="14"/>
      <x:c r="L111" s="14" t="str">
        <x:v>Not inherited</x:v>
      </x:c>
      <x:c r="M111" s="15" t="n">
        <x:v>18</x:v>
      </x:c>
      <x:c r="N111" s="14" t="str">
        <x:v>Stuart Laws</x:v>
      </x:c>
      <x:c r="O111" s="14" t="str">
        <x:v>nm1585872</x:v>
      </x:c>
      <x:c r="P111" s="14" t="str">
        <x:v>Alex</x:v>
      </x:c>
      <x:c r="Q111" s="15" t="n">
        <x:v>4</x:v>
      </x:c>
      <x:c r="R111" s="14" t="str">
        <x:v>2026</x:v>
      </x:c>
      <x:c r="S111" s="14" t="n">
        <x:v>2026</x:v>
      </x:c>
      <x:c r="T111" s="14" t="n">
        <x:v>2026</x:v>
      </x:c>
      <x:c r="U111" s="14" t="str">
        <x:v>Explicit source first year retained</x:v>
      </x:c>
      <x:c r="V111" s="14" t="str">
        <x:v>Earliest supplied year is 2026.</x:v>
      </x:c>
      <x:c r="W111" s="14"/>
      <x:c r="X111" s="14" t="str">
        <x:v>Excluded: after 2025</x:v>
      </x:c>
      <x:c r="Y111" s="14"/>
      <x:c r="Z111" s="14" t="str">
        <x:v>Patience.docx</x:v>
      </x:c>
      <x:c r="AA11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Channel 4 / E4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7" t="e">
        <x:f>HYPERLINK("https://en.wikipedia.org/wiki/Patience","Open source")</x:f>
        <x:v>HYPERLINK is not implemented. linkLocation=https://en.wikipedia.org/wiki/Patience, friendlyName=Open source</x:v>
      </x:c>
      <x:c r="AN111" s="14" t="str">
        <x:v>No qualifying BBC relationship</x:v>
      </x:c>
      <x:c r="AO111" s="14" t="str">
        <x:v>No</x:v>
      </x:c>
      <x:c r="AP111" s="14" t="str">
        <x:v>Out of scope</x:v>
      </x:c>
      <x:c r="AQ111" s="14" t="str">
        <x:v>No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Exact IMDb performer ID match</x:v>
      </x:c>
      <x:c r="BC111" s="14" t="str">
        <x:v>nm1585872</x:v>
      </x:c>
      <x:c r="BD111" s="14" t="str">
        <x:v>Stuart Laws</x:v>
      </x:c>
      <x:c r="BE111" s="14" t="str">
        <x:v>Neurodivergent</x:v>
      </x:c>
      <x:c r="BF111" s="14" t="str">
        <x:v>No</x:v>
      </x:c>
      <x:c r="BG111" s="14"/>
      <x:c r="BH111" s="14" t="str">
        <x:v>Yes</x:v>
      </x:c>
      <x:c r="BI111" s="14" t="str">
        <x:v>User-supplied established classification</x:v>
      </x:c>
      <x:c r="BJ111" s="14" t="str">
        <x:v>New IMDB Data.csv</x:v>
      </x:c>
      <x:c r="BK111" s="14"/>
      <x:c r="BL111" s="14" t="str">
        <x:v>Matched</x:v>
      </x:c>
      <x:c r="BM111" s="14" t="str">
        <x:v>Final supplied register</x:v>
      </x:c>
      <x:c r="BN111" s="14"/>
      <x:c r="BO111" s="14" t="n">
        <x:v>14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4</x:v>
      </x:c>
      <x:c r="BS111" s="16" t="n">
        <x:v>0.2857142857142857</x:v>
      </x:c>
      <x:c r="BT111" s="14" t="str">
        <x:v>Minority of episodes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tt31495377|nm10766179|chuong</x:v>
      </x:c>
      <x:c r="B112" s="14" t="str">
        <x:v>03</x:v>
      </x:c>
      <x:c r="C112" s="14" t="str">
        <x:v>2025_IMDb_Cast_Lists_Batch_03(1).xlsx</x:v>
      </x:c>
      <x:c r="D112" s="14" t="str">
        <x:v>Patience</x:v>
      </x:c>
      <x:c r="E112" s="14" t="n">
        <x:v>29</x:v>
      </x:c>
      <x:c r="F112" s="14" t="str">
        <x:v>Patience</x:v>
      </x:c>
      <x:c r="G112" s="14" t="str">
        <x:v>tt31495377</x:v>
      </x:c>
      <x:c r="H112" s="14" t="n">
        <x:v>2025</x:v>
      </x:c>
      <x:c r="I112" s="14" t="n">
        <x:v>2025</x:v>
      </x:c>
      <x:c r="J112" s="14" t="str">
        <x:v>Post-study cohort</x:v>
      </x:c>
      <x:c r="K112" s="14"/>
      <x:c r="L112" s="14" t="str">
        <x:v>Not inherited</x:v>
      </x:c>
      <x:c r="M112" s="15" t="n">
        <x:v>22</x:v>
      </x:c>
      <x:c r="N112" s="14" t="str">
        <x:v>Jordan Mahr</x:v>
      </x:c>
      <x:c r="O112" s="14" t="str">
        <x:v>nm10766179</x:v>
      </x:c>
      <x:c r="P112" s="14" t="str">
        <x:v>Chuong</x:v>
      </x:c>
      <x:c r="Q112" s="15" t="n">
        <x:v>3</x:v>
      </x:c>
      <x:c r="R112" s="14" t="str">
        <x:v>2026</x:v>
      </x:c>
      <x:c r="S112" s="14" t="n">
        <x:v>2026</x:v>
      </x:c>
      <x:c r="T112" s="14" t="n">
        <x:v>2026</x:v>
      </x:c>
      <x:c r="U112" s="14" t="str">
        <x:v>Explicit source first year retained</x:v>
      </x:c>
      <x:c r="V112" s="14" t="str">
        <x:v>Earliest supplied year is 2026.</x:v>
      </x:c>
      <x:c r="W112" s="14"/>
      <x:c r="X112" s="14" t="str">
        <x:v>Excluded: after 2025</x:v>
      </x:c>
      <x:c r="Y112" s="14"/>
      <x:c r="Z112" s="14" t="str">
        <x:v>Patience.docx</x:v>
      </x:c>
      <x:c r="AA11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Channel 4 / E4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7" t="e">
        <x:f>HYPERLINK("https://en.wikipedia.org/wiki/Patience","Open source")</x:f>
        <x:v>HYPERLINK is not implemented. linkLocation=https://en.wikipedia.org/wiki/Patience, friendlyName=Open source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14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3</x:v>
      </x:c>
      <x:c r="BS112" s="16" t="n">
        <x:v>0.21428571428571427</x:v>
      </x:c>
      <x:c r="BT112" s="14" t="str">
        <x:v>Minority of episodes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tt31495377|nm10130242|violet</x:v>
      </x:c>
      <x:c r="B113" s="14" t="str">
        <x:v>03</x:v>
      </x:c>
      <x:c r="C113" s="14" t="str">
        <x:v>2025_IMDb_Cast_Lists_Batch_03(1).xlsx</x:v>
      </x:c>
      <x:c r="D113" s="14" t="str">
        <x:v>Patience</x:v>
      </x:c>
      <x:c r="E113" s="14" t="n">
        <x:v>30</x:v>
      </x:c>
      <x:c r="F113" s="14" t="str">
        <x:v>Patience</x:v>
      </x:c>
      <x:c r="G113" s="14" t="str">
        <x:v>tt31495377</x:v>
      </x:c>
      <x:c r="H113" s="14" t="n">
        <x:v>2025</x:v>
      </x:c>
      <x:c r="I113" s="14" t="n">
        <x:v>2025</x:v>
      </x:c>
      <x:c r="J113" s="14" t="str">
        <x:v>Post-study cohort</x:v>
      </x:c>
      <x:c r="K113" s="14"/>
      <x:c r="L113" s="14" t="str">
        <x:v>Not inherited</x:v>
      </x:c>
      <x:c r="M113" s="15" t="n">
        <x:v>23</x:v>
      </x:c>
      <x:c r="N113" s="14" t="str">
        <x:v>Nenda Neururer</x:v>
      </x:c>
      <x:c r="O113" s="14" t="str">
        <x:v>nm10130242</x:v>
      </x:c>
      <x:c r="P113" s="14" t="str">
        <x:v>Violet</x:v>
      </x:c>
      <x:c r="Q113" s="15" t="n">
        <x:v>3</x:v>
      </x:c>
      <x:c r="R113" s="14" t="str">
        <x:v>2026</x:v>
      </x:c>
      <x:c r="S113" s="14" t="n">
        <x:v>2026</x:v>
      </x:c>
      <x:c r="T113" s="14" t="n">
        <x:v>2026</x:v>
      </x:c>
      <x:c r="U113" s="14" t="str">
        <x:v>Explicit source first year retained</x:v>
      </x:c>
      <x:c r="V113" s="14" t="str">
        <x:v>Earliest supplied year is 2026.</x:v>
      </x:c>
      <x:c r="W113" s="14"/>
      <x:c r="X113" s="14" t="str">
        <x:v>Excluded: after 2025</x:v>
      </x:c>
      <x:c r="Y113" s="14"/>
      <x:c r="Z113" s="14" t="str">
        <x:v>Patience.docx</x:v>
      </x:c>
      <x:c r="AA11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Channel 4 / E4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7" t="e">
        <x:f>HYPERLINK("https://en.wikipedia.org/wiki/Patience","Open source")</x:f>
        <x:v>HYPERLINK is not implemented. linkLocation=https://en.wikipedia.org/wiki/Patience, friendlyName=Open source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14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3</x:v>
      </x:c>
      <x:c r="BS113" s="16" t="n">
        <x:v>0.21428571428571427</x:v>
      </x:c>
      <x:c r="BT113" s="14" t="str">
        <x:v>Minority of episodes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tt31495377|nm1482510|joy</x:v>
      </x:c>
      <x:c r="B114" s="14" t="str">
        <x:v>03</x:v>
      </x:c>
      <x:c r="C114" s="14" t="str">
        <x:v>2025_IMDb_Cast_Lists_Batch_03(1).xlsx</x:v>
      </x:c>
      <x:c r="D114" s="14" t="str">
        <x:v>Patience</x:v>
      </x:c>
      <x:c r="E114" s="14" t="n">
        <x:v>31</x:v>
      </x:c>
      <x:c r="F114" s="14" t="str">
        <x:v>Patience</x:v>
      </x:c>
      <x:c r="G114" s="14" t="str">
        <x:v>tt31495377</x:v>
      </x:c>
      <x:c r="H114" s="14" t="n">
        <x:v>2025</x:v>
      </x:c>
      <x:c r="I114" s="14" t="n">
        <x:v>2025</x:v>
      </x:c>
      <x:c r="J114" s="14" t="str">
        <x:v>Post-study cohort</x:v>
      </x:c>
      <x:c r="K114" s="14"/>
      <x:c r="L114" s="14" t="str">
        <x:v>Not inherited</x:v>
      </x:c>
      <x:c r="M114" s="15" t="n">
        <x:v>24</x:v>
      </x:c>
      <x:c r="N114" s="14" t="str">
        <x:v>Hannah Tointon</x:v>
      </x:c>
      <x:c r="O114" s="14" t="str">
        <x:v>nm1482510</x:v>
      </x:c>
      <x:c r="P114" s="14" t="str">
        <x:v>Joy</x:v>
      </x:c>
      <x:c r="Q114" s="15" t="n">
        <x:v>3</x:v>
      </x:c>
      <x:c r="R114" s="14" t="str">
        <x:v>2026</x:v>
      </x:c>
      <x:c r="S114" s="14" t="n">
        <x:v>2026</x:v>
      </x:c>
      <x:c r="T114" s="14" t="n">
        <x:v>2026</x:v>
      </x:c>
      <x:c r="U114" s="14" t="str">
        <x:v>Explicit source first year retained</x:v>
      </x:c>
      <x:c r="V114" s="14" t="str">
        <x:v>Earliest supplied year is 2026.</x:v>
      </x:c>
      <x:c r="W114" s="14"/>
      <x:c r="X114" s="14" t="str">
        <x:v>Excluded: after 2025</x:v>
      </x:c>
      <x:c r="Y114" s="14"/>
      <x:c r="Z114" s="14" t="str">
        <x:v>Patience.docx</x:v>
      </x:c>
      <x:c r="AA11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Channel 4 / E4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7" t="e">
        <x:f>HYPERLINK("https://en.wikipedia.org/wiki/Patience","Open source")</x:f>
        <x:v>HYPERLINK is not implemented. linkLocation=https://en.wikipedia.org/wiki/Patience, friendlyName=Open source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14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3</x:v>
      </x:c>
      <x:c r="BS114" s="16" t="n">
        <x:v>0.21428571428571427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tt31495377|nm0827664|brother swavek</x:v>
      </x:c>
      <x:c r="B115" s="14" t="str">
        <x:v>03</x:v>
      </x:c>
      <x:c r="C115" s="14" t="str">
        <x:v>2025_IMDb_Cast_Lists_Batch_03(1).xlsx</x:v>
      </x:c>
      <x:c r="D115" s="14" t="str">
        <x:v>Patience</x:v>
      </x:c>
      <x:c r="E115" s="14" t="n">
        <x:v>44</x:v>
      </x:c>
      <x:c r="F115" s="14" t="str">
        <x:v>Patience</x:v>
      </x:c>
      <x:c r="G115" s="14" t="str">
        <x:v>tt31495377</x:v>
      </x:c>
      <x:c r="H115" s="14" t="n">
        <x:v>2025</x:v>
      </x:c>
      <x:c r="I115" s="14" t="n">
        <x:v>2025</x:v>
      </x:c>
      <x:c r="J115" s="14" t="str">
        <x:v>Post-study cohort</x:v>
      </x:c>
      <x:c r="K115" s="14"/>
      <x:c r="L115" s="14" t="str">
        <x:v>Not inherited</x:v>
      </x:c>
      <x:c r="M115" s="15" t="n">
        <x:v>37</x:v>
      </x:c>
      <x:c r="N115" s="14" t="str">
        <x:v>David Sterne</x:v>
      </x:c>
      <x:c r="O115" s="14" t="str">
        <x:v>nm0827664</x:v>
      </x:c>
      <x:c r="P115" s="14" t="str">
        <x:v>Brother Swavek</x:v>
      </x:c>
      <x:c r="Q115" s="15" t="n">
        <x:v>1</x:v>
      </x:c>
      <x:c r="R115" s="14" t="str">
        <x:v>2026</x:v>
      </x:c>
      <x:c r="S115" s="14" t="n">
        <x:v>2026</x:v>
      </x:c>
      <x:c r="T115" s="14" t="n">
        <x:v>2026</x:v>
      </x:c>
      <x:c r="U115" s="14" t="str">
        <x:v>Explicit source first year retained</x:v>
      </x:c>
      <x:c r="V115" s="14" t="str">
        <x:v>Earliest supplied year is 2026.</x:v>
      </x:c>
      <x:c r="W115" s="14"/>
      <x:c r="X115" s="14" t="str">
        <x:v>Excluded: after 2025</x:v>
      </x:c>
      <x:c r="Y115" s="14"/>
      <x:c r="Z115" s="14" t="str">
        <x:v>Patience.docx</x:v>
      </x:c>
      <x:c r="AA11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Channel 4 / E4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7" t="e">
        <x:f>HYPERLINK("https://en.wikipedia.org/wiki/Patience","Open source")</x:f>
        <x:v>HYPERLINK is not implemented. linkLocation=https://en.wikipedia.org/wiki/Patience, friendlyName=Open source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14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0.07142857142857142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tt31495377|nm8536664|nathalie forster</x:v>
      </x:c>
      <x:c r="B116" s="14" t="str">
        <x:v>03</x:v>
      </x:c>
      <x:c r="C116" s="14" t="str">
        <x:v>2025_IMDb_Cast_Lists_Batch_03(1).xlsx</x:v>
      </x:c>
      <x:c r="D116" s="14" t="str">
        <x:v>Patience</x:v>
      </x:c>
      <x:c r="E116" s="14" t="n">
        <x:v>45</x:v>
      </x:c>
      <x:c r="F116" s="14" t="str">
        <x:v>Patience</x:v>
      </x:c>
      <x:c r="G116" s="14" t="str">
        <x:v>tt31495377</x:v>
      </x:c>
      <x:c r="H116" s="14" t="n">
        <x:v>2025</x:v>
      </x:c>
      <x:c r="I116" s="14" t="n">
        <x:v>2025</x:v>
      </x:c>
      <x:c r="J116" s="14" t="str">
        <x:v>Post-study cohort</x:v>
      </x:c>
      <x:c r="K116" s="14"/>
      <x:c r="L116" s="14" t="str">
        <x:v>Not inherited</x:v>
      </x:c>
      <x:c r="M116" s="15" t="n">
        <x:v>38</x:v>
      </x:c>
      <x:c r="N116" s="14" t="str">
        <x:v>Jodie Tyack</x:v>
      </x:c>
      <x:c r="O116" s="14" t="str">
        <x:v>nm8536664</x:v>
      </x:c>
      <x:c r="P116" s="14" t="str">
        <x:v>Nathalie Forster</x:v>
      </x:c>
      <x:c r="Q116" s="15" t="n">
        <x:v>1</x:v>
      </x:c>
      <x:c r="R116" s="14" t="str">
        <x:v>2026</x:v>
      </x:c>
      <x:c r="S116" s="14" t="n">
        <x:v>2026</x:v>
      </x:c>
      <x:c r="T116" s="14" t="n">
        <x:v>2026</x:v>
      </x:c>
      <x:c r="U116" s="14" t="str">
        <x:v>Explicit source first year retained</x:v>
      </x:c>
      <x:c r="V116" s="14" t="str">
        <x:v>Earliest supplied year is 2026.</x:v>
      </x:c>
      <x:c r="W116" s="14"/>
      <x:c r="X116" s="14" t="str">
        <x:v>Excluded: after 2025</x:v>
      </x:c>
      <x:c r="Y116" s="14"/>
      <x:c r="Z116" s="14" t="str">
        <x:v>Patience.docx</x:v>
      </x:c>
      <x:c r="AA11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Channel 4 / E4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7" t="e">
        <x:f>HYPERLINK("https://en.wikipedia.org/wiki/Patience","Open source")</x:f>
        <x:v>HYPERLINK is not implemented. linkLocation=https://en.wikipedia.org/wiki/Patience, friendlyName=Open source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14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0.07142857142857142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tt31495377|nm1765118|clare braxton</x:v>
      </x:c>
      <x:c r="B117" s="14" t="str">
        <x:v>03</x:v>
      </x:c>
      <x:c r="C117" s="14" t="str">
        <x:v>2025_IMDb_Cast_Lists_Batch_03(1).xlsx</x:v>
      </x:c>
      <x:c r="D117" s="14" t="str">
        <x:v>Patience</x:v>
      </x:c>
      <x:c r="E117" s="14" t="n">
        <x:v>46</x:v>
      </x:c>
      <x:c r="F117" s="14" t="str">
        <x:v>Patience</x:v>
      </x:c>
      <x:c r="G117" s="14" t="str">
        <x:v>tt31495377</x:v>
      </x:c>
      <x:c r="H117" s="14" t="n">
        <x:v>2025</x:v>
      </x:c>
      <x:c r="I117" s="14" t="n">
        <x:v>2025</x:v>
      </x:c>
      <x:c r="J117" s="14" t="str">
        <x:v>Post-study cohort</x:v>
      </x:c>
      <x:c r="K117" s="14"/>
      <x:c r="L117" s="14" t="str">
        <x:v>Not inherited</x:v>
      </x:c>
      <x:c r="M117" s="15" t="n">
        <x:v>39</x:v>
      </x:c>
      <x:c r="N117" s="14" t="str">
        <x:v>Joanna Horton</x:v>
      </x:c>
      <x:c r="O117" s="14" t="str">
        <x:v>nm1765118</x:v>
      </x:c>
      <x:c r="P117" s="14" t="str">
        <x:v>Clare Braxton</x:v>
      </x:c>
      <x:c r="Q117" s="15" t="n">
        <x:v>1</x:v>
      </x:c>
      <x:c r="R117" s="14" t="str">
        <x:v>2026</x:v>
      </x:c>
      <x:c r="S117" s="14" t="n">
        <x:v>2026</x:v>
      </x:c>
      <x:c r="T117" s="14" t="n">
        <x:v>2026</x:v>
      </x:c>
      <x:c r="U117" s="14" t="str">
        <x:v>Explicit source first year retained</x:v>
      </x:c>
      <x:c r="V117" s="14" t="str">
        <x:v>Earliest supplied year is 2026.</x:v>
      </x:c>
      <x:c r="W117" s="14"/>
      <x:c r="X117" s="14" t="str">
        <x:v>Excluded: after 2025</x:v>
      </x:c>
      <x:c r="Y117" s="14"/>
      <x:c r="Z117" s="14" t="str">
        <x:v>Patience.docx</x:v>
      </x:c>
      <x:c r="AA11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Channel 4 / E4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7" t="e">
        <x:f>HYPERLINK("https://en.wikipedia.org/wiki/Patience","Open source")</x:f>
        <x:v>HYPERLINK is not implemented. linkLocation=https://en.wikipedia.org/wiki/Patience, friendlyName=Open source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14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1</x:v>
      </x:c>
      <x:c r="BS117" s="16" t="n">
        <x:v>0.07142857142857142</x:v>
      </x:c>
      <x:c r="BT117" s="14" t="str">
        <x:v>One episode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tt31495377|nm5900283|ben jarrett</x:v>
      </x:c>
      <x:c r="B118" s="14" t="str">
        <x:v>03</x:v>
      </x:c>
      <x:c r="C118" s="14" t="str">
        <x:v>2025_IMDb_Cast_Lists_Batch_03(1).xlsx</x:v>
      </x:c>
      <x:c r="D118" s="14" t="str">
        <x:v>Patience</x:v>
      </x:c>
      <x:c r="E118" s="14" t="n">
        <x:v>47</x:v>
      </x:c>
      <x:c r="F118" s="14" t="str">
        <x:v>Patience</x:v>
      </x:c>
      <x:c r="G118" s="14" t="str">
        <x:v>tt31495377</x:v>
      </x:c>
      <x:c r="H118" s="14" t="n">
        <x:v>2025</x:v>
      </x:c>
      <x:c r="I118" s="14" t="n">
        <x:v>2025</x:v>
      </x:c>
      <x:c r="J118" s="14" t="str">
        <x:v>Post-study cohort</x:v>
      </x:c>
      <x:c r="K118" s="14"/>
      <x:c r="L118" s="14" t="str">
        <x:v>Not inherited</x:v>
      </x:c>
      <x:c r="M118" s="15" t="n">
        <x:v>40</x:v>
      </x:c>
      <x:c r="N118" s="14" t="str">
        <x:v>Ankur Bahl</x:v>
      </x:c>
      <x:c r="O118" s="14" t="str">
        <x:v>nm5900283</x:v>
      </x:c>
      <x:c r="P118" s="14" t="str">
        <x:v>Ben Jarrett</x:v>
      </x:c>
      <x:c r="Q118" s="15" t="n">
        <x:v>1</x:v>
      </x:c>
      <x:c r="R118" s="14" t="str">
        <x:v>2026</x:v>
      </x:c>
      <x:c r="S118" s="14" t="n">
        <x:v>2026</x:v>
      </x:c>
      <x:c r="T118" s="14" t="n">
        <x:v>2026</x:v>
      </x:c>
      <x:c r="U118" s="14" t="str">
        <x:v>Explicit source first year retained</x:v>
      </x:c>
      <x:c r="V118" s="14" t="str">
        <x:v>Earliest supplied year is 2026.</x:v>
      </x:c>
      <x:c r="W118" s="14"/>
      <x:c r="X118" s="14" t="str">
        <x:v>Excluded: after 2025</x:v>
      </x:c>
      <x:c r="Y118" s="14"/>
      <x:c r="Z118" s="14" t="str">
        <x:v>Patience.docx</x:v>
      </x:c>
      <x:c r="AA11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Channel 4 / E4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7" t="e">
        <x:f>HYPERLINK("https://en.wikipedia.org/wiki/Patience","Open source")</x:f>
        <x:v>HYPERLINK is not implemented. linkLocation=https://en.wikipedia.org/wiki/Patience, friendlyName=Open source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14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0.07142857142857142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tt31495377|nm3227473|cs callum banks</x:v>
      </x:c>
      <x:c r="B119" s="14" t="str">
        <x:v>03</x:v>
      </x:c>
      <x:c r="C119" s="14" t="str">
        <x:v>2025_IMDb_Cast_Lists_Batch_03(1).xlsx</x:v>
      </x:c>
      <x:c r="D119" s="14" t="str">
        <x:v>Patience</x:v>
      </x:c>
      <x:c r="E119" s="14" t="n">
        <x:v>51</x:v>
      </x:c>
      <x:c r="F119" s="14" t="str">
        <x:v>Patience</x:v>
      </x:c>
      <x:c r="G119" s="14" t="str">
        <x:v>tt31495377</x:v>
      </x:c>
      <x:c r="H119" s="14" t="n">
        <x:v>2025</x:v>
      </x:c>
      <x:c r="I119" s="14" t="n">
        <x:v>2025</x:v>
      </x:c>
      <x:c r="J119" s="14" t="str">
        <x:v>Post-study cohort</x:v>
      </x:c>
      <x:c r="K119" s="14"/>
      <x:c r="L119" s="14" t="str">
        <x:v>Not inherited</x:v>
      </x:c>
      <x:c r="M119" s="15" t="n">
        <x:v>44</x:v>
      </x:c>
      <x:c r="N119" s="14" t="str">
        <x:v>John Hollingworth</x:v>
      </x:c>
      <x:c r="O119" s="14" t="str">
        <x:v>nm3227473</x:v>
      </x:c>
      <x:c r="P119" s="14" t="str">
        <x:v>CS Callum Banks</x:v>
      </x:c>
      <x:c r="Q119" s="15" t="n">
        <x:v>1</x:v>
      </x:c>
      <x:c r="R119" s="14" t="str">
        <x:v>2026</x:v>
      </x:c>
      <x:c r="S119" s="14" t="n">
        <x:v>2026</x:v>
      </x:c>
      <x:c r="T119" s="14" t="n">
        <x:v>2026</x:v>
      </x:c>
      <x:c r="U119" s="14" t="str">
        <x:v>Explicit source first year retained</x:v>
      </x:c>
      <x:c r="V119" s="14" t="str">
        <x:v>Earliest supplied year is 2026.</x:v>
      </x:c>
      <x:c r="W119" s="14"/>
      <x:c r="X119" s="14" t="str">
        <x:v>Excluded: after 2025</x:v>
      </x:c>
      <x:c r="Y119" s="14"/>
      <x:c r="Z119" s="14" t="str">
        <x:v>Patience.docx</x:v>
      </x:c>
      <x:c r="AA11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Channel 4 / E4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7" t="e">
        <x:f>HYPERLINK("https://en.wikipedia.org/wiki/Patience","Open source")</x:f>
        <x:v>HYPERLINK is not implemented. linkLocation=https://en.wikipedia.org/wiki/Patience, friendlyName=Open source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14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0.07142857142857142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tt31495377|nm8624309|samuel henry</x:v>
      </x:c>
      <x:c r="B120" s="14" t="str">
        <x:v>03</x:v>
      </x:c>
      <x:c r="C120" s="14" t="str">
        <x:v>2025_IMDb_Cast_Lists_Batch_03(1).xlsx</x:v>
      </x:c>
      <x:c r="D120" s="14" t="str">
        <x:v>Patience</x:v>
      </x:c>
      <x:c r="E120" s="14" t="n">
        <x:v>52</x:v>
      </x:c>
      <x:c r="F120" s="14" t="str">
        <x:v>Patience</x:v>
      </x:c>
      <x:c r="G120" s="14" t="str">
        <x:v>tt31495377</x:v>
      </x:c>
      <x:c r="H120" s="14" t="n">
        <x:v>2025</x:v>
      </x:c>
      <x:c r="I120" s="14" t="n">
        <x:v>2025</x:v>
      </x:c>
      <x:c r="J120" s="14" t="str">
        <x:v>Post-study cohort</x:v>
      </x:c>
      <x:c r="K120" s="14"/>
      <x:c r="L120" s="14" t="str">
        <x:v>Not inherited</x:v>
      </x:c>
      <x:c r="M120" s="15" t="n">
        <x:v>45</x:v>
      </x:c>
      <x:c r="N120" s="14" t="str">
        <x:v>Thoren Ferguson</x:v>
      </x:c>
      <x:c r="O120" s="14" t="str">
        <x:v>nm8624309</x:v>
      </x:c>
      <x:c r="P120" s="14" t="str">
        <x:v>Samuel Henry</x:v>
      </x:c>
      <x:c r="Q120" s="15" t="n">
        <x:v>1</x:v>
      </x:c>
      <x:c r="R120" s="14" t="str">
        <x:v>2026</x:v>
      </x:c>
      <x:c r="S120" s="14" t="n">
        <x:v>2026</x:v>
      </x:c>
      <x:c r="T120" s="14" t="n">
        <x:v>2026</x:v>
      </x:c>
      <x:c r="U120" s="14" t="str">
        <x:v>Explicit source first year retained</x:v>
      </x:c>
      <x:c r="V120" s="14" t="str">
        <x:v>Earliest supplied year is 2026.</x:v>
      </x:c>
      <x:c r="W120" s="14"/>
      <x:c r="X120" s="14" t="str">
        <x:v>Excluded: after 2025</x:v>
      </x:c>
      <x:c r="Y120" s="14"/>
      <x:c r="Z120" s="14" t="str">
        <x:v>Patience.docx</x:v>
      </x:c>
      <x:c r="AA12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Channel 4 / E4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7" t="e">
        <x:f>HYPERLINK("https://en.wikipedia.org/wiki/Patience","Open source")</x:f>
        <x:v>HYPERLINK is not implemented. linkLocation=https://en.wikipedia.org/wiki/Patience, friendlyName=Open source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14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0.07142857142857142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tt31495377|nm5474380|lola braxton</x:v>
      </x:c>
      <x:c r="B121" s="14" t="str">
        <x:v>03</x:v>
      </x:c>
      <x:c r="C121" s="14" t="str">
        <x:v>2025_IMDb_Cast_Lists_Batch_03(1).xlsx</x:v>
      </x:c>
      <x:c r="D121" s="14" t="str">
        <x:v>Patience</x:v>
      </x:c>
      <x:c r="E121" s="14" t="n">
        <x:v>53</x:v>
      </x:c>
      <x:c r="F121" s="14" t="str">
        <x:v>Patience</x:v>
      </x:c>
      <x:c r="G121" s="14" t="str">
        <x:v>tt31495377</x:v>
      </x:c>
      <x:c r="H121" s="14" t="n">
        <x:v>2025</x:v>
      </x:c>
      <x:c r="I121" s="14" t="n">
        <x:v>2025</x:v>
      </x:c>
      <x:c r="J121" s="14" t="str">
        <x:v>Post-study cohort</x:v>
      </x:c>
      <x:c r="K121" s="14"/>
      <x:c r="L121" s="14" t="str">
        <x:v>Not inherited</x:v>
      </x:c>
      <x:c r="M121" s="15" t="n">
        <x:v>46</x:v>
      </x:c>
      <x:c r="N121" s="14" t="str">
        <x:v>Lyra Kane</x:v>
      </x:c>
      <x:c r="O121" s="14" t="str">
        <x:v>nm5474380</x:v>
      </x:c>
      <x:c r="P121" s="14" t="str">
        <x:v>Lola Braxton</x:v>
      </x:c>
      <x:c r="Q121" s="15" t="n">
        <x:v>1</x:v>
      </x:c>
      <x:c r="R121" s="14" t="str">
        <x:v>2026</x:v>
      </x:c>
      <x:c r="S121" s="14" t="n">
        <x:v>2026</x:v>
      </x:c>
      <x:c r="T121" s="14" t="n">
        <x:v>2026</x:v>
      </x:c>
      <x:c r="U121" s="14" t="str">
        <x:v>Explicit source first year retained</x:v>
      </x:c>
      <x:c r="V121" s="14" t="str">
        <x:v>Earliest supplied year is 2026.</x:v>
      </x:c>
      <x:c r="W121" s="14"/>
      <x:c r="X121" s="14" t="str">
        <x:v>Excluded: after 2025</x:v>
      </x:c>
      <x:c r="Y121" s="14"/>
      <x:c r="Z121" s="14" t="str">
        <x:v>Patience.docx</x:v>
      </x:c>
      <x:c r="AA12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Channel 4 / E4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7" t="e">
        <x:f>HYPERLINK("https://en.wikipedia.org/wiki/Patience","Open source")</x:f>
        <x:v>HYPERLINK is not implemented. linkLocation=https://en.wikipedia.org/wiki/Patience, friendlyName=Open source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14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0.07142857142857142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tt31495377|nm12017425|brother thomas</x:v>
      </x:c>
      <x:c r="B122" s="14" t="str">
        <x:v>03</x:v>
      </x:c>
      <x:c r="C122" s="14" t="str">
        <x:v>2025_IMDb_Cast_Lists_Batch_03(1).xlsx</x:v>
      </x:c>
      <x:c r="D122" s="14" t="str">
        <x:v>Patience</x:v>
      </x:c>
      <x:c r="E122" s="14" t="n">
        <x:v>54</x:v>
      </x:c>
      <x:c r="F122" s="14" t="str">
        <x:v>Patience</x:v>
      </x:c>
      <x:c r="G122" s="14" t="str">
        <x:v>tt31495377</x:v>
      </x:c>
      <x:c r="H122" s="14" t="n">
        <x:v>2025</x:v>
      </x:c>
      <x:c r="I122" s="14" t="n">
        <x:v>2025</x:v>
      </x:c>
      <x:c r="J122" s="14" t="str">
        <x:v>Post-study cohort</x:v>
      </x:c>
      <x:c r="K122" s="14"/>
      <x:c r="L122" s="14" t="str">
        <x:v>Not inherited</x:v>
      </x:c>
      <x:c r="M122" s="15" t="n">
        <x:v>47</x:v>
      </x:c>
      <x:c r="N122" s="14" t="str">
        <x:v>Ben Brouckaert</x:v>
      </x:c>
      <x:c r="O122" s="14" t="str">
        <x:v>nm12017425</x:v>
      </x:c>
      <x:c r="P122" s="14" t="str">
        <x:v>Brother Thomas</x:v>
      </x:c>
      <x:c r="Q122" s="15" t="n">
        <x:v>1</x:v>
      </x:c>
      <x:c r="R122" s="14" t="str">
        <x:v>2026</x:v>
      </x:c>
      <x:c r="S122" s="14" t="n">
        <x:v>2026</x:v>
      </x:c>
      <x:c r="T122" s="14" t="n">
        <x:v>2026</x:v>
      </x:c>
      <x:c r="U122" s="14" t="str">
        <x:v>Explicit source first year retained</x:v>
      </x:c>
      <x:c r="V122" s="14" t="str">
        <x:v>Earliest supplied year is 2026.</x:v>
      </x:c>
      <x:c r="W122" s="14"/>
      <x:c r="X122" s="14" t="str">
        <x:v>Excluded: after 2025</x:v>
      </x:c>
      <x:c r="Y122" s="14"/>
      <x:c r="Z122" s="14" t="str">
        <x:v>Patience.docx</x:v>
      </x:c>
      <x:c r="AA12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Channel 4 / E4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7" t="e">
        <x:f>HYPERLINK("https://en.wikipedia.org/wiki/Patience","Open source")</x:f>
        <x:v>HYPERLINK is not implemented. linkLocation=https://en.wikipedia.org/wiki/Patience, friendlyName=Open source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14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0.07142857142857142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tt31495377|nm17309374|colleague 1</x:v>
      </x:c>
      <x:c r="B123" s="14" t="str">
        <x:v>03</x:v>
      </x:c>
      <x:c r="C123" s="14" t="str">
        <x:v>2025_IMDb_Cast_Lists_Batch_03(1).xlsx</x:v>
      </x:c>
      <x:c r="D123" s="14" t="str">
        <x:v>Patience</x:v>
      </x:c>
      <x:c r="E123" s="14" t="n">
        <x:v>55</x:v>
      </x:c>
      <x:c r="F123" s="14" t="str">
        <x:v>Patience</x:v>
      </x:c>
      <x:c r="G123" s="14" t="str">
        <x:v>tt31495377</x:v>
      </x:c>
      <x:c r="H123" s="14" t="n">
        <x:v>2025</x:v>
      </x:c>
      <x:c r="I123" s="14" t="n">
        <x:v>2025</x:v>
      </x:c>
      <x:c r="J123" s="14" t="str">
        <x:v>Post-study cohort</x:v>
      </x:c>
      <x:c r="K123" s="14"/>
      <x:c r="L123" s="14" t="str">
        <x:v>Not inherited</x:v>
      </x:c>
      <x:c r="M123" s="15" t="n">
        <x:v>48</x:v>
      </x:c>
      <x:c r="N123" s="14" t="str">
        <x:v>Joseph Smallwood</x:v>
      </x:c>
      <x:c r="O123" s="14" t="str">
        <x:v>nm17309374</x:v>
      </x:c>
      <x:c r="P123" s="14" t="str">
        <x:v>Colleague 1</x:v>
      </x:c>
      <x:c r="Q123" s="15" t="n">
        <x:v>1</x:v>
      </x:c>
      <x:c r="R123" s="14" t="str">
        <x:v>2026</x:v>
      </x:c>
      <x:c r="S123" s="14" t="n">
        <x:v>2026</x:v>
      </x:c>
      <x:c r="T123" s="14" t="n">
        <x:v>2026</x:v>
      </x:c>
      <x:c r="U123" s="14" t="str">
        <x:v>Explicit source first year retained</x:v>
      </x:c>
      <x:c r="V123" s="14" t="str">
        <x:v>Earliest supplied year is 2026.</x:v>
      </x:c>
      <x:c r="W123" s="14"/>
      <x:c r="X123" s="14" t="str">
        <x:v>Excluded: after 2025</x:v>
      </x:c>
      <x:c r="Y123" s="14"/>
      <x:c r="Z123" s="14" t="str">
        <x:v>Patience.docx</x:v>
      </x:c>
      <x:c r="AA12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Channel 4 / E4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7" t="e">
        <x:f>HYPERLINK("https://en.wikipedia.org/wiki/Patience","Open source")</x:f>
        <x:v>HYPERLINK is not implemented. linkLocation=https://en.wikipedia.org/wiki/Patience, friendlyName=Open source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14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0.07142857142857142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tt31495377|nm0361186|laurence croft</x:v>
      </x:c>
      <x:c r="B124" s="14" t="str">
        <x:v>03</x:v>
      </x:c>
      <x:c r="C124" s="14" t="str">
        <x:v>2025_IMDb_Cast_Lists_Batch_03(1).xlsx</x:v>
      </x:c>
      <x:c r="D124" s="14" t="str">
        <x:v>Patience</x:v>
      </x:c>
      <x:c r="E124" s="14" t="n">
        <x:v>56</x:v>
      </x:c>
      <x:c r="F124" s="14" t="str">
        <x:v>Patience</x:v>
      </x:c>
      <x:c r="G124" s="14" t="str">
        <x:v>tt31495377</x:v>
      </x:c>
      <x:c r="H124" s="14" t="n">
        <x:v>2025</x:v>
      </x:c>
      <x:c r="I124" s="14" t="n">
        <x:v>2025</x:v>
      </x:c>
      <x:c r="J124" s="14" t="str">
        <x:v>Post-study cohort</x:v>
      </x:c>
      <x:c r="K124" s="14"/>
      <x:c r="L124" s="14" t="str">
        <x:v>Not inherited</x:v>
      </x:c>
      <x:c r="M124" s="15" t="n">
        <x:v>49</x:v>
      </x:c>
      <x:c r="N124" s="14" t="str">
        <x:v>Alexander Hanson</x:v>
      </x:c>
      <x:c r="O124" s="14" t="str">
        <x:v>nm0361186</x:v>
      </x:c>
      <x:c r="P124" s="14" t="str">
        <x:v>Laurence Croft</x:v>
      </x:c>
      <x:c r="Q124" s="15" t="n">
        <x:v>1</x:v>
      </x:c>
      <x:c r="R124" s="14" t="str">
        <x:v>2026</x:v>
      </x:c>
      <x:c r="S124" s="14" t="n">
        <x:v>2026</x:v>
      </x:c>
      <x:c r="T124" s="14" t="n">
        <x:v>2026</x:v>
      </x:c>
      <x:c r="U124" s="14" t="str">
        <x:v>Explicit source first year retained</x:v>
      </x:c>
      <x:c r="V124" s="14" t="str">
        <x:v>Earliest supplied year is 2026.</x:v>
      </x:c>
      <x:c r="W124" s="14"/>
      <x:c r="X124" s="14" t="str">
        <x:v>Excluded: after 2025</x:v>
      </x:c>
      <x:c r="Y124" s="14"/>
      <x:c r="Z124" s="14" t="str">
        <x:v>Patience.docx</x:v>
      </x:c>
      <x:c r="AA12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Channel 4 / E4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7" t="e">
        <x:f>HYPERLINK("https://en.wikipedia.org/wiki/Patience","Open source")</x:f>
        <x:v>HYPERLINK is not implemented. linkLocation=https://en.wikipedia.org/wiki/Patience, friendlyName=Open source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14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0.07142857142857142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tt31495377|nm2511874|lance miller</x:v>
      </x:c>
      <x:c r="B125" s="14" t="str">
        <x:v>03</x:v>
      </x:c>
      <x:c r="C125" s="14" t="str">
        <x:v>2025_IMDb_Cast_Lists_Batch_03(1).xlsx</x:v>
      </x:c>
      <x:c r="D125" s="14" t="str">
        <x:v>Patience</x:v>
      </x:c>
      <x:c r="E125" s="14" t="n">
        <x:v>57</x:v>
      </x:c>
      <x:c r="F125" s="14" t="str">
        <x:v>Patience</x:v>
      </x:c>
      <x:c r="G125" s="14" t="str">
        <x:v>tt31495377</x:v>
      </x:c>
      <x:c r="H125" s="14" t="n">
        <x:v>2025</x:v>
      </x:c>
      <x:c r="I125" s="14" t="n">
        <x:v>2025</x:v>
      </x:c>
      <x:c r="J125" s="14" t="str">
        <x:v>Post-study cohort</x:v>
      </x:c>
      <x:c r="K125" s="14"/>
      <x:c r="L125" s="14" t="str">
        <x:v>Not inherited</x:v>
      </x:c>
      <x:c r="M125" s="15" t="n">
        <x:v>50</x:v>
      </x:c>
      <x:c r="N125" s="14" t="str">
        <x:v>Gavin Brocker</x:v>
      </x:c>
      <x:c r="O125" s="14" t="str">
        <x:v>nm2511874</x:v>
      </x:c>
      <x:c r="P125" s="14" t="str">
        <x:v>Lance Miller</x:v>
      </x:c>
      <x:c r="Q125" s="15" t="n">
        <x:v>1</x:v>
      </x:c>
      <x:c r="R125" s="14" t="str">
        <x:v>2026</x:v>
      </x:c>
      <x:c r="S125" s="14" t="n">
        <x:v>2026</x:v>
      </x:c>
      <x:c r="T125" s="14" t="n">
        <x:v>2026</x:v>
      </x:c>
      <x:c r="U125" s="14" t="str">
        <x:v>Explicit source first year retained</x:v>
      </x:c>
      <x:c r="V125" s="14" t="str">
        <x:v>Earliest supplied year is 2026.</x:v>
      </x:c>
      <x:c r="W125" s="14"/>
      <x:c r="X125" s="14" t="str">
        <x:v>Excluded: after 2025</x:v>
      </x:c>
      <x:c r="Y125" s="14"/>
      <x:c r="Z125" s="14" t="str">
        <x:v>Patience.docx</x:v>
      </x:c>
      <x:c r="AA12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Channel 4 / E4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7" t="e">
        <x:f>HYPERLINK("https://en.wikipedia.org/wiki/Patience","Open source")</x:f>
        <x:v>HYPERLINK is not implemented. linkLocation=https://en.wikipedia.org/wiki/Patience, friendlyName=Open source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14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0.07142857142857142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tt31495377|nm12018620|brother gabriel</x:v>
      </x:c>
      <x:c r="B126" s="14" t="str">
        <x:v>03</x:v>
      </x:c>
      <x:c r="C126" s="14" t="str">
        <x:v>2025_IMDb_Cast_Lists_Batch_03(1).xlsx</x:v>
      </x:c>
      <x:c r="D126" s="14" t="str">
        <x:v>Patience</x:v>
      </x:c>
      <x:c r="E126" s="14" t="n">
        <x:v>58</x:v>
      </x:c>
      <x:c r="F126" s="14" t="str">
        <x:v>Patience</x:v>
      </x:c>
      <x:c r="G126" s="14" t="str">
        <x:v>tt31495377</x:v>
      </x:c>
      <x:c r="H126" s="14" t="n">
        <x:v>2025</x:v>
      </x:c>
      <x:c r="I126" s="14" t="n">
        <x:v>2025</x:v>
      </x:c>
      <x:c r="J126" s="14" t="str">
        <x:v>Post-study cohort</x:v>
      </x:c>
      <x:c r="K126" s="14"/>
      <x:c r="L126" s="14" t="str">
        <x:v>Not inherited</x:v>
      </x:c>
      <x:c r="M126" s="15" t="n">
        <x:v>51</x:v>
      </x:c>
      <x:c r="N126" s="14" t="str">
        <x:v>Dinand Warringa</x:v>
      </x:c>
      <x:c r="O126" s="14" t="str">
        <x:v>nm12018620</x:v>
      </x:c>
      <x:c r="P126" s="14" t="str">
        <x:v>Brother Gabriel</x:v>
      </x:c>
      <x:c r="Q126" s="15" t="n">
        <x:v>1</x:v>
      </x:c>
      <x:c r="R126" s="14" t="str">
        <x:v>2026</x:v>
      </x:c>
      <x:c r="S126" s="14" t="n">
        <x:v>2026</x:v>
      </x:c>
      <x:c r="T126" s="14" t="n">
        <x:v>2026</x:v>
      </x:c>
      <x:c r="U126" s="14" t="str">
        <x:v>Explicit source first year retained</x:v>
      </x:c>
      <x:c r="V126" s="14" t="str">
        <x:v>Earliest supplied year is 2026.</x:v>
      </x:c>
      <x:c r="W126" s="14"/>
      <x:c r="X126" s="14" t="str">
        <x:v>Excluded: after 2025</x:v>
      </x:c>
      <x:c r="Y126" s="14"/>
      <x:c r="Z126" s="14" t="str">
        <x:v>Patience.docx</x:v>
      </x:c>
      <x:c r="AA12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Channel 4 / E4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7" t="e">
        <x:f>HYPERLINK("https://en.wikipedia.org/wiki/Patience","Open source")</x:f>
        <x:v>HYPERLINK is not implemented. linkLocation=https://en.wikipedia.org/wiki/Patience, friendlyName=Open source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14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0.07142857142857142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tt31495377|nm14858906|colleague 2</x:v>
      </x:c>
      <x:c r="B127" s="14" t="str">
        <x:v>03</x:v>
      </x:c>
      <x:c r="C127" s="14" t="str">
        <x:v>2025_IMDb_Cast_Lists_Batch_03(1).xlsx</x:v>
      </x:c>
      <x:c r="D127" s="14" t="str">
        <x:v>Patience</x:v>
      </x:c>
      <x:c r="E127" s="14" t="n">
        <x:v>59</x:v>
      </x:c>
      <x:c r="F127" s="14" t="str">
        <x:v>Patience</x:v>
      </x:c>
      <x:c r="G127" s="14" t="str">
        <x:v>tt31495377</x:v>
      </x:c>
      <x:c r="H127" s="14" t="n">
        <x:v>2025</x:v>
      </x:c>
      <x:c r="I127" s="14" t="n">
        <x:v>2025</x:v>
      </x:c>
      <x:c r="J127" s="14" t="str">
        <x:v>Post-study cohort</x:v>
      </x:c>
      <x:c r="K127" s="14"/>
      <x:c r="L127" s="14" t="str">
        <x:v>Not inherited</x:v>
      </x:c>
      <x:c r="M127" s="15" t="n">
        <x:v>52</x:v>
      </x:c>
      <x:c r="N127" s="14" t="str">
        <x:v>Isabella Katharina</x:v>
      </x:c>
      <x:c r="O127" s="14" t="str">
        <x:v>nm14858906</x:v>
      </x:c>
      <x:c r="P127" s="14" t="str">
        <x:v>Colleague 2</x:v>
      </x:c>
      <x:c r="Q127" s="15" t="n">
        <x:v>1</x:v>
      </x:c>
      <x:c r="R127" s="14" t="str">
        <x:v>2026</x:v>
      </x:c>
      <x:c r="S127" s="14" t="n">
        <x:v>2026</x:v>
      </x:c>
      <x:c r="T127" s="14" t="n">
        <x:v>2026</x:v>
      </x:c>
      <x:c r="U127" s="14" t="str">
        <x:v>Explicit source first year retained</x:v>
      </x:c>
      <x:c r="V127" s="14" t="str">
        <x:v>Earliest supplied year is 2026.</x:v>
      </x:c>
      <x:c r="W127" s="14"/>
      <x:c r="X127" s="14" t="str">
        <x:v>Excluded: after 2025</x:v>
      </x:c>
      <x:c r="Y127" s="14" t="str">
        <x:v>(as Isabella Burtscher)</x:v>
      </x:c>
      <x:c r="Z127" s="14" t="str">
        <x:v>Patience.docx</x:v>
      </x:c>
      <x:c r="AA12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Channel 4 / E4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7" t="e">
        <x:f>HYPERLINK("https://en.wikipedia.org/wiki/Patience","Open source")</x:f>
        <x:v>HYPERLINK is not implemented. linkLocation=https://en.wikipedia.org/wiki/Patience, friendlyName=Open source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14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0.07142857142857142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tt31495377|nm7626803|security guard</x:v>
      </x:c>
      <x:c r="B128" s="14" t="str">
        <x:v>03</x:v>
      </x:c>
      <x:c r="C128" s="14" t="str">
        <x:v>2025_IMDb_Cast_Lists_Batch_03(1).xlsx</x:v>
      </x:c>
      <x:c r="D128" s="14" t="str">
        <x:v>Patience</x:v>
      </x:c>
      <x:c r="E128" s="14" t="n">
        <x:v>60</x:v>
      </x:c>
      <x:c r="F128" s="14" t="str">
        <x:v>Patience</x:v>
      </x:c>
      <x:c r="G128" s="14" t="str">
        <x:v>tt31495377</x:v>
      </x:c>
      <x:c r="H128" s="14" t="n">
        <x:v>2025</x:v>
      </x:c>
      <x:c r="I128" s="14" t="n">
        <x:v>2025</x:v>
      </x:c>
      <x:c r="J128" s="14" t="str">
        <x:v>Post-study cohort</x:v>
      </x:c>
      <x:c r="K128" s="14"/>
      <x:c r="L128" s="14" t="str">
        <x:v>Not inherited</x:v>
      </x:c>
      <x:c r="M128" s="15" t="n">
        <x:v>53</x:v>
      </x:c>
      <x:c r="N128" s="14" t="str">
        <x:v>Charles De Meester</x:v>
      </x:c>
      <x:c r="O128" s="14" t="str">
        <x:v>nm7626803</x:v>
      </x:c>
      <x:c r="P128" s="14" t="str">
        <x:v>Security Guard</x:v>
      </x:c>
      <x:c r="Q128" s="15" t="n">
        <x:v>1</x:v>
      </x:c>
      <x:c r="R128" s="14" t="str">
        <x:v>2026</x:v>
      </x:c>
      <x:c r="S128" s="14" t="n">
        <x:v>2026</x:v>
      </x:c>
      <x:c r="T128" s="14" t="n">
        <x:v>2026</x:v>
      </x:c>
      <x:c r="U128" s="14" t="str">
        <x:v>Explicit source first year retained</x:v>
      </x:c>
      <x:c r="V128" s="14" t="str">
        <x:v>Earliest supplied year is 2026.</x:v>
      </x:c>
      <x:c r="W128" s="14"/>
      <x:c r="X128" s="14" t="str">
        <x:v>Excluded: after 2025</x:v>
      </x:c>
      <x:c r="Y128" s="14"/>
      <x:c r="Z128" s="14" t="str">
        <x:v>Patience.docx</x:v>
      </x:c>
      <x:c r="AA12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Channel 4 / E4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7" t="e">
        <x:f>HYPERLINK("https://en.wikipedia.org/wiki/Patience","Open source")</x:f>
        <x:v>HYPERLINK is not implemented. linkLocation=https://en.wikipedia.org/wiki/Patience, friendlyName=Open source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14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0.07142857142857142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tt31495377|nm0857173|cathy wilkes</x:v>
      </x:c>
      <x:c r="B129" s="14" t="str">
        <x:v>03</x:v>
      </x:c>
      <x:c r="C129" s="14" t="str">
        <x:v>2025_IMDb_Cast_Lists_Batch_03(1).xlsx</x:v>
      </x:c>
      <x:c r="D129" s="14" t="str">
        <x:v>Patience</x:v>
      </x:c>
      <x:c r="E129" s="14" t="n">
        <x:v>61</x:v>
      </x:c>
      <x:c r="F129" s="14" t="str">
        <x:v>Patience</x:v>
      </x:c>
      <x:c r="G129" s="14" t="str">
        <x:v>tt31495377</x:v>
      </x:c>
      <x:c r="H129" s="14" t="n">
        <x:v>2025</x:v>
      </x:c>
      <x:c r="I129" s="14" t="n">
        <x:v>2025</x:v>
      </x:c>
      <x:c r="J129" s="14" t="str">
        <x:v>Post-study cohort</x:v>
      </x:c>
      <x:c r="K129" s="14"/>
      <x:c r="L129" s="14" t="str">
        <x:v>Not inherited</x:v>
      </x:c>
      <x:c r="M129" s="15" t="n">
        <x:v>54</x:v>
      </x:c>
      <x:c r="N129" s="14" t="str">
        <x:v>Abigail Thaw</x:v>
      </x:c>
      <x:c r="O129" s="14" t="str">
        <x:v>nm0857173</x:v>
      </x:c>
      <x:c r="P129" s="14" t="str">
        <x:v>Cathy Wilkes</x:v>
      </x:c>
      <x:c r="Q129" s="15" t="n">
        <x:v>1</x:v>
      </x:c>
      <x:c r="R129" s="14" t="str">
        <x:v>2026</x:v>
      </x:c>
      <x:c r="S129" s="14" t="n">
        <x:v>2026</x:v>
      </x:c>
      <x:c r="T129" s="14" t="n">
        <x:v>2026</x:v>
      </x:c>
      <x:c r="U129" s="14" t="str">
        <x:v>Explicit source first year retained</x:v>
      </x:c>
      <x:c r="V129" s="14" t="str">
        <x:v>Earliest supplied year is 2026.</x:v>
      </x:c>
      <x:c r="W129" s="14"/>
      <x:c r="X129" s="14" t="str">
        <x:v>Excluded: after 2025</x:v>
      </x:c>
      <x:c r="Y129" s="14"/>
      <x:c r="Z129" s="14" t="str">
        <x:v>Patience.docx</x:v>
      </x:c>
      <x:c r="AA12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Channel 4 / E4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7" t="e">
        <x:f>HYPERLINK("https://en.wikipedia.org/wiki/Patience","Open source")</x:f>
        <x:v>HYPERLINK is not implemented. linkLocation=https://en.wikipedia.org/wiki/Patience, friendlyName=Open source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14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0.07142857142857142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tt31495377|nm14927453|brother joe</x:v>
      </x:c>
      <x:c r="B130" s="14" t="str">
        <x:v>03</x:v>
      </x:c>
      <x:c r="C130" s="14" t="str">
        <x:v>2025_IMDb_Cast_Lists_Batch_03(1).xlsx</x:v>
      </x:c>
      <x:c r="D130" s="14" t="str">
        <x:v>Patience</x:v>
      </x:c>
      <x:c r="E130" s="14" t="n">
        <x:v>62</x:v>
      </x:c>
      <x:c r="F130" s="14" t="str">
        <x:v>Patience</x:v>
      </x:c>
      <x:c r="G130" s="14" t="str">
        <x:v>tt31495377</x:v>
      </x:c>
      <x:c r="H130" s="14" t="n">
        <x:v>2025</x:v>
      </x:c>
      <x:c r="I130" s="14" t="n">
        <x:v>2025</x:v>
      </x:c>
      <x:c r="J130" s="14" t="str">
        <x:v>Post-study cohort</x:v>
      </x:c>
      <x:c r="K130" s="14"/>
      <x:c r="L130" s="14" t="str">
        <x:v>Not inherited</x:v>
      </x:c>
      <x:c r="M130" s="15" t="n">
        <x:v>55</x:v>
      </x:c>
      <x:c r="N130" s="14" t="str">
        <x:v>Dominic Sharkey</x:v>
      </x:c>
      <x:c r="O130" s="14" t="str">
        <x:v>nm14927453</x:v>
      </x:c>
      <x:c r="P130" s="14" t="str">
        <x:v>Brother Joe</x:v>
      </x:c>
      <x:c r="Q130" s="15" t="n">
        <x:v>1</x:v>
      </x:c>
      <x:c r="R130" s="14" t="str">
        <x:v>2026</x:v>
      </x:c>
      <x:c r="S130" s="14" t="n">
        <x:v>2026</x:v>
      </x:c>
      <x:c r="T130" s="14" t="n">
        <x:v>2026</x:v>
      </x:c>
      <x:c r="U130" s="14" t="str">
        <x:v>Explicit source first year retained</x:v>
      </x:c>
      <x:c r="V130" s="14" t="str">
        <x:v>Earliest supplied year is 2026.</x:v>
      </x:c>
      <x:c r="W130" s="14"/>
      <x:c r="X130" s="14" t="str">
        <x:v>Excluded: after 2025</x:v>
      </x:c>
      <x:c r="Y130" s="14"/>
      <x:c r="Z130" s="14" t="str">
        <x:v>Patience.docx</x:v>
      </x:c>
      <x:c r="AA13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Channel 4 / E4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7" t="e">
        <x:f>HYPERLINK("https://en.wikipedia.org/wiki/Patience","Open source")</x:f>
        <x:v>HYPERLINK is not implemented. linkLocation=https://en.wikipedia.org/wiki/Patience, friendlyName=Open source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14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0.07142857142857142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tt31495377|nm1187883|tour guide</x:v>
      </x:c>
      <x:c r="B131" s="14" t="str">
        <x:v>03</x:v>
      </x:c>
      <x:c r="C131" s="14" t="str">
        <x:v>2025_IMDb_Cast_Lists_Batch_03(1).xlsx</x:v>
      </x:c>
      <x:c r="D131" s="14" t="str">
        <x:v>Patience</x:v>
      </x:c>
      <x:c r="E131" s="14" t="n">
        <x:v>63</x:v>
      </x:c>
      <x:c r="F131" s="14" t="str">
        <x:v>Patience</x:v>
      </x:c>
      <x:c r="G131" s="14" t="str">
        <x:v>tt31495377</x:v>
      </x:c>
      <x:c r="H131" s="14" t="n">
        <x:v>2025</x:v>
      </x:c>
      <x:c r="I131" s="14" t="n">
        <x:v>2025</x:v>
      </x:c>
      <x:c r="J131" s="14" t="str">
        <x:v>Post-study cohort</x:v>
      </x:c>
      <x:c r="K131" s="14"/>
      <x:c r="L131" s="14" t="str">
        <x:v>Not inherited</x:v>
      </x:c>
      <x:c r="M131" s="15" t="n">
        <x:v>56</x:v>
      </x:c>
      <x:c r="N131" s="14" t="str">
        <x:v>Matt Green</x:v>
      </x:c>
      <x:c r="O131" s="14" t="str">
        <x:v>nm1187883</x:v>
      </x:c>
      <x:c r="P131" s="14" t="str">
        <x:v>Tour Guide</x:v>
      </x:c>
      <x:c r="Q131" s="15" t="n">
        <x:v>1</x:v>
      </x:c>
      <x:c r="R131" s="14" t="str">
        <x:v>2026</x:v>
      </x:c>
      <x:c r="S131" s="14" t="n">
        <x:v>2026</x:v>
      </x:c>
      <x:c r="T131" s="14" t="n">
        <x:v>2026</x:v>
      </x:c>
      <x:c r="U131" s="14" t="str">
        <x:v>Explicit source first year retained</x:v>
      </x:c>
      <x:c r="V131" s="14" t="str">
        <x:v>Earliest supplied year is 2026.</x:v>
      </x:c>
      <x:c r="W131" s="14"/>
      <x:c r="X131" s="14" t="str">
        <x:v>Excluded: after 2025</x:v>
      </x:c>
      <x:c r="Y131" s="14"/>
      <x:c r="Z131" s="14" t="str">
        <x:v>Patience.docx</x:v>
      </x:c>
      <x:c r="AA13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Channel 4 / E4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7" t="e">
        <x:f>HYPERLINK("https://en.wikipedia.org/wiki/Patience","Open source")</x:f>
        <x:v>HYPERLINK is not implemented. linkLocation=https://en.wikipedia.org/wiki/Patience, friendlyName=Open source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14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0.07142857142857142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tt31495377|nm18103410|brother matthew</x:v>
      </x:c>
      <x:c r="B132" s="14" t="str">
        <x:v>03</x:v>
      </x:c>
      <x:c r="C132" s="14" t="str">
        <x:v>2025_IMDb_Cast_Lists_Batch_03(1).xlsx</x:v>
      </x:c>
      <x:c r="D132" s="14" t="str">
        <x:v>Patience</x:v>
      </x:c>
      <x:c r="E132" s="14" t="n">
        <x:v>64</x:v>
      </x:c>
      <x:c r="F132" s="14" t="str">
        <x:v>Patience</x:v>
      </x:c>
      <x:c r="G132" s="14" t="str">
        <x:v>tt31495377</x:v>
      </x:c>
      <x:c r="H132" s="14" t="n">
        <x:v>2025</x:v>
      </x:c>
      <x:c r="I132" s="14" t="n">
        <x:v>2025</x:v>
      </x:c>
      <x:c r="J132" s="14" t="str">
        <x:v>Post-study cohort</x:v>
      </x:c>
      <x:c r="K132" s="14"/>
      <x:c r="L132" s="14" t="str">
        <x:v>Not inherited</x:v>
      </x:c>
      <x:c r="M132" s="15" t="n">
        <x:v>57</x:v>
      </x:c>
      <x:c r="N132" s="14" t="str">
        <x:v>Joshua Rubin</x:v>
      </x:c>
      <x:c r="O132" s="14" t="str">
        <x:v>nm18103410</x:v>
      </x:c>
      <x:c r="P132" s="14" t="str">
        <x:v>Brother Matthew</x:v>
      </x:c>
      <x:c r="Q132" s="15" t="n">
        <x:v>1</x:v>
      </x:c>
      <x:c r="R132" s="14" t="str">
        <x:v>2026</x:v>
      </x:c>
      <x:c r="S132" s="14" t="n">
        <x:v>2026</x:v>
      </x:c>
      <x:c r="T132" s="14" t="n">
        <x:v>2026</x:v>
      </x:c>
      <x:c r="U132" s="14" t="str">
        <x:v>Explicit source first year retained</x:v>
      </x:c>
      <x:c r="V132" s="14" t="str">
        <x:v>Earliest supplied year is 2026.</x:v>
      </x:c>
      <x:c r="W132" s="14"/>
      <x:c r="X132" s="14" t="str">
        <x:v>Excluded: after 2025</x:v>
      </x:c>
      <x:c r="Y132" s="14"/>
      <x:c r="Z132" s="14" t="str">
        <x:v>Patience.docx</x:v>
      </x:c>
      <x:c r="AA13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Channel 4 / E4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7" t="e">
        <x:f>HYPERLINK("https://en.wikipedia.org/wiki/Patience","Open source")</x:f>
        <x:v>HYPERLINK is not implemented. linkLocation=https://en.wikipedia.org/wiki/Patience, friendlyName=Open source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14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0.07142857142857142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tt31495377|nm1727356|teo barbieri</x:v>
      </x:c>
      <x:c r="B133" s="14" t="str">
        <x:v>03</x:v>
      </x:c>
      <x:c r="C133" s="14" t="str">
        <x:v>2025_IMDb_Cast_Lists_Batch_03(1).xlsx</x:v>
      </x:c>
      <x:c r="D133" s="14" t="str">
        <x:v>Patience</x:v>
      </x:c>
      <x:c r="E133" s="14" t="n">
        <x:v>65</x:v>
      </x:c>
      <x:c r="F133" s="14" t="str">
        <x:v>Patience</x:v>
      </x:c>
      <x:c r="G133" s="14" t="str">
        <x:v>tt31495377</x:v>
      </x:c>
      <x:c r="H133" s="14" t="n">
        <x:v>2025</x:v>
      </x:c>
      <x:c r="I133" s="14" t="n">
        <x:v>2025</x:v>
      </x:c>
      <x:c r="J133" s="14" t="str">
        <x:v>Post-study cohort</x:v>
      </x:c>
      <x:c r="K133" s="14"/>
      <x:c r="L133" s="14" t="str">
        <x:v>Not inherited</x:v>
      </x:c>
      <x:c r="M133" s="15" t="n">
        <x:v>58</x:v>
      </x:c>
      <x:c r="N133" s="14" t="str">
        <x:v>Rasmus Hardiker</x:v>
      </x:c>
      <x:c r="O133" s="14" t="str">
        <x:v>nm1727356</x:v>
      </x:c>
      <x:c r="P133" s="14" t="str">
        <x:v>Teo Barbieri</x:v>
      </x:c>
      <x:c r="Q133" s="15" t="n">
        <x:v>1</x:v>
      </x:c>
      <x:c r="R133" s="14" t="str">
        <x:v>2026</x:v>
      </x:c>
      <x:c r="S133" s="14" t="n">
        <x:v>2026</x:v>
      </x:c>
      <x:c r="T133" s="14" t="n">
        <x:v>2026</x:v>
      </x:c>
      <x:c r="U133" s="14" t="str">
        <x:v>Explicit source first year retained</x:v>
      </x:c>
      <x:c r="V133" s="14" t="str">
        <x:v>Earliest supplied year is 2026.</x:v>
      </x:c>
      <x:c r="W133" s="14"/>
      <x:c r="X133" s="14" t="str">
        <x:v>Excluded: after 2025</x:v>
      </x:c>
      <x:c r="Y133" s="14"/>
      <x:c r="Z133" s="14" t="str">
        <x:v>Patience.docx</x:v>
      </x:c>
      <x:c r="AA13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Channel 4 / E4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7" t="e">
        <x:f>HYPERLINK("https://en.wikipedia.org/wiki/Patience","Open source")</x:f>
        <x:v>HYPERLINK is not implemented. linkLocation=https://en.wikipedia.org/wiki/Patience, friendlyName=Open source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14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0.07142857142857142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tt31495377|nm3956491|lucas drummond</x:v>
      </x:c>
      <x:c r="B134" s="14" t="str">
        <x:v>03</x:v>
      </x:c>
      <x:c r="C134" s="14" t="str">
        <x:v>2025_IMDb_Cast_Lists_Batch_03(1).xlsx</x:v>
      </x:c>
      <x:c r="D134" s="14" t="str">
        <x:v>Patience</x:v>
      </x:c>
      <x:c r="E134" s="14" t="n">
        <x:v>66</x:v>
      </x:c>
      <x:c r="F134" s="14" t="str">
        <x:v>Patience</x:v>
      </x:c>
      <x:c r="G134" s="14" t="str">
        <x:v>tt31495377</x:v>
      </x:c>
      <x:c r="H134" s="14" t="n">
        <x:v>2025</x:v>
      </x:c>
      <x:c r="I134" s="14" t="n">
        <x:v>2025</x:v>
      </x:c>
      <x:c r="J134" s="14" t="str">
        <x:v>Post-study cohort</x:v>
      </x:c>
      <x:c r="K134" s="14"/>
      <x:c r="L134" s="14" t="str">
        <x:v>Not inherited</x:v>
      </x:c>
      <x:c r="M134" s="15" t="n">
        <x:v>59</x:v>
      </x:c>
      <x:c r="N134" s="14" t="str">
        <x:v>Conor Donelan</x:v>
      </x:c>
      <x:c r="O134" s="14" t="str">
        <x:v>nm3956491</x:v>
      </x:c>
      <x:c r="P134" s="14" t="str">
        <x:v>Lucas Drummond</x:v>
      </x:c>
      <x:c r="Q134" s="15" t="n">
        <x:v>1</x:v>
      </x:c>
      <x:c r="R134" s="14" t="str">
        <x:v>2026</x:v>
      </x:c>
      <x:c r="S134" s="14" t="n">
        <x:v>2026</x:v>
      </x:c>
      <x:c r="T134" s="14" t="n">
        <x:v>2026</x:v>
      </x:c>
      <x:c r="U134" s="14" t="str">
        <x:v>Explicit source first year retained</x:v>
      </x:c>
      <x:c r="V134" s="14" t="str">
        <x:v>Earliest supplied year is 2026.</x:v>
      </x:c>
      <x:c r="W134" s="14"/>
      <x:c r="X134" s="14" t="str">
        <x:v>Excluded: after 2025</x:v>
      </x:c>
      <x:c r="Y134" s="14"/>
      <x:c r="Z134" s="14" t="str">
        <x:v>Patience.docx</x:v>
      </x:c>
      <x:c r="AA13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Channel 4 / E4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7" t="e">
        <x:f>HYPERLINK("https://en.wikipedia.org/wiki/Patience","Open source")</x:f>
        <x:v>HYPERLINK is not implemented. linkLocation=https://en.wikipedia.org/wiki/Patience, friendlyName=Open source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14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0.07142857142857142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tt31495377|nm1266378|nicola barclay</x:v>
      </x:c>
      <x:c r="B135" s="14" t="str">
        <x:v>03</x:v>
      </x:c>
      <x:c r="C135" s="14" t="str">
        <x:v>2025_IMDb_Cast_Lists_Batch_03(1).xlsx</x:v>
      </x:c>
      <x:c r="D135" s="14" t="str">
        <x:v>Patience</x:v>
      </x:c>
      <x:c r="E135" s="14" t="n">
        <x:v>68</x:v>
      </x:c>
      <x:c r="F135" s="14" t="str">
        <x:v>Patience</x:v>
      </x:c>
      <x:c r="G135" s="14" t="str">
        <x:v>tt31495377</x:v>
      </x:c>
      <x:c r="H135" s="14" t="n">
        <x:v>2025</x:v>
      </x:c>
      <x:c r="I135" s="14" t="n">
        <x:v>2025</x:v>
      </x:c>
      <x:c r="J135" s="14" t="str">
        <x:v>Post-study cohort</x:v>
      </x:c>
      <x:c r="K135" s="14"/>
      <x:c r="L135" s="14" t="str">
        <x:v>Not inherited</x:v>
      </x:c>
      <x:c r="M135" s="15" t="n">
        <x:v>61</x:v>
      </x:c>
      <x:c r="N135" s="14" t="str">
        <x:v>Emma Lowndes</x:v>
      </x:c>
      <x:c r="O135" s="14" t="str">
        <x:v>nm1266378</x:v>
      </x:c>
      <x:c r="P135" s="14" t="str">
        <x:v>Nicola Barclay</x:v>
      </x:c>
      <x:c r="Q135" s="15" t="n">
        <x:v>1</x:v>
      </x:c>
      <x:c r="R135" s="14" t="str">
        <x:v>2026</x:v>
      </x:c>
      <x:c r="S135" s="14" t="n">
        <x:v>2026</x:v>
      </x:c>
      <x:c r="T135" s="14" t="n">
        <x:v>2026</x:v>
      </x:c>
      <x:c r="U135" s="14" t="str">
        <x:v>Explicit source first year retained</x:v>
      </x:c>
      <x:c r="V135" s="14" t="str">
        <x:v>Earliest supplied year is 2026.</x:v>
      </x:c>
      <x:c r="W135" s="14"/>
      <x:c r="X135" s="14" t="str">
        <x:v>Excluded: after 2025</x:v>
      </x:c>
      <x:c r="Y135" s="14"/>
      <x:c r="Z135" s="14" t="str">
        <x:v>Patience.docx</x:v>
      </x:c>
      <x:c r="AA13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Channel 4 / E4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7" t="e">
        <x:f>HYPERLINK("https://en.wikipedia.org/wiki/Patience","Open source")</x:f>
        <x:v>HYPERLINK is not implemented. linkLocation=https://en.wikipedia.org/wiki/Patience, friendlyName=Open source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14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0.07142857142857142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tt31495377|nm2935576|marina murray</x:v>
      </x:c>
      <x:c r="B136" s="14" t="str">
        <x:v>03</x:v>
      </x:c>
      <x:c r="C136" s="14" t="str">
        <x:v>2025_IMDb_Cast_Lists_Batch_03(1).xlsx</x:v>
      </x:c>
      <x:c r="D136" s="14" t="str">
        <x:v>Patience</x:v>
      </x:c>
      <x:c r="E136" s="14" t="n">
        <x:v>72</x:v>
      </x:c>
      <x:c r="F136" s="14" t="str">
        <x:v>Patience</x:v>
      </x:c>
      <x:c r="G136" s="14" t="str">
        <x:v>tt31495377</x:v>
      </x:c>
      <x:c r="H136" s="14" t="n">
        <x:v>2025</x:v>
      </x:c>
      <x:c r="I136" s="14" t="n">
        <x:v>2025</x:v>
      </x:c>
      <x:c r="J136" s="14" t="str">
        <x:v>Post-study cohort</x:v>
      </x:c>
      <x:c r="K136" s="14"/>
      <x:c r="L136" s="14" t="str">
        <x:v>Not inherited</x:v>
      </x:c>
      <x:c r="M136" s="15" t="n">
        <x:v>65</x:v>
      </x:c>
      <x:c r="N136" s="14" t="str">
        <x:v>Jeany Spark</x:v>
      </x:c>
      <x:c r="O136" s="14" t="str">
        <x:v>nm2935576</x:v>
      </x:c>
      <x:c r="P136" s="14" t="str">
        <x:v>Marina Murray</x:v>
      </x:c>
      <x:c r="Q136" s="15" t="n">
        <x:v>1</x:v>
      </x:c>
      <x:c r="R136" s="14" t="str">
        <x:v>2026</x:v>
      </x:c>
      <x:c r="S136" s="14" t="n">
        <x:v>2026</x:v>
      </x:c>
      <x:c r="T136" s="14" t="n">
        <x:v>2026</x:v>
      </x:c>
      <x:c r="U136" s="14" t="str">
        <x:v>Explicit source first year retained</x:v>
      </x:c>
      <x:c r="V136" s="14" t="str">
        <x:v>Earliest supplied year is 2026.</x:v>
      </x:c>
      <x:c r="W136" s="14"/>
      <x:c r="X136" s="14" t="str">
        <x:v>Excluded: after 2025</x:v>
      </x:c>
      <x:c r="Y136" s="14"/>
      <x:c r="Z136" s="14" t="str">
        <x:v>Patience.docx</x:v>
      </x:c>
      <x:c r="AA13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Channel 4 / E4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7" t="e">
        <x:f>HYPERLINK("https://en.wikipedia.org/wiki/Patience","Open source")</x:f>
        <x:v>HYPERLINK is not implemented. linkLocation=https://en.wikipedia.org/wiki/Patience, friendlyName=Open source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14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0.07142857142857142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tt31495377|nm1580945|brian shepstone</x:v>
      </x:c>
      <x:c r="B137" s="14" t="str">
        <x:v>03</x:v>
      </x:c>
      <x:c r="C137" s="14" t="str">
        <x:v>2025_IMDb_Cast_Lists_Batch_03(1).xlsx</x:v>
      </x:c>
      <x:c r="D137" s="14" t="str">
        <x:v>Patience</x:v>
      </x:c>
      <x:c r="E137" s="14" t="n">
        <x:v>73</x:v>
      </x:c>
      <x:c r="F137" s="14" t="str">
        <x:v>Patience</x:v>
      </x:c>
      <x:c r="G137" s="14" t="str">
        <x:v>tt31495377</x:v>
      </x:c>
      <x:c r="H137" s="14" t="n">
        <x:v>2025</x:v>
      </x:c>
      <x:c r="I137" s="14" t="n">
        <x:v>2025</x:v>
      </x:c>
      <x:c r="J137" s="14" t="str">
        <x:v>Post-study cohort</x:v>
      </x:c>
      <x:c r="K137" s="14"/>
      <x:c r="L137" s="14" t="str">
        <x:v>Not inherited</x:v>
      </x:c>
      <x:c r="M137" s="15" t="n">
        <x:v>66</x:v>
      </x:c>
      <x:c r="N137" s="14" t="str">
        <x:v>Cornelius Booth</x:v>
      </x:c>
      <x:c r="O137" s="14" t="str">
        <x:v>nm1580945</x:v>
      </x:c>
      <x:c r="P137" s="14" t="str">
        <x:v>Brian Shepstone</x:v>
      </x:c>
      <x:c r="Q137" s="15" t="n">
        <x:v>1</x:v>
      </x:c>
      <x:c r="R137" s="14" t="str">
        <x:v>2026</x:v>
      </x:c>
      <x:c r="S137" s="14" t="n">
        <x:v>2026</x:v>
      </x:c>
      <x:c r="T137" s="14" t="n">
        <x:v>2026</x:v>
      </x:c>
      <x:c r="U137" s="14" t="str">
        <x:v>Explicit source first year retained</x:v>
      </x:c>
      <x:c r="V137" s="14" t="str">
        <x:v>Earliest supplied year is 2026.</x:v>
      </x:c>
      <x:c r="W137" s="14"/>
      <x:c r="X137" s="14" t="str">
        <x:v>Excluded: after 2025</x:v>
      </x:c>
      <x:c r="Y137" s="14"/>
      <x:c r="Z137" s="14" t="str">
        <x:v>Patience.docx</x:v>
      </x:c>
      <x:c r="AA13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Channel 4 / E4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7" t="e">
        <x:f>HYPERLINK("https://en.wikipedia.org/wiki/Patience","Open source")</x:f>
        <x:v>HYPERLINK is not implemented. linkLocation=https://en.wikipedia.org/wiki/Patience, friendlyName=Open source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14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0.07142857142857142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tt31495377|nm8569428|vanessa fitzpatrick</x:v>
      </x:c>
      <x:c r="B138" s="14" t="str">
        <x:v>03</x:v>
      </x:c>
      <x:c r="C138" s="14" t="str">
        <x:v>2025_IMDb_Cast_Lists_Batch_03(1).xlsx</x:v>
      </x:c>
      <x:c r="D138" s="14" t="str">
        <x:v>Patience</x:v>
      </x:c>
      <x:c r="E138" s="14" t="n">
        <x:v>74</x:v>
      </x:c>
      <x:c r="F138" s="14" t="str">
        <x:v>Patience</x:v>
      </x:c>
      <x:c r="G138" s="14" t="str">
        <x:v>tt31495377</x:v>
      </x:c>
      <x:c r="H138" s="14" t="n">
        <x:v>2025</x:v>
      </x:c>
      <x:c r="I138" s="14" t="n">
        <x:v>2025</x:v>
      </x:c>
      <x:c r="J138" s="14" t="str">
        <x:v>Post-study cohort</x:v>
      </x:c>
      <x:c r="K138" s="14"/>
      <x:c r="L138" s="14" t="str">
        <x:v>Not inherited</x:v>
      </x:c>
      <x:c r="M138" s="15" t="n">
        <x:v>67</x:v>
      </x:c>
      <x:c r="N138" s="14" t="str">
        <x:v>Maimuna Memon</x:v>
      </x:c>
      <x:c r="O138" s="14" t="str">
        <x:v>nm8569428</x:v>
      </x:c>
      <x:c r="P138" s="14" t="str">
        <x:v>Vanessa Fitzpatrick</x:v>
      </x:c>
      <x:c r="Q138" s="15" t="n">
        <x:v>1</x:v>
      </x:c>
      <x:c r="R138" s="14" t="str">
        <x:v>2026</x:v>
      </x:c>
      <x:c r="S138" s="14" t="n">
        <x:v>2026</x:v>
      </x:c>
      <x:c r="T138" s="14" t="n">
        <x:v>2026</x:v>
      </x:c>
      <x:c r="U138" s="14" t="str">
        <x:v>Explicit source first year retained</x:v>
      </x:c>
      <x:c r="V138" s="14" t="str">
        <x:v>Earliest supplied year is 2026.</x:v>
      </x:c>
      <x:c r="W138" s="14"/>
      <x:c r="X138" s="14" t="str">
        <x:v>Excluded: after 2025</x:v>
      </x:c>
      <x:c r="Y138" s="14"/>
      <x:c r="Z138" s="14" t="str">
        <x:v>Patience.docx</x:v>
      </x:c>
      <x:c r="AA13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Channel 4 / E4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7" t="e">
        <x:f>HYPERLINK("https://en.wikipedia.org/wiki/Patience","Open source")</x:f>
        <x:v>HYPERLINK is not implemented. linkLocation=https://en.wikipedia.org/wiki/Patience, friendlyName=Open source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14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0.07142857142857142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tt31495377|nm0730191|professor john greville</x:v>
      </x:c>
      <x:c r="B139" s="14" t="str">
        <x:v>03</x:v>
      </x:c>
      <x:c r="C139" s="14" t="str">
        <x:v>2025_IMDb_Cast_Lists_Batch_03(1).xlsx</x:v>
      </x:c>
      <x:c r="D139" s="14" t="str">
        <x:v>Patience</x:v>
      </x:c>
      <x:c r="E139" s="14" t="n">
        <x:v>77</x:v>
      </x:c>
      <x:c r="F139" s="14" t="str">
        <x:v>Patience</x:v>
      </x:c>
      <x:c r="G139" s="14" t="str">
        <x:v>tt31495377</x:v>
      </x:c>
      <x:c r="H139" s="14" t="n">
        <x:v>2025</x:v>
      </x:c>
      <x:c r="I139" s="14" t="n">
        <x:v>2025</x:v>
      </x:c>
      <x:c r="J139" s="14" t="str">
        <x:v>Post-study cohort</x:v>
      </x:c>
      <x:c r="K139" s="14"/>
      <x:c r="L139" s="14" t="str">
        <x:v>Not inherited</x:v>
      </x:c>
      <x:c r="M139" s="15" t="n">
        <x:v>70</x:v>
      </x:c>
      <x:c r="N139" s="14" t="str">
        <x:v>David Robb</x:v>
      </x:c>
      <x:c r="O139" s="14" t="str">
        <x:v>nm0730191</x:v>
      </x:c>
      <x:c r="P139" s="14" t="str">
        <x:v>Professor John Greville</x:v>
      </x:c>
      <x:c r="Q139" s="15" t="n">
        <x:v>1</x:v>
      </x:c>
      <x:c r="R139" s="14" t="str">
        <x:v>2026</x:v>
      </x:c>
      <x:c r="S139" s="14" t="n">
        <x:v>2026</x:v>
      </x:c>
      <x:c r="T139" s="14" t="n">
        <x:v>2026</x:v>
      </x:c>
      <x:c r="U139" s="14" t="str">
        <x:v>Explicit source first year retained</x:v>
      </x:c>
      <x:c r="V139" s="14" t="str">
        <x:v>Earliest supplied year is 2026.</x:v>
      </x:c>
      <x:c r="W139" s="14"/>
      <x:c r="X139" s="14" t="str">
        <x:v>Excluded: after 2025</x:v>
      </x:c>
      <x:c r="Y139" s="14"/>
      <x:c r="Z139" s="14" t="str">
        <x:v>Patience.docx</x:v>
      </x:c>
      <x:c r="AA13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Channel 4 / E4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7" t="e">
        <x:f>HYPERLINK("https://en.wikipedia.org/wiki/Patience","Open source")</x:f>
        <x:v>HYPERLINK is not implemented. linkLocation=https://en.wikipedia.org/wiki/Patience, friendlyName=Open source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14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0.07142857142857142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tt31495377|nm0117464|jane wallace</x:v>
      </x:c>
      <x:c r="B140" s="14" t="str">
        <x:v>03</x:v>
      </x:c>
      <x:c r="C140" s="14" t="str">
        <x:v>2025_IMDb_Cast_Lists_Batch_03(1).xlsx</x:v>
      </x:c>
      <x:c r="D140" s="14" t="str">
        <x:v>Patience</x:v>
      </x:c>
      <x:c r="E140" s="14" t="n">
        <x:v>78</x:v>
      </x:c>
      <x:c r="F140" s="14" t="str">
        <x:v>Patience</x:v>
      </x:c>
      <x:c r="G140" s="14" t="str">
        <x:v>tt31495377</x:v>
      </x:c>
      <x:c r="H140" s="14" t="n">
        <x:v>2025</x:v>
      </x:c>
      <x:c r="I140" s="14" t="n">
        <x:v>2025</x:v>
      </x:c>
      <x:c r="J140" s="14" t="str">
        <x:v>Post-study cohort</x:v>
      </x:c>
      <x:c r="K140" s="14"/>
      <x:c r="L140" s="14" t="str">
        <x:v>Not inherited</x:v>
      </x:c>
      <x:c r="M140" s="15" t="n">
        <x:v>71</x:v>
      </x:c>
      <x:c r="N140" s="14" t="str">
        <x:v>Karen Bryson</x:v>
      </x:c>
      <x:c r="O140" s="14" t="str">
        <x:v>nm0117464</x:v>
      </x:c>
      <x:c r="P140" s="14" t="str">
        <x:v>Jane Wallace</x:v>
      </x:c>
      <x:c r="Q140" s="15" t="n">
        <x:v>1</x:v>
      </x:c>
      <x:c r="R140" s="14" t="str">
        <x:v>2026</x:v>
      </x:c>
      <x:c r="S140" s="14" t="n">
        <x:v>2026</x:v>
      </x:c>
      <x:c r="T140" s="14" t="n">
        <x:v>2026</x:v>
      </x:c>
      <x:c r="U140" s="14" t="str">
        <x:v>Explicit source first year retained</x:v>
      </x:c>
      <x:c r="V140" s="14" t="str">
        <x:v>Earliest supplied year is 2026.</x:v>
      </x:c>
      <x:c r="W140" s="14"/>
      <x:c r="X140" s="14" t="str">
        <x:v>Excluded: after 2025</x:v>
      </x:c>
      <x:c r="Y140" s="14"/>
      <x:c r="Z140" s="14" t="str">
        <x:v>Patience.docx</x:v>
      </x:c>
      <x:c r="AA14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Channel 4 / E4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7" t="e">
        <x:f>HYPERLINK("https://en.wikipedia.org/wiki/Patience","Open source")</x:f>
        <x:v>HYPERLINK is not implemented. linkLocation=https://en.wikipedia.org/wiki/Patience, friendlyName=Open source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14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0.07142857142857142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tt31495377|nm7436638|jonathan starper</x:v>
      </x:c>
      <x:c r="B141" s="14" t="str">
        <x:v>03</x:v>
      </x:c>
      <x:c r="C141" s="14" t="str">
        <x:v>2025_IMDb_Cast_Lists_Batch_03(1).xlsx</x:v>
      </x:c>
      <x:c r="D141" s="14" t="str">
        <x:v>Patience</x:v>
      </x:c>
      <x:c r="E141" s="14" t="n">
        <x:v>79</x:v>
      </x:c>
      <x:c r="F141" s="14" t="str">
        <x:v>Patience</x:v>
      </x:c>
      <x:c r="G141" s="14" t="str">
        <x:v>tt31495377</x:v>
      </x:c>
      <x:c r="H141" s="14" t="n">
        <x:v>2025</x:v>
      </x:c>
      <x:c r="I141" s="14" t="n">
        <x:v>2025</x:v>
      </x:c>
      <x:c r="J141" s="14" t="str">
        <x:v>Post-study cohort</x:v>
      </x:c>
      <x:c r="K141" s="14"/>
      <x:c r="L141" s="14" t="str">
        <x:v>Not inherited</x:v>
      </x:c>
      <x:c r="M141" s="15" t="n">
        <x:v>72</x:v>
      </x:c>
      <x:c r="N141" s="14" t="str">
        <x:v>Julian De Backer</x:v>
      </x:c>
      <x:c r="O141" s="14" t="str">
        <x:v>nm7436638</x:v>
      </x:c>
      <x:c r="P141" s="14" t="str">
        <x:v>Jonathan Starper</x:v>
      </x:c>
      <x:c r="Q141" s="15" t="n">
        <x:v>1</x:v>
      </x:c>
      <x:c r="R141" s="14" t="str">
        <x:v>2026</x:v>
      </x:c>
      <x:c r="S141" s="14" t="n">
        <x:v>2026</x:v>
      </x:c>
      <x:c r="T141" s="14" t="n">
        <x:v>2026</x:v>
      </x:c>
      <x:c r="U141" s="14" t="str">
        <x:v>Explicit source first year retained</x:v>
      </x:c>
      <x:c r="V141" s="14" t="str">
        <x:v>Earliest supplied year is 2026.</x:v>
      </x:c>
      <x:c r="W141" s="14"/>
      <x:c r="X141" s="14" t="str">
        <x:v>Excluded: after 2025</x:v>
      </x:c>
      <x:c r="Y141" s="14"/>
      <x:c r="Z141" s="14" t="str">
        <x:v>Patience.docx</x:v>
      </x:c>
      <x:c r="AA14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Channel 4 / E4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7" t="e">
        <x:f>HYPERLINK("https://en.wikipedia.org/wiki/Patience","Open source")</x:f>
        <x:v>HYPERLINK is not implemented. linkLocation=https://en.wikipedia.org/wiki/Patience, friendlyName=Open source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14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0.07142857142857142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tt31495377|nm0309076|kevin gill</x:v>
      </x:c>
      <x:c r="B142" s="14" t="str">
        <x:v>03</x:v>
      </x:c>
      <x:c r="C142" s="14" t="str">
        <x:v>2025_IMDb_Cast_Lists_Batch_03(1).xlsx</x:v>
      </x:c>
      <x:c r="D142" s="14" t="str">
        <x:v>Patience</x:v>
      </x:c>
      <x:c r="E142" s="14" t="n">
        <x:v>81</x:v>
      </x:c>
      <x:c r="F142" s="14" t="str">
        <x:v>Patience</x:v>
      </x:c>
      <x:c r="G142" s="14" t="str">
        <x:v>tt31495377</x:v>
      </x:c>
      <x:c r="H142" s="14" t="n">
        <x:v>2025</x:v>
      </x:c>
      <x:c r="I142" s="14" t="n">
        <x:v>2025</x:v>
      </x:c>
      <x:c r="J142" s="14" t="str">
        <x:v>Post-study cohort</x:v>
      </x:c>
      <x:c r="K142" s="14"/>
      <x:c r="L142" s="14" t="str">
        <x:v>Not inherited</x:v>
      </x:c>
      <x:c r="M142" s="15" t="n">
        <x:v>74</x:v>
      </x:c>
      <x:c r="N142" s="14" t="str">
        <x:v>Chris Gascoyne</x:v>
      </x:c>
      <x:c r="O142" s="14" t="str">
        <x:v>nm0309076</x:v>
      </x:c>
      <x:c r="P142" s="14" t="str">
        <x:v>Kevin Gill</x:v>
      </x:c>
      <x:c r="Q142" s="15" t="n">
        <x:v>1</x:v>
      </x:c>
      <x:c r="R142" s="14" t="str">
        <x:v>2026</x:v>
      </x:c>
      <x:c r="S142" s="14" t="n">
        <x:v>2026</x:v>
      </x:c>
      <x:c r="T142" s="14" t="n">
        <x:v>2026</x:v>
      </x:c>
      <x:c r="U142" s="14" t="str">
        <x:v>Explicit source first year retained</x:v>
      </x:c>
      <x:c r="V142" s="14" t="str">
        <x:v>Earliest supplied year is 2026.</x:v>
      </x:c>
      <x:c r="W142" s="14"/>
      <x:c r="X142" s="14" t="str">
        <x:v>Excluded: after 2025</x:v>
      </x:c>
      <x:c r="Y142" s="14"/>
      <x:c r="Z142" s="14" t="str">
        <x:v>Patience.docx</x:v>
      </x:c>
      <x:c r="AA14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Channel 4 / E4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7" t="e">
        <x:f>HYPERLINK("https://en.wikipedia.org/wiki/Patience","Open source")</x:f>
        <x:v>HYPERLINK is not implemented. linkLocation=https://en.wikipedia.org/wiki/Patience, friendlyName=Open source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14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0.07142857142857142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tt31495377|nm0054087|guy delton</x:v>
      </x:c>
      <x:c r="B143" s="14" t="str">
        <x:v>03</x:v>
      </x:c>
      <x:c r="C143" s="14" t="str">
        <x:v>2025_IMDb_Cast_Lists_Batch_03(1).xlsx</x:v>
      </x:c>
      <x:c r="D143" s="14" t="str">
        <x:v>Patience</x:v>
      </x:c>
      <x:c r="E143" s="14" t="n">
        <x:v>83</x:v>
      </x:c>
      <x:c r="F143" s="14" t="str">
        <x:v>Patience</x:v>
      </x:c>
      <x:c r="G143" s="14" t="str">
        <x:v>tt31495377</x:v>
      </x:c>
      <x:c r="H143" s="14" t="n">
        <x:v>2025</x:v>
      </x:c>
      <x:c r="I143" s="14" t="n">
        <x:v>2025</x:v>
      </x:c>
      <x:c r="J143" s="14" t="str">
        <x:v>Post-study cohort</x:v>
      </x:c>
      <x:c r="K143" s="14"/>
      <x:c r="L143" s="14" t="str">
        <x:v>Not inherited</x:v>
      </x:c>
      <x:c r="M143" s="15" t="n">
        <x:v>76</x:v>
      </x:c>
      <x:c r="N143" s="14" t="str">
        <x:v>Roger Barclay</x:v>
      </x:c>
      <x:c r="O143" s="14" t="str">
        <x:v>nm0054087</x:v>
      </x:c>
      <x:c r="P143" s="14" t="str">
        <x:v>Guy Delton</x:v>
      </x:c>
      <x:c r="Q143" s="15" t="n">
        <x:v>1</x:v>
      </x:c>
      <x:c r="R143" s="14" t="str">
        <x:v>2026</x:v>
      </x:c>
      <x:c r="S143" s="14" t="n">
        <x:v>2026</x:v>
      </x:c>
      <x:c r="T143" s="14" t="n">
        <x:v>2026</x:v>
      </x:c>
      <x:c r="U143" s="14" t="str">
        <x:v>Explicit source first year retained</x:v>
      </x:c>
      <x:c r="V143" s="14" t="str">
        <x:v>Earliest supplied year is 2026.</x:v>
      </x:c>
      <x:c r="W143" s="14"/>
      <x:c r="X143" s="14" t="str">
        <x:v>Excluded: after 2025</x:v>
      </x:c>
      <x:c r="Y143" s="14"/>
      <x:c r="Z143" s="14" t="str">
        <x:v>Patience.docx</x:v>
      </x:c>
      <x:c r="AA14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Channel 4 / E4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7" t="e">
        <x:f>HYPERLINK("https://en.wikipedia.org/wiki/Patience","Open source")</x:f>
        <x:v>HYPERLINK is not implemented. linkLocation=https://en.wikipedia.org/wiki/Patience, friendlyName=Open source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14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0.07142857142857142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tt31495377|nm1284927|martin</x:v>
      </x:c>
      <x:c r="B144" s="14" t="str">
        <x:v>03</x:v>
      </x:c>
      <x:c r="C144" s="14" t="str">
        <x:v>2025_IMDb_Cast_Lists_Batch_03(1).xlsx</x:v>
      </x:c>
      <x:c r="D144" s="14" t="str">
        <x:v>Patience</x:v>
      </x:c>
      <x:c r="E144" s="14" t="n">
        <x:v>84</x:v>
      </x:c>
      <x:c r="F144" s="14" t="str">
        <x:v>Patience</x:v>
      </x:c>
      <x:c r="G144" s="14" t="str">
        <x:v>tt31495377</x:v>
      </x:c>
      <x:c r="H144" s="14" t="n">
        <x:v>2025</x:v>
      </x:c>
      <x:c r="I144" s="14" t="n">
        <x:v>2025</x:v>
      </x:c>
      <x:c r="J144" s="14" t="str">
        <x:v>Post-study cohort</x:v>
      </x:c>
      <x:c r="K144" s="14"/>
      <x:c r="L144" s="14" t="str">
        <x:v>Not inherited</x:v>
      </x:c>
      <x:c r="M144" s="15" t="n">
        <x:v>77</x:v>
      </x:c>
      <x:c r="N144" s="14" t="str">
        <x:v>Barry Aird</x:v>
      </x:c>
      <x:c r="O144" s="14" t="str">
        <x:v>nm1284927</x:v>
      </x:c>
      <x:c r="P144" s="14" t="str">
        <x:v>Martin</x:v>
      </x:c>
      <x:c r="Q144" s="15" t="n">
        <x:v>1</x:v>
      </x:c>
      <x:c r="R144" s="14" t="str">
        <x:v>2026</x:v>
      </x:c>
      <x:c r="S144" s="14" t="n">
        <x:v>2026</x:v>
      </x:c>
      <x:c r="T144" s="14" t="n">
        <x:v>2026</x:v>
      </x:c>
      <x:c r="U144" s="14" t="str">
        <x:v>Explicit source first year retained</x:v>
      </x:c>
      <x:c r="V144" s="14" t="str">
        <x:v>Earliest supplied year is 2026.</x:v>
      </x:c>
      <x:c r="W144" s="14"/>
      <x:c r="X144" s="14" t="str">
        <x:v>Excluded: after 2025</x:v>
      </x:c>
      <x:c r="Y144" s="14"/>
      <x:c r="Z144" s="14" t="str">
        <x:v>Patience.docx</x:v>
      </x:c>
      <x:c r="AA14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Channel 4 / E4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7" t="e">
        <x:f>HYPERLINK("https://en.wikipedia.org/wiki/Patience","Open source")</x:f>
        <x:v>HYPERLINK is not implemented. linkLocation=https://en.wikipedia.org/wiki/Patience, friendlyName=Open source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14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0.07142857142857142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tt31495377|nm1955677|andrew montague</x:v>
      </x:c>
      <x:c r="B145" s="14" t="str">
        <x:v>03</x:v>
      </x:c>
      <x:c r="C145" s="14" t="str">
        <x:v>2025_IMDb_Cast_Lists_Batch_03(1).xlsx</x:v>
      </x:c>
      <x:c r="D145" s="14" t="str">
        <x:v>Patience</x:v>
      </x:c>
      <x:c r="E145" s="14" t="n">
        <x:v>85</x:v>
      </x:c>
      <x:c r="F145" s="14" t="str">
        <x:v>Patience</x:v>
      </x:c>
      <x:c r="G145" s="14" t="str">
        <x:v>tt31495377</x:v>
      </x:c>
      <x:c r="H145" s="14" t="n">
        <x:v>2025</x:v>
      </x:c>
      <x:c r="I145" s="14" t="n">
        <x:v>2025</x:v>
      </x:c>
      <x:c r="J145" s="14" t="str">
        <x:v>Post-study cohort</x:v>
      </x:c>
      <x:c r="K145" s="14"/>
      <x:c r="L145" s="14" t="str">
        <x:v>Not inherited</x:v>
      </x:c>
      <x:c r="M145" s="15" t="n">
        <x:v>78</x:v>
      </x:c>
      <x:c r="N145" s="14" t="str">
        <x:v>Rob Oldfield</x:v>
      </x:c>
      <x:c r="O145" s="14" t="str">
        <x:v>nm1955677</x:v>
      </x:c>
      <x:c r="P145" s="14" t="str">
        <x:v>Andrew Montague</x:v>
      </x:c>
      <x:c r="Q145" s="15" t="n">
        <x:v>1</x:v>
      </x:c>
      <x:c r="R145" s="14" t="str">
        <x:v>2026</x:v>
      </x:c>
      <x:c r="S145" s="14" t="n">
        <x:v>2026</x:v>
      </x:c>
      <x:c r="T145" s="14" t="n">
        <x:v>2026</x:v>
      </x:c>
      <x:c r="U145" s="14" t="str">
        <x:v>Explicit source first year retained</x:v>
      </x:c>
      <x:c r="V145" s="14" t="str">
        <x:v>Earliest supplied year is 2026.</x:v>
      </x:c>
      <x:c r="W145" s="14"/>
      <x:c r="X145" s="14" t="str">
        <x:v>Excluded: after 2025</x:v>
      </x:c>
      <x:c r="Y145" s="14"/>
      <x:c r="Z145" s="14" t="str">
        <x:v>Patience.docx</x:v>
      </x:c>
      <x:c r="AA14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Channel 4 / E4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7" t="e">
        <x:f>HYPERLINK("https://en.wikipedia.org/wiki/Patience","Open source")</x:f>
        <x:v>HYPERLINK is not implemented. linkLocation=https://en.wikipedia.org/wiki/Patience, friendlyName=Open source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14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0.07142857142857142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tt31495377|nm16600739|speed dater jeremy</x:v>
      </x:c>
      <x:c r="B146" s="14" t="str">
        <x:v>03</x:v>
      </x:c>
      <x:c r="C146" s="14" t="str">
        <x:v>2025_IMDb_Cast_Lists_Batch_03(1).xlsx</x:v>
      </x:c>
      <x:c r="D146" s="14" t="str">
        <x:v>Patience</x:v>
      </x:c>
      <x:c r="E146" s="14" t="n">
        <x:v>86</x:v>
      </x:c>
      <x:c r="F146" s="14" t="str">
        <x:v>Patience</x:v>
      </x:c>
      <x:c r="G146" s="14" t="str">
        <x:v>tt31495377</x:v>
      </x:c>
      <x:c r="H146" s="14" t="n">
        <x:v>2025</x:v>
      </x:c>
      <x:c r="I146" s="14" t="n">
        <x:v>2025</x:v>
      </x:c>
      <x:c r="J146" s="14" t="str">
        <x:v>Post-study cohort</x:v>
      </x:c>
      <x:c r="K146" s="14"/>
      <x:c r="L146" s="14" t="str">
        <x:v>Not inherited</x:v>
      </x:c>
      <x:c r="M146" s="15" t="n">
        <x:v>79</x:v>
      </x:c>
      <x:c r="N146" s="14" t="str">
        <x:v>Sam Hemlock</x:v>
      </x:c>
      <x:c r="O146" s="14" t="str">
        <x:v>nm16600739</x:v>
      </x:c>
      <x:c r="P146" s="14" t="str">
        <x:v>Speed Dater Jeremy</x:v>
      </x:c>
      <x:c r="Q146" s="15" t="n">
        <x:v>1</x:v>
      </x:c>
      <x:c r="R146" s="14" t="str">
        <x:v>2026</x:v>
      </x:c>
      <x:c r="S146" s="14" t="n">
        <x:v>2026</x:v>
      </x:c>
      <x:c r="T146" s="14" t="n">
        <x:v>2026</x:v>
      </x:c>
      <x:c r="U146" s="14" t="str">
        <x:v>Explicit source first year retained</x:v>
      </x:c>
      <x:c r="V146" s="14" t="str">
        <x:v>Earliest supplied year is 2026.</x:v>
      </x:c>
      <x:c r="W146" s="14"/>
      <x:c r="X146" s="14" t="str">
        <x:v>Excluded: after 2025</x:v>
      </x:c>
      <x:c r="Y146" s="14"/>
      <x:c r="Z146" s="14" t="str">
        <x:v>Patience.docx</x:v>
      </x:c>
      <x:c r="AA14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Channel 4 / E4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7" t="e">
        <x:f>HYPERLINK("https://en.wikipedia.org/wiki/Patience","Open source")</x:f>
        <x:v>HYPERLINK is not implemented. linkLocation=https://en.wikipedia.org/wiki/Patience, friendlyName=Open source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14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0.07142857142857142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tt31495377|nm1544411|professor judy rathbone</x:v>
      </x:c>
      <x:c r="B147" s="14" t="str">
        <x:v>03</x:v>
      </x:c>
      <x:c r="C147" s="14" t="str">
        <x:v>2025_IMDb_Cast_Lists_Batch_03(1).xlsx</x:v>
      </x:c>
      <x:c r="D147" s="14" t="str">
        <x:v>Patience</x:v>
      </x:c>
      <x:c r="E147" s="14" t="n">
        <x:v>88</x:v>
      </x:c>
      <x:c r="F147" s="14" t="str">
        <x:v>Patience</x:v>
      </x:c>
      <x:c r="G147" s="14" t="str">
        <x:v>tt31495377</x:v>
      </x:c>
      <x:c r="H147" s="14" t="n">
        <x:v>2025</x:v>
      </x:c>
      <x:c r="I147" s="14" t="n">
        <x:v>2025</x:v>
      </x:c>
      <x:c r="J147" s="14" t="str">
        <x:v>Post-study cohort</x:v>
      </x:c>
      <x:c r="K147" s="14"/>
      <x:c r="L147" s="14" t="str">
        <x:v>Not inherited</x:v>
      </x:c>
      <x:c r="M147" s="15" t="n">
        <x:v>81</x:v>
      </x:c>
      <x:c r="N147" s="14" t="str">
        <x:v>Rina Mahoney</x:v>
      </x:c>
      <x:c r="O147" s="14" t="str">
        <x:v>nm1544411</x:v>
      </x:c>
      <x:c r="P147" s="14" t="str">
        <x:v>Professor Judy Rathbone</x:v>
      </x:c>
      <x:c r="Q147" s="15" t="n">
        <x:v>1</x:v>
      </x:c>
      <x:c r="R147" s="14" t="str">
        <x:v>2026</x:v>
      </x:c>
      <x:c r="S147" s="14" t="n">
        <x:v>2026</x:v>
      </x:c>
      <x:c r="T147" s="14" t="n">
        <x:v>2026</x:v>
      </x:c>
      <x:c r="U147" s="14" t="str">
        <x:v>Explicit source first year retained</x:v>
      </x:c>
      <x:c r="V147" s="14" t="str">
        <x:v>Earliest supplied year is 2026.</x:v>
      </x:c>
      <x:c r="W147" s="14"/>
      <x:c r="X147" s="14" t="str">
        <x:v>Excluded: after 2025</x:v>
      </x:c>
      <x:c r="Y147" s="14"/>
      <x:c r="Z147" s="14" t="str">
        <x:v>Patience.docx</x:v>
      </x:c>
      <x:c r="AA14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Channel 4 / E4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7" t="e">
        <x:f>HYPERLINK("https://en.wikipedia.org/wiki/Patience","Open source")</x:f>
        <x:v>HYPERLINK is not implemented. linkLocation=https://en.wikipedia.org/wiki/Patience, friendlyName=Open source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14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0.07142857142857142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tt31495377|nm0670891|bernie hudson</x:v>
      </x:c>
      <x:c r="B148" s="14" t="str">
        <x:v>03</x:v>
      </x:c>
      <x:c r="C148" s="14" t="str">
        <x:v>2025_IMDb_Cast_Lists_Batch_03(1).xlsx</x:v>
      </x:c>
      <x:c r="D148" s="14" t="str">
        <x:v>Patience</x:v>
      </x:c>
      <x:c r="E148" s="14" t="n">
        <x:v>89</x:v>
      </x:c>
      <x:c r="F148" s="14" t="str">
        <x:v>Patience</x:v>
      </x:c>
      <x:c r="G148" s="14" t="str">
        <x:v>tt31495377</x:v>
      </x:c>
      <x:c r="H148" s="14" t="n">
        <x:v>2025</x:v>
      </x:c>
      <x:c r="I148" s="14" t="n">
        <x:v>2025</x:v>
      </x:c>
      <x:c r="J148" s="14" t="str">
        <x:v>Post-study cohort</x:v>
      </x:c>
      <x:c r="K148" s="14"/>
      <x:c r="L148" s="14" t="str">
        <x:v>Not inherited</x:v>
      </x:c>
      <x:c r="M148" s="15" t="n">
        <x:v>82</x:v>
      </x:c>
      <x:c r="N148" s="14" t="str">
        <x:v>Kazia Pelka</x:v>
      </x:c>
      <x:c r="O148" s="14" t="str">
        <x:v>nm0670891</x:v>
      </x:c>
      <x:c r="P148" s="14" t="str">
        <x:v>Bernie Hudson</x:v>
      </x:c>
      <x:c r="Q148" s="15" t="n">
        <x:v>1</x:v>
      </x:c>
      <x:c r="R148" s="14" t="str">
        <x:v>2026</x:v>
      </x:c>
      <x:c r="S148" s="14" t="n">
        <x:v>2026</x:v>
      </x:c>
      <x:c r="T148" s="14" t="n">
        <x:v>2026</x:v>
      </x:c>
      <x:c r="U148" s="14" t="str">
        <x:v>Explicit source first year retained</x:v>
      </x:c>
      <x:c r="V148" s="14" t="str">
        <x:v>Earliest supplied year is 2026.</x:v>
      </x:c>
      <x:c r="W148" s="14"/>
      <x:c r="X148" s="14" t="str">
        <x:v>Excluded: after 2025</x:v>
      </x:c>
      <x:c r="Y148" s="14"/>
      <x:c r="Z148" s="14" t="str">
        <x:v>Patience.docx</x:v>
      </x:c>
      <x:c r="AA14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Channel 4 / E4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7" t="e">
        <x:f>HYPERLINK("https://en.wikipedia.org/wiki/Patience","Open source")</x:f>
        <x:v>HYPERLINK is not implemented. linkLocation=https://en.wikipedia.org/wiki/Patience, friendlyName=Open source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14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0.07142857142857142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tt31495377|nm12586713|speed dater claire</x:v>
      </x:c>
      <x:c r="B149" s="14" t="str">
        <x:v>03</x:v>
      </x:c>
      <x:c r="C149" s="14" t="str">
        <x:v>2025_IMDb_Cast_Lists_Batch_03(1).xlsx</x:v>
      </x:c>
      <x:c r="D149" s="14" t="str">
        <x:v>Patience</x:v>
      </x:c>
      <x:c r="E149" s="14" t="n">
        <x:v>90</x:v>
      </x:c>
      <x:c r="F149" s="14" t="str">
        <x:v>Patience</x:v>
      </x:c>
      <x:c r="G149" s="14" t="str">
        <x:v>tt31495377</x:v>
      </x:c>
      <x:c r="H149" s="14" t="n">
        <x:v>2025</x:v>
      </x:c>
      <x:c r="I149" s="14" t="n">
        <x:v>2025</x:v>
      </x:c>
      <x:c r="J149" s="14" t="str">
        <x:v>Post-study cohort</x:v>
      </x:c>
      <x:c r="K149" s="14"/>
      <x:c r="L149" s="14" t="str">
        <x:v>Not inherited</x:v>
      </x:c>
      <x:c r="M149" s="15" t="n">
        <x:v>83</x:v>
      </x:c>
      <x:c r="N149" s="14" t="str">
        <x:v>Anushka Melkonian</x:v>
      </x:c>
      <x:c r="O149" s="14" t="str">
        <x:v>nm12586713</x:v>
      </x:c>
      <x:c r="P149" s="14" t="str">
        <x:v>Speed Dater Claire</x:v>
      </x:c>
      <x:c r="Q149" s="15" t="n">
        <x:v>1</x:v>
      </x:c>
      <x:c r="R149" s="14" t="str">
        <x:v>2026</x:v>
      </x:c>
      <x:c r="S149" s="14" t="n">
        <x:v>2026</x:v>
      </x:c>
      <x:c r="T149" s="14" t="n">
        <x:v>2026</x:v>
      </x:c>
      <x:c r="U149" s="14" t="str">
        <x:v>Explicit source first year retained</x:v>
      </x:c>
      <x:c r="V149" s="14" t="str">
        <x:v>Earliest supplied year is 2026.</x:v>
      </x:c>
      <x:c r="W149" s="14"/>
      <x:c r="X149" s="14" t="str">
        <x:v>Excluded: after 2025</x:v>
      </x:c>
      <x:c r="Y149" s="14"/>
      <x:c r="Z149" s="14" t="str">
        <x:v>Patience.docx</x:v>
      </x:c>
      <x:c r="AA14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Channel 4 / E4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7" t="e">
        <x:f>HYPERLINK("https://en.wikipedia.org/wiki/Patience","Open source")</x:f>
        <x:v>HYPERLINK is not implemented. linkLocation=https://en.wikipedia.org/wiki/Patience, friendlyName=Open source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14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0.07142857142857142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tt31495377|nm18103408|father colin carter</x:v>
      </x:c>
      <x:c r="B150" s="14" t="str">
        <x:v>03</x:v>
      </x:c>
      <x:c r="C150" s="14" t="str">
        <x:v>2025_IMDb_Cast_Lists_Batch_03(1).xlsx</x:v>
      </x:c>
      <x:c r="D150" s="14" t="str">
        <x:v>Patience</x:v>
      </x:c>
      <x:c r="E150" s="14" t="n">
        <x:v>91</x:v>
      </x:c>
      <x:c r="F150" s="14" t="str">
        <x:v>Patience</x:v>
      </x:c>
      <x:c r="G150" s="14" t="str">
        <x:v>tt31495377</x:v>
      </x:c>
      <x:c r="H150" s="14" t="n">
        <x:v>2025</x:v>
      </x:c>
      <x:c r="I150" s="14" t="n">
        <x:v>2025</x:v>
      </x:c>
      <x:c r="J150" s="14" t="str">
        <x:v>Post-study cohort</x:v>
      </x:c>
      <x:c r="K150" s="14"/>
      <x:c r="L150" s="14" t="str">
        <x:v>Not inherited</x:v>
      </x:c>
      <x:c r="M150" s="15" t="n">
        <x:v>84</x:v>
      </x:c>
      <x:c r="N150" s="14" t="str">
        <x:v>Clarence Smith</x:v>
      </x:c>
      <x:c r="O150" s="14" t="str">
        <x:v>nm18103408</x:v>
      </x:c>
      <x:c r="P150" s="14" t="str">
        <x:v>Father Colin Carter</x:v>
      </x:c>
      <x:c r="Q150" s="15" t="n">
        <x:v>1</x:v>
      </x:c>
      <x:c r="R150" s="14" t="str">
        <x:v>2026</x:v>
      </x:c>
      <x:c r="S150" s="14" t="n">
        <x:v>2026</x:v>
      </x:c>
      <x:c r="T150" s="14" t="n">
        <x:v>2026</x:v>
      </x:c>
      <x:c r="U150" s="14" t="str">
        <x:v>Explicit source first year retained</x:v>
      </x:c>
      <x:c r="V150" s="14" t="str">
        <x:v>Earliest supplied year is 2026.</x:v>
      </x:c>
      <x:c r="W150" s="14"/>
      <x:c r="X150" s="14" t="str">
        <x:v>Excluded: after 2025</x:v>
      </x:c>
      <x:c r="Y150" s="14"/>
      <x:c r="Z150" s="14" t="str">
        <x:v>Patience.docx</x:v>
      </x:c>
      <x:c r="AA15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Channel 4 / E4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7" t="e">
        <x:f>HYPERLINK("https://en.wikipedia.org/wiki/Patience","Open source")</x:f>
        <x:v>HYPERLINK is not implemented. linkLocation=https://en.wikipedia.org/wiki/Patience, friendlyName=Open source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14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0.07142857142857142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tt31495377|nm7556771|amber</x:v>
      </x:c>
      <x:c r="B151" s="14" t="str">
        <x:v>03</x:v>
      </x:c>
      <x:c r="C151" s="14" t="str">
        <x:v>2025_IMDb_Cast_Lists_Batch_03(1).xlsx</x:v>
      </x:c>
      <x:c r="D151" s="14" t="str">
        <x:v>Patience</x:v>
      </x:c>
      <x:c r="E151" s="14" t="n">
        <x:v>95</x:v>
      </x:c>
      <x:c r="F151" s="14" t="str">
        <x:v>Patience</x:v>
      </x:c>
      <x:c r="G151" s="14" t="str">
        <x:v>tt31495377</x:v>
      </x:c>
      <x:c r="H151" s="14" t="n">
        <x:v>2025</x:v>
      </x:c>
      <x:c r="I151" s="14" t="n">
        <x:v>2025</x:v>
      </x:c>
      <x:c r="J151" s="14" t="str">
        <x:v>Post-study cohort</x:v>
      </x:c>
      <x:c r="K151" s="14"/>
      <x:c r="L151" s="14" t="str">
        <x:v>Not inherited</x:v>
      </x:c>
      <x:c r="M151" s="15" t="n">
        <x:v>88</x:v>
      </x:c>
      <x:c r="N151" s="14" t="str">
        <x:v>Alaïs Lawson</x:v>
      </x:c>
      <x:c r="O151" s="14" t="str">
        <x:v>nm7556771</x:v>
      </x:c>
      <x:c r="P151" s="14" t="str">
        <x:v>Amber</x:v>
      </x:c>
      <x:c r="Q151" s="15" t="n">
        <x:v>1</x:v>
      </x:c>
      <x:c r="R151" s="14" t="str">
        <x:v>2026</x:v>
      </x:c>
      <x:c r="S151" s="14" t="n">
        <x:v>2026</x:v>
      </x:c>
      <x:c r="T151" s="14" t="n">
        <x:v>2026</x:v>
      </x:c>
      <x:c r="U151" s="14" t="str">
        <x:v>Explicit source first year retained</x:v>
      </x:c>
      <x:c r="V151" s="14" t="str">
        <x:v>Earliest supplied year is 2026.</x:v>
      </x:c>
      <x:c r="W151" s="14"/>
      <x:c r="X151" s="14" t="str">
        <x:v>Excluded: after 2025</x:v>
      </x:c>
      <x:c r="Y151" s="14"/>
      <x:c r="Z151" s="14" t="str">
        <x:v>Patience.docx</x:v>
      </x:c>
      <x:c r="AA15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Channel 4 / E4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7" t="e">
        <x:f>HYPERLINK("https://en.wikipedia.org/wiki/Patience","Open source")</x:f>
        <x:v>HYPERLINK is not implemented. linkLocation=https://en.wikipedia.org/wiki/Patience, friendlyName=Open source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14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0.07142857142857142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tt31495377|nm6140768|karim sound engineer</x:v>
      </x:c>
      <x:c r="B152" s="14" t="str">
        <x:v>03</x:v>
      </x:c>
      <x:c r="C152" s="14" t="str">
        <x:v>2025_IMDb_Cast_Lists_Batch_03(1).xlsx</x:v>
      </x:c>
      <x:c r="D152" s="14" t="str">
        <x:v>Patience</x:v>
      </x:c>
      <x:c r="E152" s="14" t="n">
        <x:v>96</x:v>
      </x:c>
      <x:c r="F152" s="14" t="str">
        <x:v>Patience</x:v>
      </x:c>
      <x:c r="G152" s="14" t="str">
        <x:v>tt31495377</x:v>
      </x:c>
      <x:c r="H152" s="14" t="n">
        <x:v>2025</x:v>
      </x:c>
      <x:c r="I152" s="14" t="n">
        <x:v>2025</x:v>
      </x:c>
      <x:c r="J152" s="14" t="str">
        <x:v>Post-study cohort</x:v>
      </x:c>
      <x:c r="K152" s="14"/>
      <x:c r="L152" s="14" t="str">
        <x:v>Not inherited</x:v>
      </x:c>
      <x:c r="M152" s="15" t="n">
        <x:v>89</x:v>
      </x:c>
      <x:c r="N152" s="14" t="str">
        <x:v>Chris Lew Kum Hoi</x:v>
      </x:c>
      <x:c r="O152" s="14" t="str">
        <x:v>nm6140768</x:v>
      </x:c>
      <x:c r="P152" s="14" t="str">
        <x:v>Karim sound engineer</x:v>
      </x:c>
      <x:c r="Q152" s="15" t="n">
        <x:v>1</x:v>
      </x:c>
      <x:c r="R152" s="14" t="str">
        <x:v>2026</x:v>
      </x:c>
      <x:c r="S152" s="14" t="n">
        <x:v>2026</x:v>
      </x:c>
      <x:c r="T152" s="14" t="n">
        <x:v>2026</x:v>
      </x:c>
      <x:c r="U152" s="14" t="str">
        <x:v>Explicit source first year retained</x:v>
      </x:c>
      <x:c r="V152" s="14" t="str">
        <x:v>Earliest supplied year is 2026.</x:v>
      </x:c>
      <x:c r="W152" s="14"/>
      <x:c r="X152" s="14" t="str">
        <x:v>Excluded: after 2025</x:v>
      </x:c>
      <x:c r="Y152" s="14"/>
      <x:c r="Z152" s="14" t="str">
        <x:v>Patience.docx</x:v>
      </x:c>
      <x:c r="AA15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Channel 4 / E4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7" t="e">
        <x:f>HYPERLINK("https://en.wikipedia.org/wiki/Patience","Open source")</x:f>
        <x:v>HYPERLINK is not implemented. linkLocation=https://en.wikipedia.org/wiki/Patience, friendlyName=Open source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14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0.07142857142857142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tt31495377|nm12449960|family liaison officer</x:v>
      </x:c>
      <x:c r="B153" s="14" t="str">
        <x:v>03</x:v>
      </x:c>
      <x:c r="C153" s="14" t="str">
        <x:v>2025_IMDb_Cast_Lists_Batch_03(1).xlsx</x:v>
      </x:c>
      <x:c r="D153" s="14" t="str">
        <x:v>Patience</x:v>
      </x:c>
      <x:c r="E153" s="14" t="n">
        <x:v>97</x:v>
      </x:c>
      <x:c r="F153" s="14" t="str">
        <x:v>Patience</x:v>
      </x:c>
      <x:c r="G153" s="14" t="str">
        <x:v>tt31495377</x:v>
      </x:c>
      <x:c r="H153" s="14" t="n">
        <x:v>2025</x:v>
      </x:c>
      <x:c r="I153" s="14" t="n">
        <x:v>2025</x:v>
      </x:c>
      <x:c r="J153" s="14" t="str">
        <x:v>Post-study cohort</x:v>
      </x:c>
      <x:c r="K153" s="14"/>
      <x:c r="L153" s="14" t="str">
        <x:v>Not inherited</x:v>
      </x:c>
      <x:c r="M153" s="15" t="n">
        <x:v>90</x:v>
      </x:c>
      <x:c r="N153" s="14" t="str">
        <x:v>Kalin Morrow</x:v>
      </x:c>
      <x:c r="O153" s="14" t="str">
        <x:v>nm12449960</x:v>
      </x:c>
      <x:c r="P153" s="14" t="str">
        <x:v>Family liaison officer</x:v>
      </x:c>
      <x:c r="Q153" s="15" t="n">
        <x:v>1</x:v>
      </x:c>
      <x:c r="R153" s="14" t="str">
        <x:v>2026</x:v>
      </x:c>
      <x:c r="S153" s="14" t="n">
        <x:v>2026</x:v>
      </x:c>
      <x:c r="T153" s="14" t="n">
        <x:v>2026</x:v>
      </x:c>
      <x:c r="U153" s="14" t="str">
        <x:v>Explicit source first year retained</x:v>
      </x:c>
      <x:c r="V153" s="14" t="str">
        <x:v>Earliest supplied year is 2026.</x:v>
      </x:c>
      <x:c r="W153" s="14"/>
      <x:c r="X153" s="14" t="str">
        <x:v>Excluded: after 2025</x:v>
      </x:c>
      <x:c r="Y153" s="14"/>
      <x:c r="Z153" s="14" t="str">
        <x:v>Patience.docx</x:v>
      </x:c>
      <x:c r="AA15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Channel 4 / E4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7" t="e">
        <x:f>HYPERLINK("https://en.wikipedia.org/wiki/Patience","Open source")</x:f>
        <x:v>HYPERLINK is not implemented. linkLocation=https://en.wikipedia.org/wiki/Patience, friendlyName=Open source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14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0.07142857142857142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tt31495377|nm7090577|speed dater mark</x:v>
      </x:c>
      <x:c r="B154" s="14" t="str">
        <x:v>03</x:v>
      </x:c>
      <x:c r="C154" s="14" t="str">
        <x:v>2025_IMDb_Cast_Lists_Batch_03(1).xlsx</x:v>
      </x:c>
      <x:c r="D154" s="14" t="str">
        <x:v>Patience</x:v>
      </x:c>
      <x:c r="E154" s="14" t="n">
        <x:v>98</x:v>
      </x:c>
      <x:c r="F154" s="14" t="str">
        <x:v>Patience</x:v>
      </x:c>
      <x:c r="G154" s="14" t="str">
        <x:v>tt31495377</x:v>
      </x:c>
      <x:c r="H154" s="14" t="n">
        <x:v>2025</x:v>
      </x:c>
      <x:c r="I154" s="14" t="n">
        <x:v>2025</x:v>
      </x:c>
      <x:c r="J154" s="14" t="str">
        <x:v>Post-study cohort</x:v>
      </x:c>
      <x:c r="K154" s="14"/>
      <x:c r="L154" s="14" t="str">
        <x:v>Not inherited</x:v>
      </x:c>
      <x:c r="M154" s="15" t="n">
        <x:v>91</x:v>
      </x:c>
      <x:c r="N154" s="14" t="str">
        <x:v>Juan Gerlo</x:v>
      </x:c>
      <x:c r="O154" s="14" t="str">
        <x:v>nm7090577</x:v>
      </x:c>
      <x:c r="P154" s="14" t="str">
        <x:v>Speed Dater Mark</x:v>
      </x:c>
      <x:c r="Q154" s="15" t="n">
        <x:v>1</x:v>
      </x:c>
      <x:c r="R154" s="14" t="str">
        <x:v>2026</x:v>
      </x:c>
      <x:c r="S154" s="14" t="n">
        <x:v>2026</x:v>
      </x:c>
      <x:c r="T154" s="14" t="n">
        <x:v>2026</x:v>
      </x:c>
      <x:c r="U154" s="14" t="str">
        <x:v>Explicit source first year retained</x:v>
      </x:c>
      <x:c r="V154" s="14" t="str">
        <x:v>Earliest supplied year is 2026.</x:v>
      </x:c>
      <x:c r="W154" s="14"/>
      <x:c r="X154" s="14" t="str">
        <x:v>Excluded: after 2025</x:v>
      </x:c>
      <x:c r="Y154" s="14"/>
      <x:c r="Z154" s="14" t="str">
        <x:v>Patience.docx</x:v>
      </x:c>
      <x:c r="AA15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Channel 4 / E4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7" t="e">
        <x:f>HYPERLINK("https://en.wikipedia.org/wiki/Patience","Open source")</x:f>
        <x:v>HYPERLINK is not implemented. linkLocation=https://en.wikipedia.org/wiki/Patience, friendlyName=Open source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14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0.07142857142857142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tt31495377|nm0942202|jay presto</x:v>
      </x:c>
      <x:c r="B155" s="14" t="str">
        <x:v>03</x:v>
      </x:c>
      <x:c r="C155" s="14" t="str">
        <x:v>2025_IMDb_Cast_Lists_Batch_03(1).xlsx</x:v>
      </x:c>
      <x:c r="D155" s="14" t="str">
        <x:v>Patience</x:v>
      </x:c>
      <x:c r="E155" s="14" t="n">
        <x:v>100</x:v>
      </x:c>
      <x:c r="F155" s="14" t="str">
        <x:v>Patience</x:v>
      </x:c>
      <x:c r="G155" s="14" t="str">
        <x:v>tt31495377</x:v>
      </x:c>
      <x:c r="H155" s="14" t="n">
        <x:v>2025</x:v>
      </x:c>
      <x:c r="I155" s="14" t="n">
        <x:v>2025</x:v>
      </x:c>
      <x:c r="J155" s="14" t="str">
        <x:v>Post-study cohort</x:v>
      </x:c>
      <x:c r="K155" s="14"/>
      <x:c r="L155" s="14" t="str">
        <x:v>Not inherited</x:v>
      </x:c>
      <x:c r="M155" s="15" t="n">
        <x:v>93</x:v>
      </x:c>
      <x:c r="N155" s="14" t="str">
        <x:v>Angus Wright</x:v>
      </x:c>
      <x:c r="O155" s="14" t="str">
        <x:v>nm0942202</x:v>
      </x:c>
      <x:c r="P155" s="14" t="str">
        <x:v>Jay Presto</x:v>
      </x:c>
      <x:c r="Q155" s="15" t="n">
        <x:v>1</x:v>
      </x:c>
      <x:c r="R155" s="14" t="str">
        <x:v>2026</x:v>
      </x:c>
      <x:c r="S155" s="14" t="n">
        <x:v>2026</x:v>
      </x:c>
      <x:c r="T155" s="14" t="n">
        <x:v>2026</x:v>
      </x:c>
      <x:c r="U155" s="14" t="str">
        <x:v>Explicit source first year retained</x:v>
      </x:c>
      <x:c r="V155" s="14" t="str">
        <x:v>Earliest supplied year is 2026.</x:v>
      </x:c>
      <x:c r="W155" s="14"/>
      <x:c r="X155" s="14" t="str">
        <x:v>Excluded: after 2025</x:v>
      </x:c>
      <x:c r="Y155" s="14"/>
      <x:c r="Z155" s="14" t="str">
        <x:v>Patience.docx</x:v>
      </x:c>
      <x:c r="AA15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Channel 4 / E4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7" t="e">
        <x:f>HYPERLINK("https://en.wikipedia.org/wiki/Patience","Open source")</x:f>
        <x:v>HYPERLINK is not implemented. linkLocation=https://en.wikipedia.org/wiki/Patience, friendlyName=Open source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14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0.07142857142857142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tt31495377|nm0878653|tobias burrand</x:v>
      </x:c>
      <x:c r="B156" s="14" t="str">
        <x:v>03</x:v>
      </x:c>
      <x:c r="C156" s="14" t="str">
        <x:v>2025_IMDb_Cast_Lists_Batch_03(1).xlsx</x:v>
      </x:c>
      <x:c r="D156" s="14" t="str">
        <x:v>Patience</x:v>
      </x:c>
      <x:c r="E156" s="14" t="n">
        <x:v>101</x:v>
      </x:c>
      <x:c r="F156" s="14" t="str">
        <x:v>Patience</x:v>
      </x:c>
      <x:c r="G156" s="14" t="str">
        <x:v>tt31495377</x:v>
      </x:c>
      <x:c r="H156" s="14" t="n">
        <x:v>2025</x:v>
      </x:c>
      <x:c r="I156" s="14" t="n">
        <x:v>2025</x:v>
      </x:c>
      <x:c r="J156" s="14" t="str">
        <x:v>Post-study cohort</x:v>
      </x:c>
      <x:c r="K156" s="14"/>
      <x:c r="L156" s="14" t="str">
        <x:v>Not inherited</x:v>
      </x:c>
      <x:c r="M156" s="15" t="n">
        <x:v>94</x:v>
      </x:c>
      <x:c r="N156" s="14" t="str">
        <x:v>Milo Twomey</x:v>
      </x:c>
      <x:c r="O156" s="14" t="str">
        <x:v>nm0878653</x:v>
      </x:c>
      <x:c r="P156" s="14" t="str">
        <x:v>Tobias Burrand</x:v>
      </x:c>
      <x:c r="Q156" s="15" t="n">
        <x:v>1</x:v>
      </x:c>
      <x:c r="R156" s="14" t="str">
        <x:v>2026</x:v>
      </x:c>
      <x:c r="S156" s="14" t="n">
        <x:v>2026</x:v>
      </x:c>
      <x:c r="T156" s="14" t="n">
        <x:v>2026</x:v>
      </x:c>
      <x:c r="U156" s="14" t="str">
        <x:v>Explicit source first year retained</x:v>
      </x:c>
      <x:c r="V156" s="14" t="str">
        <x:v>Earliest supplied year is 2026.</x:v>
      </x:c>
      <x:c r="W156" s="14"/>
      <x:c r="X156" s="14" t="str">
        <x:v>Excluded: after 2025</x:v>
      </x:c>
      <x:c r="Y156" s="14"/>
      <x:c r="Z156" s="14" t="str">
        <x:v>Patience.docx</x:v>
      </x:c>
      <x:c r="AA15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Channel 4 / E4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7" t="e">
        <x:f>HYPERLINK("https://en.wikipedia.org/wiki/Patience","Open source")</x:f>
        <x:v>HYPERLINK is not implemented. linkLocation=https://en.wikipedia.org/wiki/Patience, friendlyName=Open source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14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0.07142857142857142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tt31495377|nm3518982|joanne</x:v>
      </x:c>
      <x:c r="B157" s="14" t="str">
        <x:v>03</x:v>
      </x:c>
      <x:c r="C157" s="14" t="str">
        <x:v>2025_IMDb_Cast_Lists_Batch_03(1).xlsx</x:v>
      </x:c>
      <x:c r="D157" s="14" t="str">
        <x:v>Patience</x:v>
      </x:c>
      <x:c r="E157" s="14" t="n">
        <x:v>102</x:v>
      </x:c>
      <x:c r="F157" s="14" t="str">
        <x:v>Patience</x:v>
      </x:c>
      <x:c r="G157" s="14" t="str">
        <x:v>tt31495377</x:v>
      </x:c>
      <x:c r="H157" s="14" t="n">
        <x:v>2025</x:v>
      </x:c>
      <x:c r="I157" s="14" t="n">
        <x:v>2025</x:v>
      </x:c>
      <x:c r="J157" s="14" t="str">
        <x:v>Post-study cohort</x:v>
      </x:c>
      <x:c r="K157" s="14"/>
      <x:c r="L157" s="14" t="str">
        <x:v>Not inherited</x:v>
      </x:c>
      <x:c r="M157" s="15" t="n">
        <x:v>95</x:v>
      </x:c>
      <x:c r="N157" s="14" t="str">
        <x:v>Margaret Clunie</x:v>
      </x:c>
      <x:c r="O157" s="14" t="str">
        <x:v>nm3518982</x:v>
      </x:c>
      <x:c r="P157" s="14" t="str">
        <x:v>Joanne</x:v>
      </x:c>
      <x:c r="Q157" s="15" t="n">
        <x:v>1</x:v>
      </x:c>
      <x:c r="R157" s="14" t="str">
        <x:v>2026</x:v>
      </x:c>
      <x:c r="S157" s="14" t="n">
        <x:v>2026</x:v>
      </x:c>
      <x:c r="T157" s="14" t="n">
        <x:v>2026</x:v>
      </x:c>
      <x:c r="U157" s="14" t="str">
        <x:v>Explicit source first year retained</x:v>
      </x:c>
      <x:c r="V157" s="14" t="str">
        <x:v>Earliest supplied year is 2026.</x:v>
      </x:c>
      <x:c r="W157" s="14"/>
      <x:c r="X157" s="14" t="str">
        <x:v>Excluded: after 2025</x:v>
      </x:c>
      <x:c r="Y157" s="14"/>
      <x:c r="Z157" s="14" t="str">
        <x:v>Patience.docx</x:v>
      </x:c>
      <x:c r="AA15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Channel 4 / E4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7" t="e">
        <x:f>HYPERLINK("https://en.wikipedia.org/wiki/Patience","Open source")</x:f>
        <x:v>HYPERLINK is not implemented. linkLocation=https://en.wikipedia.org/wiki/Patience, friendlyName=Open source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14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0.07142857142857142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tt31495377|nm1988025|jimmy brams</x:v>
      </x:c>
      <x:c r="B158" s="14" t="str">
        <x:v>03</x:v>
      </x:c>
      <x:c r="C158" s="14" t="str">
        <x:v>2025_IMDb_Cast_Lists_Batch_03(1).xlsx</x:v>
      </x:c>
      <x:c r="D158" s="14" t="str">
        <x:v>Patience</x:v>
      </x:c>
      <x:c r="E158" s="14" t="n">
        <x:v>103</x:v>
      </x:c>
      <x:c r="F158" s="14" t="str">
        <x:v>Patience</x:v>
      </x:c>
      <x:c r="G158" s="14" t="str">
        <x:v>tt31495377</x:v>
      </x:c>
      <x:c r="H158" s="14" t="n">
        <x:v>2025</x:v>
      </x:c>
      <x:c r="I158" s="14" t="n">
        <x:v>2025</x:v>
      </x:c>
      <x:c r="J158" s="14" t="str">
        <x:v>Post-study cohort</x:v>
      </x:c>
      <x:c r="K158" s="14"/>
      <x:c r="L158" s="14" t="str">
        <x:v>Not inherited</x:v>
      </x:c>
      <x:c r="M158" s="15" t="n">
        <x:v>96</x:v>
      </x:c>
      <x:c r="N158" s="14" t="str">
        <x:v>Ansu Kabia</x:v>
      </x:c>
      <x:c r="O158" s="14" t="str">
        <x:v>nm1988025</x:v>
      </x:c>
      <x:c r="P158" s="14" t="str">
        <x:v>Jimmy Brams</x:v>
      </x:c>
      <x:c r="Q158" s="15" t="n">
        <x:v>1</x:v>
      </x:c>
      <x:c r="R158" s="14" t="str">
        <x:v>2026</x:v>
      </x:c>
      <x:c r="S158" s="14" t="n">
        <x:v>2026</x:v>
      </x:c>
      <x:c r="T158" s="14" t="n">
        <x:v>2026</x:v>
      </x:c>
      <x:c r="U158" s="14" t="str">
        <x:v>Explicit source first year retained</x:v>
      </x:c>
      <x:c r="V158" s="14" t="str">
        <x:v>Earliest supplied year is 2026.</x:v>
      </x:c>
      <x:c r="W158" s="14"/>
      <x:c r="X158" s="14" t="str">
        <x:v>Excluded: after 2025</x:v>
      </x:c>
      <x:c r="Y158" s="14"/>
      <x:c r="Z158" s="14" t="str">
        <x:v>Patience.docx</x:v>
      </x:c>
      <x:c r="AA15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Channel 4 / E4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7" t="e">
        <x:f>HYPERLINK("https://en.wikipedia.org/wiki/Patience","Open source")</x:f>
        <x:v>HYPERLINK is not implemented. linkLocation=https://en.wikipedia.org/wiki/Patience, friendlyName=Open source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14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0.07142857142857142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tt31495377|nm7276748|evie braxton</x:v>
      </x:c>
      <x:c r="B159" s="14" t="str">
        <x:v>03</x:v>
      </x:c>
      <x:c r="C159" s="14" t="str">
        <x:v>2025_IMDb_Cast_Lists_Batch_03(1).xlsx</x:v>
      </x:c>
      <x:c r="D159" s="14" t="str">
        <x:v>Patience</x:v>
      </x:c>
      <x:c r="E159" s="14" t="n">
        <x:v>104</x:v>
      </x:c>
      <x:c r="F159" s="14" t="str">
        <x:v>Patience</x:v>
      </x:c>
      <x:c r="G159" s="14" t="str">
        <x:v>tt31495377</x:v>
      </x:c>
      <x:c r="H159" s="14" t="n">
        <x:v>2025</x:v>
      </x:c>
      <x:c r="I159" s="14" t="n">
        <x:v>2025</x:v>
      </x:c>
      <x:c r="J159" s="14" t="str">
        <x:v>Post-study cohort</x:v>
      </x:c>
      <x:c r="K159" s="14"/>
      <x:c r="L159" s="14" t="str">
        <x:v>Not inherited</x:v>
      </x:c>
      <x:c r="M159" s="15" t="n">
        <x:v>97</x:v>
      </x:c>
      <x:c r="N159" s="14" t="str">
        <x:v>Daisy Jacob</x:v>
      </x:c>
      <x:c r="O159" s="14" t="str">
        <x:v>nm7276748</x:v>
      </x:c>
      <x:c r="P159" s="14" t="str">
        <x:v>Evie Braxton</x:v>
      </x:c>
      <x:c r="Q159" s="15" t="n">
        <x:v>1</x:v>
      </x:c>
      <x:c r="R159" s="14" t="str">
        <x:v>2026</x:v>
      </x:c>
      <x:c r="S159" s="14" t="n">
        <x:v>2026</x:v>
      </x:c>
      <x:c r="T159" s="14" t="n">
        <x:v>2026</x:v>
      </x:c>
      <x:c r="U159" s="14" t="str">
        <x:v>Explicit source first year retained</x:v>
      </x:c>
      <x:c r="V159" s="14" t="str">
        <x:v>Earliest supplied year is 2026.</x:v>
      </x:c>
      <x:c r="W159" s="14"/>
      <x:c r="X159" s="14" t="str">
        <x:v>Excluded: after 2025</x:v>
      </x:c>
      <x:c r="Y159" s="14"/>
      <x:c r="Z159" s="14" t="str">
        <x:v>Patience.docx</x:v>
      </x:c>
      <x:c r="AA15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Channel 4 / E4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7" t="e">
        <x:f>HYPERLINK("https://en.wikipedia.org/wiki/Patience","Open source")</x:f>
        <x:v>HYPERLINK is not implemented. linkLocation=https://en.wikipedia.org/wiki/Patience, friendlyName=Open source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14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0.07142857142857142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tt31495377|nm8949831|nurse</x:v>
      </x:c>
      <x:c r="B160" s="14" t="str">
        <x:v>03</x:v>
      </x:c>
      <x:c r="C160" s="14" t="str">
        <x:v>2025_IMDb_Cast_Lists_Batch_03(1).xlsx</x:v>
      </x:c>
      <x:c r="D160" s="14" t="str">
        <x:v>Patience</x:v>
      </x:c>
      <x:c r="E160" s="14" t="n">
        <x:v>105</x:v>
      </x:c>
      <x:c r="F160" s="14" t="str">
        <x:v>Patience</x:v>
      </x:c>
      <x:c r="G160" s="14" t="str">
        <x:v>tt31495377</x:v>
      </x:c>
      <x:c r="H160" s="14" t="n">
        <x:v>2025</x:v>
      </x:c>
      <x:c r="I160" s="14" t="n">
        <x:v>2025</x:v>
      </x:c>
      <x:c r="J160" s="14" t="str">
        <x:v>Post-study cohort</x:v>
      </x:c>
      <x:c r="K160" s="14"/>
      <x:c r="L160" s="14" t="str">
        <x:v>Not inherited</x:v>
      </x:c>
      <x:c r="M160" s="15" t="n">
        <x:v>98</x:v>
      </x:c>
      <x:c r="N160" s="14" t="str">
        <x:v>Bryony Cole</x:v>
      </x:c>
      <x:c r="O160" s="14" t="str">
        <x:v>nm8949831</x:v>
      </x:c>
      <x:c r="P160" s="14" t="str">
        <x:v>Nurse</x:v>
      </x:c>
      <x:c r="Q160" s="15" t="n">
        <x:v>1</x:v>
      </x:c>
      <x:c r="R160" s="14" t="str">
        <x:v>2026</x:v>
      </x:c>
      <x:c r="S160" s="14" t="n">
        <x:v>2026</x:v>
      </x:c>
      <x:c r="T160" s="14" t="n">
        <x:v>2026</x:v>
      </x:c>
      <x:c r="U160" s="14" t="str">
        <x:v>Explicit source first year retained</x:v>
      </x:c>
      <x:c r="V160" s="14" t="str">
        <x:v>Earliest supplied year is 2026.</x:v>
      </x:c>
      <x:c r="W160" s="14"/>
      <x:c r="X160" s="14" t="str">
        <x:v>Excluded: after 2025</x:v>
      </x:c>
      <x:c r="Y160" s="14"/>
      <x:c r="Z160" s="14" t="str">
        <x:v>Patience.docx</x:v>
      </x:c>
      <x:c r="AA16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Channel 4 / E4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7" t="e">
        <x:f>HYPERLINK("https://en.wikipedia.org/wiki/Patience","Open source")</x:f>
        <x:v>HYPERLINK is not implemented. linkLocation=https://en.wikipedia.org/wiki/Patience, friendlyName=Open source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14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0.07142857142857142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tt31495377|nm18102133|bouncer</x:v>
      </x:c>
      <x:c r="B161" s="14" t="str">
        <x:v>03</x:v>
      </x:c>
      <x:c r="C161" s="14" t="str">
        <x:v>2025_IMDb_Cast_Lists_Batch_03(1).xlsx</x:v>
      </x:c>
      <x:c r="D161" s="14" t="str">
        <x:v>Patience</x:v>
      </x:c>
      <x:c r="E161" s="14" t="n">
        <x:v>106</x:v>
      </x:c>
      <x:c r="F161" s="14" t="str">
        <x:v>Patience</x:v>
      </x:c>
      <x:c r="G161" s="14" t="str">
        <x:v>tt31495377</x:v>
      </x:c>
      <x:c r="H161" s="14" t="n">
        <x:v>2025</x:v>
      </x:c>
      <x:c r="I161" s="14" t="n">
        <x:v>2025</x:v>
      </x:c>
      <x:c r="J161" s="14" t="str">
        <x:v>Post-study cohort</x:v>
      </x:c>
      <x:c r="K161" s="14"/>
      <x:c r="L161" s="14" t="str">
        <x:v>Not inherited</x:v>
      </x:c>
      <x:c r="M161" s="15" t="n">
        <x:v>99</x:v>
      </x:c>
      <x:c r="N161" s="14" t="str">
        <x:v>Martin J. Barnes</x:v>
      </x:c>
      <x:c r="O161" s="14" t="str">
        <x:v>nm18102133</x:v>
      </x:c>
      <x:c r="P161" s="14" t="str">
        <x:v>Bouncer</x:v>
      </x:c>
      <x:c r="Q161" s="15" t="n">
        <x:v>1</x:v>
      </x:c>
      <x:c r="R161" s="14" t="str">
        <x:v>2026</x:v>
      </x:c>
      <x:c r="S161" s="14" t="n">
        <x:v>2026</x:v>
      </x:c>
      <x:c r="T161" s="14" t="n">
        <x:v>2026</x:v>
      </x:c>
      <x:c r="U161" s="14" t="str">
        <x:v>Explicit source first year retained</x:v>
      </x:c>
      <x:c r="V161" s="14" t="str">
        <x:v>Earliest supplied year is 2026.</x:v>
      </x:c>
      <x:c r="W161" s="14"/>
      <x:c r="X161" s="14" t="str">
        <x:v>Excluded: after 2025</x:v>
      </x:c>
      <x:c r="Y161" s="14"/>
      <x:c r="Z161" s="14" t="str">
        <x:v>Patience.docx</x:v>
      </x:c>
      <x:c r="AA16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Channel 4 / E4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7" t="e">
        <x:f>HYPERLINK("https://en.wikipedia.org/wiki/Patience","Open source")</x:f>
        <x:v>HYPERLINK is not implemented. linkLocation=https://en.wikipedia.org/wiki/Patience, friendlyName=Open source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14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1</x:v>
      </x:c>
      <x:c r="BS161" s="16" t="n">
        <x:v>0.07142857142857142</x:v>
      </x:c>
      <x:c r="BT161" s="14" t="str">
        <x:v>One episode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tt31495377|nm0600439|jessica shaw</x:v>
      </x:c>
      <x:c r="B162" s="14" t="str">
        <x:v>03</x:v>
      </x:c>
      <x:c r="C162" s="14" t="str">
        <x:v>2025_IMDb_Cast_Lists_Batch_03(1).xlsx</x:v>
      </x:c>
      <x:c r="D162" s="14" t="str">
        <x:v>Patience</x:v>
      </x:c>
      <x:c r="E162" s="14" t="n">
        <x:v>107</x:v>
      </x:c>
      <x:c r="F162" s="14" t="str">
        <x:v>Patience</x:v>
      </x:c>
      <x:c r="G162" s="14" t="str">
        <x:v>tt31495377</x:v>
      </x:c>
      <x:c r="H162" s="14" t="n">
        <x:v>2025</x:v>
      </x:c>
      <x:c r="I162" s="14" t="n">
        <x:v>2025</x:v>
      </x:c>
      <x:c r="J162" s="14" t="str">
        <x:v>Post-study cohort</x:v>
      </x:c>
      <x:c r="K162" s="14"/>
      <x:c r="L162" s="14" t="str">
        <x:v>Not inherited</x:v>
      </x:c>
      <x:c r="M162" s="15" t="n">
        <x:v>100</x:v>
      </x:c>
      <x:c r="N162" s="14" t="str">
        <x:v>Tanya Moodie</x:v>
      </x:c>
      <x:c r="O162" s="14" t="str">
        <x:v>nm0600439</x:v>
      </x:c>
      <x:c r="P162" s="14" t="str">
        <x:v>Jessica Shaw</x:v>
      </x:c>
      <x:c r="Q162" s="15" t="n">
        <x:v>1</x:v>
      </x:c>
      <x:c r="R162" s="14" t="str">
        <x:v>2026</x:v>
      </x:c>
      <x:c r="S162" s="14" t="n">
        <x:v>2026</x:v>
      </x:c>
      <x:c r="T162" s="14" t="n">
        <x:v>2026</x:v>
      </x:c>
      <x:c r="U162" s="14" t="str">
        <x:v>Explicit source first year retained</x:v>
      </x:c>
      <x:c r="V162" s="14" t="str">
        <x:v>Earliest supplied year is 2026.</x:v>
      </x:c>
      <x:c r="W162" s="14"/>
      <x:c r="X162" s="14" t="str">
        <x:v>Excluded: after 2025</x:v>
      </x:c>
      <x:c r="Y162" s="14"/>
      <x:c r="Z162" s="14" t="str">
        <x:v>Patience.docx</x:v>
      </x:c>
      <x:c r="AA16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Channel 4 / E4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7" t="e">
        <x:f>HYPERLINK("https://en.wikipedia.org/wiki/Patience","Open source")</x:f>
        <x:v>HYPERLINK is not implemented. linkLocation=https://en.wikipedia.org/wiki/Patience, friendlyName=Open source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14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1</x:v>
      </x:c>
      <x:c r="BS162" s="16" t="n">
        <x:v>0.07142857142857142</x:v>
      </x:c>
      <x:c r="BT162" s="14" t="str">
        <x:v>One episode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tt31495377|nm4856223|katie morgan</x:v>
      </x:c>
      <x:c r="B163" s="14" t="str">
        <x:v>03</x:v>
      </x:c>
      <x:c r="C163" s="14" t="str">
        <x:v>2025_IMDb_Cast_Lists_Batch_03(1).xlsx</x:v>
      </x:c>
      <x:c r="D163" s="14" t="str">
        <x:v>Patience</x:v>
      </x:c>
      <x:c r="E163" s="14" t="n">
        <x:v>108</x:v>
      </x:c>
      <x:c r="F163" s="14" t="str">
        <x:v>Patience</x:v>
      </x:c>
      <x:c r="G163" s="14" t="str">
        <x:v>tt31495377</x:v>
      </x:c>
      <x:c r="H163" s="14" t="n">
        <x:v>2025</x:v>
      </x:c>
      <x:c r="I163" s="14" t="n">
        <x:v>2025</x:v>
      </x:c>
      <x:c r="J163" s="14" t="str">
        <x:v>Post-study cohort</x:v>
      </x:c>
      <x:c r="K163" s="14"/>
      <x:c r="L163" s="14" t="str">
        <x:v>Not inherited</x:v>
      </x:c>
      <x:c r="M163" s="15" t="n">
        <x:v>101</x:v>
      </x:c>
      <x:c r="N163" s="14" t="str">
        <x:v>Zora Bishop</x:v>
      </x:c>
      <x:c r="O163" s="14" t="str">
        <x:v>nm4856223</x:v>
      </x:c>
      <x:c r="P163" s="14" t="str">
        <x:v>Katie Morgan</x:v>
      </x:c>
      <x:c r="Q163" s="15" t="n">
        <x:v>1</x:v>
      </x:c>
      <x:c r="R163" s="14" t="str">
        <x:v>2026</x:v>
      </x:c>
      <x:c r="S163" s="14" t="n">
        <x:v>2026</x:v>
      </x:c>
      <x:c r="T163" s="14" t="n">
        <x:v>2026</x:v>
      </x:c>
      <x:c r="U163" s="14" t="str">
        <x:v>Explicit source first year retained</x:v>
      </x:c>
      <x:c r="V163" s="14" t="str">
        <x:v>Earliest supplied year is 2026.</x:v>
      </x:c>
      <x:c r="W163" s="14"/>
      <x:c r="X163" s="14" t="str">
        <x:v>Excluded: after 2025</x:v>
      </x:c>
      <x:c r="Y163" s="14"/>
      <x:c r="Z163" s="14" t="str">
        <x:v>Patience.docx</x:v>
      </x:c>
      <x:c r="AA16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Channel 4 / E4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7" t="e">
        <x:f>HYPERLINK("https://en.wikipedia.org/wiki/Patience","Open source")</x:f>
        <x:v>HYPERLINK is not implemented. linkLocation=https://en.wikipedia.org/wiki/Patience, friendlyName=Open source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14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1</x:v>
      </x:c>
      <x:c r="BS163" s="16" t="n">
        <x:v>0.07142857142857142</x:v>
      </x:c>
      <x:c r="BT163" s="14" t="str">
        <x:v>One episode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tt31495377|nm6687931|kirsty social worker</x:v>
      </x:c>
      <x:c r="B164" s="14" t="str">
        <x:v>03</x:v>
      </x:c>
      <x:c r="C164" s="14" t="str">
        <x:v>2025_IMDb_Cast_Lists_Batch_03(1).xlsx</x:v>
      </x:c>
      <x:c r="D164" s="14" t="str">
        <x:v>Patience</x:v>
      </x:c>
      <x:c r="E164" s="14" t="n">
        <x:v>109</x:v>
      </x:c>
      <x:c r="F164" s="14" t="str">
        <x:v>Patience</x:v>
      </x:c>
      <x:c r="G164" s="14" t="str">
        <x:v>tt31495377</x:v>
      </x:c>
      <x:c r="H164" s="14" t="n">
        <x:v>2025</x:v>
      </x:c>
      <x:c r="I164" s="14" t="n">
        <x:v>2025</x:v>
      </x:c>
      <x:c r="J164" s="14" t="str">
        <x:v>Post-study cohort</x:v>
      </x:c>
      <x:c r="K164" s="14"/>
      <x:c r="L164" s="14" t="str">
        <x:v>Not inherited</x:v>
      </x:c>
      <x:c r="M164" s="15" t="n">
        <x:v>102</x:v>
      </x:c>
      <x:c r="N164" s="14" t="str">
        <x:v>Natasha Cottriall</x:v>
      </x:c>
      <x:c r="O164" s="14" t="str">
        <x:v>nm6687931</x:v>
      </x:c>
      <x:c r="P164" s="14" t="str">
        <x:v>Kirsty social worker</x:v>
      </x:c>
      <x:c r="Q164" s="15" t="n">
        <x:v>1</x:v>
      </x:c>
      <x:c r="R164" s="14" t="str">
        <x:v>2026</x:v>
      </x:c>
      <x:c r="S164" s="14" t="n">
        <x:v>2026</x:v>
      </x:c>
      <x:c r="T164" s="14" t="n">
        <x:v>2026</x:v>
      </x:c>
      <x:c r="U164" s="14" t="str">
        <x:v>Explicit source first year retained</x:v>
      </x:c>
      <x:c r="V164" s="14" t="str">
        <x:v>Earliest supplied year is 2026.</x:v>
      </x:c>
      <x:c r="W164" s="14"/>
      <x:c r="X164" s="14" t="str">
        <x:v>Excluded: after 2025</x:v>
      </x:c>
      <x:c r="Y164" s="14"/>
      <x:c r="Z164" s="14" t="str">
        <x:v>Patience.docx</x:v>
      </x:c>
      <x:c r="AA16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Channel 4 / E4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7" t="e">
        <x:f>HYPERLINK("https://en.wikipedia.org/wiki/Patience","Open source")</x:f>
        <x:v>HYPERLINK is not implemented. linkLocation=https://en.wikipedia.org/wiki/Patience, friendlyName=Open source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14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1</x:v>
      </x:c>
      <x:c r="BS164" s="16" t="n">
        <x:v>0.07142857142857142</x:v>
      </x:c>
      <x:c r="BT164" s="14" t="str">
        <x:v>One episode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tt31495377|nm2106007|nadia ward</x:v>
      </x:c>
      <x:c r="B165" s="14" t="str">
        <x:v>03</x:v>
      </x:c>
      <x:c r="C165" s="14" t="str">
        <x:v>2025_IMDb_Cast_Lists_Batch_03(1).xlsx</x:v>
      </x:c>
      <x:c r="D165" s="14" t="str">
        <x:v>Patience</x:v>
      </x:c>
      <x:c r="E165" s="14" t="n">
        <x:v>110</x:v>
      </x:c>
      <x:c r="F165" s="14" t="str">
        <x:v>Patience</x:v>
      </x:c>
      <x:c r="G165" s="14" t="str">
        <x:v>tt31495377</x:v>
      </x:c>
      <x:c r="H165" s="14" t="n">
        <x:v>2025</x:v>
      </x:c>
      <x:c r="I165" s="14" t="n">
        <x:v>2025</x:v>
      </x:c>
      <x:c r="J165" s="14" t="str">
        <x:v>Post-study cohort</x:v>
      </x:c>
      <x:c r="K165" s="14"/>
      <x:c r="L165" s="14" t="str">
        <x:v>Not inherited</x:v>
      </x:c>
      <x:c r="M165" s="15" t="n">
        <x:v>103</x:v>
      </x:c>
      <x:c r="N165" s="14" t="str">
        <x:v>Natalie Gavin</x:v>
      </x:c>
      <x:c r="O165" s="14" t="str">
        <x:v>nm2106007</x:v>
      </x:c>
      <x:c r="P165" s="14" t="str">
        <x:v>Nadia Ward</x:v>
      </x:c>
      <x:c r="Q165" s="15" t="n">
        <x:v>1</x:v>
      </x:c>
      <x:c r="R165" s="14" t="str">
        <x:v>2026</x:v>
      </x:c>
      <x:c r="S165" s="14" t="n">
        <x:v>2026</x:v>
      </x:c>
      <x:c r="T165" s="14" t="n">
        <x:v>2026</x:v>
      </x:c>
      <x:c r="U165" s="14" t="str">
        <x:v>Explicit source first year retained</x:v>
      </x:c>
      <x:c r="V165" s="14" t="str">
        <x:v>Earliest supplied year is 2026.</x:v>
      </x:c>
      <x:c r="W165" s="14"/>
      <x:c r="X165" s="14" t="str">
        <x:v>Excluded: after 2025</x:v>
      </x:c>
      <x:c r="Y165" s="14"/>
      <x:c r="Z165" s="14" t="str">
        <x:v>Patience.docx</x:v>
      </x:c>
      <x:c r="AA16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Channel 4 / E4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7" t="e">
        <x:f>HYPERLINK("https://en.wikipedia.org/wiki/Patience","Open source")</x:f>
        <x:v>HYPERLINK is not implemented. linkLocation=https://en.wikipedia.org/wiki/Patience, friendlyName=Open source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14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1</x:v>
      </x:c>
      <x:c r="BS165" s="16" t="n">
        <x:v>0.07142857142857142</x:v>
      </x:c>
      <x:c r="BT165" s="14" t="str">
        <x:v>One episode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tt31495377|nm12537568|taxi driver</x:v>
      </x:c>
      <x:c r="B166" s="14" t="str">
        <x:v>03</x:v>
      </x:c>
      <x:c r="C166" s="14" t="str">
        <x:v>2025_IMDb_Cast_Lists_Batch_03(1).xlsx</x:v>
      </x:c>
      <x:c r="D166" s="14" t="str">
        <x:v>Patience</x:v>
      </x:c>
      <x:c r="E166" s="14" t="n">
        <x:v>111</x:v>
      </x:c>
      <x:c r="F166" s="14" t="str">
        <x:v>Patience</x:v>
      </x:c>
      <x:c r="G166" s="14" t="str">
        <x:v>tt31495377</x:v>
      </x:c>
      <x:c r="H166" s="14" t="n">
        <x:v>2025</x:v>
      </x:c>
      <x:c r="I166" s="14" t="n">
        <x:v>2025</x:v>
      </x:c>
      <x:c r="J166" s="14" t="str">
        <x:v>Post-study cohort</x:v>
      </x:c>
      <x:c r="K166" s="14"/>
      <x:c r="L166" s="14" t="str">
        <x:v>Not inherited</x:v>
      </x:c>
      <x:c r="M166" s="15" t="n">
        <x:v>104</x:v>
      </x:c>
      <x:c r="N166" s="14" t="str">
        <x:v>Patrick Jeffries</x:v>
      </x:c>
      <x:c r="O166" s="14" t="str">
        <x:v>nm12537568</x:v>
      </x:c>
      <x:c r="P166" s="14" t="str">
        <x:v>Taxi Driver</x:v>
      </x:c>
      <x:c r="Q166" s="15" t="n">
        <x:v>1</x:v>
      </x:c>
      <x:c r="R166" s="14" t="str">
        <x:v>2026</x:v>
      </x:c>
      <x:c r="S166" s="14" t="n">
        <x:v>2026</x:v>
      </x:c>
      <x:c r="T166" s="14" t="n">
        <x:v>2026</x:v>
      </x:c>
      <x:c r="U166" s="14" t="str">
        <x:v>Explicit source first year retained</x:v>
      </x:c>
      <x:c r="V166" s="14" t="str">
        <x:v>Earliest supplied year is 2026.</x:v>
      </x:c>
      <x:c r="W166" s="14"/>
      <x:c r="X166" s="14" t="str">
        <x:v>Excluded: after 2025</x:v>
      </x:c>
      <x:c r="Y166" s="14"/>
      <x:c r="Z166" s="14" t="str">
        <x:v>Patience.docx</x:v>
      </x:c>
      <x:c r="AA16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Channel 4 / E4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7" t="e">
        <x:f>HYPERLINK("https://en.wikipedia.org/wiki/Patience","Open source")</x:f>
        <x:v>HYPERLINK is not implemented. linkLocation=https://en.wikipedia.org/wiki/Patience, friendlyName=Open source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14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0.07142857142857142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tt31495377|nm7963638|leo hargrove</x:v>
      </x:c>
      <x:c r="B167" s="14" t="str">
        <x:v>03</x:v>
      </x:c>
      <x:c r="C167" s="14" t="str">
        <x:v>2025_IMDb_Cast_Lists_Batch_03(1).xlsx</x:v>
      </x:c>
      <x:c r="D167" s="14" t="str">
        <x:v>Patience</x:v>
      </x:c>
      <x:c r="E167" s="14" t="n">
        <x:v>115</x:v>
      </x:c>
      <x:c r="F167" s="14" t="str">
        <x:v>Patience</x:v>
      </x:c>
      <x:c r="G167" s="14" t="str">
        <x:v>tt31495377</x:v>
      </x:c>
      <x:c r="H167" s="14" t="n">
        <x:v>2025</x:v>
      </x:c>
      <x:c r="I167" s="14" t="n">
        <x:v>2025</x:v>
      </x:c>
      <x:c r="J167" s="14" t="str">
        <x:v>Post-study cohort</x:v>
      </x:c>
      <x:c r="K167" s="14"/>
      <x:c r="L167" s="14" t="str">
        <x:v>Not inherited</x:v>
      </x:c>
      <x:c r="M167" s="15" t="n">
        <x:v>108</x:v>
      </x:c>
      <x:c r="N167" s="14" t="str">
        <x:v>Oliver Huntingdon</x:v>
      </x:c>
      <x:c r="O167" s="14" t="str">
        <x:v>nm7963638</x:v>
      </x:c>
      <x:c r="P167" s="14" t="str">
        <x:v>Leo Hargrove</x:v>
      </x:c>
      <x:c r="Q167" s="15" t="n">
        <x:v>1</x:v>
      </x:c>
      <x:c r="R167" s="14" t="str">
        <x:v>2026</x:v>
      </x:c>
      <x:c r="S167" s="14" t="n">
        <x:v>2026</x:v>
      </x:c>
      <x:c r="T167" s="14" t="n">
        <x:v>2026</x:v>
      </x:c>
      <x:c r="U167" s="14" t="str">
        <x:v>Explicit source first year retained</x:v>
      </x:c>
      <x:c r="V167" s="14" t="str">
        <x:v>Earliest supplied year is 2026.</x:v>
      </x:c>
      <x:c r="W167" s="14"/>
      <x:c r="X167" s="14" t="str">
        <x:v>Excluded: after 2025</x:v>
      </x:c>
      <x:c r="Y167" s="14"/>
      <x:c r="Z167" s="14" t="str">
        <x:v>Patience.docx</x:v>
      </x:c>
      <x:c r="AA16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Channel 4 / E4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7" t="e">
        <x:f>HYPERLINK("https://en.wikipedia.org/wiki/Patience","Open source")</x:f>
        <x:v>HYPERLINK is not implemented. linkLocation=https://en.wikipedia.org/wiki/Patience, friendlyName=Open source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14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0.07142857142857142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tt31495377|nm1622801|emily teacher</x:v>
      </x:c>
      <x:c r="B168" s="14" t="str">
        <x:v>03</x:v>
      </x:c>
      <x:c r="C168" s="14" t="str">
        <x:v>2025_IMDb_Cast_Lists_Batch_03(1).xlsx</x:v>
      </x:c>
      <x:c r="D168" s="14" t="str">
        <x:v>Patience</x:v>
      </x:c>
      <x:c r="E168" s="14" t="n">
        <x:v>116</x:v>
      </x:c>
      <x:c r="F168" s="14" t="str">
        <x:v>Patience</x:v>
      </x:c>
      <x:c r="G168" s="14" t="str">
        <x:v>tt31495377</x:v>
      </x:c>
      <x:c r="H168" s="14" t="n">
        <x:v>2025</x:v>
      </x:c>
      <x:c r="I168" s="14" t="n">
        <x:v>2025</x:v>
      </x:c>
      <x:c r="J168" s="14" t="str">
        <x:v>Post-study cohort</x:v>
      </x:c>
      <x:c r="K168" s="14"/>
      <x:c r="L168" s="14" t="str">
        <x:v>Not inherited</x:v>
      </x:c>
      <x:c r="M168" s="15" t="n">
        <x:v>109</x:v>
      </x:c>
      <x:c r="N168" s="14" t="str">
        <x:v>Rosalyn Wright</x:v>
      </x:c>
      <x:c r="O168" s="14" t="str">
        <x:v>nm1622801</x:v>
      </x:c>
      <x:c r="P168" s="14" t="str">
        <x:v>Emily teacher</x:v>
      </x:c>
      <x:c r="Q168" s="15" t="n">
        <x:v>1</x:v>
      </x:c>
      <x:c r="R168" s="14" t="str">
        <x:v>2026</x:v>
      </x:c>
      <x:c r="S168" s="14" t="n">
        <x:v>2026</x:v>
      </x:c>
      <x:c r="T168" s="14" t="n">
        <x:v>2026</x:v>
      </x:c>
      <x:c r="U168" s="14" t="str">
        <x:v>Explicit source first year retained</x:v>
      </x:c>
      <x:c r="V168" s="14" t="str">
        <x:v>Earliest supplied year is 2026.</x:v>
      </x:c>
      <x:c r="W168" s="14"/>
      <x:c r="X168" s="14" t="str">
        <x:v>Excluded: after 2025</x:v>
      </x:c>
      <x:c r="Y168" s="14"/>
      <x:c r="Z168" s="14" t="str">
        <x:v>Patience.docx</x:v>
      </x:c>
      <x:c r="AA16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Channel 4 / E4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7" t="e">
        <x:f>HYPERLINK("https://en.wikipedia.org/wiki/Patience","Open source")</x:f>
        <x:v>HYPERLINK is not implemented. linkLocation=https://en.wikipedia.org/wiki/Patience, friendlyName=Open source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14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0.07142857142857142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tt31495377|nm14100099|teenager</x:v>
      </x:c>
      <x:c r="B169" s="14" t="str">
        <x:v>03</x:v>
      </x:c>
      <x:c r="C169" s="14" t="str">
        <x:v>2025_IMDb_Cast_Lists_Batch_03(1).xlsx</x:v>
      </x:c>
      <x:c r="D169" s="14" t="str">
        <x:v>Patience</x:v>
      </x:c>
      <x:c r="E169" s="14" t="n">
        <x:v>117</x:v>
      </x:c>
      <x:c r="F169" s="14" t="str">
        <x:v>Patience</x:v>
      </x:c>
      <x:c r="G169" s="14" t="str">
        <x:v>tt31495377</x:v>
      </x:c>
      <x:c r="H169" s="14" t="n">
        <x:v>2025</x:v>
      </x:c>
      <x:c r="I169" s="14" t="n">
        <x:v>2025</x:v>
      </x:c>
      <x:c r="J169" s="14" t="str">
        <x:v>Post-study cohort</x:v>
      </x:c>
      <x:c r="K169" s="14"/>
      <x:c r="L169" s="14" t="str">
        <x:v>Not inherited</x:v>
      </x:c>
      <x:c r="M169" s="15" t="n">
        <x:v>110</x:v>
      </x:c>
      <x:c r="N169" s="14" t="str">
        <x:v>Lou Goossens</x:v>
      </x:c>
      <x:c r="O169" s="14" t="str">
        <x:v>nm14100099</x:v>
      </x:c>
      <x:c r="P169" s="14" t="str">
        <x:v>Teenager</x:v>
      </x:c>
      <x:c r="Q169" s="15" t="n">
        <x:v>1</x:v>
      </x:c>
      <x:c r="R169" s="14" t="str">
        <x:v>2026</x:v>
      </x:c>
      <x:c r="S169" s="14" t="n">
        <x:v>2026</x:v>
      </x:c>
      <x:c r="T169" s="14" t="n">
        <x:v>2026</x:v>
      </x:c>
      <x:c r="U169" s="14" t="str">
        <x:v>Explicit source first year retained</x:v>
      </x:c>
      <x:c r="V169" s="14" t="str">
        <x:v>Earliest supplied year is 2026.</x:v>
      </x:c>
      <x:c r="W169" s="14"/>
      <x:c r="X169" s="14" t="str">
        <x:v>Excluded: after 2025</x:v>
      </x:c>
      <x:c r="Y169" s="14"/>
      <x:c r="Z169" s="14" t="str">
        <x:v>Patience.docx</x:v>
      </x:c>
      <x:c r="AA16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Channel 4 / E4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7" t="e">
        <x:f>HYPERLINK("https://en.wikipedia.org/wiki/Patience","Open source")</x:f>
        <x:v>HYPERLINK is not implemented. linkLocation=https://en.wikipedia.org/wiki/Patience, friendlyName=Open source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14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0.07142857142857142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tt31495377|nm7461966|phillip braxton</x:v>
      </x:c>
      <x:c r="B170" s="14" t="str">
        <x:v>03</x:v>
      </x:c>
      <x:c r="C170" s="14" t="str">
        <x:v>2025_IMDb_Cast_Lists_Batch_03(1).xlsx</x:v>
      </x:c>
      <x:c r="D170" s="14" t="str">
        <x:v>Patience</x:v>
      </x:c>
      <x:c r="E170" s="14" t="n">
        <x:v>118</x:v>
      </x:c>
      <x:c r="F170" s="14" t="str">
        <x:v>Patience</x:v>
      </x:c>
      <x:c r="G170" s="14" t="str">
        <x:v>tt31495377</x:v>
      </x:c>
      <x:c r="H170" s="14" t="n">
        <x:v>2025</x:v>
      </x:c>
      <x:c r="I170" s="14" t="n">
        <x:v>2025</x:v>
      </x:c>
      <x:c r="J170" s="14" t="str">
        <x:v>Post-study cohort</x:v>
      </x:c>
      <x:c r="K170" s="14"/>
      <x:c r="L170" s="14" t="str">
        <x:v>Not inherited</x:v>
      </x:c>
      <x:c r="M170" s="15" t="n">
        <x:v>111</x:v>
      </x:c>
      <x:c r="N170" s="14" t="str">
        <x:v>Andrew Mockler</x:v>
      </x:c>
      <x:c r="O170" s="14" t="str">
        <x:v>nm7461966</x:v>
      </x:c>
      <x:c r="P170" s="14" t="str">
        <x:v>Phillip Braxton</x:v>
      </x:c>
      <x:c r="Q170" s="15" t="n">
        <x:v>1</x:v>
      </x:c>
      <x:c r="R170" s="14" t="str">
        <x:v>2026</x:v>
      </x:c>
      <x:c r="S170" s="14" t="n">
        <x:v>2026</x:v>
      </x:c>
      <x:c r="T170" s="14" t="n">
        <x:v>2026</x:v>
      </x:c>
      <x:c r="U170" s="14" t="str">
        <x:v>Explicit source first year retained</x:v>
      </x:c>
      <x:c r="V170" s="14" t="str">
        <x:v>Earliest supplied year is 2026.</x:v>
      </x:c>
      <x:c r="W170" s="14"/>
      <x:c r="X170" s="14" t="str">
        <x:v>Excluded: after 2025</x:v>
      </x:c>
      <x:c r="Y170" s="14"/>
      <x:c r="Z170" s="14" t="str">
        <x:v>Patience.docx</x:v>
      </x:c>
      <x:c r="AA17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Channel 4 / E4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7" t="e">
        <x:f>HYPERLINK("https://en.wikipedia.org/wiki/Patience","Open source")</x:f>
        <x:v>HYPERLINK is not implemented. linkLocation=https://en.wikipedia.org/wiki/Patience, friendlyName=Open source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14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0.07142857142857142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7" t="e">
        <x:f>HYPERLINK("https://www.imdb.com/title/tt31495377/fullcredits/","Open source")</x:f>
        <x:v>HYPERLINK is not implemented. linkLocation=https://www.imdb.com/title/tt31495377/fullcredits/, friendlyName=Open source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tt38933516|nm2181128|alistair</x:v>
      </x:c>
      <x:c r="B171" s="14" t="str">
        <x:v>03</x:v>
      </x:c>
      <x:c r="C171" s="14" t="str">
        <x:v>2025_IMDb_Cast_Lists_Batch_03(1).xlsx</x:v>
      </x:c>
      <x:c r="D171" s="14" t="str">
        <x:v>Play for Today</x:v>
      </x:c>
      <x:c r="E171" s="14" t="n">
        <x:v>8</x:v>
      </x:c>
      <x:c r="F171" s="14" t="str">
        <x:v>Play for Today</x:v>
      </x:c>
      <x:c r="G171" s="14" t="str">
        <x:v>tt38933516</x:v>
      </x:c>
      <x:c r="H171" s="14"/>
      <x:c r="I171" s="14" t="n">
        <x:v>2025</x:v>
      </x:c>
      <x:c r="J171" s="14" t="str">
        <x:v>Post-study cohort</x:v>
      </x:c>
      <x:c r="K171" s="14"/>
      <x:c r="L171" s="14" t="str">
        <x:v>Not inherited</x:v>
      </x:c>
      <x:c r="M171" s="15" t="n">
        <x:v>1</x:v>
      </x:c>
      <x:c r="N171" s="14" t="str">
        <x:v>Joel Fry</x:v>
      </x:c>
      <x:c r="O171" s="14" t="str">
        <x:v>nm2181128</x:v>
      </x:c>
      <x:c r="P171" s="14" t="str">
        <x:v>Alistair</x:v>
      </x:c>
      <x:c r="Q171" s="15" t="n">
        <x:v>2</x:v>
      </x:c>
      <x:c r="R171" s="14" t="str">
        <x:v>2026</x:v>
      </x:c>
      <x:c r="S171" s="14" t="n">
        <x:v>2026</x:v>
      </x:c>
      <x:c r="T171" s="14" t="n">
        <x:v>2026</x:v>
      </x:c>
      <x:c r="U171" s="14" t="str">
        <x:v>Unresolved</x:v>
      </x:c>
      <x:c r="V171" s="14" t="str">
        <x:v>Production scope or source year is unresolved.</x:v>
      </x:c>
      <x:c r="W171" s="14" t="str">
        <x:v>Review required</x:v>
      </x:c>
      <x:c r="X171" s="14" t="str">
        <x:v>Excluded: after 2025</x:v>
      </x:c>
      <x:c r="Y171" s="14"/>
      <x:c r="Z171" s="14" t="str">
        <x:v>Play for Today.docx</x:v>
      </x:c>
      <x:c r="AA17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/>
      <x:c r="AI171" s="14"/>
      <x:c r="AJ171" s="14" t="str">
        <x:v>No master-list match</x:v>
      </x:c>
      <x:c r="AK171" s="14" t="str">
        <x:v>Unresolved</x:v>
      </x:c>
      <x:c r="AL171" s="14" t="str">
        <x:v>No matching production in master register.</x:v>
      </x:c>
      <x:c r="AM171" s="14"/>
      <x:c r="AN171" s="14" t="str">
        <x:v>Relationship unresolved</x:v>
      </x:c>
      <x:c r="AO171" s="14" t="str">
        <x:v>Review required</x:v>
      </x:c>
      <x:c r="AP171" s="14" t="str">
        <x:v>Review required</x:v>
      </x:c>
      <x:c r="AQ171" s="14" t="str">
        <x:v>Review required</x:v>
      </x:c>
      <x:c r="AR171" s="14" t="str">
        <x:v>Review required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/>
      <x:c r="BP171" s="14" t="str">
        <x:v>Unable to calculate from supplied records.</x:v>
      </x:c>
      <x:c r="BQ171" s="14" t="str">
        <x:v>Unable to determine</x:v>
      </x:c>
      <x:c r="BR171" s="15" t="n">
        <x:v>2</x:v>
      </x:c>
      <x:c r="BS171" s="16"/>
      <x:c r="BT171" s="14" t="str">
        <x:v>Unable to calculate</x:v>
      </x:c>
      <x:c r="BU171" s="14" t="str">
        <x:v>Unable to determine</x:v>
      </x:c>
      <x:c r="BV171" s="14" t="str">
        <x:v>Episode count or production-total proxy unavailable.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tt38933516|nm1904716|dev</x:v>
      </x:c>
      <x:c r="B172" s="14" t="str">
        <x:v>03</x:v>
      </x:c>
      <x:c r="C172" s="14" t="str">
        <x:v>2025_IMDb_Cast_Lists_Batch_03(1).xlsx</x:v>
      </x:c>
      <x:c r="D172" s="14" t="str">
        <x:v>Play for Today</x:v>
      </x:c>
      <x:c r="E172" s="14" t="n">
        <x:v>9</x:v>
      </x:c>
      <x:c r="F172" s="14" t="str">
        <x:v>Play for Today</x:v>
      </x:c>
      <x:c r="G172" s="14" t="str">
        <x:v>tt38933516</x:v>
      </x:c>
      <x:c r="H172" s="14"/>
      <x:c r="I172" s="14" t="n">
        <x:v>2025</x:v>
      </x:c>
      <x:c r="J172" s="14" t="str">
        <x:v>Post-study cohort</x:v>
      </x:c>
      <x:c r="K172" s="14"/>
      <x:c r="L172" s="14" t="str">
        <x:v>Not inherited</x:v>
      </x:c>
      <x:c r="M172" s="15" t="n">
        <x:v>2</x:v>
      </x:c>
      <x:c r="N172" s="14" t="str">
        <x:v>Amit Shah</x:v>
      </x:c>
      <x:c r="O172" s="14" t="str">
        <x:v>nm1904716</x:v>
      </x:c>
      <x:c r="P172" s="14" t="str">
        <x:v>Dev</x:v>
      </x:c>
      <x:c r="Q172" s="15" t="n">
        <x:v>2</x:v>
      </x:c>
      <x:c r="R172" s="14" t="str">
        <x:v>2026</x:v>
      </x:c>
      <x:c r="S172" s="14" t="n">
        <x:v>2026</x:v>
      </x:c>
      <x:c r="T172" s="14" t="n">
        <x:v>2026</x:v>
      </x:c>
      <x:c r="U172" s="14" t="str">
        <x:v>Unresolved</x:v>
      </x:c>
      <x:c r="V172" s="14" t="str">
        <x:v>Production scope or source year is unresolved.</x:v>
      </x:c>
      <x:c r="W172" s="14" t="str">
        <x:v>Review required</x:v>
      </x:c>
      <x:c r="X172" s="14" t="str">
        <x:v>Excluded: after 2025</x:v>
      </x:c>
      <x:c r="Y172" s="14"/>
      <x:c r="Z172" s="14" t="str">
        <x:v>Play for Today.docx</x:v>
      </x:c>
      <x:c r="AA17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/>
      <x:c r="AI172" s="14"/>
      <x:c r="AJ172" s="14" t="str">
        <x:v>No master-list match</x:v>
      </x:c>
      <x:c r="AK172" s="14" t="str">
        <x:v>Unresolved</x:v>
      </x:c>
      <x:c r="AL172" s="14" t="str">
        <x:v>No matching production in master register.</x:v>
      </x:c>
      <x:c r="AM172" s="14"/>
      <x:c r="AN172" s="14" t="str">
        <x:v>Relationship unresolved</x:v>
      </x:c>
      <x:c r="AO172" s="14" t="str">
        <x:v>Review required</x:v>
      </x:c>
      <x:c r="AP172" s="14" t="str">
        <x:v>Review required</x:v>
      </x:c>
      <x:c r="AQ172" s="14" t="str">
        <x:v>Review required</x:v>
      </x:c>
      <x:c r="AR172" s="14" t="str">
        <x:v>Review required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/>
      <x:c r="BP172" s="14" t="str">
        <x:v>Unable to calculate from supplied records.</x:v>
      </x:c>
      <x:c r="BQ172" s="14" t="str">
        <x:v>Unable to determine</x:v>
      </x:c>
      <x:c r="BR172" s="15" t="n">
        <x:v>2</x:v>
      </x:c>
      <x:c r="BS172" s="16"/>
      <x:c r="BT172" s="14" t="str">
        <x:v>Unable to calculate</x:v>
      </x:c>
      <x:c r="BU172" s="14" t="str">
        <x:v>Unable to determine</x:v>
      </x:c>
      <x:c r="BV172" s="14" t="str">
        <x:v>Episode count or production-total proxy unavailable.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tt30063915|nm0854364|harriet / catherine stirling</x:v>
      </x:c>
      <x:c r="B173" s="14" t="str">
        <x:v>04</x:v>
      </x:c>
      <x:c r="C173" s="14" t="str">
        <x:v>2025_IMDb_Cast_Lists_Batch_04(1).xlsx</x:v>
      </x:c>
      <x:c r="D173" s="14" t="str">
        <x:v>The Crow Girl</x:v>
      </x:c>
      <x:c r="E173" s="14" t="n">
        <x:v>27</x:v>
      </x:c>
      <x:c r="F173" s="14" t="str">
        <x:v>The Crow Girl</x:v>
      </x:c>
      <x:c r="G173" s="14" t="str">
        <x:v>tt30063915</x:v>
      </x:c>
      <x:c r="H173" s="14" t="n">
        <x:v>2025</x:v>
      </x:c>
      <x:c r="I173" s="14" t="n">
        <x:v>2025</x:v>
      </x:c>
      <x:c r="J173" s="14" t="str">
        <x:v>Post-study cohort</x:v>
      </x:c>
      <x:c r="K173" s="14"/>
      <x:c r="L173" s="14" t="str">
        <x:v>Not inherited</x:v>
      </x:c>
      <x:c r="M173" s="15" t="n">
        <x:v>20</x:v>
      </x:c>
      <x:c r="N173" s="14" t="str">
        <x:v>Zoe Telford</x:v>
      </x:c>
      <x:c r="O173" s="14" t="str">
        <x:v>nm0854364</x:v>
      </x:c>
      <x:c r="P173" s="14" t="str">
        <x:v>Harriet / Catherine Stirling</x:v>
      </x:c>
      <x:c r="Q173" s="15" t="n">
        <x:v>4</x:v>
      </x:c>
      <x:c r="R173" s="14" t="str">
        <x:v>2026</x:v>
      </x:c>
      <x:c r="S173" s="14" t="n">
        <x:v>2026</x:v>
      </x:c>
      <x:c r="T173" s="14" t="n">
        <x:v>2026</x:v>
      </x:c>
      <x:c r="U173" s="14" t="str">
        <x:v>Explicit source first year retained</x:v>
      </x:c>
      <x:c r="V173" s="14" t="str">
        <x:v>Earliest supplied year is 2026.</x:v>
      </x:c>
      <x:c r="W173" s="14"/>
      <x:c r="X173" s="14" t="str">
        <x:v>Excluded: after 2025</x:v>
      </x:c>
      <x:c r="Y173" s="14"/>
      <x:c r="Z173" s="14" t="str">
        <x:v>The Crow Girl.docx</x:v>
      </x:c>
      <x:c r="AA173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Paramount+ UK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7" t="e">
        <x:f>HYPERLINK("https://en.wikipedia.org/wiki/The_Crow_Girl","Open source")</x:f>
        <x:v>HYPERLINK is not implemented. linkLocation=https://en.wikipedia.org/wiki/The_Crow_Girl, friendlyName=Open source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12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4</x:v>
      </x:c>
      <x:c r="BS173" s="16" t="n">
        <x:v>0.3333333333333333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tt30063915|nm16285102|bethan pryce</x:v>
      </x:c>
      <x:c r="B174" s="14" t="str">
        <x:v>04</x:v>
      </x:c>
      <x:c r="C174" s="14" t="str">
        <x:v>2025_IMDb_Cast_Lists_Batch_04(1).xlsx</x:v>
      </x:c>
      <x:c r="D174" s="14" t="str">
        <x:v>The Crow Girl</x:v>
      </x:c>
      <x:c r="E174" s="14" t="n">
        <x:v>31</x:v>
      </x:c>
      <x:c r="F174" s="14" t="str">
        <x:v>The Crow Girl</x:v>
      </x:c>
      <x:c r="G174" s="14" t="str">
        <x:v>tt30063915</x:v>
      </x:c>
      <x:c r="H174" s="14" t="n">
        <x:v>2025</x:v>
      </x:c>
      <x:c r="I174" s="14" t="n">
        <x:v>2025</x:v>
      </x:c>
      <x:c r="J174" s="14" t="str">
        <x:v>Post-study cohort</x:v>
      </x:c>
      <x:c r="K174" s="14"/>
      <x:c r="L174" s="14" t="str">
        <x:v>Not inherited</x:v>
      </x:c>
      <x:c r="M174" s="15" t="n">
        <x:v>24</x:v>
      </x:c>
      <x:c r="N174" s="14" t="str">
        <x:v>Katharine Church</x:v>
      </x:c>
      <x:c r="O174" s="14" t="str">
        <x:v>nm16285102</x:v>
      </x:c>
      <x:c r="P174" s="14" t="str">
        <x:v>Bethan Pryce</x:v>
      </x:c>
      <x:c r="Q174" s="15" t="n">
        <x:v>3</x:v>
      </x:c>
      <x:c r="R174" s="14" t="str">
        <x:v>2026</x:v>
      </x:c>
      <x:c r="S174" s="14" t="n">
        <x:v>2026</x:v>
      </x:c>
      <x:c r="T174" s="14" t="n">
        <x:v>2026</x:v>
      </x:c>
      <x:c r="U174" s="14" t="str">
        <x:v>Explicit source first year retained</x:v>
      </x:c>
      <x:c r="V174" s="14" t="str">
        <x:v>Earliest supplied year is 2026.</x:v>
      </x:c>
      <x:c r="W174" s="14"/>
      <x:c r="X174" s="14" t="str">
        <x:v>Excluded: after 2025</x:v>
      </x:c>
      <x:c r="Y174" s="14"/>
      <x:c r="Z174" s="14" t="str">
        <x:v>The Crow Girl.docx</x:v>
      </x:c>
      <x:c r="AA174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Paramount+ UK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7" t="e">
        <x:f>HYPERLINK("https://en.wikipedia.org/wiki/The_Crow_Girl","Open source")</x:f>
        <x:v>HYPERLINK is not implemented. linkLocation=https://en.wikipedia.org/wiki/The_Crow_Girl, friendlyName=Open source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12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3</x:v>
      </x:c>
      <x:c r="BS174" s="16" t="n">
        <x:v>0.25</x:v>
      </x:c>
      <x:c r="BT174" s="14" t="str">
        <x:v>Minority of episodes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tt30063915|nm0513201|piers stirling</x:v>
      </x:c>
      <x:c r="B175" s="14" t="str">
        <x:v>04</x:v>
      </x:c>
      <x:c r="C175" s="14" t="str">
        <x:v>2025_IMDb_Cast_Lists_Batch_04(1).xlsx</x:v>
      </x:c>
      <x:c r="D175" s="14" t="str">
        <x:v>The Crow Girl</x:v>
      </x:c>
      <x:c r="E175" s="14" t="n">
        <x:v>36</x:v>
      </x:c>
      <x:c r="F175" s="14" t="str">
        <x:v>The Crow Girl</x:v>
      </x:c>
      <x:c r="G175" s="14" t="str">
        <x:v>tt30063915</x:v>
      </x:c>
      <x:c r="H175" s="14" t="n">
        <x:v>2025</x:v>
      </x:c>
      <x:c r="I175" s="14" t="n">
        <x:v>2025</x:v>
      </x:c>
      <x:c r="J175" s="14" t="str">
        <x:v>Post-study cohort</x:v>
      </x:c>
      <x:c r="K175" s="14"/>
      <x:c r="L175" s="14" t="str">
        <x:v>Not inherited</x:v>
      </x:c>
      <x:c r="M175" s="15" t="n">
        <x:v>29</x:v>
      </x:c>
      <x:c r="N175" s="14" t="str">
        <x:v>Richard Lintern</x:v>
      </x:c>
      <x:c r="O175" s="14" t="str">
        <x:v>nm0513201</x:v>
      </x:c>
      <x:c r="P175" s="14" t="str">
        <x:v>Piers Stirling</x:v>
      </x:c>
      <x:c r="Q175" s="15" t="n">
        <x:v>2</x:v>
      </x:c>
      <x:c r="R175" s="14" t="str">
        <x:v>2026</x:v>
      </x:c>
      <x:c r="S175" s="14" t="n">
        <x:v>2026</x:v>
      </x:c>
      <x:c r="T175" s="14" t="n">
        <x:v>2026</x:v>
      </x:c>
      <x:c r="U175" s="14" t="str">
        <x:v>Explicit source first year retained</x:v>
      </x:c>
      <x:c r="V175" s="14" t="str">
        <x:v>Earliest supplied year is 2026.</x:v>
      </x:c>
      <x:c r="W175" s="14"/>
      <x:c r="X175" s="14" t="str">
        <x:v>Excluded: after 2025</x:v>
      </x:c>
      <x:c r="Y175" s="14"/>
      <x:c r="Z175" s="14" t="str">
        <x:v>The Crow Girl.docx</x:v>
      </x:c>
      <x:c r="AA175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Paramount+ UK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7" t="e">
        <x:f>HYPERLINK("https://en.wikipedia.org/wiki/The_Crow_Girl","Open source")</x:f>
        <x:v>HYPERLINK is not implemented. linkLocation=https://en.wikipedia.org/wiki/The_Crow_Girl, friendlyName=Open source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12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2</x:v>
      </x:c>
      <x:c r="BS175" s="16" t="n">
        <x:v>0.16666666666666666</x:v>
      </x:c>
      <x:c r="BT175" s="14" t="str">
        <x:v>Minority of episodes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tt30063915|nm0064749|eleanor lowry</x:v>
      </x:c>
      <x:c r="B176" s="14" t="str">
        <x:v>04</x:v>
      </x:c>
      <x:c r="C176" s="14" t="str">
        <x:v>2025_IMDb_Cast_Lists_Batch_04(1).xlsx</x:v>
      </x:c>
      <x:c r="D176" s="14" t="str">
        <x:v>The Crow Girl</x:v>
      </x:c>
      <x:c r="E176" s="14" t="n">
        <x:v>37</x:v>
      </x:c>
      <x:c r="F176" s="14" t="str">
        <x:v>The Crow Girl</x:v>
      </x:c>
      <x:c r="G176" s="14" t="str">
        <x:v>tt30063915</x:v>
      </x:c>
      <x:c r="H176" s="14" t="n">
        <x:v>2025</x:v>
      </x:c>
      <x:c r="I176" s="14" t="n">
        <x:v>2025</x:v>
      </x:c>
      <x:c r="J176" s="14" t="str">
        <x:v>Post-study cohort</x:v>
      </x:c>
      <x:c r="K176" s="14"/>
      <x:c r="L176" s="14" t="str">
        <x:v>Not inherited</x:v>
      </x:c>
      <x:c r="M176" s="15" t="n">
        <x:v>30</x:v>
      </x:c>
      <x:c r="N176" s="14" t="str">
        <x:v>Ellie Beaven</x:v>
      </x:c>
      <x:c r="O176" s="14" t="str">
        <x:v>nm0064749</x:v>
      </x:c>
      <x:c r="P176" s="14" t="str">
        <x:v>Eleanor Lowry</x:v>
      </x:c>
      <x:c r="Q176" s="15" t="n">
        <x:v>2</x:v>
      </x:c>
      <x:c r="R176" s="14" t="str">
        <x:v>2026</x:v>
      </x:c>
      <x:c r="S176" s="14" t="n">
        <x:v>2026</x:v>
      </x:c>
      <x:c r="T176" s="14" t="n">
        <x:v>2026</x:v>
      </x:c>
      <x:c r="U176" s="14" t="str">
        <x:v>Explicit source first year retained</x:v>
      </x:c>
      <x:c r="V176" s="14" t="str">
        <x:v>Earliest supplied year is 2026.</x:v>
      </x:c>
      <x:c r="W176" s="14"/>
      <x:c r="X176" s="14" t="str">
        <x:v>Excluded: after 2025</x:v>
      </x:c>
      <x:c r="Y176" s="14"/>
      <x:c r="Z176" s="14" t="str">
        <x:v>The Crow Girl.docx</x:v>
      </x:c>
      <x:c r="AA176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Paramount+ UK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7" t="e">
        <x:f>HYPERLINK("https://en.wikipedia.org/wiki/The_Crow_Girl","Open source")</x:f>
        <x:v>HYPERLINK is not implemented. linkLocation=https://en.wikipedia.org/wiki/The_Crow_Girl, friendlyName=Open source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12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2</x:v>
      </x:c>
      <x:c r="BS176" s="16" t="n">
        <x:v>0.16666666666666666</x:v>
      </x:c>
      <x:c r="BT176" s="14" t="str">
        <x:v>Minority of episodes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tt30063915|nm2393646|bertram lowry</x:v>
      </x:c>
      <x:c r="B177" s="14" t="str">
        <x:v>04</x:v>
      </x:c>
      <x:c r="C177" s="14" t="str">
        <x:v>2025_IMDb_Cast_Lists_Batch_04(1).xlsx</x:v>
      </x:c>
      <x:c r="D177" s="14" t="str">
        <x:v>The Crow Girl</x:v>
      </x:c>
      <x:c r="E177" s="14" t="n">
        <x:v>50</x:v>
      </x:c>
      <x:c r="F177" s="14" t="str">
        <x:v>The Crow Girl</x:v>
      </x:c>
      <x:c r="G177" s="14" t="str">
        <x:v>tt30063915</x:v>
      </x:c>
      <x:c r="H177" s="14" t="n">
        <x:v>2025</x:v>
      </x:c>
      <x:c r="I177" s="14" t="n">
        <x:v>2025</x:v>
      </x:c>
      <x:c r="J177" s="14" t="str">
        <x:v>Post-study cohort</x:v>
      </x:c>
      <x:c r="K177" s="14"/>
      <x:c r="L177" s="14" t="str">
        <x:v>Not inherited</x:v>
      </x:c>
      <x:c r="M177" s="15" t="n">
        <x:v>43</x:v>
      </x:c>
      <x:c r="N177" s="14" t="str">
        <x:v>James Anderson</x:v>
      </x:c>
      <x:c r="O177" s="14" t="str">
        <x:v>nm2393646</x:v>
      </x:c>
      <x:c r="P177" s="14" t="str">
        <x:v>Bertram Lowry</x:v>
      </x:c>
      <x:c r="Q177" s="15" t="n">
        <x:v>1</x:v>
      </x:c>
      <x:c r="R177" s="14" t="str">
        <x:v>2026</x:v>
      </x:c>
      <x:c r="S177" s="14" t="n">
        <x:v>2026</x:v>
      </x:c>
      <x:c r="T177" s="14" t="n">
        <x:v>2026</x:v>
      </x:c>
      <x:c r="U177" s="14" t="str">
        <x:v>Explicit source first year retained</x:v>
      </x:c>
      <x:c r="V177" s="14" t="str">
        <x:v>Earliest supplied year is 2026.</x:v>
      </x:c>
      <x:c r="W177" s="14"/>
      <x:c r="X177" s="14" t="str">
        <x:v>Excluded: after 2025</x:v>
      </x:c>
      <x:c r="Y177" s="14"/>
      <x:c r="Z177" s="14" t="str">
        <x:v>The Crow Girl.docx</x:v>
      </x:c>
      <x:c r="AA177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Paramount+ UK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7" t="e">
        <x:f>HYPERLINK("https://en.wikipedia.org/wiki/The_Crow_Girl","Open source")</x:f>
        <x:v>HYPERLINK is not implemented. linkLocation=https://en.wikipedia.org/wiki/The_Crow_Girl, friendlyName=Open source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12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0.08333333333333333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tt30063915|nm0208937|reverend charles</x:v>
      </x:c>
      <x:c r="B178" s="14" t="str">
        <x:v>04</x:v>
      </x:c>
      <x:c r="C178" s="14" t="str">
        <x:v>2025_IMDb_Cast_Lists_Batch_04(1).xlsx</x:v>
      </x:c>
      <x:c r="D178" s="14" t="str">
        <x:v>The Crow Girl</x:v>
      </x:c>
      <x:c r="E178" s="14" t="n">
        <x:v>51</x:v>
      </x:c>
      <x:c r="F178" s="14" t="str">
        <x:v>The Crow Girl</x:v>
      </x:c>
      <x:c r="G178" s="14" t="str">
        <x:v>tt30063915</x:v>
      </x:c>
      <x:c r="H178" s="14" t="n">
        <x:v>2025</x:v>
      </x:c>
      <x:c r="I178" s="14" t="n">
        <x:v>2025</x:v>
      </x:c>
      <x:c r="J178" s="14" t="str">
        <x:v>Post-study cohort</x:v>
      </x:c>
      <x:c r="K178" s="14"/>
      <x:c r="L178" s="14" t="str">
        <x:v>Not inherited</x:v>
      </x:c>
      <x:c r="M178" s="15" t="n">
        <x:v>44</x:v>
      </x:c>
      <x:c r="N178" s="14" t="str">
        <x:v>Peter De Jersey</x:v>
      </x:c>
      <x:c r="O178" s="14" t="str">
        <x:v>nm0208937</x:v>
      </x:c>
      <x:c r="P178" s="14" t="str">
        <x:v>Reverend Charles</x:v>
      </x:c>
      <x:c r="Q178" s="15" t="n">
        <x:v>1</x:v>
      </x:c>
      <x:c r="R178" s="14" t="str">
        <x:v>2026</x:v>
      </x:c>
      <x:c r="S178" s="14" t="n">
        <x:v>2026</x:v>
      </x:c>
      <x:c r="T178" s="14" t="n">
        <x:v>2026</x:v>
      </x:c>
      <x:c r="U178" s="14" t="str">
        <x:v>Explicit source first year retained</x:v>
      </x:c>
      <x:c r="V178" s="14" t="str">
        <x:v>Earliest supplied year is 2026.</x:v>
      </x:c>
      <x:c r="W178" s="14"/>
      <x:c r="X178" s="14" t="str">
        <x:v>Excluded: after 2025</x:v>
      </x:c>
      <x:c r="Y178" s="14"/>
      <x:c r="Z178" s="14" t="str">
        <x:v>The Crow Girl.docx</x:v>
      </x:c>
      <x:c r="AA178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Paramount+ UK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7" t="e">
        <x:f>HYPERLINK("https://en.wikipedia.org/wiki/The_Crow_Girl","Open source")</x:f>
        <x:v>HYPERLINK is not implemented. linkLocation=https://en.wikipedia.org/wiki/The_Crow_Girl, friendlyName=Open source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12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0.08333333333333333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tt30063915|nm0483457|therapist</x:v>
      </x:c>
      <x:c r="B179" s="14" t="str">
        <x:v>04</x:v>
      </x:c>
      <x:c r="C179" s="14" t="str">
        <x:v>2025_IMDb_Cast_Lists_Batch_04(1).xlsx</x:v>
      </x:c>
      <x:c r="D179" s="14" t="str">
        <x:v>The Crow Girl</x:v>
      </x:c>
      <x:c r="E179" s="14" t="n">
        <x:v>52</x:v>
      </x:c>
      <x:c r="F179" s="14" t="str">
        <x:v>The Crow Girl</x:v>
      </x:c>
      <x:c r="G179" s="14" t="str">
        <x:v>tt30063915</x:v>
      </x:c>
      <x:c r="H179" s="14" t="n">
        <x:v>2025</x:v>
      </x:c>
      <x:c r="I179" s="14" t="n">
        <x:v>2025</x:v>
      </x:c>
      <x:c r="J179" s="14" t="str">
        <x:v>Post-study cohort</x:v>
      </x:c>
      <x:c r="K179" s="14"/>
      <x:c r="L179" s="14" t="str">
        <x:v>Not inherited</x:v>
      </x:c>
      <x:c r="M179" s="15" t="n">
        <x:v>45</x:v>
      </x:c>
      <x:c r="N179" s="14" t="str">
        <x:v>Anne Lambton</x:v>
      </x:c>
      <x:c r="O179" s="14" t="str">
        <x:v>nm0483457</x:v>
      </x:c>
      <x:c r="P179" s="14" t="str">
        <x:v>Therapist</x:v>
      </x:c>
      <x:c r="Q179" s="15" t="n">
        <x:v>1</x:v>
      </x:c>
      <x:c r="R179" s="14" t="str">
        <x:v>2026</x:v>
      </x:c>
      <x:c r="S179" s="14" t="n">
        <x:v>2026</x:v>
      </x:c>
      <x:c r="T179" s="14" t="n">
        <x:v>2026</x:v>
      </x:c>
      <x:c r="U179" s="14" t="str">
        <x:v>Explicit source first year retained</x:v>
      </x:c>
      <x:c r="V179" s="14" t="str">
        <x:v>Earliest supplied year is 2026.</x:v>
      </x:c>
      <x:c r="W179" s="14"/>
      <x:c r="X179" s="14" t="str">
        <x:v>Excluded: after 2025</x:v>
      </x:c>
      <x:c r="Y179" s="14"/>
      <x:c r="Z179" s="14" t="str">
        <x:v>The Crow Girl.docx</x:v>
      </x:c>
      <x:c r="AA179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Paramount+ UK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7" t="e">
        <x:f>HYPERLINK("https://en.wikipedia.org/wiki/The_Crow_Girl","Open source")</x:f>
        <x:v>HYPERLINK is not implemented. linkLocation=https://en.wikipedia.org/wiki/The_Crow_Girl, friendlyName=Open source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12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0.08333333333333333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tt30063915|nm0199133|shaun</x:v>
      </x:c>
      <x:c r="B180" s="14" t="str">
        <x:v>04</x:v>
      </x:c>
      <x:c r="C180" s="14" t="str">
        <x:v>2025_IMDb_Cast_Lists_Batch_04(1).xlsx</x:v>
      </x:c>
      <x:c r="D180" s="14" t="str">
        <x:v>The Crow Girl</x:v>
      </x:c>
      <x:c r="E180" s="14" t="n">
        <x:v>53</x:v>
      </x:c>
      <x:c r="F180" s="14" t="str">
        <x:v>The Crow Girl</x:v>
      </x:c>
      <x:c r="G180" s="14" t="str">
        <x:v>tt30063915</x:v>
      </x:c>
      <x:c r="H180" s="14" t="n">
        <x:v>2025</x:v>
      </x:c>
      <x:c r="I180" s="14" t="n">
        <x:v>2025</x:v>
      </x:c>
      <x:c r="J180" s="14" t="str">
        <x:v>Post-study cohort</x:v>
      </x:c>
      <x:c r="K180" s="14"/>
      <x:c r="L180" s="14" t="str">
        <x:v>Not inherited</x:v>
      </x:c>
      <x:c r="M180" s="15" t="n">
        <x:v>46</x:v>
      </x:c>
      <x:c r="N180" s="14" t="str">
        <x:v>Marc Danbury</x:v>
      </x:c>
      <x:c r="O180" s="14" t="str">
        <x:v>nm0199133</x:v>
      </x:c>
      <x:c r="P180" s="14" t="str">
        <x:v>Shaun</x:v>
      </x:c>
      <x:c r="Q180" s="15" t="n">
        <x:v>1</x:v>
      </x:c>
      <x:c r="R180" s="14" t="str">
        <x:v>2026</x:v>
      </x:c>
      <x:c r="S180" s="14" t="n">
        <x:v>2026</x:v>
      </x:c>
      <x:c r="T180" s="14" t="n">
        <x:v>2026</x:v>
      </x:c>
      <x:c r="U180" s="14" t="str">
        <x:v>Explicit source first year retained</x:v>
      </x:c>
      <x:c r="V180" s="14" t="str">
        <x:v>Earliest supplied year is 2026.</x:v>
      </x:c>
      <x:c r="W180" s="14"/>
      <x:c r="X180" s="14" t="str">
        <x:v>Excluded: after 2025</x:v>
      </x:c>
      <x:c r="Y180" s="14"/>
      <x:c r="Z180" s="14" t="str">
        <x:v>The Crow Girl.docx</x:v>
      </x:c>
      <x:c r="AA180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Paramount+ UK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7" t="e">
        <x:f>HYPERLINK("https://en.wikipedia.org/wiki/The_Crow_Girl","Open source")</x:f>
        <x:v>HYPERLINK is not implemented. linkLocation=https://en.wikipedia.org/wiki/The_Crow_Girl, friendlyName=Open source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12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0.08333333333333333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tt30063915|nm4018351|gary</x:v>
      </x:c>
      <x:c r="B181" s="14" t="str">
        <x:v>04</x:v>
      </x:c>
      <x:c r="C181" s="14" t="str">
        <x:v>2025_IMDb_Cast_Lists_Batch_04(1).xlsx</x:v>
      </x:c>
      <x:c r="D181" s="14" t="str">
        <x:v>The Crow Girl</x:v>
      </x:c>
      <x:c r="E181" s="14" t="n">
        <x:v>54</x:v>
      </x:c>
      <x:c r="F181" s="14" t="str">
        <x:v>The Crow Girl</x:v>
      </x:c>
      <x:c r="G181" s="14" t="str">
        <x:v>tt30063915</x:v>
      </x:c>
      <x:c r="H181" s="14" t="n">
        <x:v>2025</x:v>
      </x:c>
      <x:c r="I181" s="14" t="n">
        <x:v>2025</x:v>
      </x:c>
      <x:c r="J181" s="14" t="str">
        <x:v>Post-study cohort</x:v>
      </x:c>
      <x:c r="K181" s="14"/>
      <x:c r="L181" s="14" t="str">
        <x:v>Not inherited</x:v>
      </x:c>
      <x:c r="M181" s="15" t="n">
        <x:v>47</x:v>
      </x:c>
      <x:c r="N181" s="14" t="str">
        <x:v>Dorian Simpson</x:v>
      </x:c>
      <x:c r="O181" s="14" t="str">
        <x:v>nm4018351</x:v>
      </x:c>
      <x:c r="P181" s="14" t="str">
        <x:v>Gary</x:v>
      </x:c>
      <x:c r="Q181" s="15" t="n">
        <x:v>1</x:v>
      </x:c>
      <x:c r="R181" s="14" t="str">
        <x:v>2026</x:v>
      </x:c>
      <x:c r="S181" s="14" t="n">
        <x:v>2026</x:v>
      </x:c>
      <x:c r="T181" s="14" t="n">
        <x:v>2026</x:v>
      </x:c>
      <x:c r="U181" s="14" t="str">
        <x:v>Explicit source first year retained</x:v>
      </x:c>
      <x:c r="V181" s="14" t="str">
        <x:v>Earliest supplied year is 2026.</x:v>
      </x:c>
      <x:c r="W181" s="14"/>
      <x:c r="X181" s="14" t="str">
        <x:v>Excluded: after 2025</x:v>
      </x:c>
      <x:c r="Y181" s="14"/>
      <x:c r="Z181" s="14" t="str">
        <x:v>The Crow Girl.docx</x:v>
      </x:c>
      <x:c r="AA181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Paramount+ UK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7" t="e">
        <x:f>HYPERLINK("https://en.wikipedia.org/wiki/The_Crow_Girl","Open source")</x:f>
        <x:v>HYPERLINK is not implemented. linkLocation=https://en.wikipedia.org/wiki/The_Crow_Girl, friendlyName=Open source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12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0.08333333333333333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tt30063915|nm13582054|jackie</x:v>
      </x:c>
      <x:c r="B182" s="14" t="str">
        <x:v>04</x:v>
      </x:c>
      <x:c r="C182" s="14" t="str">
        <x:v>2025_IMDb_Cast_Lists_Batch_04(1).xlsx</x:v>
      </x:c>
      <x:c r="D182" s="14" t="str">
        <x:v>The Crow Girl</x:v>
      </x:c>
      <x:c r="E182" s="14" t="n">
        <x:v>55</x:v>
      </x:c>
      <x:c r="F182" s="14" t="str">
        <x:v>The Crow Girl</x:v>
      </x:c>
      <x:c r="G182" s="14" t="str">
        <x:v>tt30063915</x:v>
      </x:c>
      <x:c r="H182" s="14" t="n">
        <x:v>2025</x:v>
      </x:c>
      <x:c r="I182" s="14" t="n">
        <x:v>2025</x:v>
      </x:c>
      <x:c r="J182" s="14" t="str">
        <x:v>Post-study cohort</x:v>
      </x:c>
      <x:c r="K182" s="14"/>
      <x:c r="L182" s="14" t="str">
        <x:v>Not inherited</x:v>
      </x:c>
      <x:c r="M182" s="15" t="n">
        <x:v>48</x:v>
      </x:c>
      <x:c r="N182" s="14" t="str">
        <x:v>Katie Elizabeth-Payne</x:v>
      </x:c>
      <x:c r="O182" s="14" t="str">
        <x:v>nm13582054</x:v>
      </x:c>
      <x:c r="P182" s="14" t="str">
        <x:v>Jackie</x:v>
      </x:c>
      <x:c r="Q182" s="15" t="n">
        <x:v>1</x:v>
      </x:c>
      <x:c r="R182" s="14" t="str">
        <x:v>2026</x:v>
      </x:c>
      <x:c r="S182" s="14" t="n">
        <x:v>2026</x:v>
      </x:c>
      <x:c r="T182" s="14" t="n">
        <x:v>2026</x:v>
      </x:c>
      <x:c r="U182" s="14" t="str">
        <x:v>Explicit source first year retained</x:v>
      </x:c>
      <x:c r="V182" s="14" t="str">
        <x:v>Earliest supplied year is 2026.</x:v>
      </x:c>
      <x:c r="W182" s="14"/>
      <x:c r="X182" s="14" t="str">
        <x:v>Excluded: after 2025</x:v>
      </x:c>
      <x:c r="Y182" s="14"/>
      <x:c r="Z182" s="14" t="str">
        <x:v>The Crow Girl.docx</x:v>
      </x:c>
      <x:c r="AA182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Paramount+ UK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7" t="e">
        <x:f>HYPERLINK("https://en.wikipedia.org/wiki/The_Crow_Girl","Open source")</x:f>
        <x:v>HYPERLINK is not implemented. linkLocation=https://en.wikipedia.org/wiki/The_Crow_Girl, friendlyName=Open source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12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0.08333333333333333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tt30063915|nm5220700|young carl lowry</x:v>
      </x:c>
      <x:c r="B183" s="14" t="str">
        <x:v>04</x:v>
      </x:c>
      <x:c r="C183" s="14" t="str">
        <x:v>2025_IMDb_Cast_Lists_Batch_04(1).xlsx</x:v>
      </x:c>
      <x:c r="D183" s="14" t="str">
        <x:v>The Crow Girl</x:v>
      </x:c>
      <x:c r="E183" s="14" t="n">
        <x:v>56</x:v>
      </x:c>
      <x:c r="F183" s="14" t="str">
        <x:v>The Crow Girl</x:v>
      </x:c>
      <x:c r="G183" s="14" t="str">
        <x:v>tt30063915</x:v>
      </x:c>
      <x:c r="H183" s="14" t="n">
        <x:v>2025</x:v>
      </x:c>
      <x:c r="I183" s="14" t="n">
        <x:v>2025</x:v>
      </x:c>
      <x:c r="J183" s="14" t="str">
        <x:v>Post-study cohort</x:v>
      </x:c>
      <x:c r="K183" s="14"/>
      <x:c r="L183" s="14" t="str">
        <x:v>Not inherited</x:v>
      </x:c>
      <x:c r="M183" s="15" t="n">
        <x:v>49</x:v>
      </x:c>
      <x:c r="N183" s="14" t="str">
        <x:v>Rudi Goodman</x:v>
      </x:c>
      <x:c r="O183" s="14" t="str">
        <x:v>nm5220700</x:v>
      </x:c>
      <x:c r="P183" s="14" t="str">
        <x:v>Young Carl Lowry</x:v>
      </x:c>
      <x:c r="Q183" s="15" t="n">
        <x:v>1</x:v>
      </x:c>
      <x:c r="R183" s="14" t="str">
        <x:v>2026</x:v>
      </x:c>
      <x:c r="S183" s="14" t="n">
        <x:v>2026</x:v>
      </x:c>
      <x:c r="T183" s="14" t="n">
        <x:v>2026</x:v>
      </x:c>
      <x:c r="U183" s="14" t="str">
        <x:v>Explicit source first year retained</x:v>
      </x:c>
      <x:c r="V183" s="14" t="str">
        <x:v>Earliest supplied year is 2026.</x:v>
      </x:c>
      <x:c r="W183" s="14"/>
      <x:c r="X183" s="14" t="str">
        <x:v>Excluded: after 2025</x:v>
      </x:c>
      <x:c r="Y183" s="14"/>
      <x:c r="Z183" s="14" t="str">
        <x:v>The Crow Girl.docx</x:v>
      </x:c>
      <x:c r="AA183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Paramount+ UK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7" t="e">
        <x:f>HYPERLINK("https://en.wikipedia.org/wiki/The_Crow_Girl","Open source")</x:f>
        <x:v>HYPERLINK is not implemented. linkLocation=https://en.wikipedia.org/wiki/The_Crow_Girl, friendlyName=Open source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12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0.08333333333333333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tt30063915|nm16867969|liam draper</x:v>
      </x:c>
      <x:c r="B184" s="14" t="str">
        <x:v>04</x:v>
      </x:c>
      <x:c r="C184" s="14" t="str">
        <x:v>2025_IMDb_Cast_Lists_Batch_04(1).xlsx</x:v>
      </x:c>
      <x:c r="D184" s="14" t="str">
        <x:v>The Crow Girl</x:v>
      </x:c>
      <x:c r="E184" s="14" t="n">
        <x:v>57</x:v>
      </x:c>
      <x:c r="F184" s="14" t="str">
        <x:v>The Crow Girl</x:v>
      </x:c>
      <x:c r="G184" s="14" t="str">
        <x:v>tt30063915</x:v>
      </x:c>
      <x:c r="H184" s="14" t="n">
        <x:v>2025</x:v>
      </x:c>
      <x:c r="I184" s="14" t="n">
        <x:v>2025</x:v>
      </x:c>
      <x:c r="J184" s="14" t="str">
        <x:v>Post-study cohort</x:v>
      </x:c>
      <x:c r="K184" s="14"/>
      <x:c r="L184" s="14" t="str">
        <x:v>Not inherited</x:v>
      </x:c>
      <x:c r="M184" s="15" t="n">
        <x:v>50</x:v>
      </x:c>
      <x:c r="N184" s="14" t="str">
        <x:v>Luke Garner-Greene</x:v>
      </x:c>
      <x:c r="O184" s="14" t="str">
        <x:v>nm16867969</x:v>
      </x:c>
      <x:c r="P184" s="14" t="str">
        <x:v>Liam Draper</x:v>
      </x:c>
      <x:c r="Q184" s="15" t="n">
        <x:v>1</x:v>
      </x:c>
      <x:c r="R184" s="14" t="str">
        <x:v>2026</x:v>
      </x:c>
      <x:c r="S184" s="14" t="n">
        <x:v>2026</x:v>
      </x:c>
      <x:c r="T184" s="14" t="n">
        <x:v>2026</x:v>
      </x:c>
      <x:c r="U184" s="14" t="str">
        <x:v>Explicit source first year retained</x:v>
      </x:c>
      <x:c r="V184" s="14" t="str">
        <x:v>Earliest supplied year is 2026.</x:v>
      </x:c>
      <x:c r="W184" s="14"/>
      <x:c r="X184" s="14" t="str">
        <x:v>Excluded: after 2025</x:v>
      </x:c>
      <x:c r="Y184" s="14"/>
      <x:c r="Z184" s="14" t="str">
        <x:v>The Crow Girl.docx</x:v>
      </x:c>
      <x:c r="AA184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Paramount+ UK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7" t="e">
        <x:f>HYPERLINK("https://en.wikipedia.org/wiki/The_Crow_Girl","Open source")</x:f>
        <x:v>HYPERLINK is not implemented. linkLocation=https://en.wikipedia.org/wiki/The_Crow_Girl, friendlyName=Open source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12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0.08333333333333333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tt30063915|nm18732745|heather</x:v>
      </x:c>
      <x:c r="B185" s="14" t="str">
        <x:v>04</x:v>
      </x:c>
      <x:c r="C185" s="14" t="str">
        <x:v>2025_IMDb_Cast_Lists_Batch_04(1).xlsx</x:v>
      </x:c>
      <x:c r="D185" s="14" t="str">
        <x:v>The Crow Girl</x:v>
      </x:c>
      <x:c r="E185" s="14" t="n">
        <x:v>58</x:v>
      </x:c>
      <x:c r="F185" s="14" t="str">
        <x:v>The Crow Girl</x:v>
      </x:c>
      <x:c r="G185" s="14" t="str">
        <x:v>tt30063915</x:v>
      </x:c>
      <x:c r="H185" s="14" t="n">
        <x:v>2025</x:v>
      </x:c>
      <x:c r="I185" s="14" t="n">
        <x:v>2025</x:v>
      </x:c>
      <x:c r="J185" s="14" t="str">
        <x:v>Post-study cohort</x:v>
      </x:c>
      <x:c r="K185" s="14"/>
      <x:c r="L185" s="14" t="str">
        <x:v>Not inherited</x:v>
      </x:c>
      <x:c r="M185" s="15" t="n">
        <x:v>51</x:v>
      </x:c>
      <x:c r="N185" s="14" t="str">
        <x:v>Leela Harris</x:v>
      </x:c>
      <x:c r="O185" s="14" t="str">
        <x:v>nm18732745</x:v>
      </x:c>
      <x:c r="P185" s="14" t="str">
        <x:v>Heather</x:v>
      </x:c>
      <x:c r="Q185" s="15" t="n">
        <x:v>1</x:v>
      </x:c>
      <x:c r="R185" s="14" t="str">
        <x:v>2026</x:v>
      </x:c>
      <x:c r="S185" s="14" t="n">
        <x:v>2026</x:v>
      </x:c>
      <x:c r="T185" s="14" t="n">
        <x:v>2026</x:v>
      </x:c>
      <x:c r="U185" s="14" t="str">
        <x:v>Explicit source first year retained</x:v>
      </x:c>
      <x:c r="V185" s="14" t="str">
        <x:v>Earliest supplied year is 2026.</x:v>
      </x:c>
      <x:c r="W185" s="14"/>
      <x:c r="X185" s="14" t="str">
        <x:v>Excluded: after 2025</x:v>
      </x:c>
      <x:c r="Y185" s="14"/>
      <x:c r="Z185" s="14" t="str">
        <x:v>The Crow Girl.docx</x:v>
      </x:c>
      <x:c r="AA185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Paramount+ UK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7" t="e">
        <x:f>HYPERLINK("https://en.wikipedia.org/wiki/The_Crow_Girl","Open source")</x:f>
        <x:v>HYPERLINK is not implemented. linkLocation=https://en.wikipedia.org/wiki/The_Crow_Girl, friendlyName=Open source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12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0.08333333333333333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tt30063915|nm8719935|ds jenny coombes</x:v>
      </x:c>
      <x:c r="B186" s="14" t="str">
        <x:v>04</x:v>
      </x:c>
      <x:c r="C186" s="14" t="str">
        <x:v>2025_IMDb_Cast_Lists_Batch_04(1).xlsx</x:v>
      </x:c>
      <x:c r="D186" s="14" t="str">
        <x:v>The Crow Girl</x:v>
      </x:c>
      <x:c r="E186" s="14" t="n">
        <x:v>59</x:v>
      </x:c>
      <x:c r="F186" s="14" t="str">
        <x:v>The Crow Girl</x:v>
      </x:c>
      <x:c r="G186" s="14" t="str">
        <x:v>tt30063915</x:v>
      </x:c>
      <x:c r="H186" s="14" t="n">
        <x:v>2025</x:v>
      </x:c>
      <x:c r="I186" s="14" t="n">
        <x:v>2025</x:v>
      </x:c>
      <x:c r="J186" s="14" t="str">
        <x:v>Post-study cohort</x:v>
      </x:c>
      <x:c r="K186" s="14"/>
      <x:c r="L186" s="14" t="str">
        <x:v>Not inherited</x:v>
      </x:c>
      <x:c r="M186" s="15" t="n">
        <x:v>52</x:v>
      </x:c>
      <x:c r="N186" s="14" t="str">
        <x:v>Gabrielle Sheppard</x:v>
      </x:c>
      <x:c r="O186" s="14" t="str">
        <x:v>nm8719935</x:v>
      </x:c>
      <x:c r="P186" s="14" t="str">
        <x:v>DS Jenny Coombes</x:v>
      </x:c>
      <x:c r="Q186" s="15" t="n">
        <x:v>1</x:v>
      </x:c>
      <x:c r="R186" s="14" t="str">
        <x:v>2026</x:v>
      </x:c>
      <x:c r="S186" s="14" t="n">
        <x:v>2026</x:v>
      </x:c>
      <x:c r="T186" s="14" t="n">
        <x:v>2026</x:v>
      </x:c>
      <x:c r="U186" s="14" t="str">
        <x:v>Explicit source first year retained</x:v>
      </x:c>
      <x:c r="V186" s="14" t="str">
        <x:v>Earliest supplied year is 2026.</x:v>
      </x:c>
      <x:c r="W186" s="14"/>
      <x:c r="X186" s="14" t="str">
        <x:v>Excluded: after 2025</x:v>
      </x:c>
      <x:c r="Y186" s="14"/>
      <x:c r="Z186" s="14" t="str">
        <x:v>The Crow Girl.docx</x:v>
      </x:c>
      <x:c r="AA186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Paramount+ UK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7" t="e">
        <x:f>HYPERLINK("https://en.wikipedia.org/wiki/The_Crow_Girl","Open source")</x:f>
        <x:v>HYPERLINK is not implemented. linkLocation=https://en.wikipedia.org/wiki/The_Crow_Girl, friendlyName=Open source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12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0.08333333333333333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tt30063915|nm2068478|officer rob griffiths</x:v>
      </x:c>
      <x:c r="B187" s="14" t="str">
        <x:v>04</x:v>
      </x:c>
      <x:c r="C187" s="14" t="str">
        <x:v>2025_IMDb_Cast_Lists_Batch_04(1).xlsx</x:v>
      </x:c>
      <x:c r="D187" s="14" t="str">
        <x:v>The Crow Girl</x:v>
      </x:c>
      <x:c r="E187" s="14" t="n">
        <x:v>60</x:v>
      </x:c>
      <x:c r="F187" s="14" t="str">
        <x:v>The Crow Girl</x:v>
      </x:c>
      <x:c r="G187" s="14" t="str">
        <x:v>tt30063915</x:v>
      </x:c>
      <x:c r="H187" s="14" t="n">
        <x:v>2025</x:v>
      </x:c>
      <x:c r="I187" s="14" t="n">
        <x:v>2025</x:v>
      </x:c>
      <x:c r="J187" s="14" t="str">
        <x:v>Post-study cohort</x:v>
      </x:c>
      <x:c r="K187" s="14"/>
      <x:c r="L187" s="14" t="str">
        <x:v>Not inherited</x:v>
      </x:c>
      <x:c r="M187" s="15" t="n">
        <x:v>53</x:v>
      </x:c>
      <x:c r="N187" s="14" t="str">
        <x:v>Louis McKenzie</x:v>
      </x:c>
      <x:c r="O187" s="14" t="str">
        <x:v>nm2068478</x:v>
      </x:c>
      <x:c r="P187" s="14" t="str">
        <x:v>Officer Rob Griffiths</x:v>
      </x:c>
      <x:c r="Q187" s="15" t="n">
        <x:v>1</x:v>
      </x:c>
      <x:c r="R187" s="14" t="str">
        <x:v>2026</x:v>
      </x:c>
      <x:c r="S187" s="14" t="n">
        <x:v>2026</x:v>
      </x:c>
      <x:c r="T187" s="14" t="n">
        <x:v>2026</x:v>
      </x:c>
      <x:c r="U187" s="14" t="str">
        <x:v>Explicit source first year retained</x:v>
      </x:c>
      <x:c r="V187" s="14" t="str">
        <x:v>Earliest supplied year is 2026.</x:v>
      </x:c>
      <x:c r="W187" s="14"/>
      <x:c r="X187" s="14" t="str">
        <x:v>Excluded: after 2025</x:v>
      </x:c>
      <x:c r="Y187" s="14"/>
      <x:c r="Z187" s="14" t="str">
        <x:v>The Crow Girl.docx</x:v>
      </x:c>
      <x:c r="AA187" s="17" t="e">
        <x:f>HYPERLINK("https://www.imdb.com/title/tt30063915/fullcredits/","Open source")</x:f>
        <x:v>HYPERLINK is not implemented. linkLocation=https://www.imdb.com/title/tt30063915/fullcredits/, friendlyName=Open source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Paramount+ UK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7" t="e">
        <x:f>HYPERLINK("https://en.wikipedia.org/wiki/The_Crow_Girl","Open source")</x:f>
        <x:v>HYPERLINK is not implemented. linkLocation=https://en.wikipedia.org/wiki/The_Crow_Girl, friendlyName=Open source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12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0.08333333333333333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7" t="e">
        <x:f>HYPERLINK("https://www.imdb.com/title/tt30063915/fullcredits/","Open source")</x:f>
        <x:v>HYPERLINK is not implemented. linkLocation=https://www.imdb.com/title/tt30063915/fullcredits/, friendlyName=Open source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tt28118211|nm13295154|jamie reynolds</x:v>
      </x:c>
      <x:c r="B188" s="14" t="str">
        <x:v>01</x:v>
      </x:c>
      <x:c r="C188" s="14" t="str">
        <x:v>2024_IMDb_Cast_Lists_Batch_01(1).xlsx</x:v>
      </x:c>
      <x:c r="D188" s="14" t="str">
        <x:v>A Good Girl's Guide to Murder</x:v>
      </x:c>
      <x:c r="E188" s="14" t="n">
        <x:v>24</x:v>
      </x:c>
      <x:c r="F188" s="14" t="str">
        <x:v>A Good Girl's Guide to Murder</x:v>
      </x:c>
      <x:c r="G188" s="14" t="str">
        <x:v>tt28118211</x:v>
      </x:c>
      <x:c r="H188" s="14" t="n">
        <x:v>2024</x:v>
      </x:c>
      <x:c r="I188" s="14" t="n">
        <x:v>2025</x:v>
      </x:c>
      <x:c r="J188" s="14" t="str">
        <x:v>Post-study cohort</x:v>
      </x:c>
      <x:c r="K188" s="14" t="n">
        <x:v>2024</x:v>
      </x:c>
      <x:c r="L188" s="14" t="str">
        <x:v>Not inherited</x:v>
      </x:c>
      <x:c r="M188" s="15" t="n">
        <x:v>17</x:v>
      </x:c>
      <x:c r="N188" s="14" t="str">
        <x:v>Eden H. Davies</x:v>
      </x:c>
      <x:c r="O188" s="14" t="str">
        <x:v>nm13295154</x:v>
      </x:c>
      <x:c r="P188" s="14" t="str">
        <x:v>Jamie Reynolds</x:v>
      </x:c>
      <x:c r="Q188" s="15" t="n">
        <x:v>6</x:v>
      </x:c>
      <x:c r="R188" s="14" t="str">
        <x:v>2026</x:v>
      </x:c>
      <x:c r="S188" s="14" t="n">
        <x:v>2026</x:v>
      </x:c>
      <x:c r="T188" s="14" t="n">
        <x:v>2026</x:v>
      </x:c>
      <x:c r="U188" s="14" t="str">
        <x:v>Explicit source first year retained</x:v>
      </x:c>
      <x:c r="V188" s="14" t="str">
        <x:v>Earliest supplied year is 2026.</x:v>
      </x:c>
      <x:c r="W188" s="14"/>
      <x:c r="X188" s="14" t="str">
        <x:v>Excluded: after 2025</x:v>
      </x:c>
      <x:c r="Y188" s="14" t="str">
        <x:v>(as Eden Hambelton Davies)</x:v>
      </x:c>
      <x:c r="Z188" s="14" t="str">
        <x:v>A Good Girl.docx</x:v>
      </x:c>
      <x:c r="AA188" s="14" t="str">
        <x:v>HYPERLINK is not implemented. linkLocation=https://www.imdb.com/title/tt28118211/fullcredits/, friendlyName=Open source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BBC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88" s="14" t="str">
        <x:v>BBC public-service commission</x:v>
      </x:c>
      <x:c r="AO188" s="14" t="str">
        <x:v>Yes</x:v>
      </x:c>
      <x:c r="AP188" s="14" t="str">
        <x:v>Direct BBC public-service scope</x:v>
      </x:c>
      <x:c r="AQ188" s="14" t="str">
        <x:v>Yes</x:v>
      </x:c>
      <x:c r="AR188" s="14" t="str">
        <x:v>Resolved from master register</x:v>
      </x:c>
      <x:c r="AS188" s="14" t="str">
        <x:v>No established-register match</x:v>
      </x:c>
      <x:c r="AT188" s="14"/>
      <x:c r="AU188" s="14"/>
      <x:c r="AV188" s="14" t="str">
        <x:v>No established apparent-disability match</x:v>
      </x:c>
      <x:c r="AW188" s="14"/>
      <x:c r="AX188" s="14" t="str">
        <x:v>No</x:v>
      </x:c>
      <x:c r="AY188" s="14" t="str">
        <x:v>Unmatched</x:v>
      </x:c>
      <x:c r="AZ188" s="14" t="str">
        <x:v>Final supplied register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16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6</x:v>
      </x:c>
      <x:c r="BS188" s="16" t="n">
        <x:v>0.375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HYPERLINK is not implemented. linkLocation=https://www.imdb.com/title/tt28118211/fullcredits/, friendlyName=Open source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tt28118211|nm7948721|stanley forbes</x:v>
      </x:c>
      <x:c r="B189" s="14" t="str">
        <x:v>01</x:v>
      </x:c>
      <x:c r="C189" s="14" t="str">
        <x:v>2024_IMDb_Cast_Lists_Batch_01(1).xlsx</x:v>
      </x:c>
      <x:c r="D189" s="14" t="str">
        <x:v>A Good Girl's Guide to Murder</x:v>
      </x:c>
      <x:c r="E189" s="14" t="n">
        <x:v>30</x:v>
      </x:c>
      <x:c r="F189" s="14" t="str">
        <x:v>A Good Girl's Guide to Murder</x:v>
      </x:c>
      <x:c r="G189" s="14" t="str">
        <x:v>tt28118211</x:v>
      </x:c>
      <x:c r="H189" s="14" t="n">
        <x:v>2024</x:v>
      </x:c>
      <x:c r="I189" s="14" t="n">
        <x:v>2025</x:v>
      </x:c>
      <x:c r="J189" s="14" t="str">
        <x:v>Post-study cohort</x:v>
      </x:c>
      <x:c r="K189" s="14" t="n">
        <x:v>2024</x:v>
      </x:c>
      <x:c r="L189" s="14" t="str">
        <x:v>Not inherited</x:v>
      </x:c>
      <x:c r="M189" s="15" t="n">
        <x:v>23</x:v>
      </x:c>
      <x:c r="N189" s="14" t="str">
        <x:v>Misia Butler</x:v>
      </x:c>
      <x:c r="O189" s="14" t="str">
        <x:v>nm7948721</x:v>
      </x:c>
      <x:c r="P189" s="14" t="str">
        <x:v>Stanley Forbes</x:v>
      </x:c>
      <x:c r="Q189" s="15" t="n">
        <x:v>5</x:v>
      </x:c>
      <x:c r="R189" s="14" t="str">
        <x:v>2026</x:v>
      </x:c>
      <x:c r="S189" s="14" t="n">
        <x:v>2026</x:v>
      </x:c>
      <x:c r="T189" s="14" t="n">
        <x:v>2026</x:v>
      </x:c>
      <x:c r="U189" s="14" t="str">
        <x:v>Explicit source first year retained</x:v>
      </x:c>
      <x:c r="V189" s="14" t="str">
        <x:v>Earliest supplied year is 2026.</x:v>
      </x:c>
      <x:c r="W189" s="14"/>
      <x:c r="X189" s="14" t="str">
        <x:v>Excluded: after 2025</x:v>
      </x:c>
      <x:c r="Y189" s="14"/>
      <x:c r="Z189" s="14" t="str">
        <x:v>A Good Girl.docx</x:v>
      </x:c>
      <x:c r="AA189" s="14" t="str">
        <x:v>HYPERLINK is not implemented. linkLocation=https://www.imdb.com/title/tt28118211/fullcredits/, friendlyName=Open source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BBC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89" s="14" t="str">
        <x:v>BBC public-service commission</x:v>
      </x:c>
      <x:c r="AO189" s="14" t="str">
        <x:v>Yes</x:v>
      </x:c>
      <x:c r="AP189" s="14" t="str">
        <x:v>Direct BBC public-service scope</x:v>
      </x:c>
      <x:c r="AQ189" s="14" t="str">
        <x:v>Yes</x:v>
      </x:c>
      <x:c r="AR189" s="14" t="str">
        <x:v>Resolved from master register</x:v>
      </x:c>
      <x:c r="AS189" s="14" t="str">
        <x:v>No established-register match</x:v>
      </x:c>
      <x:c r="AT189" s="14"/>
      <x:c r="AU189" s="14"/>
      <x:c r="AV189" s="14" t="str">
        <x:v>No established apparent-disability match</x:v>
      </x:c>
      <x:c r="AW189" s="14"/>
      <x:c r="AX189" s="14" t="str">
        <x:v>No</x:v>
      </x:c>
      <x:c r="AY189" s="14" t="str">
        <x:v>Unmatched</x:v>
      </x:c>
      <x:c r="AZ189" s="14" t="str">
        <x:v>Final supplied register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16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5</x:v>
      </x:c>
      <x:c r="BS189" s="16" t="n">
        <x:v>0.3125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HYPERLINK is not implemented. linkLocation=https://www.imdb.com/title/tt28118211/fullcredits/, friendlyName=Open source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tt28118211|nm0838287|christopher epps</x:v>
      </x:c>
      <x:c r="B190" s="14" t="str">
        <x:v>01</x:v>
      </x:c>
      <x:c r="C190" s="14" t="str">
        <x:v>2024_IMDb_Cast_Lists_Batch_01(1).xlsx</x:v>
      </x:c>
      <x:c r="D190" s="14" t="str">
        <x:v>A Good Girl's Guide to Murder</x:v>
      </x:c>
      <x:c r="E190" s="14" t="n">
        <x:v>31</x:v>
      </x:c>
      <x:c r="F190" s="14" t="str">
        <x:v>A Good Girl's Guide to Murder</x:v>
      </x:c>
      <x:c r="G190" s="14" t="str">
        <x:v>tt28118211</x:v>
      </x:c>
      <x:c r="H190" s="14" t="n">
        <x:v>2024</x:v>
      </x:c>
      <x:c r="I190" s="14" t="n">
        <x:v>2025</x:v>
      </x:c>
      <x:c r="J190" s="14" t="str">
        <x:v>Post-study cohort</x:v>
      </x:c>
      <x:c r="K190" s="14" t="n">
        <x:v>2024</x:v>
      </x:c>
      <x:c r="L190" s="14" t="str">
        <x:v>Not inherited</x:v>
      </x:c>
      <x:c r="M190" s="15" t="n">
        <x:v>24</x:v>
      </x:c>
      <x:c r="N190" s="14" t="str">
        <x:v>Peter Sullivan</x:v>
      </x:c>
      <x:c r="O190" s="14" t="str">
        <x:v>nm0838287</x:v>
      </x:c>
      <x:c r="P190" s="14" t="str">
        <x:v>Christopher Epps</x:v>
      </x:c>
      <x:c r="Q190" s="15" t="n">
        <x:v>5</x:v>
      </x:c>
      <x:c r="R190" s="14" t="str">
        <x:v>2026</x:v>
      </x:c>
      <x:c r="S190" s="14" t="n">
        <x:v>2026</x:v>
      </x:c>
      <x:c r="T190" s="14" t="n">
        <x:v>2026</x:v>
      </x:c>
      <x:c r="U190" s="14" t="str">
        <x:v>Explicit source first year retained</x:v>
      </x:c>
      <x:c r="V190" s="14" t="str">
        <x:v>Earliest supplied year is 2026.</x:v>
      </x:c>
      <x:c r="W190" s="14"/>
      <x:c r="X190" s="14" t="str">
        <x:v>Excluded: after 2025</x:v>
      </x:c>
      <x:c r="Y190" s="14"/>
      <x:c r="Z190" s="14" t="str">
        <x:v>A Good Girl.docx</x:v>
      </x:c>
      <x:c r="AA190" s="14" t="str">
        <x:v>HYPERLINK is not implemented. linkLocation=https://www.imdb.com/title/tt28118211/fullcredits/, friendlyName=Open source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BBC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0" s="14" t="str">
        <x:v>BBC public-service commission</x:v>
      </x:c>
      <x:c r="AO190" s="14" t="str">
        <x:v>Yes</x:v>
      </x:c>
      <x:c r="AP190" s="14" t="str">
        <x:v>Direct BBC public-service scope</x:v>
      </x:c>
      <x:c r="AQ190" s="14" t="str">
        <x:v>Yes</x:v>
      </x:c>
      <x:c r="AR190" s="14" t="str">
        <x:v>Resolved from master register</x:v>
      </x:c>
      <x:c r="AS190" s="14" t="str">
        <x:v>No established-register match</x:v>
      </x:c>
      <x:c r="AT190" s="14"/>
      <x:c r="AU190" s="14"/>
      <x:c r="AV190" s="14" t="str">
        <x:v>No established apparent-disability match</x:v>
      </x:c>
      <x:c r="AW190" s="14"/>
      <x:c r="AX190" s="14" t="str">
        <x:v>No</x:v>
      </x:c>
      <x:c r="AY190" s="14" t="str">
        <x:v>Unmatched</x:v>
      </x:c>
      <x:c r="AZ190" s="14" t="str">
        <x:v>Final supplied register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16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5</x:v>
      </x:c>
      <x:c r="BS190" s="16" t="n">
        <x:v>0.3125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HYPERLINK is not implemented. linkLocation=https://www.imdb.com/title/tt28118211/fullcredits/, friendlyName=Open source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tt28118211|nm1353086|ms. soraya bouzidi</x:v>
      </x:c>
      <x:c r="B191" s="14" t="str">
        <x:v>01</x:v>
      </x:c>
      <x:c r="C191" s="14" t="str">
        <x:v>2024_IMDb_Cast_Lists_Batch_01(1).xlsx</x:v>
      </x:c>
      <x:c r="D191" s="14" t="str">
        <x:v>A Good Girl's Guide to Murder</x:v>
      </x:c>
      <x:c r="E191" s="14" t="n">
        <x:v>33</x:v>
      </x:c>
      <x:c r="F191" s="14" t="str">
        <x:v>A Good Girl's Guide to Murder</x:v>
      </x:c>
      <x:c r="G191" s="14" t="str">
        <x:v>tt28118211</x:v>
      </x:c>
      <x:c r="H191" s="14" t="n">
        <x:v>2024</x:v>
      </x:c>
      <x:c r="I191" s="14" t="n">
        <x:v>2025</x:v>
      </x:c>
      <x:c r="J191" s="14" t="str">
        <x:v>Post-study cohort</x:v>
      </x:c>
      <x:c r="K191" s="14" t="n">
        <x:v>2024</x:v>
      </x:c>
      <x:c r="L191" s="14" t="str">
        <x:v>Not inherited</x:v>
      </x:c>
      <x:c r="M191" s="15" t="n">
        <x:v>26</x:v>
      </x:c>
      <x:c r="N191" s="14" t="str">
        <x:v>Stephanie Street</x:v>
      </x:c>
      <x:c r="O191" s="14" t="str">
        <x:v>nm1353086</x:v>
      </x:c>
      <x:c r="P191" s="14" t="str">
        <x:v>Ms. Soraya Bouzidi</x:v>
      </x:c>
      <x:c r="Q191" s="15" t="n">
        <x:v>4</x:v>
      </x:c>
      <x:c r="R191" s="14" t="str">
        <x:v>2026</x:v>
      </x:c>
      <x:c r="S191" s="14" t="n">
        <x:v>2026</x:v>
      </x:c>
      <x:c r="T191" s="14" t="n">
        <x:v>2026</x:v>
      </x:c>
      <x:c r="U191" s="14" t="str">
        <x:v>Explicit source first year retained</x:v>
      </x:c>
      <x:c r="V191" s="14" t="str">
        <x:v>Earliest supplied year is 2026.</x:v>
      </x:c>
      <x:c r="W191" s="14"/>
      <x:c r="X191" s="14" t="str">
        <x:v>Excluded: after 2025</x:v>
      </x:c>
      <x:c r="Y191" s="14"/>
      <x:c r="Z191" s="14" t="str">
        <x:v>A Good Girl.docx</x:v>
      </x:c>
      <x:c r="AA191" s="14" t="str">
        <x:v>HYPERLINK is not implemented. linkLocation=https://www.imdb.com/title/tt28118211/fullcredits/, friendlyName=Open source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BBC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1" s="14" t="str">
        <x:v>BBC public-service commission</x:v>
      </x:c>
      <x:c r="AO191" s="14" t="str">
        <x:v>Yes</x:v>
      </x:c>
      <x:c r="AP191" s="14" t="str">
        <x:v>Direct BBC public-service scope</x:v>
      </x:c>
      <x:c r="AQ191" s="14" t="str">
        <x:v>Yes</x:v>
      </x:c>
      <x:c r="AR191" s="14" t="str">
        <x:v>Resolved from master register</x:v>
      </x:c>
      <x:c r="AS191" s="14" t="str">
        <x:v>No established-register match</x:v>
      </x:c>
      <x:c r="AT191" s="14"/>
      <x:c r="AU191" s="14"/>
      <x:c r="AV191" s="14" t="str">
        <x:v>No established apparent-disability match</x:v>
      </x:c>
      <x:c r="AW191" s="14"/>
      <x:c r="AX191" s="14" t="str">
        <x:v>No</x:v>
      </x:c>
      <x:c r="AY191" s="14" t="str">
        <x:v>Unmatched</x:v>
      </x:c>
      <x:c r="AZ191" s="14" t="str">
        <x:v>Final supplied register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16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4</x:v>
      </x:c>
      <x:c r="BS191" s="16" t="n">
        <x:v>0.25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HYPERLINK is not implemented. linkLocation=https://www.imdb.com/title/tt28118211/fullcredits/, friendlyName=Open source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tt28118211|nm1583886|justice wickham</x:v>
      </x:c>
      <x:c r="B192" s="14" t="str">
        <x:v>01</x:v>
      </x:c>
      <x:c r="C192" s="14" t="str">
        <x:v>2024_IMDb_Cast_Lists_Batch_01(1).xlsx</x:v>
      </x:c>
      <x:c r="D192" s="14" t="str">
        <x:v>A Good Girl's Guide to Murder</x:v>
      </x:c>
      <x:c r="E192" s="14" t="n">
        <x:v>34</x:v>
      </x:c>
      <x:c r="F192" s="14" t="str">
        <x:v>A Good Girl's Guide to Murder</x:v>
      </x:c>
      <x:c r="G192" s="14" t="str">
        <x:v>tt28118211</x:v>
      </x:c>
      <x:c r="H192" s="14" t="n">
        <x:v>2024</x:v>
      </x:c>
      <x:c r="I192" s="14" t="n">
        <x:v>2025</x:v>
      </x:c>
      <x:c r="J192" s="14" t="str">
        <x:v>Post-study cohort</x:v>
      </x:c>
      <x:c r="K192" s="14" t="n">
        <x:v>2024</x:v>
      </x:c>
      <x:c r="L192" s="14" t="str">
        <x:v>Not inherited</x:v>
      </x:c>
      <x:c r="M192" s="15" t="n">
        <x:v>27</x:v>
      </x:c>
      <x:c r="N192" s="14" t="str">
        <x:v>Sam Newman</x:v>
      </x:c>
      <x:c r="O192" s="14" t="str">
        <x:v>nm1583886</x:v>
      </x:c>
      <x:c r="P192" s="14" t="str">
        <x:v>Justice Wickham</x:v>
      </x:c>
      <x:c r="Q192" s="15" t="n">
        <x:v>4</x:v>
      </x:c>
      <x:c r="R192" s="14" t="str">
        <x:v>2026</x:v>
      </x:c>
      <x:c r="S192" s="14" t="n">
        <x:v>2026</x:v>
      </x:c>
      <x:c r="T192" s="14" t="n">
        <x:v>2026</x:v>
      </x:c>
      <x:c r="U192" s="14" t="str">
        <x:v>Explicit source first year retained</x:v>
      </x:c>
      <x:c r="V192" s="14" t="str">
        <x:v>Earliest supplied year is 2026.</x:v>
      </x:c>
      <x:c r="W192" s="14"/>
      <x:c r="X192" s="14" t="str">
        <x:v>Excluded: after 2025</x:v>
      </x:c>
      <x:c r="Y192" s="14"/>
      <x:c r="Z192" s="14" t="str">
        <x:v>A Good Girl.docx</x:v>
      </x:c>
      <x:c r="AA192" s="14" t="str">
        <x:v>HYPERLINK is not implemented. linkLocation=https://www.imdb.com/title/tt28118211/fullcredits/, friendlyName=Open source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BBC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2" s="14" t="str">
        <x:v>BBC public-service commission</x:v>
      </x:c>
      <x:c r="AO192" s="14" t="str">
        <x:v>Yes</x:v>
      </x:c>
      <x:c r="AP192" s="14" t="str">
        <x:v>Direct BBC public-service scope</x:v>
      </x:c>
      <x:c r="AQ192" s="14" t="str">
        <x:v>Yes</x:v>
      </x:c>
      <x:c r="AR192" s="14" t="str">
        <x:v>Resolved from master register</x:v>
      </x:c>
      <x:c r="AS192" s="14" t="str">
        <x:v>No established-register match</x:v>
      </x:c>
      <x:c r="AT192" s="14"/>
      <x:c r="AU192" s="14"/>
      <x:c r="AV192" s="14" t="str">
        <x:v>No established apparent-disability match</x:v>
      </x:c>
      <x:c r="AW192" s="14"/>
      <x:c r="AX192" s="14" t="str">
        <x:v>No</x:v>
      </x:c>
      <x:c r="AY192" s="14" t="str">
        <x:v>Unmatched</x:v>
      </x:c>
      <x:c r="AZ192" s="14" t="str">
        <x:v>Final supplied register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16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4</x:v>
      </x:c>
      <x:c r="BS192" s="16" t="n">
        <x:v>0.25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HYPERLINK is not implemented. linkLocation=https://www.imdb.com/title/tt28118211/fullcredits/, friendlyName=Open source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tt28118211|nm17336284|foreperson</x:v>
      </x:c>
      <x:c r="B193" s="14" t="str">
        <x:v>01</x:v>
      </x:c>
      <x:c r="C193" s="14" t="str">
        <x:v>2024_IMDb_Cast_Lists_Batch_01(1).xlsx</x:v>
      </x:c>
      <x:c r="D193" s="14" t="str">
        <x:v>A Good Girl's Guide to Murder</x:v>
      </x:c>
      <x:c r="E193" s="14" t="n">
        <x:v>35</x:v>
      </x:c>
      <x:c r="F193" s="14" t="str">
        <x:v>A Good Girl's Guide to Murder</x:v>
      </x:c>
      <x:c r="G193" s="14" t="str">
        <x:v>tt28118211</x:v>
      </x:c>
      <x:c r="H193" s="14" t="n">
        <x:v>2024</x:v>
      </x:c>
      <x:c r="I193" s="14" t="n">
        <x:v>2025</x:v>
      </x:c>
      <x:c r="J193" s="14" t="str">
        <x:v>Post-study cohort</x:v>
      </x:c>
      <x:c r="K193" s="14" t="n">
        <x:v>2024</x:v>
      </x:c>
      <x:c r="L193" s="14" t="str">
        <x:v>Not inherited</x:v>
      </x:c>
      <x:c r="M193" s="15" t="n">
        <x:v>28</x:v>
      </x:c>
      <x:c r="N193" s="14" t="str">
        <x:v>Lavinia Burch</x:v>
      </x:c>
      <x:c r="O193" s="14" t="str">
        <x:v>nm17336284</x:v>
      </x:c>
      <x:c r="P193" s="14" t="str">
        <x:v>Foreperson</x:v>
      </x:c>
      <x:c r="Q193" s="15" t="n">
        <x:v>4</x:v>
      </x:c>
      <x:c r="R193" s="14" t="str">
        <x:v>2026</x:v>
      </x:c>
      <x:c r="S193" s="14" t="n">
        <x:v>2026</x:v>
      </x:c>
      <x:c r="T193" s="14" t="n">
        <x:v>2026</x:v>
      </x:c>
      <x:c r="U193" s="14" t="str">
        <x:v>Explicit source first year retained</x:v>
      </x:c>
      <x:c r="V193" s="14" t="str">
        <x:v>Earliest supplied year is 2026.</x:v>
      </x:c>
      <x:c r="W193" s="14"/>
      <x:c r="X193" s="14" t="str">
        <x:v>Excluded: after 2025</x:v>
      </x:c>
      <x:c r="Y193" s="14"/>
      <x:c r="Z193" s="14" t="str">
        <x:v>A Good Girl.docx</x:v>
      </x:c>
      <x:c r="AA193" s="14" t="str">
        <x:v>HYPERLINK is not implemented. linkLocation=https://www.imdb.com/title/tt28118211/fullcredits/, friendlyName=Open source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BBC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3" s="14" t="str">
        <x:v>BBC public-service commission</x:v>
      </x:c>
      <x:c r="AO193" s="14" t="str">
        <x:v>Yes</x:v>
      </x:c>
      <x:c r="AP193" s="14" t="str">
        <x:v>Direct BBC public-service scope</x:v>
      </x:c>
      <x:c r="AQ193" s="14" t="str">
        <x:v>Yes</x:v>
      </x:c>
      <x:c r="AR193" s="14" t="str">
        <x:v>Resolved from master register</x:v>
      </x:c>
      <x:c r="AS193" s="14" t="str">
        <x:v>No established-register match</x:v>
      </x:c>
      <x:c r="AT193" s="14"/>
      <x:c r="AU193" s="14"/>
      <x:c r="AV193" s="14" t="str">
        <x:v>No established apparent-disability match</x:v>
      </x:c>
      <x:c r="AW193" s="14"/>
      <x:c r="AX193" s="14" t="str">
        <x:v>No</x:v>
      </x:c>
      <x:c r="AY193" s="14" t="str">
        <x:v>Unmatched</x:v>
      </x:c>
      <x:c r="AZ193" s="14" t="str">
        <x:v>Final supplied register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16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4</x:v>
      </x:c>
      <x:c r="BS193" s="16" t="n">
        <x:v>0.25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HYPERLINK is not implemented. linkLocation=https://www.imdb.com/title/tt28118211/fullcredits/, friendlyName=Open source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tt28118211|nm1782191|joanna reynolds</x:v>
      </x:c>
      <x:c r="B194" s="14" t="str">
        <x:v>01</x:v>
      </x:c>
      <x:c r="C194" s="14" t="str">
        <x:v>2024_IMDb_Cast_Lists_Batch_01(1).xlsx</x:v>
      </x:c>
      <x:c r="D194" s="14" t="str">
        <x:v>A Good Girl's Guide to Murder</x:v>
      </x:c>
      <x:c r="E194" s="14" t="n">
        <x:v>36</x:v>
      </x:c>
      <x:c r="F194" s="14" t="str">
        <x:v>A Good Girl's Guide to Murder</x:v>
      </x:c>
      <x:c r="G194" s="14" t="str">
        <x:v>tt28118211</x:v>
      </x:c>
      <x:c r="H194" s="14" t="n">
        <x:v>2024</x:v>
      </x:c>
      <x:c r="I194" s="14" t="n">
        <x:v>2025</x:v>
      </x:c>
      <x:c r="J194" s="14" t="str">
        <x:v>Post-study cohort</x:v>
      </x:c>
      <x:c r="K194" s="14" t="n">
        <x:v>2024</x:v>
      </x:c>
      <x:c r="L194" s="14" t="str">
        <x:v>Not inherited</x:v>
      </x:c>
      <x:c r="M194" s="15" t="n">
        <x:v>29</x:v>
      </x:c>
      <x:c r="N194" s="14" t="str">
        <x:v>Lu Corfield</x:v>
      </x:c>
      <x:c r="O194" s="14" t="str">
        <x:v>nm1782191</x:v>
      </x:c>
      <x:c r="P194" s="14" t="str">
        <x:v>Joanna Reynolds</x:v>
      </x:c>
      <x:c r="Q194" s="15" t="n">
        <x:v>4</x:v>
      </x:c>
      <x:c r="R194" s="14" t="str">
        <x:v>2026</x:v>
      </x:c>
      <x:c r="S194" s="14" t="n">
        <x:v>2026</x:v>
      </x:c>
      <x:c r="T194" s="14" t="n">
        <x:v>2026</x:v>
      </x:c>
      <x:c r="U194" s="14" t="str">
        <x:v>Explicit source first year retained</x:v>
      </x:c>
      <x:c r="V194" s="14" t="str">
        <x:v>Earliest supplied year is 2026.</x:v>
      </x:c>
      <x:c r="W194" s="14"/>
      <x:c r="X194" s="14" t="str">
        <x:v>Excluded: after 2025</x:v>
      </x:c>
      <x:c r="Y194" s="14"/>
      <x:c r="Z194" s="14" t="str">
        <x:v>A Good Girl.docx</x:v>
      </x:c>
      <x:c r="AA194" s="14" t="str">
        <x:v>HYPERLINK is not implemented. linkLocation=https://www.imdb.com/title/tt28118211/fullcredits/, friendlyName=Open source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BBC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4" s="14" t="str">
        <x:v>BBC public-service commission</x:v>
      </x:c>
      <x:c r="AO194" s="14" t="str">
        <x:v>Yes</x:v>
      </x:c>
      <x:c r="AP194" s="14" t="str">
        <x:v>Direct BBC public-service scope</x:v>
      </x:c>
      <x:c r="AQ194" s="14" t="str">
        <x:v>Yes</x:v>
      </x:c>
      <x:c r="AR194" s="14" t="str">
        <x:v>Resolved from master register</x:v>
      </x:c>
      <x:c r="AS194" s="14" t="str">
        <x:v>No established-register match</x:v>
      </x:c>
      <x:c r="AT194" s="14"/>
      <x:c r="AU194" s="14"/>
      <x:c r="AV194" s="14" t="str">
        <x:v>No established apparent-disability match</x:v>
      </x:c>
      <x:c r="AW194" s="14"/>
      <x:c r="AX194" s="14" t="str">
        <x:v>No</x:v>
      </x:c>
      <x:c r="AY194" s="14" t="str">
        <x:v>Unmatched</x:v>
      </x:c>
      <x:c r="AZ194" s="14" t="str">
        <x:v>Final supplied register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16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4</x:v>
      </x:c>
      <x:c r="BS194" s="16" t="n">
        <x:v>0.25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HYPERLINK is not implemented. linkLocation=https://www.imdb.com/title/tt28118211/fullcredits/, friendlyName=Open source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tt28118211|nm6692920|charlie green</x:v>
      </x:c>
      <x:c r="B195" s="14" t="str">
        <x:v>01</x:v>
      </x:c>
      <x:c r="C195" s="14" t="str">
        <x:v>2024_IMDb_Cast_Lists_Batch_01(1).xlsx</x:v>
      </x:c>
      <x:c r="D195" s="14" t="str">
        <x:v>A Good Girl's Guide to Murder</x:v>
      </x:c>
      <x:c r="E195" s="14" t="n">
        <x:v>37</x:v>
      </x:c>
      <x:c r="F195" s="14" t="str">
        <x:v>A Good Girl's Guide to Murder</x:v>
      </x:c>
      <x:c r="G195" s="14" t="str">
        <x:v>tt28118211</x:v>
      </x:c>
      <x:c r="H195" s="14" t="n">
        <x:v>2024</x:v>
      </x:c>
      <x:c r="I195" s="14" t="n">
        <x:v>2025</x:v>
      </x:c>
      <x:c r="J195" s="14" t="str">
        <x:v>Post-study cohort</x:v>
      </x:c>
      <x:c r="K195" s="14" t="n">
        <x:v>2024</x:v>
      </x:c>
      <x:c r="L195" s="14" t="str">
        <x:v>Not inherited</x:v>
      </x:c>
      <x:c r="M195" s="15" t="n">
        <x:v>30</x:v>
      </x:c>
      <x:c r="N195" s="14" t="str">
        <x:v>Jack Rowan</x:v>
      </x:c>
      <x:c r="O195" s="14" t="str">
        <x:v>nm6692920</x:v>
      </x:c>
      <x:c r="P195" s="14" t="str">
        <x:v>Charlie Green</x:v>
      </x:c>
      <x:c r="Q195" s="15" t="n">
        <x:v>4</x:v>
      </x:c>
      <x:c r="R195" s="14" t="str">
        <x:v>2026</x:v>
      </x:c>
      <x:c r="S195" s="14" t="n">
        <x:v>2026</x:v>
      </x:c>
      <x:c r="T195" s="14" t="n">
        <x:v>2026</x:v>
      </x:c>
      <x:c r="U195" s="14" t="str">
        <x:v>Explicit source first year retained</x:v>
      </x:c>
      <x:c r="V195" s="14" t="str">
        <x:v>Earliest supplied year is 2026.</x:v>
      </x:c>
      <x:c r="W195" s="14"/>
      <x:c r="X195" s="14" t="str">
        <x:v>Excluded: after 2025</x:v>
      </x:c>
      <x:c r="Y195" s="14"/>
      <x:c r="Z195" s="14" t="str">
        <x:v>A Good Girl.docx</x:v>
      </x:c>
      <x:c r="AA195" s="14" t="str">
        <x:v>HYPERLINK is not implemented. linkLocation=https://www.imdb.com/title/tt28118211/fullcredits/, friendlyName=Open source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BBC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5" s="14" t="str">
        <x:v>BBC public-service commission</x:v>
      </x:c>
      <x:c r="AO195" s="14" t="str">
        <x:v>Yes</x:v>
      </x:c>
      <x:c r="AP195" s="14" t="str">
        <x:v>Direct BBC public-service scope</x:v>
      </x:c>
      <x:c r="AQ195" s="14" t="str">
        <x:v>Yes</x:v>
      </x:c>
      <x:c r="AR195" s="14" t="str">
        <x:v>Resolved from master register</x:v>
      </x:c>
      <x:c r="AS195" s="14" t="str">
        <x:v>No established-register match</x:v>
      </x:c>
      <x:c r="AT195" s="14"/>
      <x:c r="AU195" s="14"/>
      <x:c r="AV195" s="14" t="str">
        <x:v>No established apparent-disability match</x:v>
      </x:c>
      <x:c r="AW195" s="14"/>
      <x:c r="AX195" s="14" t="str">
        <x:v>No</x:v>
      </x:c>
      <x:c r="AY195" s="14" t="str">
        <x:v>Unmatched</x:v>
      </x:c>
      <x:c r="AZ195" s="14" t="str">
        <x:v>Final supplied register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16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4</x:v>
      </x:c>
      <x:c r="BS195" s="16" t="n">
        <x:v>0.25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HYPERLINK is not implemented. linkLocation=https://www.imdb.com/title/tt28118211/fullcredits/, friendlyName=Open source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tt28118211|nm5118317|court clerk</x:v>
      </x:c>
      <x:c r="B196" s="14" t="str">
        <x:v>01</x:v>
      </x:c>
      <x:c r="C196" s="14" t="str">
        <x:v>2024_IMDb_Cast_Lists_Batch_01(1).xlsx</x:v>
      </x:c>
      <x:c r="D196" s="14" t="str">
        <x:v>A Good Girl's Guide to Murder</x:v>
      </x:c>
      <x:c r="E196" s="14" t="n">
        <x:v>38</x:v>
      </x:c>
      <x:c r="F196" s="14" t="str">
        <x:v>A Good Girl's Guide to Murder</x:v>
      </x:c>
      <x:c r="G196" s="14" t="str">
        <x:v>tt28118211</x:v>
      </x:c>
      <x:c r="H196" s="14" t="n">
        <x:v>2024</x:v>
      </x:c>
      <x:c r="I196" s="14" t="n">
        <x:v>2025</x:v>
      </x:c>
      <x:c r="J196" s="14" t="str">
        <x:v>Post-study cohort</x:v>
      </x:c>
      <x:c r="K196" s="14" t="n">
        <x:v>2024</x:v>
      </x:c>
      <x:c r="L196" s="14" t="str">
        <x:v>Not inherited</x:v>
      </x:c>
      <x:c r="M196" s="15" t="n">
        <x:v>31</x:v>
      </x:c>
      <x:c r="N196" s="14" t="str">
        <x:v>Brandon Benoit-Joyce</x:v>
      </x:c>
      <x:c r="O196" s="14" t="str">
        <x:v>nm5118317</x:v>
      </x:c>
      <x:c r="P196" s="14" t="str">
        <x:v>Court Clerk</x:v>
      </x:c>
      <x:c r="Q196" s="15" t="n">
        <x:v>4</x:v>
      </x:c>
      <x:c r="R196" s="14" t="str">
        <x:v>2026</x:v>
      </x:c>
      <x:c r="S196" s="14" t="n">
        <x:v>2026</x:v>
      </x:c>
      <x:c r="T196" s="14" t="n">
        <x:v>2026</x:v>
      </x:c>
      <x:c r="U196" s="14" t="str">
        <x:v>Explicit source first year retained</x:v>
      </x:c>
      <x:c r="V196" s="14" t="str">
        <x:v>Earliest supplied year is 2026.</x:v>
      </x:c>
      <x:c r="W196" s="14"/>
      <x:c r="X196" s="14" t="str">
        <x:v>Excluded: after 2025</x:v>
      </x:c>
      <x:c r="Y196" s="14"/>
      <x:c r="Z196" s="14" t="str">
        <x:v>A Good Girl.docx</x:v>
      </x:c>
      <x:c r="AA196" s="14" t="str">
        <x:v>HYPERLINK is not implemented. linkLocation=https://www.imdb.com/title/tt28118211/fullcredits/, friendlyName=Open source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BBC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6" s="14" t="str">
        <x:v>BBC public-service commission</x:v>
      </x:c>
      <x:c r="AO196" s="14" t="str">
        <x:v>Yes</x:v>
      </x:c>
      <x:c r="AP196" s="14" t="str">
        <x:v>Direct BBC public-service scope</x:v>
      </x:c>
      <x:c r="AQ196" s="14" t="str">
        <x:v>Yes</x:v>
      </x:c>
      <x:c r="AR196" s="14" t="str">
        <x:v>Resolved from master register</x:v>
      </x:c>
      <x:c r="AS196" s="14" t="str">
        <x:v>No established-register match</x:v>
      </x:c>
      <x:c r="AT196" s="14"/>
      <x:c r="AU196" s="14"/>
      <x:c r="AV196" s="14" t="str">
        <x:v>No established apparent-disability match</x:v>
      </x:c>
      <x:c r="AW196" s="14"/>
      <x:c r="AX196" s="14" t="str">
        <x:v>No</x:v>
      </x:c>
      <x:c r="AY196" s="14" t="str">
        <x:v>Unmatched</x:v>
      </x:c>
      <x:c r="AZ196" s="14" t="str">
        <x:v>Final supplied register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16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4</x:v>
      </x:c>
      <x:c r="BS196" s="16" t="n">
        <x:v>0.25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HYPERLINK is not implemented. linkLocation=https://www.imdb.com/title/tt28118211/fullcredits/, friendlyName=Open source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tt28118211|nm17492057|robin hastings</x:v>
      </x:c>
      <x:c r="B197" s="14" t="str">
        <x:v>01</x:v>
      </x:c>
      <x:c r="C197" s="14" t="str">
        <x:v>2024_IMDb_Cast_Lists_Batch_01(1).xlsx</x:v>
      </x:c>
      <x:c r="D197" s="14" t="str">
        <x:v>A Good Girl's Guide to Murder</x:v>
      </x:c>
      <x:c r="E197" s="14" t="n">
        <x:v>39</x:v>
      </x:c>
      <x:c r="F197" s="14" t="str">
        <x:v>A Good Girl's Guide to Murder</x:v>
      </x:c>
      <x:c r="G197" s="14" t="str">
        <x:v>tt28118211</x:v>
      </x:c>
      <x:c r="H197" s="14" t="n">
        <x:v>2024</x:v>
      </x:c>
      <x:c r="I197" s="14" t="n">
        <x:v>2025</x:v>
      </x:c>
      <x:c r="J197" s="14" t="str">
        <x:v>Post-study cohort</x:v>
      </x:c>
      <x:c r="K197" s="14" t="n">
        <x:v>2024</x:v>
      </x:c>
      <x:c r="L197" s="14" t="str">
        <x:v>Not inherited</x:v>
      </x:c>
      <x:c r="M197" s="15" t="n">
        <x:v>32</x:v>
      </x:c>
      <x:c r="N197" s="14" t="str">
        <x:v>Freddie England</x:v>
      </x:c>
      <x:c r="O197" s="14" t="str">
        <x:v>nm17492057</x:v>
      </x:c>
      <x:c r="P197" s="14" t="str">
        <x:v>Robin Hastings</x:v>
      </x:c>
      <x:c r="Q197" s="15" t="n">
        <x:v>4</x:v>
      </x:c>
      <x:c r="R197" s="14" t="str">
        <x:v>2026</x:v>
      </x:c>
      <x:c r="S197" s="14" t="n">
        <x:v>2026</x:v>
      </x:c>
      <x:c r="T197" s="14" t="n">
        <x:v>2026</x:v>
      </x:c>
      <x:c r="U197" s="14" t="str">
        <x:v>Explicit source first year retained</x:v>
      </x:c>
      <x:c r="V197" s="14" t="str">
        <x:v>Earliest supplied year is 2026.</x:v>
      </x:c>
      <x:c r="W197" s="14"/>
      <x:c r="X197" s="14" t="str">
        <x:v>Excluded: after 2025</x:v>
      </x:c>
      <x:c r="Y197" s="14"/>
      <x:c r="Z197" s="14" t="str">
        <x:v>A Good Girl.docx</x:v>
      </x:c>
      <x:c r="AA197" s="14" t="str">
        <x:v>HYPERLINK is not implemented. linkLocation=https://www.imdb.com/title/tt28118211/fullcredits/, friendlyName=Open source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BBC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7" s="14" t="str">
        <x:v>BBC public-service commission</x:v>
      </x:c>
      <x:c r="AO197" s="14" t="str">
        <x:v>Yes</x:v>
      </x:c>
      <x:c r="AP197" s="14" t="str">
        <x:v>Direct BBC public-service scope</x:v>
      </x:c>
      <x:c r="AQ197" s="14" t="str">
        <x:v>Yes</x:v>
      </x:c>
      <x:c r="AR197" s="14" t="str">
        <x:v>Resolved from master register</x:v>
      </x:c>
      <x:c r="AS197" s="14" t="str">
        <x:v>No established-register match</x:v>
      </x:c>
      <x:c r="AT197" s="14"/>
      <x:c r="AU197" s="14"/>
      <x:c r="AV197" s="14" t="str">
        <x:v>No established apparent-disability match</x:v>
      </x:c>
      <x:c r="AW197" s="14"/>
      <x:c r="AX197" s="14" t="str">
        <x:v>No</x:v>
      </x:c>
      <x:c r="AY197" s="14" t="str">
        <x:v>Unmatched</x:v>
      </x:c>
      <x:c r="AZ197" s="14" t="str">
        <x:v>Final supplied register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16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4</x:v>
      </x:c>
      <x:c r="BS197" s="16" t="n">
        <x:v>0.25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HYPERLINK is not implemented. linkLocation=https://www.imdb.com/title/tt28118211/fullcredits/, friendlyName=Open source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tt28118211|nm4261807|adam clark</x:v>
      </x:c>
      <x:c r="B198" s="14" t="str">
        <x:v>01</x:v>
      </x:c>
      <x:c r="C198" s="14" t="str">
        <x:v>2024_IMDb_Cast_Lists_Batch_01(1).xlsx</x:v>
      </x:c>
      <x:c r="D198" s="14" t="str">
        <x:v>A Good Girl's Guide to Murder</x:v>
      </x:c>
      <x:c r="E198" s="14" t="n">
        <x:v>40</x:v>
      </x:c>
      <x:c r="F198" s="14" t="str">
        <x:v>A Good Girl's Guide to Murder</x:v>
      </x:c>
      <x:c r="G198" s="14" t="str">
        <x:v>tt28118211</x:v>
      </x:c>
      <x:c r="H198" s="14" t="n">
        <x:v>2024</x:v>
      </x:c>
      <x:c r="I198" s="14" t="n">
        <x:v>2025</x:v>
      </x:c>
      <x:c r="J198" s="14" t="str">
        <x:v>Post-study cohort</x:v>
      </x:c>
      <x:c r="K198" s="14" t="n">
        <x:v>2024</x:v>
      </x:c>
      <x:c r="L198" s="14" t="str">
        <x:v>Not inherited</x:v>
      </x:c>
      <x:c r="M198" s="15" t="n">
        <x:v>33</x:v>
      </x:c>
      <x:c r="N198" s="14" t="str">
        <x:v>Oliver Coopersmith</x:v>
      </x:c>
      <x:c r="O198" s="14" t="str">
        <x:v>nm4261807</x:v>
      </x:c>
      <x:c r="P198" s="14" t="str">
        <x:v>Adam Clark</x:v>
      </x:c>
      <x:c r="Q198" s="15" t="n">
        <x:v>4</x:v>
      </x:c>
      <x:c r="R198" s="14" t="str">
        <x:v>2026</x:v>
      </x:c>
      <x:c r="S198" s="14" t="n">
        <x:v>2026</x:v>
      </x:c>
      <x:c r="T198" s="14" t="n">
        <x:v>2026</x:v>
      </x:c>
      <x:c r="U198" s="14" t="str">
        <x:v>Explicit source first year retained</x:v>
      </x:c>
      <x:c r="V198" s="14" t="str">
        <x:v>Earliest supplied year is 2026.</x:v>
      </x:c>
      <x:c r="W198" s="14"/>
      <x:c r="X198" s="14" t="str">
        <x:v>Excluded: after 2025</x:v>
      </x:c>
      <x:c r="Y198" s="14"/>
      <x:c r="Z198" s="14" t="str">
        <x:v>A Good Girl.docx</x:v>
      </x:c>
      <x:c r="AA198" s="14" t="str">
        <x:v>HYPERLINK is not implemented. linkLocation=https://www.imdb.com/title/tt28118211/fullcredits/, friendlyName=Open source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BBC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8" s="14" t="str">
        <x:v>BBC public-service commission</x:v>
      </x:c>
      <x:c r="AO198" s="14" t="str">
        <x:v>Yes</x:v>
      </x:c>
      <x:c r="AP198" s="14" t="str">
        <x:v>Direct BBC public-service scope</x:v>
      </x:c>
      <x:c r="AQ198" s="14" t="str">
        <x:v>Yes</x:v>
      </x:c>
      <x:c r="AR198" s="14" t="str">
        <x:v>Resolved from master register</x:v>
      </x:c>
      <x:c r="AS198" s="14" t="str">
        <x:v>No established-register match</x:v>
      </x:c>
      <x:c r="AT198" s="14"/>
      <x:c r="AU198" s="14"/>
      <x:c r="AV198" s="14" t="str">
        <x:v>No established apparent-disability match</x:v>
      </x:c>
      <x:c r="AW198" s="14"/>
      <x:c r="AX198" s="14" t="str">
        <x:v>No</x:v>
      </x:c>
      <x:c r="AY198" s="14" t="str">
        <x:v>Unmatched</x:v>
      </x:c>
      <x:c r="AZ198" s="14" t="str">
        <x:v>Final supplied register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16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4</x:v>
      </x:c>
      <x:c r="BS198" s="16" t="n">
        <x:v>0.25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HYPERLINK is not implemented. linkLocation=https://www.imdb.com/title/tt28118211/fullcredits/, friendlyName=Open source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tt28118211|nm0199133|old security guard</x:v>
      </x:c>
      <x:c r="B199" s="14" t="str">
        <x:v>01</x:v>
      </x:c>
      <x:c r="C199" s="14" t="str">
        <x:v>2024_IMDb_Cast_Lists_Batch_01(1).xlsx</x:v>
      </x:c>
      <x:c r="D199" s="14" t="str">
        <x:v>A Good Girl's Guide to Murder</x:v>
      </x:c>
      <x:c r="E199" s="14" t="n">
        <x:v>43</x:v>
      </x:c>
      <x:c r="F199" s="14" t="str">
        <x:v>A Good Girl's Guide to Murder</x:v>
      </x:c>
      <x:c r="G199" s="14" t="str">
        <x:v>tt28118211</x:v>
      </x:c>
      <x:c r="H199" s="14" t="n">
        <x:v>2024</x:v>
      </x:c>
      <x:c r="I199" s="14" t="n">
        <x:v>2025</x:v>
      </x:c>
      <x:c r="J199" s="14" t="str">
        <x:v>Post-study cohort</x:v>
      </x:c>
      <x:c r="K199" s="14" t="n">
        <x:v>2024</x:v>
      </x:c>
      <x:c r="L199" s="14" t="str">
        <x:v>Not inherited</x:v>
      </x:c>
      <x:c r="M199" s="15" t="n">
        <x:v>36</x:v>
      </x:c>
      <x:c r="N199" s="14" t="str">
        <x:v>Marc Danbury</x:v>
      </x:c>
      <x:c r="O199" s="14" t="str">
        <x:v>nm0199133</x:v>
      </x:c>
      <x:c r="P199" s="14" t="str">
        <x:v>Old Security Guard</x:v>
      </x:c>
      <x:c r="Q199" s="15" t="n">
        <x:v>2</x:v>
      </x:c>
      <x:c r="R199" s="14" t="str">
        <x:v>2026</x:v>
      </x:c>
      <x:c r="S199" s="14" t="n">
        <x:v>2026</x:v>
      </x:c>
      <x:c r="T199" s="14" t="n">
        <x:v>2026</x:v>
      </x:c>
      <x:c r="U199" s="14" t="str">
        <x:v>Explicit source first year retained</x:v>
      </x:c>
      <x:c r="V199" s="14" t="str">
        <x:v>Earliest supplied year is 2026.</x:v>
      </x:c>
      <x:c r="W199" s="14"/>
      <x:c r="X199" s="14" t="str">
        <x:v>Excluded: after 2025</x:v>
      </x:c>
      <x:c r="Y199" s="14"/>
      <x:c r="Z199" s="14" t="str">
        <x:v>A Good Girl.docx</x:v>
      </x:c>
      <x:c r="AA199" s="14" t="str">
        <x:v>HYPERLINK is not implemented. linkLocation=https://www.imdb.com/title/tt28118211/fullcredits/, friendlyName=Open source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BBC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199" s="14" t="str">
        <x:v>BBC public-service commission</x:v>
      </x:c>
      <x:c r="AO199" s="14" t="str">
        <x:v>Yes</x:v>
      </x:c>
      <x:c r="AP199" s="14" t="str">
        <x:v>Direct BBC public-service scope</x:v>
      </x:c>
      <x:c r="AQ199" s="14" t="str">
        <x:v>Yes</x:v>
      </x:c>
      <x:c r="AR199" s="14" t="str">
        <x:v>Resolved from master register</x:v>
      </x:c>
      <x:c r="AS199" s="14" t="str">
        <x:v>No established-register match</x:v>
      </x:c>
      <x:c r="AT199" s="14"/>
      <x:c r="AU199" s="14"/>
      <x:c r="AV199" s="14" t="str">
        <x:v>No established apparent-disability match</x:v>
      </x:c>
      <x:c r="AW199" s="14"/>
      <x:c r="AX199" s="14" t="str">
        <x:v>No</x:v>
      </x:c>
      <x:c r="AY199" s="14" t="str">
        <x:v>Unmatched</x:v>
      </x:c>
      <x:c r="AZ199" s="14" t="str">
        <x:v>Final supplied register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16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2</x:v>
      </x:c>
      <x:c r="BS199" s="16" t="n">
        <x:v>0.125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HYPERLINK is not implemented. linkLocation=https://www.imdb.com/title/tt28118211/fullcredits/, friendlyName=Open source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tt28118211|nm7188414|luke eaton</x:v>
      </x:c>
      <x:c r="B200" s="14" t="str">
        <x:v>01</x:v>
      </x:c>
      <x:c r="C200" s="14" t="str">
        <x:v>2024_IMDb_Cast_Lists_Batch_01(1).xlsx</x:v>
      </x:c>
      <x:c r="D200" s="14" t="str">
        <x:v>A Good Girl's Guide to Murder</x:v>
      </x:c>
      <x:c r="E200" s="14" t="n">
        <x:v>50</x:v>
      </x:c>
      <x:c r="F200" s="14" t="str">
        <x:v>A Good Girl's Guide to Murder</x:v>
      </x:c>
      <x:c r="G200" s="14" t="str">
        <x:v>tt28118211</x:v>
      </x:c>
      <x:c r="H200" s="14" t="n">
        <x:v>2024</x:v>
      </x:c>
      <x:c r="I200" s="14" t="n">
        <x:v>2025</x:v>
      </x:c>
      <x:c r="J200" s="14" t="str">
        <x:v>Post-study cohort</x:v>
      </x:c>
      <x:c r="K200" s="14" t="n">
        <x:v>2024</x:v>
      </x:c>
      <x:c r="L200" s="14" t="str">
        <x:v>Not inherited</x:v>
      </x:c>
      <x:c r="M200" s="15" t="n">
        <x:v>43</x:v>
      </x:c>
      <x:c r="N200" s="14" t="str">
        <x:v>Freddie Thorp</x:v>
      </x:c>
      <x:c r="O200" s="14" t="str">
        <x:v>nm7188414</x:v>
      </x:c>
      <x:c r="P200" s="14" t="str">
        <x:v>Luke Eaton</x:v>
      </x:c>
      <x:c r="Q200" s="15" t="n">
        <x:v>2</x:v>
      </x:c>
      <x:c r="R200" s="14" t="str">
        <x:v>2026</x:v>
      </x:c>
      <x:c r="S200" s="14" t="n">
        <x:v>2026</x:v>
      </x:c>
      <x:c r="T200" s="14" t="n">
        <x:v>2026</x:v>
      </x:c>
      <x:c r="U200" s="14" t="str">
        <x:v>Explicit source first year retained</x:v>
      </x:c>
      <x:c r="V200" s="14" t="str">
        <x:v>Earliest supplied year is 2026.</x:v>
      </x:c>
      <x:c r="W200" s="14"/>
      <x:c r="X200" s="14" t="str">
        <x:v>Excluded: after 2025</x:v>
      </x:c>
      <x:c r="Y200" s="14"/>
      <x:c r="Z200" s="14" t="str">
        <x:v>A Good Girl.docx</x:v>
      </x:c>
      <x:c r="AA200" s="14" t="str">
        <x:v>HYPERLINK is not implemented. linkLocation=https://www.imdb.com/title/tt28118211/fullcredits/, friendlyName=Open source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 t="str">
        <x:v>No established-register match</x:v>
      </x:c>
      <x:c r="AT200" s="14"/>
      <x:c r="AU200" s="14"/>
      <x:c r="AV200" s="14" t="str">
        <x:v>No established apparent-disability match</x:v>
      </x:c>
      <x:c r="AW200" s="14"/>
      <x:c r="AX200" s="14" t="str">
        <x:v>No</x:v>
      </x:c>
      <x:c r="AY200" s="14" t="str">
        <x:v>Unmatched</x:v>
      </x:c>
      <x:c r="AZ200" s="14" t="str">
        <x:v>Final supplied register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16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2</x:v>
      </x:c>
      <x:c r="BS200" s="16" t="n">
        <x:v>0.125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HYPERLINK is not implemented. linkLocation=https://www.imdb.com/title/tt28118211/fullcredits/, friendlyName=Open source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tt28118211|nm10862586|flora green</x:v>
      </x:c>
      <x:c r="B201" s="14" t="str">
        <x:v>01</x:v>
      </x:c>
      <x:c r="C201" s="14" t="str">
        <x:v>2024_IMDb_Cast_Lists_Batch_01(1).xlsx</x:v>
      </x:c>
      <x:c r="D201" s="14" t="str">
        <x:v>A Good Girl's Guide to Murder</x:v>
      </x:c>
      <x:c r="E201" s="14" t="n">
        <x:v>51</x:v>
      </x:c>
      <x:c r="F201" s="14" t="str">
        <x:v>A Good Girl's Guide to Murder</x:v>
      </x:c>
      <x:c r="G201" s="14" t="str">
        <x:v>tt28118211</x:v>
      </x:c>
      <x:c r="H201" s="14" t="n">
        <x:v>2024</x:v>
      </x:c>
      <x:c r="I201" s="14" t="n">
        <x:v>2025</x:v>
      </x:c>
      <x:c r="J201" s="14" t="str">
        <x:v>Post-study cohort</x:v>
      </x:c>
      <x:c r="K201" s="14" t="n">
        <x:v>2024</x:v>
      </x:c>
      <x:c r="L201" s="14" t="str">
        <x:v>Not inherited</x:v>
      </x:c>
      <x:c r="M201" s="15" t="n">
        <x:v>44</x:v>
      </x:c>
      <x:c r="N201" s="14" t="str">
        <x:v>Anna Brindle</x:v>
      </x:c>
      <x:c r="O201" s="14" t="str">
        <x:v>nm10862586</x:v>
      </x:c>
      <x:c r="P201" s="14" t="str">
        <x:v>Flora Green</x:v>
      </x:c>
      <x:c r="Q201" s="15" t="n">
        <x:v>2</x:v>
      </x:c>
      <x:c r="R201" s="14" t="str">
        <x:v>2026</x:v>
      </x:c>
      <x:c r="S201" s="14" t="n">
        <x:v>2026</x:v>
      </x:c>
      <x:c r="T201" s="14" t="n">
        <x:v>2026</x:v>
      </x:c>
      <x:c r="U201" s="14" t="str">
        <x:v>Explicit source first year retained</x:v>
      </x:c>
      <x:c r="V201" s="14" t="str">
        <x:v>Earliest supplied year is 2026.</x:v>
      </x:c>
      <x:c r="W201" s="14"/>
      <x:c r="X201" s="14" t="str">
        <x:v>Excluded: after 2025</x:v>
      </x:c>
      <x:c r="Y201" s="14"/>
      <x:c r="Z201" s="14" t="str">
        <x:v>A Good Girl.docx</x:v>
      </x:c>
      <x:c r="AA201" s="14" t="str">
        <x:v>HYPERLINK is not implemented. linkLocation=https://www.imdb.com/title/tt28118211/fullcredits/, friendlyName=Open source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 t="str">
        <x:v>No established-register match</x:v>
      </x:c>
      <x:c r="AT201" s="14"/>
      <x:c r="AU201" s="14"/>
      <x:c r="AV201" s="14" t="str">
        <x:v>No established apparent-disability match</x:v>
      </x:c>
      <x:c r="AW201" s="14"/>
      <x:c r="AX201" s="14" t="str">
        <x:v>No</x:v>
      </x:c>
      <x:c r="AY201" s="14" t="str">
        <x:v>Unmatched</x:v>
      </x:c>
      <x:c r="AZ201" s="14" t="str">
        <x:v>Final supplied register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16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2</x:v>
      </x:c>
      <x:c r="BS201" s="16" t="n">
        <x:v>0.125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HYPERLINK is not implemented. linkLocation=https://www.imdb.com/title/tt28118211/fullcredits/, friendlyName=Open source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tt28118211|nm16369334|paramedic</x:v>
      </x:c>
      <x:c r="B202" s="14" t="str">
        <x:v>01</x:v>
      </x:c>
      <x:c r="C202" s="14" t="str">
        <x:v>2024_IMDb_Cast_Lists_Batch_01(1).xlsx</x:v>
      </x:c>
      <x:c r="D202" s="14" t="str">
        <x:v>A Good Girl's Guide to Murder</x:v>
      </x:c>
      <x:c r="E202" s="14" t="n">
        <x:v>53</x:v>
      </x:c>
      <x:c r="F202" s="14" t="str">
        <x:v>A Good Girl's Guide to Murder</x:v>
      </x:c>
      <x:c r="G202" s="14" t="str">
        <x:v>tt28118211</x:v>
      </x:c>
      <x:c r="H202" s="14" t="n">
        <x:v>2024</x:v>
      </x:c>
      <x:c r="I202" s="14" t="n">
        <x:v>2025</x:v>
      </x:c>
      <x:c r="J202" s="14" t="str">
        <x:v>Post-study cohort</x:v>
      </x:c>
      <x:c r="K202" s="14" t="n">
        <x:v>2024</x:v>
      </x:c>
      <x:c r="L202" s="14" t="str">
        <x:v>Not inherited</x:v>
      </x:c>
      <x:c r="M202" s="15" t="n">
        <x:v>46</x:v>
      </x:c>
      <x:c r="N202" s="14" t="str">
        <x:v>Tilly Howes</x:v>
      </x:c>
      <x:c r="O202" s="14" t="str">
        <x:v>nm16369334</x:v>
      </x:c>
      <x:c r="P202" s="14" t="str">
        <x:v>Paramedic</x:v>
      </x:c>
      <x:c r="Q202" s="15" t="n">
        <x:v>1</x:v>
      </x:c>
      <x:c r="R202" s="14" t="str">
        <x:v>2026</x:v>
      </x:c>
      <x:c r="S202" s="14" t="n">
        <x:v>2026</x:v>
      </x:c>
      <x:c r="T202" s="14" t="n">
        <x:v>2026</x:v>
      </x:c>
      <x:c r="U202" s="14" t="str">
        <x:v>Explicit source first year retained</x:v>
      </x:c>
      <x:c r="V202" s="14" t="str">
        <x:v>Earliest supplied year is 2026.</x:v>
      </x:c>
      <x:c r="W202" s="14"/>
      <x:c r="X202" s="14" t="str">
        <x:v>Excluded: after 2025</x:v>
      </x:c>
      <x:c r="Y202" s="14"/>
      <x:c r="Z202" s="14" t="str">
        <x:v>A Good Girl.docx</x:v>
      </x:c>
      <x:c r="AA202" s="14" t="str">
        <x:v>HYPERLINK is not implemented. linkLocation=https://www.imdb.com/title/tt28118211/fullcredits/, friendlyName=Open source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 t="str">
        <x:v>No established-register match</x:v>
      </x:c>
      <x:c r="AT202" s="14"/>
      <x:c r="AU202" s="14"/>
      <x:c r="AV202" s="14" t="str">
        <x:v>No established apparent-disability match</x:v>
      </x:c>
      <x:c r="AW202" s="14"/>
      <x:c r="AX202" s="14" t="str">
        <x:v>No</x:v>
      </x:c>
      <x:c r="AY202" s="14" t="str">
        <x:v>Unmatched</x:v>
      </x:c>
      <x:c r="AZ202" s="14" t="str">
        <x:v>Final supplied register</x:v>
      </x:c>
      <x:c r="BA202" s="14" t="str">
        <x:v>Absence from the register is not evidence that the performer is not disabled.</x:v>
      </x:c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16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1</x:v>
      </x:c>
      <x:c r="BS202" s="16" t="n">
        <x:v>0.0625</x:v>
      </x:c>
      <x:c r="BT202" s="14" t="str">
        <x:v>One episode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HYPERLINK is not implemented. linkLocation=https://www.imdb.com/title/tt28118211/fullcredits/, friendlyName=Open source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tt28118211|nm14580940|female police officer</x:v>
      </x:c>
      <x:c r="B203" s="14" t="str">
        <x:v>01</x:v>
      </x:c>
      <x:c r="C203" s="14" t="str">
        <x:v>2024_IMDb_Cast_Lists_Batch_01(1).xlsx</x:v>
      </x:c>
      <x:c r="D203" s="14" t="str">
        <x:v>A Good Girl's Guide to Murder</x:v>
      </x:c>
      <x:c r="E203" s="14" t="n">
        <x:v>54</x:v>
      </x:c>
      <x:c r="F203" s="14" t="str">
        <x:v>A Good Girl's Guide to Murder</x:v>
      </x:c>
      <x:c r="G203" s="14" t="str">
        <x:v>tt28118211</x:v>
      </x:c>
      <x:c r="H203" s="14" t="n">
        <x:v>2024</x:v>
      </x:c>
      <x:c r="I203" s="14" t="n">
        <x:v>2025</x:v>
      </x:c>
      <x:c r="J203" s="14" t="str">
        <x:v>Post-study cohort</x:v>
      </x:c>
      <x:c r="K203" s="14" t="n">
        <x:v>2024</x:v>
      </x:c>
      <x:c r="L203" s="14" t="str">
        <x:v>Not inherited</x:v>
      </x:c>
      <x:c r="M203" s="15" t="n">
        <x:v>47</x:v>
      </x:c>
      <x:c r="N203" s="14" t="str">
        <x:v>Lexi Austin-Jones</x:v>
      </x:c>
      <x:c r="O203" s="14" t="str">
        <x:v>nm14580940</x:v>
      </x:c>
      <x:c r="P203" s="14" t="str">
        <x:v>Female Police Officer</x:v>
      </x:c>
      <x:c r="Q203" s="15" t="n">
        <x:v>1</x:v>
      </x:c>
      <x:c r="R203" s="14" t="str">
        <x:v>2026</x:v>
      </x:c>
      <x:c r="S203" s="14" t="n">
        <x:v>2026</x:v>
      </x:c>
      <x:c r="T203" s="14" t="n">
        <x:v>2026</x:v>
      </x:c>
      <x:c r="U203" s="14" t="str">
        <x:v>Explicit source first year retained</x:v>
      </x:c>
      <x:c r="V203" s="14" t="str">
        <x:v>Earliest supplied year is 2026.</x:v>
      </x:c>
      <x:c r="W203" s="14"/>
      <x:c r="X203" s="14" t="str">
        <x:v>Excluded: after 2025</x:v>
      </x:c>
      <x:c r="Y203" s="14"/>
      <x:c r="Z203" s="14" t="str">
        <x:v>A Good Girl.docx</x:v>
      </x:c>
      <x:c r="AA203" s="14" t="str">
        <x:v>HYPERLINK is not implemented. linkLocation=https://www.imdb.com/title/tt28118211/fullcredits/, friendlyName=Open source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 t="str">
        <x:v>No established-register match</x:v>
      </x:c>
      <x:c r="AT203" s="14"/>
      <x:c r="AU203" s="14"/>
      <x:c r="AV203" s="14" t="str">
        <x:v>No established apparent-disability match</x:v>
      </x:c>
      <x:c r="AW203" s="14"/>
      <x:c r="AX203" s="14" t="str">
        <x:v>No</x:v>
      </x:c>
      <x:c r="AY203" s="14" t="str">
        <x:v>Unmatched</x:v>
      </x:c>
      <x:c r="AZ203" s="14" t="str">
        <x:v>Final supplied register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16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1</x:v>
      </x:c>
      <x:c r="BS203" s="16" t="n">
        <x:v>0.0625</x:v>
      </x:c>
      <x:c r="BT203" s="14" t="str">
        <x:v>One episode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HYPERLINK is not implemented. linkLocation=https://www.imdb.com/title/tt28118211/fullcredits/, friendlyName=Open source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tt28118211|nm9884912|nigel hargreaves</x:v>
      </x:c>
      <x:c r="B204" s="14" t="str">
        <x:v>01</x:v>
      </x:c>
      <x:c r="C204" s="14" t="str">
        <x:v>2024_IMDb_Cast_Lists_Batch_01(1).xlsx</x:v>
      </x:c>
      <x:c r="D204" s="14" t="str">
        <x:v>A Good Girl's Guide to Murder</x:v>
      </x:c>
      <x:c r="E204" s="14" t="n">
        <x:v>55</x:v>
      </x:c>
      <x:c r="F204" s="14" t="str">
        <x:v>A Good Girl's Guide to Murder</x:v>
      </x:c>
      <x:c r="G204" s="14" t="str">
        <x:v>tt28118211</x:v>
      </x:c>
      <x:c r="H204" s="14" t="n">
        <x:v>2024</x:v>
      </x:c>
      <x:c r="I204" s="14" t="n">
        <x:v>2025</x:v>
      </x:c>
      <x:c r="J204" s="14" t="str">
        <x:v>Post-study cohort</x:v>
      </x:c>
      <x:c r="K204" s="14" t="n">
        <x:v>2024</x:v>
      </x:c>
      <x:c r="L204" s="14" t="str">
        <x:v>Not inherited</x:v>
      </x:c>
      <x:c r="M204" s="15" t="n">
        <x:v>48</x:v>
      </x:c>
      <x:c r="N204" s="14" t="str">
        <x:v>Steven Barwick</x:v>
      </x:c>
      <x:c r="O204" s="14" t="str">
        <x:v>nm9884912</x:v>
      </x:c>
      <x:c r="P204" s="14" t="str">
        <x:v>Nigel Hargreaves</x:v>
      </x:c>
      <x:c r="Q204" s="15" t="n">
        <x:v>1</x:v>
      </x:c>
      <x:c r="R204" s="14" t="str">
        <x:v>2026</x:v>
      </x:c>
      <x:c r="S204" s="14" t="n">
        <x:v>2026</x:v>
      </x:c>
      <x:c r="T204" s="14" t="n">
        <x:v>2026</x:v>
      </x:c>
      <x:c r="U204" s="14" t="str">
        <x:v>Explicit source first year retained</x:v>
      </x:c>
      <x:c r="V204" s="14" t="str">
        <x:v>Earliest supplied year is 2026.</x:v>
      </x:c>
      <x:c r="W204" s="14"/>
      <x:c r="X204" s="14" t="str">
        <x:v>Excluded: after 2025</x:v>
      </x:c>
      <x:c r="Y204" s="14"/>
      <x:c r="Z204" s="14" t="str">
        <x:v>A Good Girl.docx</x:v>
      </x:c>
      <x:c r="AA204" s="14" t="str">
        <x:v>HYPERLINK is not implemented. linkLocation=https://www.imdb.com/title/tt28118211/fullcredits/, friendlyName=Open source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 t="str">
        <x:v>No established-register match</x:v>
      </x:c>
      <x:c r="AT204" s="14"/>
      <x:c r="AU204" s="14"/>
      <x:c r="AV204" s="14" t="str">
        <x:v>No established apparent-disability match</x:v>
      </x:c>
      <x:c r="AW204" s="14"/>
      <x:c r="AX204" s="14" t="str">
        <x:v>No</x:v>
      </x:c>
      <x:c r="AY204" s="14" t="str">
        <x:v>Unmatched</x:v>
      </x:c>
      <x:c r="AZ204" s="14" t="str">
        <x:v>Final supplied register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16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1</x:v>
      </x:c>
      <x:c r="BS204" s="16" t="n">
        <x:v>0.0625</x:v>
      </x:c>
      <x:c r="BT204" s="14" t="str">
        <x:v>One episode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HYPERLINK is not implemented. linkLocation=https://www.imdb.com/title/tt28118211/fullcredits/, friendlyName=Open source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tt28118211|nm3657033|vicar</x:v>
      </x:c>
      <x:c r="B205" s="14" t="str">
        <x:v>01</x:v>
      </x:c>
      <x:c r="C205" s="14" t="str">
        <x:v>2024_IMDb_Cast_Lists_Batch_01(1).xlsx</x:v>
      </x:c>
      <x:c r="D205" s="14" t="str">
        <x:v>A Good Girl's Guide to Murder</x:v>
      </x:c>
      <x:c r="E205" s="14" t="n">
        <x:v>58</x:v>
      </x:c>
      <x:c r="F205" s="14" t="str">
        <x:v>A Good Girl's Guide to Murder</x:v>
      </x:c>
      <x:c r="G205" s="14" t="str">
        <x:v>tt28118211</x:v>
      </x:c>
      <x:c r="H205" s="14" t="n">
        <x:v>2024</x:v>
      </x:c>
      <x:c r="I205" s="14" t="n">
        <x:v>2025</x:v>
      </x:c>
      <x:c r="J205" s="14" t="str">
        <x:v>Post-study cohort</x:v>
      </x:c>
      <x:c r="K205" s="14" t="n">
        <x:v>2024</x:v>
      </x:c>
      <x:c r="L205" s="14" t="str">
        <x:v>Not inherited</x:v>
      </x:c>
      <x:c r="M205" s="15" t="n">
        <x:v>51</x:v>
      </x:c>
      <x:c r="N205" s="14" t="str">
        <x:v>David Sargent</x:v>
      </x:c>
      <x:c r="O205" s="14" t="str">
        <x:v>nm3657033</x:v>
      </x:c>
      <x:c r="P205" s="14" t="str">
        <x:v>Vicar</x:v>
      </x:c>
      <x:c r="Q205" s="15" t="n">
        <x:v>1</x:v>
      </x:c>
      <x:c r="R205" s="14" t="str">
        <x:v>2026</x:v>
      </x:c>
      <x:c r="S205" s="14" t="n">
        <x:v>2026</x:v>
      </x:c>
      <x:c r="T205" s="14" t="n">
        <x:v>2026</x:v>
      </x:c>
      <x:c r="U205" s="14" t="str">
        <x:v>Explicit source first year retained</x:v>
      </x:c>
      <x:c r="V205" s="14" t="str">
        <x:v>Earliest supplied year is 2026.</x:v>
      </x:c>
      <x:c r="W205" s="14"/>
      <x:c r="X205" s="14" t="str">
        <x:v>Excluded: after 2025</x:v>
      </x:c>
      <x:c r="Y205" s="14"/>
      <x:c r="Z205" s="14" t="str">
        <x:v>A Good Girl.docx</x:v>
      </x:c>
      <x:c r="AA205" s="14" t="str">
        <x:v>HYPERLINK is not implemented. linkLocation=https://www.imdb.com/title/tt28118211/fullcredits/, friendlyName=Open source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 t="str">
        <x:v>No established-register match</x:v>
      </x:c>
      <x:c r="AT205" s="14"/>
      <x:c r="AU205" s="14"/>
      <x:c r="AV205" s="14" t="str">
        <x:v>No established apparent-disability match</x:v>
      </x:c>
      <x:c r="AW205" s="14"/>
      <x:c r="AX205" s="14" t="str">
        <x:v>No</x:v>
      </x:c>
      <x:c r="AY205" s="14" t="str">
        <x:v>Unmatched</x:v>
      </x:c>
      <x:c r="AZ205" s="14" t="str">
        <x:v>Final supplied register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16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0.0625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HYPERLINK is not implemented. linkLocation=https://www.imdb.com/title/tt28118211/fullcredits/, friendlyName=Open source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tt28118211|nm17223480|girl 1</x:v>
      </x:c>
      <x:c r="B206" s="14" t="str">
        <x:v>01</x:v>
      </x:c>
      <x:c r="C206" s="14" t="str">
        <x:v>2024_IMDb_Cast_Lists_Batch_01(1).xlsx</x:v>
      </x:c>
      <x:c r="D206" s="14" t="str">
        <x:v>A Good Girl's Guide to Murder</x:v>
      </x:c>
      <x:c r="E206" s="14" t="n">
        <x:v>60</x:v>
      </x:c>
      <x:c r="F206" s="14" t="str">
        <x:v>A Good Girl's Guide to Murder</x:v>
      </x:c>
      <x:c r="G206" s="14" t="str">
        <x:v>tt28118211</x:v>
      </x:c>
      <x:c r="H206" s="14" t="n">
        <x:v>2024</x:v>
      </x:c>
      <x:c r="I206" s="14" t="n">
        <x:v>2025</x:v>
      </x:c>
      <x:c r="J206" s="14" t="str">
        <x:v>Post-study cohort</x:v>
      </x:c>
      <x:c r="K206" s="14" t="n">
        <x:v>2024</x:v>
      </x:c>
      <x:c r="L206" s="14" t="str">
        <x:v>Not inherited</x:v>
      </x:c>
      <x:c r="M206" s="15" t="n">
        <x:v>53</x:v>
      </x:c>
      <x:c r="N206" s="14" t="str">
        <x:v>India Erlam</x:v>
      </x:c>
      <x:c r="O206" s="14" t="str">
        <x:v>nm17223480</x:v>
      </x:c>
      <x:c r="P206" s="14" t="str">
        <x:v>Girl 1</x:v>
      </x:c>
      <x:c r="Q206" s="15" t="n">
        <x:v>1</x:v>
      </x:c>
      <x:c r="R206" s="14" t="str">
        <x:v>2026</x:v>
      </x:c>
      <x:c r="S206" s="14" t="n">
        <x:v>2026</x:v>
      </x:c>
      <x:c r="T206" s="14" t="n">
        <x:v>2026</x:v>
      </x:c>
      <x:c r="U206" s="14" t="str">
        <x:v>Explicit source first year retained</x:v>
      </x:c>
      <x:c r="V206" s="14" t="str">
        <x:v>Earliest supplied year is 2026.</x:v>
      </x:c>
      <x:c r="W206" s="14"/>
      <x:c r="X206" s="14" t="str">
        <x:v>Excluded: after 2025</x:v>
      </x:c>
      <x:c r="Y206" s="14"/>
      <x:c r="Z206" s="14" t="str">
        <x:v>A Good Girl.docx</x:v>
      </x:c>
      <x:c r="AA206" s="14" t="str">
        <x:v>HYPERLINK is not implemented. linkLocation=https://www.imdb.com/title/tt28118211/fullcredits/, friendlyName=Open source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 t="str">
        <x:v>No established-register match</x:v>
      </x:c>
      <x:c r="AT206" s="14"/>
      <x:c r="AU206" s="14"/>
      <x:c r="AV206" s="14" t="str">
        <x:v>No established apparent-disability match</x:v>
      </x:c>
      <x:c r="AW206" s="14"/>
      <x:c r="AX206" s="14" t="str">
        <x:v>No</x:v>
      </x:c>
      <x:c r="AY206" s="14" t="str">
        <x:v>Unmatched</x:v>
      </x:c>
      <x:c r="AZ206" s="14" t="str">
        <x:v>Final supplied register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16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0.0625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HYPERLINK is not implemented. linkLocation=https://www.imdb.com/title/tt28118211/fullcredits/, friendlyName=Open source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tt28118211|nm1922524|facilitator</x:v>
      </x:c>
      <x:c r="B207" s="14" t="str">
        <x:v>01</x:v>
      </x:c>
      <x:c r="C207" s="14" t="str">
        <x:v>2024_IMDb_Cast_Lists_Batch_01(1).xlsx</x:v>
      </x:c>
      <x:c r="D207" s="14" t="str">
        <x:v>A Good Girl's Guide to Murder</x:v>
      </x:c>
      <x:c r="E207" s="14" t="n">
        <x:v>61</x:v>
      </x:c>
      <x:c r="F207" s="14" t="str">
        <x:v>A Good Girl's Guide to Murder</x:v>
      </x:c>
      <x:c r="G207" s="14" t="str">
        <x:v>tt28118211</x:v>
      </x:c>
      <x:c r="H207" s="14" t="n">
        <x:v>2024</x:v>
      </x:c>
      <x:c r="I207" s="14" t="n">
        <x:v>2025</x:v>
      </x:c>
      <x:c r="J207" s="14" t="str">
        <x:v>Post-study cohort</x:v>
      </x:c>
      <x:c r="K207" s="14" t="n">
        <x:v>2024</x:v>
      </x:c>
      <x:c r="L207" s="14" t="str">
        <x:v>Not inherited</x:v>
      </x:c>
      <x:c r="M207" s="15" t="n">
        <x:v>54</x:v>
      </x:c>
      <x:c r="N207" s="14" t="str">
        <x:v>Bita Taghavi</x:v>
      </x:c>
      <x:c r="O207" s="14" t="str">
        <x:v>nm1922524</x:v>
      </x:c>
      <x:c r="P207" s="14" t="str">
        <x:v>Facilitator</x:v>
      </x:c>
      <x:c r="Q207" s="15" t="n">
        <x:v>1</x:v>
      </x:c>
      <x:c r="R207" s="14" t="str">
        <x:v>2026</x:v>
      </x:c>
      <x:c r="S207" s="14" t="n">
        <x:v>2026</x:v>
      </x:c>
      <x:c r="T207" s="14" t="n">
        <x:v>2026</x:v>
      </x:c>
      <x:c r="U207" s="14" t="str">
        <x:v>Explicit source first year retained</x:v>
      </x:c>
      <x:c r="V207" s="14" t="str">
        <x:v>Earliest supplied year is 2026.</x:v>
      </x:c>
      <x:c r="W207" s="14"/>
      <x:c r="X207" s="14" t="str">
        <x:v>Excluded: after 2025</x:v>
      </x:c>
      <x:c r="Y207" s="14"/>
      <x:c r="Z207" s="14" t="str">
        <x:v>A Good Girl.docx</x:v>
      </x:c>
      <x:c r="AA207" s="14" t="str">
        <x:v>HYPERLINK is not implemented. linkLocation=https://www.imdb.com/title/tt28118211/fullcredits/, friendlyName=Open source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 t="str">
        <x:v>No established-register match</x:v>
      </x:c>
      <x:c r="AT207" s="14"/>
      <x:c r="AU207" s="14"/>
      <x:c r="AV207" s="14" t="str">
        <x:v>No established apparent-disability match</x:v>
      </x:c>
      <x:c r="AW207" s="14"/>
      <x:c r="AX207" s="14" t="str">
        <x:v>No</x:v>
      </x:c>
      <x:c r="AY207" s="14" t="str">
        <x:v>Unmatched</x:v>
      </x:c>
      <x:c r="AZ207" s="14" t="str">
        <x:v>Final supplied register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16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0.0625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HYPERLINK is not implemented. linkLocation=https://www.imdb.com/title/tt28118211/fullcredits/, friendlyName=Open source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tt28118211|nm13056650|reporter</x:v>
      </x:c>
      <x:c r="B208" s="14" t="str">
        <x:v>01</x:v>
      </x:c>
      <x:c r="C208" s="14" t="str">
        <x:v>2024_IMDb_Cast_Lists_Batch_01(1).xlsx</x:v>
      </x:c>
      <x:c r="D208" s="14" t="str">
        <x:v>A Good Girl's Guide to Murder</x:v>
      </x:c>
      <x:c r="E208" s="14" t="n">
        <x:v>62</x:v>
      </x:c>
      <x:c r="F208" s="14" t="str">
        <x:v>A Good Girl's Guide to Murder</x:v>
      </x:c>
      <x:c r="G208" s="14" t="str">
        <x:v>tt28118211</x:v>
      </x:c>
      <x:c r="H208" s="14" t="n">
        <x:v>2024</x:v>
      </x:c>
      <x:c r="I208" s="14" t="n">
        <x:v>2025</x:v>
      </x:c>
      <x:c r="J208" s="14" t="str">
        <x:v>Post-study cohort</x:v>
      </x:c>
      <x:c r="K208" s="14" t="n">
        <x:v>2024</x:v>
      </x:c>
      <x:c r="L208" s="14" t="str">
        <x:v>Not inherited</x:v>
      </x:c>
      <x:c r="M208" s="15" t="n">
        <x:v>55</x:v>
      </x:c>
      <x:c r="N208" s="14" t="str">
        <x:v>Alex Colley</x:v>
      </x:c>
      <x:c r="O208" s="14" t="str">
        <x:v>nm13056650</x:v>
      </x:c>
      <x:c r="P208" s="14" t="str">
        <x:v>Reporter</x:v>
      </x:c>
      <x:c r="Q208" s="15" t="n">
        <x:v>1</x:v>
      </x:c>
      <x:c r="R208" s="14" t="str">
        <x:v>2026</x:v>
      </x:c>
      <x:c r="S208" s="14" t="n">
        <x:v>2026</x:v>
      </x:c>
      <x:c r="T208" s="14" t="n">
        <x:v>2026</x:v>
      </x:c>
      <x:c r="U208" s="14" t="str">
        <x:v>Explicit source first year retained</x:v>
      </x:c>
      <x:c r="V208" s="14" t="str">
        <x:v>Earliest supplied year is 2026.</x:v>
      </x:c>
      <x:c r="W208" s="14"/>
      <x:c r="X208" s="14" t="str">
        <x:v>Excluded: after 2025</x:v>
      </x:c>
      <x:c r="Y208" s="14"/>
      <x:c r="Z208" s="14" t="str">
        <x:v>A Good Girl.docx</x:v>
      </x:c>
      <x:c r="AA208" s="14" t="str">
        <x:v>HYPERLINK is not implemented. linkLocation=https://www.imdb.com/title/tt28118211/fullcredits/, friendlyName=Open source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 t="str">
        <x:v>No established-register match</x:v>
      </x:c>
      <x:c r="AT208" s="14"/>
      <x:c r="AU208" s="14"/>
      <x:c r="AV208" s="14" t="str">
        <x:v>No established apparent-disability match</x:v>
      </x:c>
      <x:c r="AW208" s="14"/>
      <x:c r="AX208" s="14" t="str">
        <x:v>No</x:v>
      </x:c>
      <x:c r="AY208" s="14" t="str">
        <x:v>Unmatched</x:v>
      </x:c>
      <x:c r="AZ208" s="14" t="str">
        <x:v>Final supplied register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16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0.0625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HYPERLINK is not implemented. linkLocation=https://www.imdb.com/title/tt28118211/fullcredits/, friendlyName=Open source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tt28118211|nm18459971|girl 2</x:v>
      </x:c>
      <x:c r="B209" s="14" t="str">
        <x:v>01</x:v>
      </x:c>
      <x:c r="C209" s="14" t="str">
        <x:v>2024_IMDb_Cast_Lists_Batch_01(1).xlsx</x:v>
      </x:c>
      <x:c r="D209" s="14" t="str">
        <x:v>A Good Girl's Guide to Murder</x:v>
      </x:c>
      <x:c r="E209" s="14" t="n">
        <x:v>64</x:v>
      </x:c>
      <x:c r="F209" s="14" t="str">
        <x:v>A Good Girl's Guide to Murder</x:v>
      </x:c>
      <x:c r="G209" s="14" t="str">
        <x:v>tt28118211</x:v>
      </x:c>
      <x:c r="H209" s="14" t="n">
        <x:v>2024</x:v>
      </x:c>
      <x:c r="I209" s="14" t="n">
        <x:v>2025</x:v>
      </x:c>
      <x:c r="J209" s="14" t="str">
        <x:v>Post-study cohort</x:v>
      </x:c>
      <x:c r="K209" s="14" t="n">
        <x:v>2024</x:v>
      </x:c>
      <x:c r="L209" s="14" t="str">
        <x:v>Not inherited</x:v>
      </x:c>
      <x:c r="M209" s="15" t="n">
        <x:v>57</x:v>
      </x:c>
      <x:c r="N209" s="14" t="str">
        <x:v>Kiren Kaur-Virdee</x:v>
      </x:c>
      <x:c r="O209" s="14" t="str">
        <x:v>nm18459971</x:v>
      </x:c>
      <x:c r="P209" s="14" t="str">
        <x:v>Girl 2</x:v>
      </x:c>
      <x:c r="Q209" s="15" t="n">
        <x:v>1</x:v>
      </x:c>
      <x:c r="R209" s="14" t="str">
        <x:v>2026</x:v>
      </x:c>
      <x:c r="S209" s="14" t="n">
        <x:v>2026</x:v>
      </x:c>
      <x:c r="T209" s="14" t="n">
        <x:v>2026</x:v>
      </x:c>
      <x:c r="U209" s="14" t="str">
        <x:v>Explicit source first year retained</x:v>
      </x:c>
      <x:c r="V209" s="14" t="str">
        <x:v>Earliest supplied year is 2026.</x:v>
      </x:c>
      <x:c r="W209" s="14"/>
      <x:c r="X209" s="14" t="str">
        <x:v>Excluded: after 2025</x:v>
      </x:c>
      <x:c r="Y209" s="14"/>
      <x:c r="Z209" s="14" t="str">
        <x:v>A Good Girl.docx</x:v>
      </x:c>
      <x:c r="AA209" s="14" t="str">
        <x:v>HYPERLINK is not implemented. linkLocation=https://www.imdb.com/title/tt28118211/fullcredits/, friendlyName=Open source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 t="str">
        <x:v>No established-register match</x:v>
      </x:c>
      <x:c r="AT209" s="14"/>
      <x:c r="AU209" s="14"/>
      <x:c r="AV209" s="14" t="str">
        <x:v>No established apparent-disability match</x:v>
      </x:c>
      <x:c r="AW209" s="14"/>
      <x:c r="AX209" s="14" t="str">
        <x:v>No</x:v>
      </x:c>
      <x:c r="AY209" s="14" t="str">
        <x:v>Unmatched</x:v>
      </x:c>
      <x:c r="AZ209" s="14" t="str">
        <x:v>Final supplied register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16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0.0625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HYPERLINK is not implemented. linkLocation=https://www.imdb.com/title/tt28118211/fullcredits/, friendlyName=Open source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tt28118211|nm0099584|dc peter collis</x:v>
      </x:c>
      <x:c r="B210" s="14" t="str">
        <x:v>01</x:v>
      </x:c>
      <x:c r="C210" s="14" t="str">
        <x:v>2024_IMDb_Cast_Lists_Batch_01(1).xlsx</x:v>
      </x:c>
      <x:c r="D210" s="14" t="str">
        <x:v>A Good Girl's Guide to Murder</x:v>
      </x:c>
      <x:c r="E210" s="14" t="n">
        <x:v>67</x:v>
      </x:c>
      <x:c r="F210" s="14" t="str">
        <x:v>A Good Girl's Guide to Murder</x:v>
      </x:c>
      <x:c r="G210" s="14" t="str">
        <x:v>tt28118211</x:v>
      </x:c>
      <x:c r="H210" s="14" t="n">
        <x:v>2024</x:v>
      </x:c>
      <x:c r="I210" s="14" t="n">
        <x:v>2025</x:v>
      </x:c>
      <x:c r="J210" s="14" t="str">
        <x:v>Post-study cohort</x:v>
      </x:c>
      <x:c r="K210" s="14" t="n">
        <x:v>2024</x:v>
      </x:c>
      <x:c r="L210" s="14" t="str">
        <x:v>Not inherited</x:v>
      </x:c>
      <x:c r="M210" s="15" t="n">
        <x:v>60</x:v>
      </x:c>
      <x:c r="N210" s="14" t="str">
        <x:v>Russell Boulter</x:v>
      </x:c>
      <x:c r="O210" s="14" t="str">
        <x:v>nm0099584</x:v>
      </x:c>
      <x:c r="P210" s="14" t="str">
        <x:v>DC Peter Collis</x:v>
      </x:c>
      <x:c r="Q210" s="15" t="n">
        <x:v>1</x:v>
      </x:c>
      <x:c r="R210" s="14" t="str">
        <x:v>2026</x:v>
      </x:c>
      <x:c r="S210" s="14" t="n">
        <x:v>2026</x:v>
      </x:c>
      <x:c r="T210" s="14" t="n">
        <x:v>2026</x:v>
      </x:c>
      <x:c r="U210" s="14" t="str">
        <x:v>Explicit source first year retained</x:v>
      </x:c>
      <x:c r="V210" s="14" t="str">
        <x:v>Earliest supplied year is 2026.</x:v>
      </x:c>
      <x:c r="W210" s="14"/>
      <x:c r="X210" s="14" t="str">
        <x:v>Excluded: after 2025</x:v>
      </x:c>
      <x:c r="Y210" s="14"/>
      <x:c r="Z210" s="14" t="str">
        <x:v>A Good Girl.docx</x:v>
      </x:c>
      <x:c r="AA210" s="14" t="str">
        <x:v>HYPERLINK is not implemented. linkLocation=https://www.imdb.com/title/tt28118211/fullcredits/, friendlyName=Open source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 t="str">
        <x:v>No established-register match</x:v>
      </x:c>
      <x:c r="AT210" s="14"/>
      <x:c r="AU210" s="14"/>
      <x:c r="AV210" s="14" t="str">
        <x:v>No established apparent-disability match</x:v>
      </x:c>
      <x:c r="AW210" s="14"/>
      <x:c r="AX210" s="14" t="str">
        <x:v>No</x:v>
      </x:c>
      <x:c r="AY210" s="14" t="str">
        <x:v>Unmatched</x:v>
      </x:c>
      <x:c r="AZ210" s="14" t="str">
        <x:v>Final supplied register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16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1</x:v>
      </x:c>
      <x:c r="BS210" s="16" t="n">
        <x:v>0.0625</x:v>
      </x:c>
      <x:c r="BT210" s="14" t="str">
        <x:v>One episode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4" t="str">
        <x:v>HYPERLINK is not implemented. linkLocation=https://www.imdb.com/title/tt28118211/fullcredits/, friendlyName=Open source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tt28118211|nm7968275|nurse</x:v>
      </x:c>
      <x:c r="B211" s="14" t="str">
        <x:v>01</x:v>
      </x:c>
      <x:c r="C211" s="14" t="str">
        <x:v>2024_IMDb_Cast_Lists_Batch_01(1).xlsx</x:v>
      </x:c>
      <x:c r="D211" s="14" t="str">
        <x:v>A Good Girl's Guide to Murder</x:v>
      </x:c>
      <x:c r="E211" s="14" t="n">
        <x:v>68</x:v>
      </x:c>
      <x:c r="F211" s="14" t="str">
        <x:v>A Good Girl's Guide to Murder</x:v>
      </x:c>
      <x:c r="G211" s="14" t="str">
        <x:v>tt28118211</x:v>
      </x:c>
      <x:c r="H211" s="14" t="n">
        <x:v>2024</x:v>
      </x:c>
      <x:c r="I211" s="14" t="n">
        <x:v>2025</x:v>
      </x:c>
      <x:c r="J211" s="14" t="str">
        <x:v>Post-study cohort</x:v>
      </x:c>
      <x:c r="K211" s="14" t="n">
        <x:v>2024</x:v>
      </x:c>
      <x:c r="L211" s="14" t="str">
        <x:v>Not inherited</x:v>
      </x:c>
      <x:c r="M211" s="15" t="n">
        <x:v>61</x:v>
      </x:c>
      <x:c r="N211" s="14" t="str">
        <x:v>Hellen Kirby</x:v>
      </x:c>
      <x:c r="O211" s="14" t="str">
        <x:v>nm7968275</x:v>
      </x:c>
      <x:c r="P211" s="14" t="str">
        <x:v>Nurse</x:v>
      </x:c>
      <x:c r="Q211" s="15" t="n">
        <x:v>1</x:v>
      </x:c>
      <x:c r="R211" s="14" t="str">
        <x:v>2026</x:v>
      </x:c>
      <x:c r="S211" s="14" t="n">
        <x:v>2026</x:v>
      </x:c>
      <x:c r="T211" s="14" t="n">
        <x:v>2026</x:v>
      </x:c>
      <x:c r="U211" s="14" t="str">
        <x:v>Explicit source first year retained</x:v>
      </x:c>
      <x:c r="V211" s="14" t="str">
        <x:v>Earliest supplied year is 2026.</x:v>
      </x:c>
      <x:c r="W211" s="14"/>
      <x:c r="X211" s="14" t="str">
        <x:v>Excluded: after 2025</x:v>
      </x:c>
      <x:c r="Y211" s="14"/>
      <x:c r="Z211" s="14" t="str">
        <x:v>A Good Girl.docx</x:v>
      </x:c>
      <x:c r="AA211" s="14" t="str">
        <x:v>HYPERLINK is not implemented. linkLocation=https://www.imdb.com/title/tt28118211/fullcredits/, friendlyName=Open source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7" t="e">
        <x:f>HYPERLINK("https://en.wikipedia.org/wiki/A_Good_Girl's_Guide_to_Murder","Open source")</x:f>
        <x:v>HYPERLINK is not implemented. linkLocation=https://en.wikipedia.org/wiki/A_Good_Girl's_Guide_to_Murder, friendlyName=Open source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 t="str">
        <x:v>No established-register match</x:v>
      </x:c>
      <x:c r="AT211" s="14"/>
      <x:c r="AU211" s="14"/>
      <x:c r="AV211" s="14" t="str">
        <x:v>No established apparent-disability match</x:v>
      </x:c>
      <x:c r="AW211" s="14"/>
      <x:c r="AX211" s="14" t="str">
        <x:v>No</x:v>
      </x:c>
      <x:c r="AY211" s="14" t="str">
        <x:v>Unmatched</x:v>
      </x:c>
      <x:c r="AZ211" s="14" t="str">
        <x:v>Final supplied register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16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1</x:v>
      </x:c>
      <x:c r="BS211" s="16" t="n">
        <x:v>0.0625</x:v>
      </x:c>
      <x:c r="BT211" s="14" t="str">
        <x:v>One episode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4" t="str">
        <x:v>HYPERLINK is not implemented. linkLocation=https://www.imdb.com/title/tt28118211/fullcredits/, friendlyName=Open source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tt26765082|nm10868530|whitney</x:v>
      </x:c>
      <x:c r="B212" s="14" t="str">
        <x:v>01</x:v>
      </x:c>
      <x:c r="C212" s="14" t="str">
        <x:v>2024_IMDb_Cast_Lists_Batch_01(1).xlsx</x:v>
      </x:c>
      <x:c r="D212" s="14" t="str">
        <x:v>Big Mood</x:v>
      </x:c>
      <x:c r="E212" s="14" t="n">
        <x:v>17</x:v>
      </x:c>
      <x:c r="F212" s="14" t="str">
        <x:v>Big Mood</x:v>
      </x:c>
      <x:c r="G212" s="14" t="str">
        <x:v>tt26765082</x:v>
      </x:c>
      <x:c r="H212" s="14" t="n">
        <x:v>2024</x:v>
      </x:c>
      <x:c r="I212" s="14" t="n">
        <x:v>2025</x:v>
      </x:c>
      <x:c r="J212" s="14" t="str">
        <x:v>Post-study cohort</x:v>
      </x:c>
      <x:c r="K212" s="14" t="n">
        <x:v>2024</x:v>
      </x:c>
      <x:c r="L212" s="14" t="str">
        <x:v>Not inherited</x:v>
      </x:c>
      <x:c r="M212" s="15" t="n">
        <x:v>10</x:v>
      </x:c>
      <x:c r="N212" s="14" t="str">
        <x:v>Hannah Onslow</x:v>
      </x:c>
      <x:c r="O212" s="14" t="str">
        <x:v>nm10868530</x:v>
      </x:c>
      <x:c r="P212" s="14" t="str">
        <x:v>Whitney</x:v>
      </x:c>
      <x:c r="Q212" s="15" t="n">
        <x:v>5</x:v>
      </x:c>
      <x:c r="R212" s="14" t="str">
        <x:v>2026</x:v>
      </x:c>
      <x:c r="S212" s="14" t="n">
        <x:v>2026</x:v>
      </x:c>
      <x:c r="T212" s="14" t="n">
        <x:v>2026</x:v>
      </x:c>
      <x:c r="U212" s="14" t="str">
        <x:v>Explicit source first year retained</x:v>
      </x:c>
      <x:c r="V212" s="14" t="str">
        <x:v>Earliest supplied year is 2026.</x:v>
      </x:c>
      <x:c r="W212" s="14"/>
      <x:c r="X212" s="14" t="str">
        <x:v>Excluded: after 2025</x:v>
      </x:c>
      <x:c r="Y212" s="14"/>
      <x:c r="Z212" s="14" t="str">
        <x:v>Big Mood.docx</x:v>
      </x:c>
      <x:c r="AA212" s="14" t="str">
        <x:v>HYPERLINK is not implemented. linkLocation=https://www.imdb.com/title/tt26765082/fullcredits/, friendlyName=Open source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Channel 4 / E4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7" t="e">
        <x:f>HYPERLINK("https://en.wikipedia.org/wiki/Big_Mood","Open source")</x:f>
        <x:v>HYPERLINK is not implemented. linkLocation=https://en.wikipedia.org/wiki/Big_Mood, friendlyName=Open source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 t="str">
        <x:v>No established-register match</x:v>
      </x:c>
      <x:c r="AT212" s="14"/>
      <x:c r="AU212" s="14"/>
      <x:c r="AV212" s="14" t="str">
        <x:v>No established apparent-disability match</x:v>
      </x:c>
      <x:c r="AW212" s="14"/>
      <x:c r="AX212" s="14" t="str">
        <x:v>No</x:v>
      </x:c>
      <x:c r="AY212" s="14" t="str">
        <x:v>Unmatched</x:v>
      </x:c>
      <x:c r="AZ212" s="14" t="str">
        <x:v>Final supplied register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5</x:v>
      </x:c>
      <x:c r="BS212" s="16" t="n">
        <x:v>0.4166666666666667</x:v>
      </x:c>
      <x:c r="BT212" s="14" t="str">
        <x:v>Minority of episodes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4" t="str">
        <x:v>HYPERLINK is not implemented. linkLocation=https://www.imdb.com/title/tt26765082/fullcredits/, friendlyName=Open source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tt26765082|nm1286224|mairead</x:v>
      </x:c>
      <x:c r="B213" s="14" t="str">
        <x:v>01</x:v>
      </x:c>
      <x:c r="C213" s="14" t="str">
        <x:v>2024_IMDb_Cast_Lists_Batch_01(1).xlsx</x:v>
      </x:c>
      <x:c r="D213" s="14" t="str">
        <x:v>Big Mood</x:v>
      </x:c>
      <x:c r="E213" s="14" t="n">
        <x:v>25</x:v>
      </x:c>
      <x:c r="F213" s="14" t="str">
        <x:v>Big Mood</x:v>
      </x:c>
      <x:c r="G213" s="14" t="str">
        <x:v>tt26765082</x:v>
      </x:c>
      <x:c r="H213" s="14" t="n">
        <x:v>2024</x:v>
      </x:c>
      <x:c r="I213" s="14" t="n">
        <x:v>2025</x:v>
      </x:c>
      <x:c r="J213" s="14" t="str">
        <x:v>Post-study cohort</x:v>
      </x:c>
      <x:c r="K213" s="14" t="n">
        <x:v>2024</x:v>
      </x:c>
      <x:c r="L213" s="14" t="str">
        <x:v>Not inherited</x:v>
      </x:c>
      <x:c r="M213" s="15" t="n">
        <x:v>18</x:v>
      </x:c>
      <x:c r="N213" s="14" t="str">
        <x:v>Kelly Campbell</x:v>
      </x:c>
      <x:c r="O213" s="14" t="str">
        <x:v>nm1286224</x:v>
      </x:c>
      <x:c r="P213" s="14" t="str">
        <x:v>Mairead</x:v>
      </x:c>
      <x:c r="Q213" s="15" t="n">
        <x:v>2</x:v>
      </x:c>
      <x:c r="R213" s="14" t="str">
        <x:v>2026</x:v>
      </x:c>
      <x:c r="S213" s="14" t="n">
        <x:v>2026</x:v>
      </x:c>
      <x:c r="T213" s="14" t="n">
        <x:v>2026</x:v>
      </x:c>
      <x:c r="U213" s="14" t="str">
        <x:v>Explicit source first year retained</x:v>
      </x:c>
      <x:c r="V213" s="14" t="str">
        <x:v>Earliest supplied year is 2026.</x:v>
      </x:c>
      <x:c r="W213" s="14"/>
      <x:c r="X213" s="14" t="str">
        <x:v>Excluded: after 2025</x:v>
      </x:c>
      <x:c r="Y213" s="14"/>
      <x:c r="Z213" s="14" t="str">
        <x:v>Big Mood.docx</x:v>
      </x:c>
      <x:c r="AA213" s="14" t="str">
        <x:v>HYPERLINK is not implemented. linkLocation=https://www.imdb.com/title/tt26765082/fullcredits/, friendlyName=Open source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Channel 4 / E4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7" t="e">
        <x:f>HYPERLINK("https://en.wikipedia.org/wiki/Big_Mood","Open source")</x:f>
        <x:v>HYPERLINK is not implemented. linkLocation=https://en.wikipedia.org/wiki/Big_Mood, friendlyName=Open source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 t="str">
        <x:v>No established-register match</x:v>
      </x:c>
      <x:c r="AT213" s="14"/>
      <x:c r="AU213" s="14"/>
      <x:c r="AV213" s="14" t="str">
        <x:v>No established apparent-disability match</x:v>
      </x:c>
      <x:c r="AW213" s="14"/>
      <x:c r="AX213" s="14" t="str">
        <x:v>No</x:v>
      </x:c>
      <x:c r="AY213" s="14" t="str">
        <x:v>Unmatched</x:v>
      </x:c>
      <x:c r="AZ213" s="14" t="str">
        <x:v>Final supplied register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2</x:v>
      </x:c>
      <x:c r="BS213" s="16" t="n">
        <x:v>0.16666666666666666</x:v>
      </x:c>
      <x:c r="BT213" s="14" t="str">
        <x:v>Minority of episodes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4" t="str">
        <x:v>HYPERLINK is not implemented. linkLocation=https://www.imdb.com/title/tt26765082/fullcredits/, friendlyName=Open source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tt26765082|nm8386223|door bitch</x:v>
      </x:c>
      <x:c r="B214" s="14" t="str">
        <x:v>01</x:v>
      </x:c>
      <x:c r="C214" s="14" t="str">
        <x:v>2024_IMDb_Cast_Lists_Batch_01(1).xlsx</x:v>
      </x:c>
      <x:c r="D214" s="14" t="str">
        <x:v>Big Mood</x:v>
      </x:c>
      <x:c r="E214" s="14" t="n">
        <x:v>26</x:v>
      </x:c>
      <x:c r="F214" s="14" t="str">
        <x:v>Big Mood</x:v>
      </x:c>
      <x:c r="G214" s="14" t="str">
        <x:v>tt26765082</x:v>
      </x:c>
      <x:c r="H214" s="14" t="n">
        <x:v>2024</x:v>
      </x:c>
      <x:c r="I214" s="14" t="n">
        <x:v>2025</x:v>
      </x:c>
      <x:c r="J214" s="14" t="str">
        <x:v>Post-study cohort</x:v>
      </x:c>
      <x:c r="K214" s="14" t="n">
        <x:v>2024</x:v>
      </x:c>
      <x:c r="L214" s="14" t="str">
        <x:v>Not inherited</x:v>
      </x:c>
      <x:c r="M214" s="15" t="n">
        <x:v>19</x:v>
      </x:c>
      <x:c r="N214" s="14" t="str">
        <x:v>Munroe Bergdorf</x:v>
      </x:c>
      <x:c r="O214" s="14" t="str">
        <x:v>nm8386223</x:v>
      </x:c>
      <x:c r="P214" s="14" t="str">
        <x:v>Door Bitch</x:v>
      </x:c>
      <x:c r="Q214" s="15" t="n">
        <x:v>2</x:v>
      </x:c>
      <x:c r="R214" s="14" t="str">
        <x:v>2026</x:v>
      </x:c>
      <x:c r="S214" s="14" t="n">
        <x:v>2026</x:v>
      </x:c>
      <x:c r="T214" s="14" t="n">
        <x:v>2026</x:v>
      </x:c>
      <x:c r="U214" s="14" t="str">
        <x:v>Explicit source first year retained</x:v>
      </x:c>
      <x:c r="V214" s="14" t="str">
        <x:v>Earliest supplied year is 2026.</x:v>
      </x:c>
      <x:c r="W214" s="14"/>
      <x:c r="X214" s="14" t="str">
        <x:v>Excluded: after 2025</x:v>
      </x:c>
      <x:c r="Y214" s="14"/>
      <x:c r="Z214" s="14" t="str">
        <x:v>Big Mood.docx</x:v>
      </x:c>
      <x:c r="AA214" s="14" t="str">
        <x:v>HYPERLINK is not implemented. linkLocation=https://www.imdb.com/title/tt26765082/fullcredits/, friendlyName=Open source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Channel 4 / E4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7" t="e">
        <x:f>HYPERLINK("https://en.wikipedia.org/wiki/Big_Mood","Open source")</x:f>
        <x:v>HYPERLINK is not implemented. linkLocation=https://en.wikipedia.org/wiki/Big_Mood, friendlyName=Open source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 t="str">
        <x:v>No established-register match</x:v>
      </x:c>
      <x:c r="AT214" s="14"/>
      <x:c r="AU214" s="14"/>
      <x:c r="AV214" s="14" t="str">
        <x:v>No established apparent-disability match</x:v>
      </x:c>
      <x:c r="AW214" s="14"/>
      <x:c r="AX214" s="14" t="str">
        <x:v>No</x:v>
      </x:c>
      <x:c r="AY214" s="14" t="str">
        <x:v>Unmatched</x:v>
      </x:c>
      <x:c r="AZ214" s="14" t="str">
        <x:v>Final supplied register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2</x:v>
      </x:c>
      <x:c r="BS214" s="16" t="n">
        <x:v>0.16666666666666666</x:v>
      </x:c>
      <x:c r="BT214" s="14" t="str">
        <x:v>Minority of episodes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4" t="str">
        <x:v>HYPERLINK is not implemented. linkLocation=https://www.imdb.com/title/tt26765082/fullcredits/, friendlyName=Open source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tt26765082|nm0512305|mark</x:v>
      </x:c>
      <x:c r="B215" s="14" t="str">
        <x:v>01</x:v>
      </x:c>
      <x:c r="C215" s="14" t="str">
        <x:v>2024_IMDb_Cast_Lists_Batch_01(1).xlsx</x:v>
      </x:c>
      <x:c r="D215" s="14" t="str">
        <x:v>Big Mood</x:v>
      </x:c>
      <x:c r="E215" s="14" t="n">
        <x:v>27</x:v>
      </x:c>
      <x:c r="F215" s="14" t="str">
        <x:v>Big Mood</x:v>
      </x:c>
      <x:c r="G215" s="14" t="str">
        <x:v>tt26765082</x:v>
      </x:c>
      <x:c r="H215" s="14" t="n">
        <x:v>2024</x:v>
      </x:c>
      <x:c r="I215" s="14" t="n">
        <x:v>2025</x:v>
      </x:c>
      <x:c r="J215" s="14" t="str">
        <x:v>Post-study cohort</x:v>
      </x:c>
      <x:c r="K215" s="14" t="n">
        <x:v>2024</x:v>
      </x:c>
      <x:c r="L215" s="14" t="str">
        <x:v>Not inherited</x:v>
      </x:c>
      <x:c r="M215" s="15" t="n">
        <x:v>20</x:v>
      </x:c>
      <x:c r="N215" s="14" t="str">
        <x:v>Robert Lindsay</x:v>
      </x:c>
      <x:c r="O215" s="14" t="str">
        <x:v>nm0512305</x:v>
      </x:c>
      <x:c r="P215" s="14" t="str">
        <x:v>Mark</x:v>
      </x:c>
      <x:c r="Q215" s="15" t="n">
        <x:v>2</x:v>
      </x:c>
      <x:c r="R215" s="14" t="str">
        <x:v>2026</x:v>
      </x:c>
      <x:c r="S215" s="14" t="n">
        <x:v>2026</x:v>
      </x:c>
      <x:c r="T215" s="14" t="n">
        <x:v>2026</x:v>
      </x:c>
      <x:c r="U215" s="14" t="str">
        <x:v>Explicit source first year retained</x:v>
      </x:c>
      <x:c r="V215" s="14" t="str">
        <x:v>Earliest supplied year is 2026.</x:v>
      </x:c>
      <x:c r="W215" s="14"/>
      <x:c r="X215" s="14" t="str">
        <x:v>Excluded: after 2025</x:v>
      </x:c>
      <x:c r="Y215" s="14"/>
      <x:c r="Z215" s="14" t="str">
        <x:v>Big Mood.docx</x:v>
      </x:c>
      <x:c r="AA215" s="14" t="str">
        <x:v>HYPERLINK is not implemented. linkLocation=https://www.imdb.com/title/tt26765082/fullcredits/, friendlyName=Open source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Channel 4 / E4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7" t="e">
        <x:f>HYPERLINK("https://en.wikipedia.org/wiki/Big_Mood","Open source")</x:f>
        <x:v>HYPERLINK is not implemented. linkLocation=https://en.wikipedia.org/wiki/Big_Mood, friendlyName=Open source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 t="str">
        <x:v>No established-register match</x:v>
      </x:c>
      <x:c r="AT215" s="14"/>
      <x:c r="AU215" s="14"/>
      <x:c r="AV215" s="14" t="str">
        <x:v>No established apparent-disability match</x:v>
      </x:c>
      <x:c r="AW215" s="14"/>
      <x:c r="AX215" s="14" t="str">
        <x:v>No</x:v>
      </x:c>
      <x:c r="AY215" s="14" t="str">
        <x:v>Unmatched</x:v>
      </x:c>
      <x:c r="AZ215" s="14" t="str">
        <x:v>Final supplied register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2</x:v>
      </x:c>
      <x:c r="BS215" s="16" t="n">
        <x:v>0.16666666666666666</x:v>
      </x:c>
      <x:c r="BT215" s="14" t="str">
        <x:v>Minority of episodes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4" t="str">
        <x:v>HYPERLINK is not implemented. linkLocation=https://www.imdb.com/title/tt26765082/fullcredits/, friendlyName=Open source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tt26765082|nm5479395|tj</x:v>
      </x:c>
      <x:c r="B216" s="14" t="str">
        <x:v>01</x:v>
      </x:c>
      <x:c r="C216" s="14" t="str">
        <x:v>2024_IMDb_Cast_Lists_Batch_01(1).xlsx</x:v>
      </x:c>
      <x:c r="D216" s="14" t="str">
        <x:v>Big Mood</x:v>
      </x:c>
      <x:c r="E216" s="14" t="n">
        <x:v>28</x:v>
      </x:c>
      <x:c r="F216" s="14" t="str">
        <x:v>Big Mood</x:v>
      </x:c>
      <x:c r="G216" s="14" t="str">
        <x:v>tt26765082</x:v>
      </x:c>
      <x:c r="H216" s="14" t="n">
        <x:v>2024</x:v>
      </x:c>
      <x:c r="I216" s="14" t="n">
        <x:v>2025</x:v>
      </x:c>
      <x:c r="J216" s="14" t="str">
        <x:v>Post-study cohort</x:v>
      </x:c>
      <x:c r="K216" s="14" t="n">
        <x:v>2024</x:v>
      </x:c>
      <x:c r="L216" s="14" t="str">
        <x:v>Not inherited</x:v>
      </x:c>
      <x:c r="M216" s="15" t="n">
        <x:v>21</x:v>
      </x:c>
      <x:c r="N216" s="14" t="str">
        <x:v>Leo Wan</x:v>
      </x:c>
      <x:c r="O216" s="14" t="str">
        <x:v>nm5479395</x:v>
      </x:c>
      <x:c r="P216" s="14" t="str">
        <x:v>TJ</x:v>
      </x:c>
      <x:c r="Q216" s="15" t="n">
        <x:v>2</x:v>
      </x:c>
      <x:c r="R216" s="14" t="str">
        <x:v>2026</x:v>
      </x:c>
      <x:c r="S216" s="14" t="n">
        <x:v>2026</x:v>
      </x:c>
      <x:c r="T216" s="14" t="n">
        <x:v>2026</x:v>
      </x:c>
      <x:c r="U216" s="14" t="str">
        <x:v>Explicit source first year retained</x:v>
      </x:c>
      <x:c r="V216" s="14" t="str">
        <x:v>Earliest supplied year is 2026.</x:v>
      </x:c>
      <x:c r="W216" s="14"/>
      <x:c r="X216" s="14" t="str">
        <x:v>Excluded: after 2025</x:v>
      </x:c>
      <x:c r="Y216" s="14"/>
      <x:c r="Z216" s="14" t="str">
        <x:v>Big Mood.docx</x:v>
      </x:c>
      <x:c r="AA216" s="14" t="str">
        <x:v>HYPERLINK is not implemented. linkLocation=https://www.imdb.com/title/tt26765082/fullcredits/, friendlyName=Open source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Channel 4 / E4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7" t="e">
        <x:f>HYPERLINK("https://en.wikipedia.org/wiki/Big_Mood","Open source")</x:f>
        <x:v>HYPERLINK is not implemented. linkLocation=https://en.wikipedia.org/wiki/Big_Mood, friendlyName=Open source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 t="str">
        <x:v>No established-register match</x:v>
      </x:c>
      <x:c r="AT216" s="14"/>
      <x:c r="AU216" s="14"/>
      <x:c r="AV216" s="14" t="str">
        <x:v>No established apparent-disability match</x:v>
      </x:c>
      <x:c r="AW216" s="14"/>
      <x:c r="AX216" s="14" t="str">
        <x:v>No</x:v>
      </x:c>
      <x:c r="AY216" s="14" t="str">
        <x:v>Unmatched</x:v>
      </x:c>
      <x:c r="AZ216" s="14" t="str">
        <x:v>Final supplied register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2</x:v>
      </x:c>
      <x:c r="BS216" s="16" t="n">
        <x:v>0.16666666666666666</x:v>
      </x:c>
      <x:c r="BT216" s="14" t="str">
        <x:v>Minority of episodes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4" t="str">
        <x:v>HYPERLINK is not implemented. linkLocation=https://www.imdb.com/title/tt26765082/fullcredits/, friendlyName=Open source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tt26765082|nm15302991|toni</x:v>
      </x:c>
      <x:c r="B217" s="14" t="str">
        <x:v>01</x:v>
      </x:c>
      <x:c r="C217" s="14" t="str">
        <x:v>2024_IMDb_Cast_Lists_Batch_01(1).xlsx</x:v>
      </x:c>
      <x:c r="D217" s="14" t="str">
        <x:v>Big Mood</x:v>
      </x:c>
      <x:c r="E217" s="14" t="n">
        <x:v>29</x:v>
      </x:c>
      <x:c r="F217" s="14" t="str">
        <x:v>Big Mood</x:v>
      </x:c>
      <x:c r="G217" s="14" t="str">
        <x:v>tt26765082</x:v>
      </x:c>
      <x:c r="H217" s="14" t="n">
        <x:v>2024</x:v>
      </x:c>
      <x:c r="I217" s="14" t="n">
        <x:v>2025</x:v>
      </x:c>
      <x:c r="J217" s="14" t="str">
        <x:v>Post-study cohort</x:v>
      </x:c>
      <x:c r="K217" s="14" t="n">
        <x:v>2024</x:v>
      </x:c>
      <x:c r="L217" s="14" t="str">
        <x:v>Not inherited</x:v>
      </x:c>
      <x:c r="M217" s="15" t="n">
        <x:v>22</x:v>
      </x:c>
      <x:c r="N217" s="14" t="str">
        <x:v>Kyran Thrax</x:v>
      </x:c>
      <x:c r="O217" s="14" t="str">
        <x:v>nm15302991</x:v>
      </x:c>
      <x:c r="P217" s="14" t="str">
        <x:v>Toni</x:v>
      </x:c>
      <x:c r="Q217" s="15" t="n">
        <x:v>2</x:v>
      </x:c>
      <x:c r="R217" s="14" t="str">
        <x:v>2026</x:v>
      </x:c>
      <x:c r="S217" s="14" t="n">
        <x:v>2026</x:v>
      </x:c>
      <x:c r="T217" s="14" t="n">
        <x:v>2026</x:v>
      </x:c>
      <x:c r="U217" s="14" t="str">
        <x:v>Explicit source first year retained</x:v>
      </x:c>
      <x:c r="V217" s="14" t="str">
        <x:v>Earliest supplied year is 2026.</x:v>
      </x:c>
      <x:c r="W217" s="14"/>
      <x:c r="X217" s="14" t="str">
        <x:v>Excluded: after 2025</x:v>
      </x:c>
      <x:c r="Y217" s="14"/>
      <x:c r="Z217" s="14" t="str">
        <x:v>Big Mood.docx</x:v>
      </x:c>
      <x:c r="AA217" s="14" t="str">
        <x:v>HYPERLINK is not implemented. linkLocation=https://www.imdb.com/title/tt26765082/fullcredits/, friendlyName=Open source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Channel 4 / E4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7" t="e">
        <x:f>HYPERLINK("https://en.wikipedia.org/wiki/Big_Mood","Open source")</x:f>
        <x:v>HYPERLINK is not implemented. linkLocation=https://en.wikipedia.org/wiki/Big_Mood, friendlyName=Open source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 t="str">
        <x:v>No established-register match</x:v>
      </x:c>
      <x:c r="AT217" s="14"/>
      <x:c r="AU217" s="14"/>
      <x:c r="AV217" s="14" t="str">
        <x:v>No established apparent-disability match</x:v>
      </x:c>
      <x:c r="AW217" s="14"/>
      <x:c r="AX217" s="14" t="str">
        <x:v>No</x:v>
      </x:c>
      <x:c r="AY217" s="14" t="str">
        <x:v>Unmatched</x:v>
      </x:c>
      <x:c r="AZ217" s="14" t="str">
        <x:v>Final supplied register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2</x:v>
      </x:c>
      <x:c r="BS217" s="16" t="n">
        <x:v>0.16666666666666666</x:v>
      </x:c>
      <x:c r="BT217" s="14" t="str">
        <x:v>Minority of episodes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4" t="str">
        <x:v>HYPERLINK is not implemented. linkLocation=https://www.imdb.com/title/tt26765082/fullcredits/, friendlyName=Open source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tt26765082|nm4349211|flopsy</x:v>
      </x:c>
      <x:c r="B218" s="14" t="str">
        <x:v>01</x:v>
      </x:c>
      <x:c r="C218" s="14" t="str">
        <x:v>2024_IMDb_Cast_Lists_Batch_01(1).xlsx</x:v>
      </x:c>
      <x:c r="D218" s="14" t="str">
        <x:v>Big Mood</x:v>
      </x:c>
      <x:c r="E218" s="14" t="n">
        <x:v>32</x:v>
      </x:c>
      <x:c r="F218" s="14" t="str">
        <x:v>Big Mood</x:v>
      </x:c>
      <x:c r="G218" s="14" t="str">
        <x:v>tt26765082</x:v>
      </x:c>
      <x:c r="H218" s="14" t="n">
        <x:v>2024</x:v>
      </x:c>
      <x:c r="I218" s="14" t="n">
        <x:v>2025</x:v>
      </x:c>
      <x:c r="J218" s="14" t="str">
        <x:v>Post-study cohort</x:v>
      </x:c>
      <x:c r="K218" s="14" t="n">
        <x:v>2024</x:v>
      </x:c>
      <x:c r="L218" s="14" t="str">
        <x:v>Not inherited</x:v>
      </x:c>
      <x:c r="M218" s="15" t="n">
        <x:v>25</x:v>
      </x:c>
      <x:c r="N218" s="14" t="str">
        <x:v>Marina Bye</x:v>
      </x:c>
      <x:c r="O218" s="14" t="str">
        <x:v>nm4349211</x:v>
      </x:c>
      <x:c r="P218" s="14" t="str">
        <x:v>Flopsy</x:v>
      </x:c>
      <x:c r="Q218" s="15" t="n">
        <x:v>1</x:v>
      </x:c>
      <x:c r="R218" s="14" t="str">
        <x:v>2026</x:v>
      </x:c>
      <x:c r="S218" s="14" t="n">
        <x:v>2026</x:v>
      </x:c>
      <x:c r="T218" s="14" t="n">
        <x:v>2026</x:v>
      </x:c>
      <x:c r="U218" s="14" t="str">
        <x:v>Explicit source first year retained</x:v>
      </x:c>
      <x:c r="V218" s="14" t="str">
        <x:v>Earliest supplied year is 2026.</x:v>
      </x:c>
      <x:c r="W218" s="14"/>
      <x:c r="X218" s="14" t="str">
        <x:v>Excluded: after 2025</x:v>
      </x:c>
      <x:c r="Y218" s="14"/>
      <x:c r="Z218" s="14" t="str">
        <x:v>Big Mood.docx</x:v>
      </x:c>
      <x:c r="AA218" s="14" t="str">
        <x:v>HYPERLINK is not implemented. linkLocation=https://www.imdb.com/title/tt26765082/fullcredits/, friendlyName=Open source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Channel 4 / E4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7" t="e">
        <x:f>HYPERLINK("https://en.wikipedia.org/wiki/Big_Mood","Open source")</x:f>
        <x:v>HYPERLINK is not implemented. linkLocation=https://en.wikipedia.org/wiki/Big_Mood, friendlyName=Open source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 t="str">
        <x:v>No established-register match</x:v>
      </x:c>
      <x:c r="AT218" s="14"/>
      <x:c r="AU218" s="14"/>
      <x:c r="AV218" s="14" t="str">
        <x:v>No established apparent-disability match</x:v>
      </x:c>
      <x:c r="AW218" s="14"/>
      <x:c r="AX218" s="14" t="str">
        <x:v>No</x:v>
      </x:c>
      <x:c r="AY218" s="14" t="str">
        <x:v>Unmatched</x:v>
      </x:c>
      <x:c r="AZ218" s="14" t="str">
        <x:v>Final supplied register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1</x:v>
      </x:c>
      <x:c r="BS218" s="16" t="n">
        <x:v>0.08333333333333333</x:v>
      </x:c>
      <x:c r="BT218" s="14" t="str">
        <x:v>One episode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4" t="str">
        <x:v>HYPERLINK is not implemented. linkLocation=https://www.imdb.com/title/tt26765082/fullcredits/, friendlyName=Open source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tt26765082|nm6285015|hostess</x:v>
      </x:c>
      <x:c r="B219" s="14" t="str">
        <x:v>01</x:v>
      </x:c>
      <x:c r="C219" s="14" t="str">
        <x:v>2024_IMDb_Cast_Lists_Batch_01(1).xlsx</x:v>
      </x:c>
      <x:c r="D219" s="14" t="str">
        <x:v>Big Mood</x:v>
      </x:c>
      <x:c r="E219" s="14" t="n">
        <x:v>35</x:v>
      </x:c>
      <x:c r="F219" s="14" t="str">
        <x:v>Big Mood</x:v>
      </x:c>
      <x:c r="G219" s="14" t="str">
        <x:v>tt26765082</x:v>
      </x:c>
      <x:c r="H219" s="14" t="n">
        <x:v>2024</x:v>
      </x:c>
      <x:c r="I219" s="14" t="n">
        <x:v>2025</x:v>
      </x:c>
      <x:c r="J219" s="14" t="str">
        <x:v>Post-study cohort</x:v>
      </x:c>
      <x:c r="K219" s="14" t="n">
        <x:v>2024</x:v>
      </x:c>
      <x:c r="L219" s="14" t="str">
        <x:v>Not inherited</x:v>
      </x:c>
      <x:c r="M219" s="15" t="n">
        <x:v>28</x:v>
      </x:c>
      <x:c r="N219" s="14" t="str">
        <x:v>Lois Chimimba</x:v>
      </x:c>
      <x:c r="O219" s="14" t="str">
        <x:v>nm6285015</x:v>
      </x:c>
      <x:c r="P219" s="14" t="str">
        <x:v>Hostess</x:v>
      </x:c>
      <x:c r="Q219" s="15" t="n">
        <x:v>1</x:v>
      </x:c>
      <x:c r="R219" s="14" t="str">
        <x:v>2026</x:v>
      </x:c>
      <x:c r="S219" s="14" t="n">
        <x:v>2026</x:v>
      </x:c>
      <x:c r="T219" s="14" t="n">
        <x:v>2026</x:v>
      </x:c>
      <x:c r="U219" s="14" t="str">
        <x:v>Explicit source first year retained</x:v>
      </x:c>
      <x:c r="V219" s="14" t="str">
        <x:v>Earliest supplied year is 2026.</x:v>
      </x:c>
      <x:c r="W219" s="14"/>
      <x:c r="X219" s="14" t="str">
        <x:v>Excluded: after 2025</x:v>
      </x:c>
      <x:c r="Y219" s="14"/>
      <x:c r="Z219" s="14" t="str">
        <x:v>Big Mood.docx</x:v>
      </x:c>
      <x:c r="AA219" s="14" t="str">
        <x:v>HYPERLINK is not implemented. linkLocation=https://www.imdb.com/title/tt26765082/fullcredits/, friendlyName=Open source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Channel 4 / E4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7" t="e">
        <x:f>HYPERLINK("https://en.wikipedia.org/wiki/Big_Mood","Open source")</x:f>
        <x:v>HYPERLINK is not implemented. linkLocation=https://en.wikipedia.org/wiki/Big_Mood, friendlyName=Open source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 t="str">
        <x:v>No established-register match</x:v>
      </x:c>
      <x:c r="AT219" s="14"/>
      <x:c r="AU219" s="14"/>
      <x:c r="AV219" s="14" t="str">
        <x:v>No established apparent-disability match</x:v>
      </x:c>
      <x:c r="AW219" s="14"/>
      <x:c r="AX219" s="14" t="str">
        <x:v>No</x:v>
      </x:c>
      <x:c r="AY219" s="14" t="str">
        <x:v>Unmatched</x:v>
      </x:c>
      <x:c r="AZ219" s="14" t="str">
        <x:v>Final supplied register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1</x:v>
      </x:c>
      <x:c r="BS219" s="16" t="n">
        <x:v>0.08333333333333333</x:v>
      </x:c>
      <x:c r="BT219" s="14" t="str">
        <x:v>One episode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4" t="str">
        <x:v>HYPERLINK is not implemented. linkLocation=https://www.imdb.com/title/tt26765082/fullcredits/, friendlyName=Open source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tt26765082|nm4677297|cher</x:v>
      </x:c>
      <x:c r="B220" s="14" t="str">
        <x:v>01</x:v>
      </x:c>
      <x:c r="C220" s="14" t="str">
        <x:v>2024_IMDb_Cast_Lists_Batch_01(1).xlsx</x:v>
      </x:c>
      <x:c r="D220" s="14" t="str">
        <x:v>Big Mood</x:v>
      </x:c>
      <x:c r="E220" s="14" t="n">
        <x:v>36</x:v>
      </x:c>
      <x:c r="F220" s="14" t="str">
        <x:v>Big Mood</x:v>
      </x:c>
      <x:c r="G220" s="14" t="str">
        <x:v>tt26765082</x:v>
      </x:c>
      <x:c r="H220" s="14" t="n">
        <x:v>2024</x:v>
      </x:c>
      <x:c r="I220" s="14" t="n">
        <x:v>2025</x:v>
      </x:c>
      <x:c r="J220" s="14" t="str">
        <x:v>Post-study cohort</x:v>
      </x:c>
      <x:c r="K220" s="14" t="n">
        <x:v>2024</x:v>
      </x:c>
      <x:c r="L220" s="14" t="str">
        <x:v>Not inherited</x:v>
      </x:c>
      <x:c r="M220" s="15" t="n">
        <x:v>29</x:v>
      </x:c>
      <x:c r="N220" s="14" t="str">
        <x:v>Marcus Collins</x:v>
      </x:c>
      <x:c r="O220" s="14" t="str">
        <x:v>nm4677297</x:v>
      </x:c>
      <x:c r="P220" s="14" t="str">
        <x:v>Cher</x:v>
      </x:c>
      <x:c r="Q220" s="15" t="n">
        <x:v>1</x:v>
      </x:c>
      <x:c r="R220" s="14" t="str">
        <x:v>2026</x:v>
      </x:c>
      <x:c r="S220" s="14" t="n">
        <x:v>2026</x:v>
      </x:c>
      <x:c r="T220" s="14" t="n">
        <x:v>2026</x:v>
      </x:c>
      <x:c r="U220" s="14" t="str">
        <x:v>Explicit source first year retained</x:v>
      </x:c>
      <x:c r="V220" s="14" t="str">
        <x:v>Earliest supplied year is 2026.</x:v>
      </x:c>
      <x:c r="W220" s="14"/>
      <x:c r="X220" s="14" t="str">
        <x:v>Excluded: after 2025</x:v>
      </x:c>
      <x:c r="Y220" s="14"/>
      <x:c r="Z220" s="14" t="str">
        <x:v>Big Mood.docx</x:v>
      </x:c>
      <x:c r="AA220" s="14" t="str">
        <x:v>HYPERLINK is not implemented. linkLocation=https://www.imdb.com/title/tt26765082/fullcredits/, friendlyName=Open source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Channel 4 / E4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7" t="e">
        <x:f>HYPERLINK("https://en.wikipedia.org/wiki/Big_Mood","Open source")</x:f>
        <x:v>HYPERLINK is not implemented. linkLocation=https://en.wikipedia.org/wiki/Big_Mood, friendlyName=Open source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 t="str">
        <x:v>No established-register match</x:v>
      </x:c>
      <x:c r="AT220" s="14"/>
      <x:c r="AU220" s="14"/>
      <x:c r="AV220" s="14" t="str">
        <x:v>No established apparent-disability match</x:v>
      </x:c>
      <x:c r="AW220" s="14"/>
      <x:c r="AX220" s="14" t="str">
        <x:v>No</x:v>
      </x:c>
      <x:c r="AY220" s="14" t="str">
        <x:v>Unmatched</x:v>
      </x:c>
      <x:c r="AZ220" s="14" t="str">
        <x:v>Final supplied register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1</x:v>
      </x:c>
      <x:c r="BS220" s="16" t="n">
        <x:v>0.08333333333333333</x:v>
      </x:c>
      <x:c r="BT220" s="14" t="str">
        <x:v>One episode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4" t="str">
        <x:v>HYPERLINK is not implemented. linkLocation=https://www.imdb.com/title/tt26765082/fullcredits/, friendlyName=Open source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tt26765082|nm8187526|jack pearl</x:v>
      </x:c>
      <x:c r="B221" s="14" t="str">
        <x:v>01</x:v>
      </x:c>
      <x:c r="C221" s="14" t="str">
        <x:v>2024_IMDb_Cast_Lists_Batch_01(1).xlsx</x:v>
      </x:c>
      <x:c r="D221" s="14" t="str">
        <x:v>Big Mood</x:v>
      </x:c>
      <x:c r="E221" s="14" t="n">
        <x:v>37</x:v>
      </x:c>
      <x:c r="F221" s="14" t="str">
        <x:v>Big Mood</x:v>
      </x:c>
      <x:c r="G221" s="14" t="str">
        <x:v>tt26765082</x:v>
      </x:c>
      <x:c r="H221" s="14" t="n">
        <x:v>2024</x:v>
      </x:c>
      <x:c r="I221" s="14" t="n">
        <x:v>2025</x:v>
      </x:c>
      <x:c r="J221" s="14" t="str">
        <x:v>Post-study cohort</x:v>
      </x:c>
      <x:c r="K221" s="14" t="n">
        <x:v>2024</x:v>
      </x:c>
      <x:c r="L221" s="14" t="str">
        <x:v>Not inherited</x:v>
      </x:c>
      <x:c r="M221" s="15" t="n">
        <x:v>30</x:v>
      </x:c>
      <x:c r="N221" s="14" t="str">
        <x:v>Zachary Hart</x:v>
      </x:c>
      <x:c r="O221" s="14" t="str">
        <x:v>nm8187526</x:v>
      </x:c>
      <x:c r="P221" s="14" t="str">
        <x:v>Jack Pearl</x:v>
      </x:c>
      <x:c r="Q221" s="15" t="n">
        <x:v>1</x:v>
      </x:c>
      <x:c r="R221" s="14" t="str">
        <x:v>2026</x:v>
      </x:c>
      <x:c r="S221" s="14" t="n">
        <x:v>2026</x:v>
      </x:c>
      <x:c r="T221" s="14" t="n">
        <x:v>2026</x:v>
      </x:c>
      <x:c r="U221" s="14" t="str">
        <x:v>Explicit source first year retained</x:v>
      </x:c>
      <x:c r="V221" s="14" t="str">
        <x:v>Earliest supplied year is 2026.</x:v>
      </x:c>
      <x:c r="W221" s="14"/>
      <x:c r="X221" s="14" t="str">
        <x:v>Excluded: after 2025</x:v>
      </x:c>
      <x:c r="Y221" s="14"/>
      <x:c r="Z221" s="14" t="str">
        <x:v>Big Mood.docx</x:v>
      </x:c>
      <x:c r="AA221" s="14" t="str">
        <x:v>HYPERLINK is not implemented. linkLocation=https://www.imdb.com/title/tt26765082/fullcredits/, friendlyName=Open source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Channel 4 / E4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7" t="e">
        <x:f>HYPERLINK("https://en.wikipedia.org/wiki/Big_Mood","Open source")</x:f>
        <x:v>HYPERLINK is not implemented. linkLocation=https://en.wikipedia.org/wiki/Big_Mood, friendlyName=Open source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 t="str">
        <x:v>No established-register match</x:v>
      </x:c>
      <x:c r="AT221" s="14"/>
      <x:c r="AU221" s="14"/>
      <x:c r="AV221" s="14" t="str">
        <x:v>No established apparent-disability match</x:v>
      </x:c>
      <x:c r="AW221" s="14"/>
      <x:c r="AX221" s="14" t="str">
        <x:v>No</x:v>
      </x:c>
      <x:c r="AY221" s="14" t="str">
        <x:v>Unmatched</x:v>
      </x:c>
      <x:c r="AZ221" s="14" t="str">
        <x:v>Final supplied register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1</x:v>
      </x:c>
      <x:c r="BS221" s="16" t="n">
        <x:v>0.08333333333333333</x:v>
      </x:c>
      <x:c r="BT221" s="14" t="str">
        <x:v>One episode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4" t="str">
        <x:v>HYPERLINK is not implemented. linkLocation=https://www.imdb.com/title/tt26765082/fullcredits/, friendlyName=Open source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tt26765082|nm1054175|auntie bebs</x:v>
      </x:c>
      <x:c r="B222" s="14" t="str">
        <x:v>01</x:v>
      </x:c>
      <x:c r="C222" s="14" t="str">
        <x:v>2024_IMDb_Cast_Lists_Batch_01(1).xlsx</x:v>
      </x:c>
      <x:c r="D222" s="14" t="str">
        <x:v>Big Mood</x:v>
      </x:c>
      <x:c r="E222" s="14" t="n">
        <x:v>38</x:v>
      </x:c>
      <x:c r="F222" s="14" t="str">
        <x:v>Big Mood</x:v>
      </x:c>
      <x:c r="G222" s="14" t="str">
        <x:v>tt26765082</x:v>
      </x:c>
      <x:c r="H222" s="14" t="n">
        <x:v>2024</x:v>
      </x:c>
      <x:c r="I222" s="14" t="n">
        <x:v>2025</x:v>
      </x:c>
      <x:c r="J222" s="14" t="str">
        <x:v>Post-study cohort</x:v>
      </x:c>
      <x:c r="K222" s="14" t="n">
        <x:v>2024</x:v>
      </x:c>
      <x:c r="L222" s="14" t="str">
        <x:v>Not inherited</x:v>
      </x:c>
      <x:c r="M222" s="15" t="n">
        <x:v>31</x:v>
      </x:c>
      <x:c r="N222" s="14" t="str">
        <x:v>Eva Fontaine</x:v>
      </x:c>
      <x:c r="O222" s="14" t="str">
        <x:v>nm1054175</x:v>
      </x:c>
      <x:c r="P222" s="14" t="str">
        <x:v>Auntie Bebs</x:v>
      </x:c>
      <x:c r="Q222" s="15" t="n">
        <x:v>1</x:v>
      </x:c>
      <x:c r="R222" s="14" t="str">
        <x:v>2026</x:v>
      </x:c>
      <x:c r="S222" s="14" t="n">
        <x:v>2026</x:v>
      </x:c>
      <x:c r="T222" s="14" t="n">
        <x:v>2026</x:v>
      </x:c>
      <x:c r="U222" s="14" t="str">
        <x:v>Explicit source first year retained</x:v>
      </x:c>
      <x:c r="V222" s="14" t="str">
        <x:v>Earliest supplied year is 2026.</x:v>
      </x:c>
      <x:c r="W222" s="14"/>
      <x:c r="X222" s="14" t="str">
        <x:v>Excluded: after 2025</x:v>
      </x:c>
      <x:c r="Y222" s="14"/>
      <x:c r="Z222" s="14" t="str">
        <x:v>Big Mood.docx</x:v>
      </x:c>
      <x:c r="AA222" s="14" t="str">
        <x:v>HYPERLINK is not implemented. linkLocation=https://www.imdb.com/title/tt26765082/fullcredits/, friendlyName=Open source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Channel 4 / E4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7" t="e">
        <x:f>HYPERLINK("https://en.wikipedia.org/wiki/Big_Mood","Open source")</x:f>
        <x:v>HYPERLINK is not implemented. linkLocation=https://en.wikipedia.org/wiki/Big_Mood, friendlyName=Open source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 t="str">
        <x:v>No established-register match</x:v>
      </x:c>
      <x:c r="AT222" s="14"/>
      <x:c r="AU222" s="14"/>
      <x:c r="AV222" s="14" t="str">
        <x:v>No established apparent-disability match</x:v>
      </x:c>
      <x:c r="AW222" s="14"/>
      <x:c r="AX222" s="14" t="str">
        <x:v>No</x:v>
      </x:c>
      <x:c r="AY222" s="14" t="str">
        <x:v>Unmatched</x:v>
      </x:c>
      <x:c r="AZ222" s="14" t="str">
        <x:v>Final supplied register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1</x:v>
      </x:c>
      <x:c r="BS222" s="16" t="n">
        <x:v>0.08333333333333333</x:v>
      </x:c>
      <x:c r="BT222" s="14" t="str">
        <x:v>One episode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4" t="str">
        <x:v>HYPERLINK is not implemented. linkLocation=https://www.imdb.com/title/tt26765082/fullcredits/, friendlyName=Open source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tt26765082|nm7450601|georgiana</x:v>
      </x:c>
      <x:c r="B223" s="14" t="str">
        <x:v>01</x:v>
      </x:c>
      <x:c r="C223" s="14" t="str">
        <x:v>2024_IMDb_Cast_Lists_Batch_01(1).xlsx</x:v>
      </x:c>
      <x:c r="D223" s="14" t="str">
        <x:v>Big Mood</x:v>
      </x:c>
      <x:c r="E223" s="14" t="n">
        <x:v>40</x:v>
      </x:c>
      <x:c r="F223" s="14" t="str">
        <x:v>Big Mood</x:v>
      </x:c>
      <x:c r="G223" s="14" t="str">
        <x:v>tt26765082</x:v>
      </x:c>
      <x:c r="H223" s="14" t="n">
        <x:v>2024</x:v>
      </x:c>
      <x:c r="I223" s="14" t="n">
        <x:v>2025</x:v>
      </x:c>
      <x:c r="J223" s="14" t="str">
        <x:v>Post-study cohort</x:v>
      </x:c>
      <x:c r="K223" s="14" t="n">
        <x:v>2024</x:v>
      </x:c>
      <x:c r="L223" s="14" t="str">
        <x:v>Not inherited</x:v>
      </x:c>
      <x:c r="M223" s="15" t="n">
        <x:v>33</x:v>
      </x:c>
      <x:c r="N223" s="14" t="str">
        <x:v>Georgina Hellier</x:v>
      </x:c>
      <x:c r="O223" s="14" t="str">
        <x:v>nm7450601</x:v>
      </x:c>
      <x:c r="P223" s="14" t="str">
        <x:v>Georgiana</x:v>
      </x:c>
      <x:c r="Q223" s="15" t="n">
        <x:v>1</x:v>
      </x:c>
      <x:c r="R223" s="14" t="str">
        <x:v>2026</x:v>
      </x:c>
      <x:c r="S223" s="14" t="n">
        <x:v>2026</x:v>
      </x:c>
      <x:c r="T223" s="14" t="n">
        <x:v>2026</x:v>
      </x:c>
      <x:c r="U223" s="14" t="str">
        <x:v>Explicit source first year retained</x:v>
      </x:c>
      <x:c r="V223" s="14" t="str">
        <x:v>Earliest supplied year is 2026.</x:v>
      </x:c>
      <x:c r="W223" s="14"/>
      <x:c r="X223" s="14" t="str">
        <x:v>Excluded: after 2025</x:v>
      </x:c>
      <x:c r="Y223" s="14"/>
      <x:c r="Z223" s="14" t="str">
        <x:v>Big Mood.docx</x:v>
      </x:c>
      <x:c r="AA223" s="14" t="str">
        <x:v>HYPERLINK is not implemented. linkLocation=https://www.imdb.com/title/tt26765082/fullcredits/, friendlyName=Open source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Channel 4 / E4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7" t="e">
        <x:f>HYPERLINK("https://en.wikipedia.org/wiki/Big_Mood","Open source")</x:f>
        <x:v>HYPERLINK is not implemented. linkLocation=https://en.wikipedia.org/wiki/Big_Mood, friendlyName=Open source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 t="str">
        <x:v>No established-register match</x:v>
      </x:c>
      <x:c r="AT223" s="14"/>
      <x:c r="AU223" s="14"/>
      <x:c r="AV223" s="14" t="str">
        <x:v>No established apparent-disability match</x:v>
      </x:c>
      <x:c r="AW223" s="14"/>
      <x:c r="AX223" s="14" t="str">
        <x:v>No</x:v>
      </x:c>
      <x:c r="AY223" s="14" t="str">
        <x:v>Unmatched</x:v>
      </x:c>
      <x:c r="AZ223" s="14" t="str">
        <x:v>Final supplied register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12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1</x:v>
      </x:c>
      <x:c r="BS223" s="16" t="n">
        <x:v>0.08333333333333333</x:v>
      </x:c>
      <x:c r="BT223" s="14" t="str">
        <x:v>One episode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4" t="str">
        <x:v>HYPERLINK is not implemented. linkLocation=https://www.imdb.com/title/tt26765082/fullcredits/, friendlyName=Open source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tt26765082|nm4549885|mia</x:v>
      </x:c>
      <x:c r="B224" s="14" t="str">
        <x:v>01</x:v>
      </x:c>
      <x:c r="C224" s="14" t="str">
        <x:v>2024_IMDb_Cast_Lists_Batch_01(1).xlsx</x:v>
      </x:c>
      <x:c r="D224" s="14" t="str">
        <x:v>Big Mood</x:v>
      </x:c>
      <x:c r="E224" s="14" t="n">
        <x:v>41</x:v>
      </x:c>
      <x:c r="F224" s="14" t="str">
        <x:v>Big Mood</x:v>
      </x:c>
      <x:c r="G224" s="14" t="str">
        <x:v>tt26765082</x:v>
      </x:c>
      <x:c r="H224" s="14" t="n">
        <x:v>2024</x:v>
      </x:c>
      <x:c r="I224" s="14" t="n">
        <x:v>2025</x:v>
      </x:c>
      <x:c r="J224" s="14" t="str">
        <x:v>Post-study cohort</x:v>
      </x:c>
      <x:c r="K224" s="14" t="n">
        <x:v>2024</x:v>
      </x:c>
      <x:c r="L224" s="14" t="str">
        <x:v>Not inherited</x:v>
      </x:c>
      <x:c r="M224" s="15" t="n">
        <x:v>34</x:v>
      </x:c>
      <x:c r="N224" s="14" t="str">
        <x:v>Elizabeth Twells</x:v>
      </x:c>
      <x:c r="O224" s="14" t="str">
        <x:v>nm4549885</x:v>
      </x:c>
      <x:c r="P224" s="14" t="str">
        <x:v>Mia</x:v>
      </x:c>
      <x:c r="Q224" s="15" t="n">
        <x:v>1</x:v>
      </x:c>
      <x:c r="R224" s="14" t="str">
        <x:v>2026</x:v>
      </x:c>
      <x:c r="S224" s="14" t="n">
        <x:v>2026</x:v>
      </x:c>
      <x:c r="T224" s="14" t="n">
        <x:v>2026</x:v>
      </x:c>
      <x:c r="U224" s="14" t="str">
        <x:v>Explicit source first year retained</x:v>
      </x:c>
      <x:c r="V224" s="14" t="str">
        <x:v>Earliest supplied year is 2026.</x:v>
      </x:c>
      <x:c r="W224" s="14"/>
      <x:c r="X224" s="14" t="str">
        <x:v>Excluded: after 2025</x:v>
      </x:c>
      <x:c r="Y224" s="14"/>
      <x:c r="Z224" s="14" t="str">
        <x:v>Big Mood.docx</x:v>
      </x:c>
      <x:c r="AA224" s="14" t="str">
        <x:v>HYPERLINK is not implemented. linkLocation=https://www.imdb.com/title/tt26765082/fullcredits/, friendlyName=Open source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Channel 4 / E4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7" t="e">
        <x:f>HYPERLINK("https://en.wikipedia.org/wiki/Big_Mood","Open source")</x:f>
        <x:v>HYPERLINK is not implemented. linkLocation=https://en.wikipedia.org/wiki/Big_Mood, friendlyName=Open source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 t="str">
        <x:v>No established-register match</x:v>
      </x:c>
      <x:c r="AT224" s="14"/>
      <x:c r="AU224" s="14"/>
      <x:c r="AV224" s="14" t="str">
        <x:v>No established apparent-disability match</x:v>
      </x:c>
      <x:c r="AW224" s="14"/>
      <x:c r="AX224" s="14" t="str">
        <x:v>No</x:v>
      </x:c>
      <x:c r="AY224" s="14" t="str">
        <x:v>Unmatched</x:v>
      </x:c>
      <x:c r="AZ224" s="14" t="str">
        <x:v>Final supplied register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12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1</x:v>
      </x:c>
      <x:c r="BS224" s="16" t="n">
        <x:v>0.08333333333333333</x:v>
      </x:c>
      <x:c r="BT224" s="14" t="str">
        <x:v>One episode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4" t="str">
        <x:v>HYPERLINK is not implemented. linkLocation=https://www.imdb.com/title/tt26765082/fullcredits/, friendlyName=Open source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tt26765082|nm0290693|esmeralda</x:v>
      </x:c>
      <x:c r="B225" s="14" t="str">
        <x:v>01</x:v>
      </x:c>
      <x:c r="C225" s="14" t="str">
        <x:v>2024_IMDb_Cast_Lists_Batch_01(1).xlsx</x:v>
      </x:c>
      <x:c r="D225" s="14" t="str">
        <x:v>Big Mood</x:v>
      </x:c>
      <x:c r="E225" s="14" t="n">
        <x:v>45</x:v>
      </x:c>
      <x:c r="F225" s="14" t="str">
        <x:v>Big Mood</x:v>
      </x:c>
      <x:c r="G225" s="14" t="str">
        <x:v>tt26765082</x:v>
      </x:c>
      <x:c r="H225" s="14" t="n">
        <x:v>2024</x:v>
      </x:c>
      <x:c r="I225" s="14" t="n">
        <x:v>2025</x:v>
      </x:c>
      <x:c r="J225" s="14" t="str">
        <x:v>Post-study cohort</x:v>
      </x:c>
      <x:c r="K225" s="14" t="n">
        <x:v>2024</x:v>
      </x:c>
      <x:c r="L225" s="14" t="str">
        <x:v>Not inherited</x:v>
      </x:c>
      <x:c r="M225" s="15" t="n">
        <x:v>38</x:v>
      </x:c>
      <x:c r="N225" s="14" t="str">
        <x:v>Anna Francolini</x:v>
      </x:c>
      <x:c r="O225" s="14" t="str">
        <x:v>nm0290693</x:v>
      </x:c>
      <x:c r="P225" s="14" t="str">
        <x:v>Esmeralda</x:v>
      </x:c>
      <x:c r="Q225" s="15" t="n">
        <x:v>1</x:v>
      </x:c>
      <x:c r="R225" s="14" t="str">
        <x:v>2026</x:v>
      </x:c>
      <x:c r="S225" s="14" t="n">
        <x:v>2026</x:v>
      </x:c>
      <x:c r="T225" s="14" t="n">
        <x:v>2026</x:v>
      </x:c>
      <x:c r="U225" s="14" t="str">
        <x:v>Explicit source first year retained</x:v>
      </x:c>
      <x:c r="V225" s="14" t="str">
        <x:v>Earliest supplied year is 2026.</x:v>
      </x:c>
      <x:c r="W225" s="14"/>
      <x:c r="X225" s="14" t="str">
        <x:v>Excluded: after 2025</x:v>
      </x:c>
      <x:c r="Y225" s="14"/>
      <x:c r="Z225" s="14" t="str">
        <x:v>Big Mood.docx</x:v>
      </x:c>
      <x:c r="AA225" s="14" t="str">
        <x:v>HYPERLINK is not implemented. linkLocation=https://www.imdb.com/title/tt26765082/fullcredits/, friendlyName=Open source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Channel 4 / E4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7" t="e">
        <x:f>HYPERLINK("https://en.wikipedia.org/wiki/Big_Mood","Open source")</x:f>
        <x:v>HYPERLINK is not implemented. linkLocation=https://en.wikipedia.org/wiki/Big_Mood, friendlyName=Open source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 t="str">
        <x:v>No established-register match</x:v>
      </x:c>
      <x:c r="AT225" s="14"/>
      <x:c r="AU225" s="14"/>
      <x:c r="AV225" s="14" t="str">
        <x:v>No established apparent-disability match</x:v>
      </x:c>
      <x:c r="AW225" s="14"/>
      <x:c r="AX225" s="14" t="str">
        <x:v>No</x:v>
      </x:c>
      <x:c r="AY225" s="14" t="str">
        <x:v>Unmatched</x:v>
      </x:c>
      <x:c r="AZ225" s="14" t="str">
        <x:v>Final supplied register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12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1</x:v>
      </x:c>
      <x:c r="BS225" s="16" t="n">
        <x:v>0.08333333333333333</x:v>
      </x:c>
      <x:c r="BT225" s="14" t="str">
        <x:v>One episode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4" t="str">
        <x:v>HYPERLINK is not implemented. linkLocation=https://www.imdb.com/title/tt26765082/fullcredits/, friendlyName=Open source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tt26765082|nm2521096|sir albert</x:v>
      </x:c>
      <x:c r="B226" s="14" t="str">
        <x:v>01</x:v>
      </x:c>
      <x:c r="C226" s="14" t="str">
        <x:v>2024_IMDb_Cast_Lists_Batch_01(1).xlsx</x:v>
      </x:c>
      <x:c r="D226" s="14" t="str">
        <x:v>Big Mood</x:v>
      </x:c>
      <x:c r="E226" s="14" t="n">
        <x:v>46</x:v>
      </x:c>
      <x:c r="F226" s="14" t="str">
        <x:v>Big Mood</x:v>
      </x:c>
      <x:c r="G226" s="14" t="str">
        <x:v>tt26765082</x:v>
      </x:c>
      <x:c r="H226" s="14" t="n">
        <x:v>2024</x:v>
      </x:c>
      <x:c r="I226" s="14" t="n">
        <x:v>2025</x:v>
      </x:c>
      <x:c r="J226" s="14" t="str">
        <x:v>Post-study cohort</x:v>
      </x:c>
      <x:c r="K226" s="14" t="n">
        <x:v>2024</x:v>
      </x:c>
      <x:c r="L226" s="14" t="str">
        <x:v>Not inherited</x:v>
      </x:c>
      <x:c r="M226" s="15" t="n">
        <x:v>39</x:v>
      </x:c>
      <x:c r="N226" s="14" t="str">
        <x:v>John Locke</x:v>
      </x:c>
      <x:c r="O226" s="14" t="str">
        <x:v>nm2521096</x:v>
      </x:c>
      <x:c r="P226" s="14" t="str">
        <x:v>Sir Albert</x:v>
      </x:c>
      <x:c r="Q226" s="15" t="n">
        <x:v>1</x:v>
      </x:c>
      <x:c r="R226" s="14" t="str">
        <x:v>2026</x:v>
      </x:c>
      <x:c r="S226" s="14" t="n">
        <x:v>2026</x:v>
      </x:c>
      <x:c r="T226" s="14" t="n">
        <x:v>2026</x:v>
      </x:c>
      <x:c r="U226" s="14" t="str">
        <x:v>Explicit source first year retained</x:v>
      </x:c>
      <x:c r="V226" s="14" t="str">
        <x:v>Earliest supplied year is 2026.</x:v>
      </x:c>
      <x:c r="W226" s="14"/>
      <x:c r="X226" s="14" t="str">
        <x:v>Excluded: after 2025</x:v>
      </x:c>
      <x:c r="Y226" s="14"/>
      <x:c r="Z226" s="14" t="str">
        <x:v>Big Mood.docx</x:v>
      </x:c>
      <x:c r="AA226" s="14" t="str">
        <x:v>HYPERLINK is not implemented. linkLocation=https://www.imdb.com/title/tt26765082/fullcredits/, friendlyName=Open source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Channel 4 / E4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7" t="e">
        <x:f>HYPERLINK("https://en.wikipedia.org/wiki/Big_Mood","Open source")</x:f>
        <x:v>HYPERLINK is not implemented. linkLocation=https://en.wikipedia.org/wiki/Big_Mood, friendlyName=Open source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 t="str">
        <x:v>No established-register match</x:v>
      </x:c>
      <x:c r="AT226" s="14"/>
      <x:c r="AU226" s="14"/>
      <x:c r="AV226" s="14" t="str">
        <x:v>No established apparent-disability match</x:v>
      </x:c>
      <x:c r="AW226" s="14"/>
      <x:c r="AX226" s="14" t="str">
        <x:v>No</x:v>
      </x:c>
      <x:c r="AY226" s="14" t="str">
        <x:v>Unmatched</x:v>
      </x:c>
      <x:c r="AZ226" s="14" t="str">
        <x:v>Final supplied register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12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1</x:v>
      </x:c>
      <x:c r="BS226" s="16" t="n">
        <x:v>0.08333333333333333</x:v>
      </x:c>
      <x:c r="BT226" s="14" t="str">
        <x:v>One episode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4" t="str">
        <x:v>HYPERLINK is not implemented. linkLocation=https://www.imdb.com/title/tt26765082/fullcredits/, friendlyName=Open source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tt26765082|nm15298615|housekeeper</x:v>
      </x:c>
      <x:c r="B227" s="14" t="str">
        <x:v>01</x:v>
      </x:c>
      <x:c r="C227" s="14" t="str">
        <x:v>2024_IMDb_Cast_Lists_Batch_01(1).xlsx</x:v>
      </x:c>
      <x:c r="D227" s="14" t="str">
        <x:v>Big Mood</x:v>
      </x:c>
      <x:c r="E227" s="14" t="n">
        <x:v>50</x:v>
      </x:c>
      <x:c r="F227" s="14" t="str">
        <x:v>Big Mood</x:v>
      </x:c>
      <x:c r="G227" s="14" t="str">
        <x:v>tt26765082</x:v>
      </x:c>
      <x:c r="H227" s="14" t="n">
        <x:v>2024</x:v>
      </x:c>
      <x:c r="I227" s="14" t="n">
        <x:v>2025</x:v>
      </x:c>
      <x:c r="J227" s="14" t="str">
        <x:v>Post-study cohort</x:v>
      </x:c>
      <x:c r="K227" s="14" t="n">
        <x:v>2024</x:v>
      </x:c>
      <x:c r="L227" s="14" t="str">
        <x:v>Not inherited</x:v>
      </x:c>
      <x:c r="M227" s="15" t="n">
        <x:v>43</x:v>
      </x:c>
      <x:c r="N227" s="14" t="str">
        <x:v>Olive Mchugh</x:v>
      </x:c>
      <x:c r="O227" s="14" t="str">
        <x:v>nm15298615</x:v>
      </x:c>
      <x:c r="P227" s="14" t="str">
        <x:v>Housekeeper</x:v>
      </x:c>
      <x:c r="Q227" s="15" t="n">
        <x:v>1</x:v>
      </x:c>
      <x:c r="R227" s="14" t="str">
        <x:v>2026</x:v>
      </x:c>
      <x:c r="S227" s="14" t="n">
        <x:v>2026</x:v>
      </x:c>
      <x:c r="T227" s="14" t="n">
        <x:v>2026</x:v>
      </x:c>
      <x:c r="U227" s="14" t="str">
        <x:v>Explicit source first year retained</x:v>
      </x:c>
      <x:c r="V227" s="14" t="str">
        <x:v>Earliest supplied year is 2026.</x:v>
      </x:c>
      <x:c r="W227" s="14"/>
      <x:c r="X227" s="14" t="str">
        <x:v>Excluded: after 2025</x:v>
      </x:c>
      <x:c r="Y227" s="14"/>
      <x:c r="Z227" s="14" t="str">
        <x:v>Big Mood.docx</x:v>
      </x:c>
      <x:c r="AA227" s="14" t="str">
        <x:v>HYPERLINK is not implemented. linkLocation=https://www.imdb.com/title/tt26765082/fullcredits/, friendlyName=Open source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Channel 4 / E4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7" t="e">
        <x:f>HYPERLINK("https://en.wikipedia.org/wiki/Big_Mood","Open source")</x:f>
        <x:v>HYPERLINK is not implemented. linkLocation=https://en.wikipedia.org/wiki/Big_Mood, friendlyName=Open source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 t="str">
        <x:v>No established-register match</x:v>
      </x:c>
      <x:c r="AT227" s="14"/>
      <x:c r="AU227" s="14"/>
      <x:c r="AV227" s="14" t="str">
        <x:v>No established apparent-disability match</x:v>
      </x:c>
      <x:c r="AW227" s="14"/>
      <x:c r="AX227" s="14" t="str">
        <x:v>No</x:v>
      </x:c>
      <x:c r="AY227" s="14" t="str">
        <x:v>Unmatched</x:v>
      </x:c>
      <x:c r="AZ227" s="14" t="str">
        <x:v>Final supplied register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12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1</x:v>
      </x:c>
      <x:c r="BS227" s="16" t="n">
        <x:v>0.08333333333333333</x:v>
      </x:c>
      <x:c r="BT227" s="14" t="str">
        <x:v>One episode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4" t="str">
        <x:v>HYPERLINK is not implemented. linkLocation=https://www.imdb.com/title/tt26765082/fullcredits/, friendlyName=Open source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tt26765082|nm0000391|rupert everett</x:v>
      </x:c>
      <x:c r="B228" s="14" t="str">
        <x:v>01</x:v>
      </x:c>
      <x:c r="C228" s="14" t="str">
        <x:v>2024_IMDb_Cast_Lists_Batch_01(1).xlsx</x:v>
      </x:c>
      <x:c r="D228" s="14" t="str">
        <x:v>Big Mood</x:v>
      </x:c>
      <x:c r="E228" s="14" t="n">
        <x:v>56</x:v>
      </x:c>
      <x:c r="F228" s="14" t="str">
        <x:v>Big Mood</x:v>
      </x:c>
      <x:c r="G228" s="14" t="str">
        <x:v>tt26765082</x:v>
      </x:c>
      <x:c r="H228" s="14" t="n">
        <x:v>2024</x:v>
      </x:c>
      <x:c r="I228" s="14" t="n">
        <x:v>2025</x:v>
      </x:c>
      <x:c r="J228" s="14" t="str">
        <x:v>Post-study cohort</x:v>
      </x:c>
      <x:c r="K228" s="14" t="n">
        <x:v>2024</x:v>
      </x:c>
      <x:c r="L228" s="14" t="str">
        <x:v>Not inherited</x:v>
      </x:c>
      <x:c r="M228" s="15" t="n">
        <x:v>49</x:v>
      </x:c>
      <x:c r="N228" s="14" t="str">
        <x:v>Rupert Everett</x:v>
      </x:c>
      <x:c r="O228" s="14" t="str">
        <x:v>nm0000391</x:v>
      </x:c>
      <x:c r="P228" s="14" t="str">
        <x:v>Rupert Everett</x:v>
      </x:c>
      <x:c r="Q228" s="15" t="n">
        <x:v>1</x:v>
      </x:c>
      <x:c r="R228" s="14" t="str">
        <x:v>2026</x:v>
      </x:c>
      <x:c r="S228" s="14" t="n">
        <x:v>2026</x:v>
      </x:c>
      <x:c r="T228" s="14" t="n">
        <x:v>2026</x:v>
      </x:c>
      <x:c r="U228" s="14" t="str">
        <x:v>Explicit source first year retained</x:v>
      </x:c>
      <x:c r="V228" s="14" t="str">
        <x:v>Earliest supplied year is 2026.</x:v>
      </x:c>
      <x:c r="W228" s="14"/>
      <x:c r="X228" s="14" t="str">
        <x:v>Excluded: after 2025</x:v>
      </x:c>
      <x:c r="Y228" s="14"/>
      <x:c r="Z228" s="14" t="str">
        <x:v>Big Mood.docx</x:v>
      </x:c>
      <x:c r="AA228" s="14" t="str">
        <x:v>HYPERLINK is not implemented. linkLocation=https://www.imdb.com/title/tt26765082/fullcredits/, friendlyName=Open source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Channel 4 / E4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7" t="e">
        <x:f>HYPERLINK("https://en.wikipedia.org/wiki/Big_Mood","Open source")</x:f>
        <x:v>HYPERLINK is not implemented. linkLocation=https://en.wikipedia.org/wiki/Big_Mood, friendlyName=Open source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 t="str">
        <x:v>No established-register match</x:v>
      </x:c>
      <x:c r="AT228" s="14"/>
      <x:c r="AU228" s="14"/>
      <x:c r="AV228" s="14" t="str">
        <x:v>No established apparent-disability match</x:v>
      </x:c>
      <x:c r="AW228" s="14"/>
      <x:c r="AX228" s="14" t="str">
        <x:v>No</x:v>
      </x:c>
      <x:c r="AY228" s="14" t="str">
        <x:v>Unmatched</x:v>
      </x:c>
      <x:c r="AZ228" s="14" t="str">
        <x:v>Final supplied register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12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1</x:v>
      </x:c>
      <x:c r="BS228" s="16" t="n">
        <x:v>0.08333333333333333</x:v>
      </x:c>
      <x:c r="BT228" s="14" t="str">
        <x:v>One episode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4" t="str">
        <x:v>HYPERLINK is not implemented. linkLocation=https://www.imdb.com/title/tt26765082/fullcredits/, friendlyName=Open source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tt21438656|nm7276748|pixie</x:v>
      </x:c>
      <x:c r="B229" s="14" t="str">
        <x:v>01</x:v>
      </x:c>
      <x:c r="C229" s="14" t="str">
        <x:v>2024_IMDb_Cast_Lists_Batch_01(1).xlsx</x:v>
      </x:c>
      <x:c r="D229" s="14" t="str">
        <x:v>Boarders</x:v>
      </x:c>
      <x:c r="E229" s="14" t="n">
        <x:v>37</x:v>
      </x:c>
      <x:c r="F229" s="14" t="str">
        <x:v>Boarders</x:v>
      </x:c>
      <x:c r="G229" s="14" t="str">
        <x:v>tt21438656</x:v>
      </x:c>
      <x:c r="H229" s="14" t="n">
        <x:v>2024</x:v>
      </x:c>
      <x:c r="I229" s="14" t="n">
        <x:v>2025</x:v>
      </x:c>
      <x:c r="J229" s="14" t="str">
        <x:v>Post-study cohort</x:v>
      </x:c>
      <x:c r="K229" s="14" t="n">
        <x:v>2024</x:v>
      </x:c>
      <x:c r="L229" s="14" t="str">
        <x:v>Not inherited</x:v>
      </x:c>
      <x:c r="M229" s="15" t="n">
        <x:v>30</x:v>
      </x:c>
      <x:c r="N229" s="14" t="str">
        <x:v>Daisy Jacob</x:v>
      </x:c>
      <x:c r="O229" s="14" t="str">
        <x:v>nm7276748</x:v>
      </x:c>
      <x:c r="P229" s="14" t="str">
        <x:v>Pixie</x:v>
      </x:c>
      <x:c r="Q229" s="15" t="n">
        <x:v>6</x:v>
      </x:c>
      <x:c r="R229" s="14" t="str">
        <x:v>2026</x:v>
      </x:c>
      <x:c r="S229" s="14" t="n">
        <x:v>2026</x:v>
      </x:c>
      <x:c r="T229" s="14" t="n">
        <x:v>2026</x:v>
      </x:c>
      <x:c r="U229" s="14" t="str">
        <x:v>Explicit source first year retained</x:v>
      </x:c>
      <x:c r="V229" s="14" t="str">
        <x:v>Earliest supplied year is 2026.</x:v>
      </x:c>
      <x:c r="W229" s="14"/>
      <x:c r="X229" s="14" t="str">
        <x:v>Excluded: after 2025</x:v>
      </x:c>
      <x:c r="Y229" s="14"/>
      <x:c r="Z229" s="14" t="str">
        <x:v>Boarders.docx</x:v>
      </x:c>
      <x:c r="AA229" s="14" t="str">
        <x:v>HYPERLINK is not implemented. linkLocation=https://www.imdb.com/title/tt21438656/fullcredits/, friendlyName=Open source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BBC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7" t="e">
        <x:f>HYPERLINK("https://en.wikipedia.org/wiki/Boarders","Open source")</x:f>
        <x:v>HYPERLINK is not implemented. linkLocation=https://en.wikipedia.org/wiki/Boarders, friendlyName=Open source</x:v>
      </x:c>
      <x:c r="AN229" s="14" t="str">
        <x:v>BBC public-service commission</x:v>
      </x:c>
      <x:c r="AO229" s="14" t="str">
        <x:v>Yes</x:v>
      </x:c>
      <x:c r="AP229" s="14" t="str">
        <x:v>Direct BBC public-service scope</x:v>
      </x:c>
      <x:c r="AQ229" s="14" t="str">
        <x:v>Yes</x:v>
      </x:c>
      <x:c r="AR229" s="14" t="str">
        <x:v>Resolved from master register</x:v>
      </x:c>
      <x:c r="AS229" s="14" t="str">
        <x:v>No established-register match</x:v>
      </x:c>
      <x:c r="AT229" s="14"/>
      <x:c r="AU229" s="14"/>
      <x:c r="AV229" s="14" t="str">
        <x:v>No established apparent-disability match</x:v>
      </x:c>
      <x:c r="AW229" s="14"/>
      <x:c r="AX229" s="14" t="str">
        <x:v>No</x:v>
      </x:c>
      <x:c r="AY229" s="14" t="str">
        <x:v>Unmatched</x:v>
      </x:c>
      <x:c r="AZ229" s="14" t="str">
        <x:v>Final supplied register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18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6</x:v>
      </x:c>
      <x:c r="BS229" s="16" t="n">
        <x:v>0.3333333333333333</x:v>
      </x:c>
      <x:c r="BT229" s="14" t="str">
        <x:v>Minority of episodes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4" t="str">
        <x:v>HYPERLINK is not implemented. linkLocation=https://www.imdb.com/title/tt21438656/fullcredits/, friendlyName=Open source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tt21438656|nm12057747|benjamin</x:v>
      </x:c>
      <x:c r="B230" s="14" t="str">
        <x:v>01</x:v>
      </x:c>
      <x:c r="C230" s="14" t="str">
        <x:v>2024_IMDb_Cast_Lists_Batch_01(1).xlsx</x:v>
      </x:c>
      <x:c r="D230" s="14" t="str">
        <x:v>Boarders</x:v>
      </x:c>
      <x:c r="E230" s="14" t="n">
        <x:v>44</x:v>
      </x:c>
      <x:c r="F230" s="14" t="str">
        <x:v>Boarders</x:v>
      </x:c>
      <x:c r="G230" s="14" t="str">
        <x:v>tt21438656</x:v>
      </x:c>
      <x:c r="H230" s="14" t="n">
        <x:v>2024</x:v>
      </x:c>
      <x:c r="I230" s="14" t="n">
        <x:v>2025</x:v>
      </x:c>
      <x:c r="J230" s="14" t="str">
        <x:v>Post-study cohort</x:v>
      </x:c>
      <x:c r="K230" s="14" t="n">
        <x:v>2024</x:v>
      </x:c>
      <x:c r="L230" s="14" t="str">
        <x:v>Not inherited</x:v>
      </x:c>
      <x:c r="M230" s="15" t="n">
        <x:v>37</x:v>
      </x:c>
      <x:c r="N230" s="14" t="str">
        <x:v>Kenyah Sandy</x:v>
      </x:c>
      <x:c r="O230" s="14" t="str">
        <x:v>nm12057747</x:v>
      </x:c>
      <x:c r="P230" s="14" t="str">
        <x:v>Benjamin</x:v>
      </x:c>
      <x:c r="Q230" s="15" t="n">
        <x:v>5</x:v>
      </x:c>
      <x:c r="R230" s="14" t="str">
        <x:v>2026</x:v>
      </x:c>
      <x:c r="S230" s="14" t="n">
        <x:v>2026</x:v>
      </x:c>
      <x:c r="T230" s="14" t="n">
        <x:v>2026</x:v>
      </x:c>
      <x:c r="U230" s="14" t="str">
        <x:v>Explicit source first year retained</x:v>
      </x:c>
      <x:c r="V230" s="14" t="str">
        <x:v>Earliest supplied year is 2026.</x:v>
      </x:c>
      <x:c r="W230" s="14"/>
      <x:c r="X230" s="14" t="str">
        <x:v>Excluded: after 2025</x:v>
      </x:c>
      <x:c r="Y230" s="14"/>
      <x:c r="Z230" s="14" t="str">
        <x:v>Boarders.docx</x:v>
      </x:c>
      <x:c r="AA230" s="14" t="str">
        <x:v>HYPERLINK is not implemented. linkLocation=https://www.imdb.com/title/tt21438656/fullcredits/, friendlyName=Open source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BBC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7" t="e">
        <x:f>HYPERLINK("https://en.wikipedia.org/wiki/Boarders","Open source")</x:f>
        <x:v>HYPERLINK is not implemented. linkLocation=https://en.wikipedia.org/wiki/Boarders, friendlyName=Open source</x:v>
      </x:c>
      <x:c r="AN230" s="14" t="str">
        <x:v>BBC public-service commission</x:v>
      </x:c>
      <x:c r="AO230" s="14" t="str">
        <x:v>Yes</x:v>
      </x:c>
      <x:c r="AP230" s="14" t="str">
        <x:v>Direct BBC public-service scope</x:v>
      </x:c>
      <x:c r="AQ230" s="14" t="str">
        <x:v>Yes</x:v>
      </x:c>
      <x:c r="AR230" s="14" t="str">
        <x:v>Resolved from master register</x:v>
      </x:c>
      <x:c r="AS230" s="14" t="str">
        <x:v>No established-register match</x:v>
      </x:c>
      <x:c r="AT230" s="14"/>
      <x:c r="AU230" s="14"/>
      <x:c r="AV230" s="14" t="str">
        <x:v>No established apparent-disability match</x:v>
      </x:c>
      <x:c r="AW230" s="14"/>
      <x:c r="AX230" s="14" t="str">
        <x:v>No</x:v>
      </x:c>
      <x:c r="AY230" s="14" t="str">
        <x:v>Unmatched</x:v>
      </x:c>
      <x:c r="AZ230" s="14" t="str">
        <x:v>Final supplied register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18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5</x:v>
      </x:c>
      <x:c r="BS230" s="16" t="n">
        <x:v>0.2777777777777778</x:v>
      </x:c>
      <x:c r="BT230" s="14" t="str">
        <x:v>Minority of episodes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4" t="str">
        <x:v>HYPERLINK is not implemented. linkLocation=https://www.imdb.com/title/tt21438656/fullcredits/, friendlyName=Open source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tt21438656|nm9831648|mrs. el fassi</x:v>
      </x:c>
      <x:c r="B231" s="14" t="str">
        <x:v>01</x:v>
      </x:c>
      <x:c r="C231" s="14" t="str">
        <x:v>2024_IMDb_Cast_Lists_Batch_01(1).xlsx</x:v>
      </x:c>
      <x:c r="D231" s="14" t="str">
        <x:v>Boarders</x:v>
      </x:c>
      <x:c r="E231" s="14" t="n">
        <x:v>49</x:v>
      </x:c>
      <x:c r="F231" s="14" t="str">
        <x:v>Boarders</x:v>
      </x:c>
      <x:c r="G231" s="14" t="str">
        <x:v>tt21438656</x:v>
      </x:c>
      <x:c r="H231" s="14" t="n">
        <x:v>2024</x:v>
      </x:c>
      <x:c r="I231" s="14" t="n">
        <x:v>2025</x:v>
      </x:c>
      <x:c r="J231" s="14" t="str">
        <x:v>Post-study cohort</x:v>
      </x:c>
      <x:c r="K231" s="14" t="n">
        <x:v>2024</x:v>
      </x:c>
      <x:c r="L231" s="14" t="str">
        <x:v>Not inherited</x:v>
      </x:c>
      <x:c r="M231" s="15" t="n">
        <x:v>42</x:v>
      </x:c>
      <x:c r="N231" s="14" t="str">
        <x:v>Fatiha El-Ghorri</x:v>
      </x:c>
      <x:c r="O231" s="14" t="str">
        <x:v>nm9831648</x:v>
      </x:c>
      <x:c r="P231" s="14" t="str">
        <x:v>Mrs. El Fassi</x:v>
      </x:c>
      <x:c r="Q231" s="15" t="n">
        <x:v>3</x:v>
      </x:c>
      <x:c r="R231" s="14" t="str">
        <x:v>2026</x:v>
      </x:c>
      <x:c r="S231" s="14" t="n">
        <x:v>2026</x:v>
      </x:c>
      <x:c r="T231" s="14" t="n">
        <x:v>2026</x:v>
      </x:c>
      <x:c r="U231" s="14" t="str">
        <x:v>Explicit source first year retained</x:v>
      </x:c>
      <x:c r="V231" s="14" t="str">
        <x:v>Earliest supplied year is 2026.</x:v>
      </x:c>
      <x:c r="W231" s="14"/>
      <x:c r="X231" s="14" t="str">
        <x:v>Excluded: after 2025</x:v>
      </x:c>
      <x:c r="Y231" s="14"/>
      <x:c r="Z231" s="14" t="str">
        <x:v>Boarders.docx</x:v>
      </x:c>
      <x:c r="AA231" s="14" t="str">
        <x:v>HYPERLINK is not implemented. linkLocation=https://www.imdb.com/title/tt21438656/fullcredits/, friendlyName=Open source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BBC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7" t="e">
        <x:f>HYPERLINK("https://en.wikipedia.org/wiki/Boarders","Open source")</x:f>
        <x:v>HYPERLINK is not implemented. linkLocation=https://en.wikipedia.org/wiki/Boarders, friendlyName=Open source</x:v>
      </x:c>
      <x:c r="AN231" s="14" t="str">
        <x:v>BBC public-service commission</x:v>
      </x:c>
      <x:c r="AO231" s="14" t="str">
        <x:v>Yes</x:v>
      </x:c>
      <x:c r="AP231" s="14" t="str">
        <x:v>Direct BBC public-service scope</x:v>
      </x:c>
      <x:c r="AQ231" s="14" t="str">
        <x:v>Yes</x:v>
      </x:c>
      <x:c r="AR231" s="14" t="str">
        <x:v>Resolved from master register</x:v>
      </x:c>
      <x:c r="AS231" s="14" t="str">
        <x:v>No established-register match</x:v>
      </x:c>
      <x:c r="AT231" s="14"/>
      <x:c r="AU231" s="14"/>
      <x:c r="AV231" s="14" t="str">
        <x:v>No established apparent-disability match</x:v>
      </x:c>
      <x:c r="AW231" s="14"/>
      <x:c r="AX231" s="14" t="str">
        <x:v>No</x:v>
      </x:c>
      <x:c r="AY231" s="14" t="str">
        <x:v>Unmatched</x:v>
      </x:c>
      <x:c r="AZ231" s="14" t="str">
        <x:v>Final supplied register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18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3</x:v>
      </x:c>
      <x:c r="BS231" s="16" t="n">
        <x:v>0.16666666666666666</x:v>
      </x:c>
      <x:c r="BT231" s="14" t="str">
        <x:v>Minority of episodes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4" t="str">
        <x:v>HYPERLINK is not implemented. linkLocation=https://www.imdb.com/title/tt21438656/fullcredits/, friendlyName=Open source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tt21438656|nm0103495|steve</x:v>
      </x:c>
      <x:c r="B232" s="14" t="str">
        <x:v>01</x:v>
      </x:c>
      <x:c r="C232" s="14" t="str">
        <x:v>2024_IMDb_Cast_Lists_Batch_01(1).xlsx</x:v>
      </x:c>
      <x:c r="D232" s="14" t="str">
        <x:v>Boarders</x:v>
      </x:c>
      <x:c r="E232" s="14" t="n">
        <x:v>50</x:v>
      </x:c>
      <x:c r="F232" s="14" t="str">
        <x:v>Boarders</x:v>
      </x:c>
      <x:c r="G232" s="14" t="str">
        <x:v>tt21438656</x:v>
      </x:c>
      <x:c r="H232" s="14" t="n">
        <x:v>2024</x:v>
      </x:c>
      <x:c r="I232" s="14" t="n">
        <x:v>2025</x:v>
      </x:c>
      <x:c r="J232" s="14" t="str">
        <x:v>Post-study cohort</x:v>
      </x:c>
      <x:c r="K232" s="14" t="n">
        <x:v>2024</x:v>
      </x:c>
      <x:c r="L232" s="14" t="str">
        <x:v>Not inherited</x:v>
      </x:c>
      <x:c r="M232" s="15" t="n">
        <x:v>43</x:v>
      </x:c>
      <x:c r="N232" s="14" t="str">
        <x:v>James Bradshaw</x:v>
      </x:c>
      <x:c r="O232" s="14" t="str">
        <x:v>nm0103495</x:v>
      </x:c>
      <x:c r="P232" s="14" t="str">
        <x:v>Steve</x:v>
      </x:c>
      <x:c r="Q232" s="15" t="n">
        <x:v>3</x:v>
      </x:c>
      <x:c r="R232" s="14" t="str">
        <x:v>2026</x:v>
      </x:c>
      <x:c r="S232" s="14" t="n">
        <x:v>2026</x:v>
      </x:c>
      <x:c r="T232" s="14" t="n">
        <x:v>2026</x:v>
      </x:c>
      <x:c r="U232" s="14" t="str">
        <x:v>Explicit source first year retained</x:v>
      </x:c>
      <x:c r="V232" s="14" t="str">
        <x:v>Earliest supplied year is 2026.</x:v>
      </x:c>
      <x:c r="W232" s="14"/>
      <x:c r="X232" s="14" t="str">
        <x:v>Excluded: after 2025</x:v>
      </x:c>
      <x:c r="Y232" s="14"/>
      <x:c r="Z232" s="14" t="str">
        <x:v>Boarders.docx</x:v>
      </x:c>
      <x:c r="AA232" s="14" t="str">
        <x:v>HYPERLINK is not implemented. linkLocation=https://www.imdb.com/title/tt21438656/fullcredits/, friendlyName=Open source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BBC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7" t="e">
        <x:f>HYPERLINK("https://en.wikipedia.org/wiki/Boarders","Open source")</x:f>
        <x:v>HYPERLINK is not implemented. linkLocation=https://en.wikipedia.org/wiki/Boarders, friendlyName=Open source</x:v>
      </x:c>
      <x:c r="AN232" s="14" t="str">
        <x:v>BBC public-service commission</x:v>
      </x:c>
      <x:c r="AO232" s="14" t="str">
        <x:v>Yes</x:v>
      </x:c>
      <x:c r="AP232" s="14" t="str">
        <x:v>Direct BBC public-service scope</x:v>
      </x:c>
      <x:c r="AQ232" s="14" t="str">
        <x:v>Yes</x:v>
      </x:c>
      <x:c r="AR232" s="14" t="str">
        <x:v>Resolved from master register</x:v>
      </x:c>
      <x:c r="AS232" s="14" t="str">
        <x:v>No established-register match</x:v>
      </x:c>
      <x:c r="AT232" s="14"/>
      <x:c r="AU232" s="14"/>
      <x:c r="AV232" s="14" t="str">
        <x:v>No established apparent-disability match</x:v>
      </x:c>
      <x:c r="AW232" s="14"/>
      <x:c r="AX232" s="14" t="str">
        <x:v>No</x:v>
      </x:c>
      <x:c r="AY232" s="14" t="str">
        <x:v>Unmatched</x:v>
      </x:c>
      <x:c r="AZ232" s="14" t="str">
        <x:v>Final supplied register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18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3</x:v>
      </x:c>
      <x:c r="BS232" s="16" t="n">
        <x:v>0.16666666666666666</x:v>
      </x:c>
      <x:c r="BT232" s="14" t="str">
        <x:v>Minority of episodes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4" t="str">
        <x:v>HYPERLINK is not implemented. linkLocation=https://www.imdb.com/title/tt21438656/fullcredits/, friendlyName=Open source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tt21438656|nm1257480|mr. tramley</x:v>
      </x:c>
      <x:c r="B233" s="14" t="str">
        <x:v>01</x:v>
      </x:c>
      <x:c r="C233" s="14" t="str">
        <x:v>2024_IMDb_Cast_Lists_Batch_01(1).xlsx</x:v>
      </x:c>
      <x:c r="D233" s="14" t="str">
        <x:v>Boarders</x:v>
      </x:c>
      <x:c r="E233" s="14" t="n">
        <x:v>51</x:v>
      </x:c>
      <x:c r="F233" s="14" t="str">
        <x:v>Boarders</x:v>
      </x:c>
      <x:c r="G233" s="14" t="str">
        <x:v>tt21438656</x:v>
      </x:c>
      <x:c r="H233" s="14" t="n">
        <x:v>2024</x:v>
      </x:c>
      <x:c r="I233" s="14" t="n">
        <x:v>2025</x:v>
      </x:c>
      <x:c r="J233" s="14" t="str">
        <x:v>Post-study cohort</x:v>
      </x:c>
      <x:c r="K233" s="14" t="n">
        <x:v>2024</x:v>
      </x:c>
      <x:c r="L233" s="14" t="str">
        <x:v>Not inherited</x:v>
      </x:c>
      <x:c r="M233" s="15" t="n">
        <x:v>44</x:v>
      </x:c>
      <x:c r="N233" s="14" t="str">
        <x:v>Rufus Jones</x:v>
      </x:c>
      <x:c r="O233" s="14" t="str">
        <x:v>nm1257480</x:v>
      </x:c>
      <x:c r="P233" s="14" t="str">
        <x:v>Mr. Tramley</x:v>
      </x:c>
      <x:c r="Q233" s="15" t="n">
        <x:v>2</x:v>
      </x:c>
      <x:c r="R233" s="14" t="str">
        <x:v>2026</x:v>
      </x:c>
      <x:c r="S233" s="14" t="n">
        <x:v>2026</x:v>
      </x:c>
      <x:c r="T233" s="14" t="n">
        <x:v>2026</x:v>
      </x:c>
      <x:c r="U233" s="14" t="str">
        <x:v>Explicit source first year retained</x:v>
      </x:c>
      <x:c r="V233" s="14" t="str">
        <x:v>Earliest supplied year is 2026.</x:v>
      </x:c>
      <x:c r="W233" s="14"/>
      <x:c r="X233" s="14" t="str">
        <x:v>Excluded: after 2025</x:v>
      </x:c>
      <x:c r="Y233" s="14"/>
      <x:c r="Z233" s="14" t="str">
        <x:v>Boarders.docx</x:v>
      </x:c>
      <x:c r="AA233" s="14" t="str">
        <x:v>HYPERLINK is not implemented. linkLocation=https://www.imdb.com/title/tt21438656/fullcredits/, friendlyName=Open source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BBC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7" t="e">
        <x:f>HYPERLINK("https://en.wikipedia.org/wiki/Boarders","Open source")</x:f>
        <x:v>HYPERLINK is not implemented. linkLocation=https://en.wikipedia.org/wiki/Boarders, friendlyName=Open source</x:v>
      </x:c>
      <x:c r="AN233" s="14" t="str">
        <x:v>BBC public-service commission</x:v>
      </x:c>
      <x:c r="AO233" s="14" t="str">
        <x:v>Yes</x:v>
      </x:c>
      <x:c r="AP233" s="14" t="str">
        <x:v>Direct BBC public-service scope</x:v>
      </x:c>
      <x:c r="AQ233" s="14" t="str">
        <x:v>Yes</x:v>
      </x:c>
      <x:c r="AR233" s="14" t="str">
        <x:v>Resolved from master register</x:v>
      </x:c>
      <x:c r="AS233" s="14" t="str">
        <x:v>No established-register match</x:v>
      </x:c>
      <x:c r="AT233" s="14"/>
      <x:c r="AU233" s="14"/>
      <x:c r="AV233" s="14" t="str">
        <x:v>No established apparent-disability match</x:v>
      </x:c>
      <x:c r="AW233" s="14"/>
      <x:c r="AX233" s="14" t="str">
        <x:v>No</x:v>
      </x:c>
      <x:c r="AY233" s="14" t="str">
        <x:v>Unmatched</x:v>
      </x:c>
      <x:c r="AZ233" s="14" t="str">
        <x:v>Final supplied register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18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2</x:v>
      </x:c>
      <x:c r="BS233" s="16" t="n">
        <x:v>0.1111111111111111</x:v>
      </x:c>
      <x:c r="BT233" s="14" t="str">
        <x:v>Minority of episodes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4" t="str">
        <x:v>HYPERLINK is not implemented. linkLocation=https://www.imdb.com/title/tt21438656/fullcredits/, friendlyName=Open source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tt21438656|nm18570153|humphrey</x:v>
      </x:c>
      <x:c r="B234" s="14" t="str">
        <x:v>01</x:v>
      </x:c>
      <x:c r="C234" s="14" t="str">
        <x:v>2024_IMDb_Cast_Lists_Batch_01(1).xlsx</x:v>
      </x:c>
      <x:c r="D234" s="14" t="str">
        <x:v>Boarders</x:v>
      </x:c>
      <x:c r="E234" s="14" t="n">
        <x:v>52</x:v>
      </x:c>
      <x:c r="F234" s="14" t="str">
        <x:v>Boarders</x:v>
      </x:c>
      <x:c r="G234" s="14" t="str">
        <x:v>tt21438656</x:v>
      </x:c>
      <x:c r="H234" s="14" t="n">
        <x:v>2024</x:v>
      </x:c>
      <x:c r="I234" s="14" t="n">
        <x:v>2025</x:v>
      </x:c>
      <x:c r="J234" s="14" t="str">
        <x:v>Post-study cohort</x:v>
      </x:c>
      <x:c r="K234" s="14" t="n">
        <x:v>2024</x:v>
      </x:c>
      <x:c r="L234" s="14" t="str">
        <x:v>Not inherited</x:v>
      </x:c>
      <x:c r="M234" s="15" t="n">
        <x:v>45</x:v>
      </x:c>
      <x:c r="N234" s="14" t="str">
        <x:v>Quinn Spurdon</x:v>
      </x:c>
      <x:c r="O234" s="14" t="str">
        <x:v>nm18570153</x:v>
      </x:c>
      <x:c r="P234" s="14" t="str">
        <x:v>Humphrey</x:v>
      </x:c>
      <x:c r="Q234" s="15" t="n">
        <x:v>2</x:v>
      </x:c>
      <x:c r="R234" s="14" t="str">
        <x:v>2026</x:v>
      </x:c>
      <x:c r="S234" s="14" t="n">
        <x:v>2026</x:v>
      </x:c>
      <x:c r="T234" s="14" t="n">
        <x:v>2026</x:v>
      </x:c>
      <x:c r="U234" s="14" t="str">
        <x:v>Explicit source first year retained</x:v>
      </x:c>
      <x:c r="V234" s="14" t="str">
        <x:v>Earliest supplied year is 2026.</x:v>
      </x:c>
      <x:c r="W234" s="14"/>
      <x:c r="X234" s="14" t="str">
        <x:v>Excluded: after 2025</x:v>
      </x:c>
      <x:c r="Y234" s="14"/>
      <x:c r="Z234" s="14" t="str">
        <x:v>Boarders.docx</x:v>
      </x:c>
      <x:c r="AA234" s="14" t="str">
        <x:v>HYPERLINK is not implemented. linkLocation=https://www.imdb.com/title/tt21438656/fullcredits/, friendlyName=Open source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BBC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7" t="e">
        <x:f>HYPERLINK("https://en.wikipedia.org/wiki/Boarders","Open source")</x:f>
        <x:v>HYPERLINK is not implemented. linkLocation=https://en.wikipedia.org/wiki/Boarders, friendlyName=Open source</x:v>
      </x:c>
      <x:c r="AN234" s="14" t="str">
        <x:v>BBC public-service commission</x:v>
      </x:c>
      <x:c r="AO234" s="14" t="str">
        <x:v>Yes</x:v>
      </x:c>
      <x:c r="AP234" s="14" t="str">
        <x:v>Direct BBC public-service scope</x:v>
      </x:c>
      <x:c r="AQ234" s="14" t="str">
        <x:v>Yes</x:v>
      </x:c>
      <x:c r="AR234" s="14" t="str">
        <x:v>Resolved from master register</x:v>
      </x:c>
      <x:c r="AS234" s="14" t="str">
        <x:v>No established-register match</x:v>
      </x:c>
      <x:c r="AT234" s="14"/>
      <x:c r="AU234" s="14"/>
      <x:c r="AV234" s="14" t="str">
        <x:v>No established apparent-disability match</x:v>
      </x:c>
      <x:c r="AW234" s="14"/>
      <x:c r="AX234" s="14" t="str">
        <x:v>No</x:v>
      </x:c>
      <x:c r="AY234" s="14" t="str">
        <x:v>Unmatched</x:v>
      </x:c>
      <x:c r="AZ234" s="14" t="str">
        <x:v>Final supplied register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18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2</x:v>
      </x:c>
      <x:c r="BS234" s="16" t="n">
        <x:v>0.1111111111111111</x:v>
      </x:c>
      <x:c r="BT234" s="14" t="str">
        <x:v>Minority of episodes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4" t="str">
        <x:v>HYPERLINK is not implemented. linkLocation=https://www.imdb.com/title/tt21438656/fullcredits/, friendlyName=Open source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tt21438656|nm0049346|alfie</x:v>
      </x:c>
      <x:c r="B235" s="14" t="str">
        <x:v>01</x:v>
      </x:c>
      <x:c r="C235" s="14" t="str">
        <x:v>2024_IMDb_Cast_Lists_Batch_01(1).xlsx</x:v>
      </x:c>
      <x:c r="D235" s="14" t="str">
        <x:v>Boarders</x:v>
      </x:c>
      <x:c r="E235" s="14" t="n">
        <x:v>53</x:v>
      </x:c>
      <x:c r="F235" s="14" t="str">
        <x:v>Boarders</x:v>
      </x:c>
      <x:c r="G235" s="14" t="str">
        <x:v>tt21438656</x:v>
      </x:c>
      <x:c r="H235" s="14" t="n">
        <x:v>2024</x:v>
      </x:c>
      <x:c r="I235" s="14" t="n">
        <x:v>2025</x:v>
      </x:c>
      <x:c r="J235" s="14" t="str">
        <x:v>Post-study cohort</x:v>
      </x:c>
      <x:c r="K235" s="14" t="n">
        <x:v>2024</x:v>
      </x:c>
      <x:c r="L235" s="14" t="str">
        <x:v>Not inherited</x:v>
      </x:c>
      <x:c r="M235" s="15" t="n">
        <x:v>46</x:v>
      </x:c>
      <x:c r="N235" s="14" t="str">
        <x:v>Patrick Baladi</x:v>
      </x:c>
      <x:c r="O235" s="14" t="str">
        <x:v>nm0049346</x:v>
      </x:c>
      <x:c r="P235" s="14" t="str">
        <x:v>Alfie</x:v>
      </x:c>
      <x:c r="Q235" s="15" t="n">
        <x:v>2</x:v>
      </x:c>
      <x:c r="R235" s="14" t="str">
        <x:v>2026</x:v>
      </x:c>
      <x:c r="S235" s="14" t="n">
        <x:v>2026</x:v>
      </x:c>
      <x:c r="T235" s="14" t="n">
        <x:v>2026</x:v>
      </x:c>
      <x:c r="U235" s="14" t="str">
        <x:v>Explicit source first year retained</x:v>
      </x:c>
      <x:c r="V235" s="14" t="str">
        <x:v>Earliest supplied year is 2026.</x:v>
      </x:c>
      <x:c r="W235" s="14"/>
      <x:c r="X235" s="14" t="str">
        <x:v>Excluded: after 2025</x:v>
      </x:c>
      <x:c r="Y235" s="14"/>
      <x:c r="Z235" s="14" t="str">
        <x:v>Boarders.docx</x:v>
      </x:c>
      <x:c r="AA235" s="14" t="str">
        <x:v>HYPERLINK is not implemented. linkLocation=https://www.imdb.com/title/tt21438656/fullcredits/, friendlyName=Open source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BBC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7" t="e">
        <x:f>HYPERLINK("https://en.wikipedia.org/wiki/Boarders","Open source")</x:f>
        <x:v>HYPERLINK is not implemented. linkLocation=https://en.wikipedia.org/wiki/Boarders, friendlyName=Open source</x:v>
      </x:c>
      <x:c r="AN235" s="14" t="str">
        <x:v>BBC public-service commission</x:v>
      </x:c>
      <x:c r="AO235" s="14" t="str">
        <x:v>Yes</x:v>
      </x:c>
      <x:c r="AP235" s="14" t="str">
        <x:v>Direct BBC public-service scope</x:v>
      </x:c>
      <x:c r="AQ235" s="14" t="str">
        <x:v>Yes</x:v>
      </x:c>
      <x:c r="AR235" s="14" t="str">
        <x:v>Resolved from master register</x:v>
      </x:c>
      <x:c r="AS235" s="14" t="str">
        <x:v>No established-register match</x:v>
      </x:c>
      <x:c r="AT235" s="14"/>
      <x:c r="AU235" s="14"/>
      <x:c r="AV235" s="14" t="str">
        <x:v>No established apparent-disability match</x:v>
      </x:c>
      <x:c r="AW235" s="14"/>
      <x:c r="AX235" s="14" t="str">
        <x:v>No</x:v>
      </x:c>
      <x:c r="AY235" s="14" t="str">
        <x:v>Unmatched</x:v>
      </x:c>
      <x:c r="AZ235" s="14" t="str">
        <x:v>Final supplied register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18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2</x:v>
      </x:c>
      <x:c r="BS235" s="16" t="n">
        <x:v>0.1111111111111111</x:v>
      </x:c>
      <x:c r="BT235" s="14" t="str">
        <x:v>Minority of episodes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4" t="str">
        <x:v>HYPERLINK is not implemented. linkLocation=https://www.imdb.com/title/tt21438656/fullcredits/, friendlyName=Open source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tt21438656|nm2978720|alina staithes</x:v>
      </x:c>
      <x:c r="B236" s="14" t="str">
        <x:v>01</x:v>
      </x:c>
      <x:c r="C236" s="14" t="str">
        <x:v>2024_IMDb_Cast_Lists_Batch_01(1).xlsx</x:v>
      </x:c>
      <x:c r="D236" s="14" t="str">
        <x:v>Boarders</x:v>
      </x:c>
      <x:c r="E236" s="14" t="n">
        <x:v>54</x:v>
      </x:c>
      <x:c r="F236" s="14" t="str">
        <x:v>Boarders</x:v>
      </x:c>
      <x:c r="G236" s="14" t="str">
        <x:v>tt21438656</x:v>
      </x:c>
      <x:c r="H236" s="14" t="n">
        <x:v>2024</x:v>
      </x:c>
      <x:c r="I236" s="14" t="n">
        <x:v>2025</x:v>
      </x:c>
      <x:c r="J236" s="14" t="str">
        <x:v>Post-study cohort</x:v>
      </x:c>
      <x:c r="K236" s="14" t="n">
        <x:v>2024</x:v>
      </x:c>
      <x:c r="L236" s="14" t="str">
        <x:v>Not inherited</x:v>
      </x:c>
      <x:c r="M236" s="15" t="n">
        <x:v>47</x:v>
      </x:c>
      <x:c r="N236" s="14" t="str">
        <x:v>Natalia Kostrzewa</x:v>
      </x:c>
      <x:c r="O236" s="14" t="str">
        <x:v>nm2978720</x:v>
      </x:c>
      <x:c r="P236" s="14" t="str">
        <x:v>Alina Staithes</x:v>
      </x:c>
      <x:c r="Q236" s="15" t="n">
        <x:v>2</x:v>
      </x:c>
      <x:c r="R236" s="14" t="str">
        <x:v>2026</x:v>
      </x:c>
      <x:c r="S236" s="14" t="n">
        <x:v>2026</x:v>
      </x:c>
      <x:c r="T236" s="14" t="n">
        <x:v>2026</x:v>
      </x:c>
      <x:c r="U236" s="14" t="str">
        <x:v>Explicit source first year retained</x:v>
      </x:c>
      <x:c r="V236" s="14" t="str">
        <x:v>Earliest supplied year is 2026.</x:v>
      </x:c>
      <x:c r="W236" s="14"/>
      <x:c r="X236" s="14" t="str">
        <x:v>Excluded: after 2025</x:v>
      </x:c>
      <x:c r="Y236" s="14"/>
      <x:c r="Z236" s="14" t="str">
        <x:v>Boarders.docx</x:v>
      </x:c>
      <x:c r="AA236" s="14" t="str">
        <x:v>HYPERLINK is not implemented. linkLocation=https://www.imdb.com/title/tt21438656/fullcredits/, friendlyName=Open source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BBC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7" t="e">
        <x:f>HYPERLINK("https://en.wikipedia.org/wiki/Boarders","Open source")</x:f>
        <x:v>HYPERLINK is not implemented. linkLocation=https://en.wikipedia.org/wiki/Boarders, friendlyName=Open source</x:v>
      </x:c>
      <x:c r="AN236" s="14" t="str">
        <x:v>BBC public-service commission</x:v>
      </x:c>
      <x:c r="AO236" s="14" t="str">
        <x:v>Yes</x:v>
      </x:c>
      <x:c r="AP236" s="14" t="str">
        <x:v>Direct BBC public-service scope</x:v>
      </x:c>
      <x:c r="AQ236" s="14" t="str">
        <x:v>Yes</x:v>
      </x:c>
      <x:c r="AR236" s="14" t="str">
        <x:v>Resolved from master register</x:v>
      </x:c>
      <x:c r="AS236" s="14" t="str">
        <x:v>No established-register match</x:v>
      </x:c>
      <x:c r="AT236" s="14"/>
      <x:c r="AU236" s="14"/>
      <x:c r="AV236" s="14" t="str">
        <x:v>No established apparent-disability match</x:v>
      </x:c>
      <x:c r="AW236" s="14"/>
      <x:c r="AX236" s="14" t="str">
        <x:v>No</x:v>
      </x:c>
      <x:c r="AY236" s="14" t="str">
        <x:v>Unmatched</x:v>
      </x:c>
      <x:c r="AZ236" s="14" t="str">
        <x:v>Final supplied register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18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2</x:v>
      </x:c>
      <x:c r="BS236" s="16" t="n">
        <x:v>0.1111111111111111</x:v>
      </x:c>
      <x:c r="BT236" s="14" t="str">
        <x:v>Minority of episodes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4" t="str">
        <x:v>HYPERLINK is not implemented. linkLocation=https://www.imdb.com/title/tt21438656/fullcredits/, friendlyName=Open source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tt21438656|nm4858489|vashti</x:v>
      </x:c>
      <x:c r="B237" s="14" t="str">
        <x:v>01</x:v>
      </x:c>
      <x:c r="C237" s="14" t="str">
        <x:v>2024_IMDb_Cast_Lists_Batch_01(1).xlsx</x:v>
      </x:c>
      <x:c r="D237" s="14" t="str">
        <x:v>Boarders</x:v>
      </x:c>
      <x:c r="E237" s="14" t="n">
        <x:v>62</x:v>
      </x:c>
      <x:c r="F237" s="14" t="str">
        <x:v>Boarders</x:v>
      </x:c>
      <x:c r="G237" s="14" t="str">
        <x:v>tt21438656</x:v>
      </x:c>
      <x:c r="H237" s="14" t="n">
        <x:v>2024</x:v>
      </x:c>
      <x:c r="I237" s="14" t="n">
        <x:v>2025</x:v>
      </x:c>
      <x:c r="J237" s="14" t="str">
        <x:v>Post-study cohort</x:v>
      </x:c>
      <x:c r="K237" s="14" t="n">
        <x:v>2024</x:v>
      </x:c>
      <x:c r="L237" s="14" t="str">
        <x:v>Not inherited</x:v>
      </x:c>
      <x:c r="M237" s="15" t="n">
        <x:v>55</x:v>
      </x:c>
      <x:c r="N237" s="14" t="str">
        <x:v>Arinder Sadhra</x:v>
      </x:c>
      <x:c r="O237" s="14" t="str">
        <x:v>nm4858489</x:v>
      </x:c>
      <x:c r="P237" s="14" t="str">
        <x:v>Vashti</x:v>
      </x:c>
      <x:c r="Q237" s="15" t="n">
        <x:v>1</x:v>
      </x:c>
      <x:c r="R237" s="14" t="str">
        <x:v>2026</x:v>
      </x:c>
      <x:c r="S237" s="14" t="n">
        <x:v>2026</x:v>
      </x:c>
      <x:c r="T237" s="14" t="n">
        <x:v>2026</x:v>
      </x:c>
      <x:c r="U237" s="14" t="str">
        <x:v>Explicit source first year retained</x:v>
      </x:c>
      <x:c r="V237" s="14" t="str">
        <x:v>Earliest supplied year is 2026.</x:v>
      </x:c>
      <x:c r="W237" s="14"/>
      <x:c r="X237" s="14" t="str">
        <x:v>Excluded: after 2025</x:v>
      </x:c>
      <x:c r="Y237" s="14"/>
      <x:c r="Z237" s="14" t="str">
        <x:v>Boarders.docx</x:v>
      </x:c>
      <x:c r="AA237" s="14" t="str">
        <x:v>HYPERLINK is not implemented. linkLocation=https://www.imdb.com/title/tt21438656/fullcredits/, friendlyName=Open source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7" t="e">
        <x:f>HYPERLINK("https://en.wikipedia.org/wiki/Boarders","Open source")</x:f>
        <x:v>HYPERLINK is not implemented. linkLocation=https://en.wikipedia.org/wiki/Boarders, friendlyName=Open source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 t="str">
        <x:v>No established-register match</x:v>
      </x:c>
      <x:c r="AT237" s="14"/>
      <x:c r="AU237" s="14"/>
      <x:c r="AV237" s="14" t="str">
        <x:v>No established apparent-disability match</x:v>
      </x:c>
      <x:c r="AW237" s="14"/>
      <x:c r="AX237" s="14" t="str">
        <x:v>No</x:v>
      </x:c>
      <x:c r="AY237" s="14" t="str">
        <x:v>Unmatched</x:v>
      </x:c>
      <x:c r="AZ237" s="14" t="str">
        <x:v>Final supplied register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18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1</x:v>
      </x:c>
      <x:c r="BS237" s="16" t="n">
        <x:v>0.05555555555555555</x:v>
      </x:c>
      <x:c r="BT237" s="14" t="str">
        <x:v>One episode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4" t="str">
        <x:v>HYPERLINK is not implemented. linkLocation=https://www.imdb.com/title/tt21438656/fullcredits/, friendlyName=Open source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tt21438656|nm7640580|mr. sewell</x:v>
      </x:c>
      <x:c r="B238" s="14" t="str">
        <x:v>01</x:v>
      </x:c>
      <x:c r="C238" s="14" t="str">
        <x:v>2024_IMDb_Cast_Lists_Batch_01(1).xlsx</x:v>
      </x:c>
      <x:c r="D238" s="14" t="str">
        <x:v>Boarders</x:v>
      </x:c>
      <x:c r="E238" s="14" t="n">
        <x:v>63</x:v>
      </x:c>
      <x:c r="F238" s="14" t="str">
        <x:v>Boarders</x:v>
      </x:c>
      <x:c r="G238" s="14" t="str">
        <x:v>tt21438656</x:v>
      </x:c>
      <x:c r="H238" s="14" t="n">
        <x:v>2024</x:v>
      </x:c>
      <x:c r="I238" s="14" t="n">
        <x:v>2025</x:v>
      </x:c>
      <x:c r="J238" s="14" t="str">
        <x:v>Post-study cohort</x:v>
      </x:c>
      <x:c r="K238" s="14" t="n">
        <x:v>2024</x:v>
      </x:c>
      <x:c r="L238" s="14" t="str">
        <x:v>Not inherited</x:v>
      </x:c>
      <x:c r="M238" s="15" t="n">
        <x:v>56</x:v>
      </x:c>
      <x:c r="N238" s="14" t="str">
        <x:v>Alex MacKeith</x:v>
      </x:c>
      <x:c r="O238" s="14" t="str">
        <x:v>nm7640580</x:v>
      </x:c>
      <x:c r="P238" s="14" t="str">
        <x:v>Mr. Sewell</x:v>
      </x:c>
      <x:c r="Q238" s="15" t="n">
        <x:v>1</x:v>
      </x:c>
      <x:c r="R238" s="14" t="str">
        <x:v>2026</x:v>
      </x:c>
      <x:c r="S238" s="14" t="n">
        <x:v>2026</x:v>
      </x:c>
      <x:c r="T238" s="14" t="n">
        <x:v>2026</x:v>
      </x:c>
      <x:c r="U238" s="14" t="str">
        <x:v>Explicit source first year retained</x:v>
      </x:c>
      <x:c r="V238" s="14" t="str">
        <x:v>Earliest supplied year is 2026.</x:v>
      </x:c>
      <x:c r="W238" s="14"/>
      <x:c r="X238" s="14" t="str">
        <x:v>Excluded: after 2025</x:v>
      </x:c>
      <x:c r="Y238" s="14"/>
      <x:c r="Z238" s="14" t="str">
        <x:v>Boarders.docx</x:v>
      </x:c>
      <x:c r="AA238" s="14" t="str">
        <x:v>HYPERLINK is not implemented. linkLocation=https://www.imdb.com/title/tt21438656/fullcredits/, friendlyName=Open source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7" t="e">
        <x:f>HYPERLINK("https://en.wikipedia.org/wiki/Boarders","Open source")</x:f>
        <x:v>HYPERLINK is not implemented. linkLocation=https://en.wikipedia.org/wiki/Boarders, friendlyName=Open source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 t="str">
        <x:v>No established-register match</x:v>
      </x:c>
      <x:c r="AT238" s="14"/>
      <x:c r="AU238" s="14"/>
      <x:c r="AV238" s="14" t="str">
        <x:v>No established apparent-disability match</x:v>
      </x:c>
      <x:c r="AW238" s="14"/>
      <x:c r="AX238" s="14" t="str">
        <x:v>No</x:v>
      </x:c>
      <x:c r="AY238" s="14" t="str">
        <x:v>Unmatched</x:v>
      </x:c>
      <x:c r="AZ238" s="14" t="str">
        <x:v>Final supplied register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18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1</x:v>
      </x:c>
      <x:c r="BS238" s="16" t="n">
        <x:v>0.05555555555555555</x:v>
      </x:c>
      <x:c r="BT238" s="14" t="str">
        <x:v>One episode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4" t="str">
        <x:v>HYPERLINK is not implemented. linkLocation=https://www.imdb.com/title/tt21438656/fullcredits/, friendlyName=Open source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tt21438656|nm0058700|pinny</x:v>
      </x:c>
      <x:c r="B239" s="14" t="str">
        <x:v>01</x:v>
      </x:c>
      <x:c r="C239" s="14" t="str">
        <x:v>2024_IMDb_Cast_Lists_Batch_01(1).xlsx</x:v>
      </x:c>
      <x:c r="D239" s="14" t="str">
        <x:v>Boarders</x:v>
      </x:c>
      <x:c r="E239" s="14" t="n">
        <x:v>64</x:v>
      </x:c>
      <x:c r="F239" s="14" t="str">
        <x:v>Boarders</x:v>
      </x:c>
      <x:c r="G239" s="14" t="str">
        <x:v>tt21438656</x:v>
      </x:c>
      <x:c r="H239" s="14" t="n">
        <x:v>2024</x:v>
      </x:c>
      <x:c r="I239" s="14" t="n">
        <x:v>2025</x:v>
      </x:c>
      <x:c r="J239" s="14" t="str">
        <x:v>Post-study cohort</x:v>
      </x:c>
      <x:c r="K239" s="14" t="n">
        <x:v>2024</x:v>
      </x:c>
      <x:c r="L239" s="14" t="str">
        <x:v>Not inherited</x:v>
      </x:c>
      <x:c r="M239" s="15" t="n">
        <x:v>57</x:v>
      </x:c>
      <x:c r="N239" s="14" t="str">
        <x:v>Tim Bartholomew</x:v>
      </x:c>
      <x:c r="O239" s="14" t="str">
        <x:v>nm0058700</x:v>
      </x:c>
      <x:c r="P239" s="14" t="str">
        <x:v>Pinny</x:v>
      </x:c>
      <x:c r="Q239" s="15" t="n">
        <x:v>1</x:v>
      </x:c>
      <x:c r="R239" s="14" t="str">
        <x:v>2026</x:v>
      </x:c>
      <x:c r="S239" s="14" t="n">
        <x:v>2026</x:v>
      </x:c>
      <x:c r="T239" s="14" t="n">
        <x:v>2026</x:v>
      </x:c>
      <x:c r="U239" s="14" t="str">
        <x:v>Explicit source first year retained</x:v>
      </x:c>
      <x:c r="V239" s="14" t="str">
        <x:v>Earliest supplied year is 2026.</x:v>
      </x:c>
      <x:c r="W239" s="14"/>
      <x:c r="X239" s="14" t="str">
        <x:v>Excluded: after 2025</x:v>
      </x:c>
      <x:c r="Y239" s="14"/>
      <x:c r="Z239" s="14" t="str">
        <x:v>Boarders.docx</x:v>
      </x:c>
      <x:c r="AA239" s="14" t="str">
        <x:v>HYPERLINK is not implemented. linkLocation=https://www.imdb.com/title/tt21438656/fullcredits/, friendlyName=Open source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7" t="e">
        <x:f>HYPERLINK("https://en.wikipedia.org/wiki/Boarders","Open source")</x:f>
        <x:v>HYPERLINK is not implemented. linkLocation=https://en.wikipedia.org/wiki/Boarders, friendlyName=Open source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 t="str">
        <x:v>No established-register match</x:v>
      </x:c>
      <x:c r="AT239" s="14"/>
      <x:c r="AU239" s="14"/>
      <x:c r="AV239" s="14" t="str">
        <x:v>No established apparent-disability match</x:v>
      </x:c>
      <x:c r="AW239" s="14"/>
      <x:c r="AX239" s="14" t="str">
        <x:v>No</x:v>
      </x:c>
      <x:c r="AY239" s="14" t="str">
        <x:v>Unmatched</x:v>
      </x:c>
      <x:c r="AZ239" s="14" t="str">
        <x:v>Final supplied register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18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1</x:v>
      </x:c>
      <x:c r="BS239" s="16" t="n">
        <x:v>0.05555555555555555</x:v>
      </x:c>
      <x:c r="BT239" s="14" t="str">
        <x:v>One episode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4" t="str">
        <x:v>HYPERLINK is not implemented. linkLocation=https://www.imdb.com/title/tt21438656/fullcredits/, friendlyName=Open source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tt30802702|nm0004692|elliot quinn</x:v>
      </x:c>
      <x:c r="B240" s="14" t="str">
        <x:v>02</x:v>
      </x:c>
      <x:c r="C240" s="14" t="str">
        <x:v>2024_IMDb_Cast_Lists_Batch_02(1).xlsx</x:v>
      </x:c>
      <x:c r="D240" s="14" t="str">
        <x:v>Ellis</x:v>
      </x:c>
      <x:c r="E240" s="14" t="n">
        <x:v>12</x:v>
      </x:c>
      <x:c r="F240" s="14" t="str">
        <x:v>Ellis</x:v>
      </x:c>
      <x:c r="G240" s="14" t="str">
        <x:v>tt30802702</x:v>
      </x:c>
      <x:c r="H240" s="14" t="n">
        <x:v>2024</x:v>
      </x:c>
      <x:c r="I240" s="14" t="n">
        <x:v>2025</x:v>
      </x:c>
      <x:c r="J240" s="14" t="str">
        <x:v>Post-study cohort</x:v>
      </x:c>
      <x:c r="K240" s="14" t="n">
        <x:v>2024</x:v>
      </x:c>
      <x:c r="L240" s="14" t="str">
        <x:v>Not inherited</x:v>
      </x:c>
      <x:c r="M240" s="15" t="n">
        <x:v>5</x:v>
      </x:c>
      <x:c r="N240" s="14" t="str">
        <x:v>Mark Addy</x:v>
      </x:c>
      <x:c r="O240" s="14" t="str">
        <x:v>nm0004692</x:v>
      </x:c>
      <x:c r="P240" s="14" t="str">
        <x:v>Elliot Quinn</x:v>
      </x:c>
      <x:c r="Q240" s="15" t="n">
        <x:v>2</x:v>
      </x:c>
      <x:c r="R240" s="14" t="str">
        <x:v>2026</x:v>
      </x:c>
      <x:c r="S240" s="14" t="n">
        <x:v>2026</x:v>
      </x:c>
      <x:c r="T240" s="14" t="n">
        <x:v>2026</x:v>
      </x:c>
      <x:c r="U240" s="14" t="str">
        <x:v>Explicit source first year retained</x:v>
      </x:c>
      <x:c r="V240" s="14" t="str">
        <x:v>Earliest supplied year is 2026.</x:v>
      </x:c>
      <x:c r="W240" s="14"/>
      <x:c r="X240" s="14" t="str">
        <x:v>Excluded: after 2025</x:v>
      </x:c>
      <x:c r="Y240" s="14"/>
      <x:c r="Z240" s="14" t="str">
        <x:v>Ellis.docx</x:v>
      </x:c>
      <x:c r="AA240" s="14" t="str">
        <x:v>HYPERLINK is not implemented. linkLocation=https://www.imdb.com/title/tt30802702/fullcredits/, friendlyName=Open source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Channel 5 / 5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7" t="e">
        <x:f>HYPERLINK("https://en.wikipedia.org/wiki/Ellis","Open source")</x:f>
        <x:v>HYPERLINK is not implemented. linkLocation=https://en.wikipedia.org/wiki/Ellis, friendlyName=Open source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 t="str">
        <x:v>No established-register match</x:v>
      </x:c>
      <x:c r="AT240" s="14"/>
      <x:c r="AU240" s="14"/>
      <x:c r="AV240" s="14" t="str">
        <x:v>No established apparent-disability match</x:v>
      </x:c>
      <x:c r="AW240" s="14"/>
      <x:c r="AX240" s="14" t="str">
        <x:v>No</x:v>
      </x:c>
      <x:c r="AY240" s="14" t="str">
        <x:v>Unmatched</x:v>
      </x:c>
      <x:c r="AZ240" s="14" t="str">
        <x:v>Final supplied register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7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2</x:v>
      </x:c>
      <x:c r="BS240" s="16" t="n">
        <x:v>0.2857142857142857</x:v>
      </x:c>
      <x:c r="BT240" s="14" t="str">
        <x:v>Minority of episodes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4" t="str">
        <x:v>HYPERLINK is not implemented. linkLocation=https://www.imdb.com/title/tt30802702/fullcredits/, friendlyName=Open source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tt30802702|nm1655608|natasha scope</x:v>
      </x:c>
      <x:c r="B241" s="14" t="str">
        <x:v>02</x:v>
      </x:c>
      <x:c r="C241" s="14" t="str">
        <x:v>2024_IMDb_Cast_Lists_Batch_02(1).xlsx</x:v>
      </x:c>
      <x:c r="D241" s="14" t="str">
        <x:v>Ellis</x:v>
      </x:c>
      <x:c r="E241" s="14" t="n">
        <x:v>13</x:v>
      </x:c>
      <x:c r="F241" s="14" t="str">
        <x:v>Ellis</x:v>
      </x:c>
      <x:c r="G241" s="14" t="str">
        <x:v>tt30802702</x:v>
      </x:c>
      <x:c r="H241" s="14" t="n">
        <x:v>2024</x:v>
      </x:c>
      <x:c r="I241" s="14" t="n">
        <x:v>2025</x:v>
      </x:c>
      <x:c r="J241" s="14" t="str">
        <x:v>Post-study cohort</x:v>
      </x:c>
      <x:c r="K241" s="14" t="n">
        <x:v>2024</x:v>
      </x:c>
      <x:c r="L241" s="14" t="str">
        <x:v>Not inherited</x:v>
      </x:c>
      <x:c r="M241" s="15" t="n">
        <x:v>6</x:v>
      </x:c>
      <x:c r="N241" s="14" t="str">
        <x:v>Kirsty Bushell</x:v>
      </x:c>
      <x:c r="O241" s="14" t="str">
        <x:v>nm1655608</x:v>
      </x:c>
      <x:c r="P241" s="14" t="str">
        <x:v>Natasha Scope</x:v>
      </x:c>
      <x:c r="Q241" s="15" t="n">
        <x:v>2</x:v>
      </x:c>
      <x:c r="R241" s="14" t="str">
        <x:v>2026</x:v>
      </x:c>
      <x:c r="S241" s="14" t="n">
        <x:v>2026</x:v>
      </x:c>
      <x:c r="T241" s="14" t="n">
        <x:v>2026</x:v>
      </x:c>
      <x:c r="U241" s="14" t="str">
        <x:v>Explicit source first year retained</x:v>
      </x:c>
      <x:c r="V241" s="14" t="str">
        <x:v>Earliest supplied year is 2026.</x:v>
      </x:c>
      <x:c r="W241" s="14"/>
      <x:c r="X241" s="14" t="str">
        <x:v>Excluded: after 2025</x:v>
      </x:c>
      <x:c r="Y241" s="14"/>
      <x:c r="Z241" s="14" t="str">
        <x:v>Ellis.docx</x:v>
      </x:c>
      <x:c r="AA241" s="14" t="str">
        <x:v>HYPERLINK is not implemented. linkLocation=https://www.imdb.com/title/tt30802702/fullcredits/, friendlyName=Open source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Channel 5 / 5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7" t="e">
        <x:f>HYPERLINK("https://en.wikipedia.org/wiki/Ellis","Open source")</x:f>
        <x:v>HYPERLINK is not implemented. linkLocation=https://en.wikipedia.org/wiki/Ellis, friendlyName=Open source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 t="str">
        <x:v>No established-register match</x:v>
      </x:c>
      <x:c r="AT241" s="14"/>
      <x:c r="AU241" s="14"/>
      <x:c r="AV241" s="14" t="str">
        <x:v>No established apparent-disability match</x:v>
      </x:c>
      <x:c r="AW241" s="14"/>
      <x:c r="AX241" s="14" t="str">
        <x:v>No</x:v>
      </x:c>
      <x:c r="AY241" s="14" t="str">
        <x:v>Unmatched</x:v>
      </x:c>
      <x:c r="AZ241" s="14" t="str">
        <x:v>Final supplied register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7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2</x:v>
      </x:c>
      <x:c r="BS241" s="16" t="n">
        <x:v>0.2857142857142857</x:v>
      </x:c>
      <x:c r="BT241" s="14" t="str">
        <x:v>Minority of episodes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4" t="str">
        <x:v>HYPERLINK is not implemented. linkLocation=https://www.imdb.com/title/tt30802702/fullcredits/, friendlyName=Open source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tt30802702|nm7858011|tim selby</x:v>
      </x:c>
      <x:c r="B242" s="14" t="str">
        <x:v>02</x:v>
      </x:c>
      <x:c r="C242" s="14" t="str">
        <x:v>2024_IMDb_Cast_Lists_Batch_02(1).xlsx</x:v>
      </x:c>
      <x:c r="D242" s="14" t="str">
        <x:v>Ellis</x:v>
      </x:c>
      <x:c r="E242" s="14" t="n">
        <x:v>14</x:v>
      </x:c>
      <x:c r="F242" s="14" t="str">
        <x:v>Ellis</x:v>
      </x:c>
      <x:c r="G242" s="14" t="str">
        <x:v>tt30802702</x:v>
      </x:c>
      <x:c r="H242" s="14" t="n">
        <x:v>2024</x:v>
      </x:c>
      <x:c r="I242" s="14" t="n">
        <x:v>2025</x:v>
      </x:c>
      <x:c r="J242" s="14" t="str">
        <x:v>Post-study cohort</x:v>
      </x:c>
      <x:c r="K242" s="14" t="n">
        <x:v>2024</x:v>
      </x:c>
      <x:c r="L242" s="14" t="str">
        <x:v>Not inherited</x:v>
      </x:c>
      <x:c r="M242" s="15" t="n">
        <x:v>7</x:v>
      </x:c>
      <x:c r="N242" s="14" t="str">
        <x:v>Jack Bandeira</x:v>
      </x:c>
      <x:c r="O242" s="14" t="str">
        <x:v>nm7858011</x:v>
      </x:c>
      <x:c r="P242" s="14" t="str">
        <x:v>Tim Selby</x:v>
      </x:c>
      <x:c r="Q242" s="15" t="n">
        <x:v>2</x:v>
      </x:c>
      <x:c r="R242" s="14" t="str">
        <x:v>2026</x:v>
      </x:c>
      <x:c r="S242" s="14" t="n">
        <x:v>2026</x:v>
      </x:c>
      <x:c r="T242" s="14" t="n">
        <x:v>2026</x:v>
      </x:c>
      <x:c r="U242" s="14" t="str">
        <x:v>Explicit source first year retained</x:v>
      </x:c>
      <x:c r="V242" s="14" t="str">
        <x:v>Earliest supplied year is 2026.</x:v>
      </x:c>
      <x:c r="W242" s="14"/>
      <x:c r="X242" s="14" t="str">
        <x:v>Excluded: after 2025</x:v>
      </x:c>
      <x:c r="Y242" s="14"/>
      <x:c r="Z242" s="14" t="str">
        <x:v>Ellis.docx</x:v>
      </x:c>
      <x:c r="AA242" s="14" t="str">
        <x:v>HYPERLINK is not implemented. linkLocation=https://www.imdb.com/title/tt30802702/fullcredits/, friendlyName=Open source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Channel 5 / 5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7" t="e">
        <x:f>HYPERLINK("https://en.wikipedia.org/wiki/Ellis","Open source")</x:f>
        <x:v>HYPERLINK is not implemented. linkLocation=https://en.wikipedia.org/wiki/Ellis, friendlyName=Open source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 t="str">
        <x:v>No established-register match</x:v>
      </x:c>
      <x:c r="AT242" s="14"/>
      <x:c r="AU242" s="14"/>
      <x:c r="AV242" s="14" t="str">
        <x:v>No established apparent-disability match</x:v>
      </x:c>
      <x:c r="AW242" s="14"/>
      <x:c r="AX242" s="14" t="str">
        <x:v>No</x:v>
      </x:c>
      <x:c r="AY242" s="14" t="str">
        <x:v>Unmatched</x:v>
      </x:c>
      <x:c r="AZ242" s="14" t="str">
        <x:v>Final supplied register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7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2</x:v>
      </x:c>
      <x:c r="BS242" s="16" t="n">
        <x:v>0.2857142857142857</x:v>
      </x:c>
      <x:c r="BT242" s="14" t="str">
        <x:v>Minority of episodes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4" t="str">
        <x:v>HYPERLINK is not implemented. linkLocation=https://www.imdb.com/title/tt30802702/fullcredits/, friendlyName=Open source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tt30802702|nm1035206|chris ellerson</x:v>
      </x:c>
      <x:c r="B243" s="14" t="str">
        <x:v>02</x:v>
      </x:c>
      <x:c r="C243" s="14" t="str">
        <x:v>2024_IMDb_Cast_Lists_Batch_02(1).xlsx</x:v>
      </x:c>
      <x:c r="D243" s="14" t="str">
        <x:v>Ellis</x:v>
      </x:c>
      <x:c r="E243" s="14" t="n">
        <x:v>15</x:v>
      </x:c>
      <x:c r="F243" s="14" t="str">
        <x:v>Ellis</x:v>
      </x:c>
      <x:c r="G243" s="14" t="str">
        <x:v>tt30802702</x:v>
      </x:c>
      <x:c r="H243" s="14" t="n">
        <x:v>2024</x:v>
      </x:c>
      <x:c r="I243" s="14" t="n">
        <x:v>2025</x:v>
      </x:c>
      <x:c r="J243" s="14" t="str">
        <x:v>Post-study cohort</x:v>
      </x:c>
      <x:c r="K243" s="14" t="n">
        <x:v>2024</x:v>
      </x:c>
      <x:c r="L243" s="14" t="str">
        <x:v>Not inherited</x:v>
      </x:c>
      <x:c r="M243" s="15" t="n">
        <x:v>8</x:v>
      </x:c>
      <x:c r="N243" s="14" t="str">
        <x:v>Keir Charles</x:v>
      </x:c>
      <x:c r="O243" s="14" t="str">
        <x:v>nm1035206</x:v>
      </x:c>
      <x:c r="P243" s="14" t="str">
        <x:v>Chris Ellerson</x:v>
      </x:c>
      <x:c r="Q243" s="15" t="n">
        <x:v>2</x:v>
      </x:c>
      <x:c r="R243" s="14" t="str">
        <x:v>2026</x:v>
      </x:c>
      <x:c r="S243" s="14" t="n">
        <x:v>2026</x:v>
      </x:c>
      <x:c r="T243" s="14" t="n">
        <x:v>2026</x:v>
      </x:c>
      <x:c r="U243" s="14" t="str">
        <x:v>Explicit source first year retained</x:v>
      </x:c>
      <x:c r="V243" s="14" t="str">
        <x:v>Earliest supplied year is 2026.</x:v>
      </x:c>
      <x:c r="W243" s="14"/>
      <x:c r="X243" s="14" t="str">
        <x:v>Excluded: after 2025</x:v>
      </x:c>
      <x:c r="Y243" s="14"/>
      <x:c r="Z243" s="14" t="str">
        <x:v>Ellis.docx</x:v>
      </x:c>
      <x:c r="AA243" s="14" t="str">
        <x:v>HYPERLINK is not implemented. linkLocation=https://www.imdb.com/title/tt30802702/fullcredits/, friendlyName=Open source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Channel 5 / 5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7" t="e">
        <x:f>HYPERLINK("https://en.wikipedia.org/wiki/Ellis","Open source")</x:f>
        <x:v>HYPERLINK is not implemented. linkLocation=https://en.wikipedia.org/wiki/Ellis, friendlyName=Open source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 t="str">
        <x:v>No established-register match</x:v>
      </x:c>
      <x:c r="AT243" s="14"/>
      <x:c r="AU243" s="14"/>
      <x:c r="AV243" s="14" t="str">
        <x:v>No established apparent-disability match</x:v>
      </x:c>
      <x:c r="AW243" s="14"/>
      <x:c r="AX243" s="14" t="str">
        <x:v>No</x:v>
      </x:c>
      <x:c r="AY243" s="14" t="str">
        <x:v>Unmatched</x:v>
      </x:c>
      <x:c r="AZ243" s="14" t="str">
        <x:v>Final supplied register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7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2</x:v>
      </x:c>
      <x:c r="BS243" s="16" t="n">
        <x:v>0.2857142857142857</x:v>
      </x:c>
      <x:c r="BT243" s="14" t="str">
        <x:v>Minority of episodes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4" t="str">
        <x:v>HYPERLINK is not implemented. linkLocation=https://www.imdb.com/title/tt30802702/fullcredits/, friendlyName=Open source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tt30802702|nm3227473|ds malcolm oliver</x:v>
      </x:c>
      <x:c r="B244" s="14" t="str">
        <x:v>02</x:v>
      </x:c>
      <x:c r="C244" s="14" t="str">
        <x:v>2024_IMDb_Cast_Lists_Batch_02(1).xlsx</x:v>
      </x:c>
      <x:c r="D244" s="14" t="str">
        <x:v>Ellis</x:v>
      </x:c>
      <x:c r="E244" s="14" t="n">
        <x:v>16</x:v>
      </x:c>
      <x:c r="F244" s="14" t="str">
        <x:v>Ellis</x:v>
      </x:c>
      <x:c r="G244" s="14" t="str">
        <x:v>tt30802702</x:v>
      </x:c>
      <x:c r="H244" s="14" t="n">
        <x:v>2024</x:v>
      </x:c>
      <x:c r="I244" s="14" t="n">
        <x:v>2025</x:v>
      </x:c>
      <x:c r="J244" s="14" t="str">
        <x:v>Post-study cohort</x:v>
      </x:c>
      <x:c r="K244" s="14" t="n">
        <x:v>2024</x:v>
      </x:c>
      <x:c r="L244" s="14" t="str">
        <x:v>Not inherited</x:v>
      </x:c>
      <x:c r="M244" s="15" t="n">
        <x:v>9</x:v>
      </x:c>
      <x:c r="N244" s="14" t="str">
        <x:v>John Hollingworth</x:v>
      </x:c>
      <x:c r="O244" s="14" t="str">
        <x:v>nm3227473</x:v>
      </x:c>
      <x:c r="P244" s="14" t="str">
        <x:v>DS Malcolm Oliver</x:v>
      </x:c>
      <x:c r="Q244" s="15" t="n">
        <x:v>2</x:v>
      </x:c>
      <x:c r="R244" s="14" t="str">
        <x:v>2026</x:v>
      </x:c>
      <x:c r="S244" s="14" t="n">
        <x:v>2026</x:v>
      </x:c>
      <x:c r="T244" s="14" t="n">
        <x:v>2026</x:v>
      </x:c>
      <x:c r="U244" s="14" t="str">
        <x:v>Explicit source first year retained</x:v>
      </x:c>
      <x:c r="V244" s="14" t="str">
        <x:v>Earliest supplied year is 2026.</x:v>
      </x:c>
      <x:c r="W244" s="14"/>
      <x:c r="X244" s="14" t="str">
        <x:v>Excluded: after 2025</x:v>
      </x:c>
      <x:c r="Y244" s="14"/>
      <x:c r="Z244" s="14" t="str">
        <x:v>Ellis.docx</x:v>
      </x:c>
      <x:c r="AA244" s="14" t="str">
        <x:v>HYPERLINK is not implemented. linkLocation=https://www.imdb.com/title/tt30802702/fullcredits/, friendlyName=Open source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Channel 5 / 5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7" t="e">
        <x:f>HYPERLINK("https://en.wikipedia.org/wiki/Ellis","Open source")</x:f>
        <x:v>HYPERLINK is not implemented. linkLocation=https://en.wikipedia.org/wiki/Ellis, friendlyName=Open source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 t="str">
        <x:v>No established-register match</x:v>
      </x:c>
      <x:c r="AT244" s="14"/>
      <x:c r="AU244" s="14"/>
      <x:c r="AV244" s="14" t="str">
        <x:v>No established apparent-disability match</x:v>
      </x:c>
      <x:c r="AW244" s="14"/>
      <x:c r="AX244" s="14" t="str">
        <x:v>No</x:v>
      </x:c>
      <x:c r="AY244" s="14" t="str">
        <x:v>Unmatched</x:v>
      </x:c>
      <x:c r="AZ244" s="14" t="str">
        <x:v>Final supplied register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7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2</x:v>
      </x:c>
      <x:c r="BS244" s="16" t="n">
        <x:v>0.2857142857142857</x:v>
      </x:c>
      <x:c r="BT244" s="14" t="str">
        <x:v>Minority of episodes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4" t="str">
        <x:v>HYPERLINK is not implemented. linkLocation=https://www.imdb.com/title/tt30802702/fullcredits/, friendlyName=Open source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tt30802702|nm0283512|wendy pyke</x:v>
      </x:c>
      <x:c r="B245" s="14" t="str">
        <x:v>02</x:v>
      </x:c>
      <x:c r="C245" s="14" t="str">
        <x:v>2024_IMDb_Cast_Lists_Batch_02(1).xlsx</x:v>
      </x:c>
      <x:c r="D245" s="14" t="str">
        <x:v>Ellis</x:v>
      </x:c>
      <x:c r="E245" s="14" t="n">
        <x:v>17</x:v>
      </x:c>
      <x:c r="F245" s="14" t="str">
        <x:v>Ellis</x:v>
      </x:c>
      <x:c r="G245" s="14" t="str">
        <x:v>tt30802702</x:v>
      </x:c>
      <x:c r="H245" s="14" t="n">
        <x:v>2024</x:v>
      </x:c>
      <x:c r="I245" s="14" t="n">
        <x:v>2025</x:v>
      </x:c>
      <x:c r="J245" s="14" t="str">
        <x:v>Post-study cohort</x:v>
      </x:c>
      <x:c r="K245" s="14" t="n">
        <x:v>2024</x:v>
      </x:c>
      <x:c r="L245" s="14" t="str">
        <x:v>Not inherited</x:v>
      </x:c>
      <x:c r="M245" s="15" t="n">
        <x:v>10</x:v>
      </x:c>
      <x:c r="N245" s="14" t="str">
        <x:v>Judy Flynn</x:v>
      </x:c>
      <x:c r="O245" s="14" t="str">
        <x:v>nm0283512</x:v>
      </x:c>
      <x:c r="P245" s="14" t="str">
        <x:v>Wendy Pyke</x:v>
      </x:c>
      <x:c r="Q245" s="15" t="n">
        <x:v>2</x:v>
      </x:c>
      <x:c r="R245" s="14" t="str">
        <x:v>2026</x:v>
      </x:c>
      <x:c r="S245" s="14" t="n">
        <x:v>2026</x:v>
      </x:c>
      <x:c r="T245" s="14" t="n">
        <x:v>2026</x:v>
      </x:c>
      <x:c r="U245" s="14" t="str">
        <x:v>Explicit source first year retained</x:v>
      </x:c>
      <x:c r="V245" s="14" t="str">
        <x:v>Earliest supplied year is 2026.</x:v>
      </x:c>
      <x:c r="W245" s="14"/>
      <x:c r="X245" s="14" t="str">
        <x:v>Excluded: after 2025</x:v>
      </x:c>
      <x:c r="Y245" s="14"/>
      <x:c r="Z245" s="14" t="str">
        <x:v>Ellis.docx</x:v>
      </x:c>
      <x:c r="AA245" s="14" t="str">
        <x:v>HYPERLINK is not implemented. linkLocation=https://www.imdb.com/title/tt30802702/fullcredits/, friendlyName=Open source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Channel 5 / 5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7" t="e">
        <x:f>HYPERLINK("https://en.wikipedia.org/wiki/Ellis","Open source")</x:f>
        <x:v>HYPERLINK is not implemented. linkLocation=https://en.wikipedia.org/wiki/Ellis, friendlyName=Open source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 t="str">
        <x:v>No established-register match</x:v>
      </x:c>
      <x:c r="AT245" s="14"/>
      <x:c r="AU245" s="14"/>
      <x:c r="AV245" s="14" t="str">
        <x:v>No established apparent-disability match</x:v>
      </x:c>
      <x:c r="AW245" s="14"/>
      <x:c r="AX245" s="14" t="str">
        <x:v>No</x:v>
      </x:c>
      <x:c r="AY245" s="14" t="str">
        <x:v>Unmatched</x:v>
      </x:c>
      <x:c r="AZ245" s="14" t="str">
        <x:v>Final supplied register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7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2</x:v>
      </x:c>
      <x:c r="BS245" s="16" t="n">
        <x:v>0.2857142857142857</x:v>
      </x:c>
      <x:c r="BT245" s="14" t="str">
        <x:v>Minority of episodes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4" t="str">
        <x:v>HYPERLINK is not implemented. linkLocation=https://www.imdb.com/title/tt30802702/fullcredits/, friendlyName=Open source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tt30802702|nm7961340|mackenzie quinn</x:v>
      </x:c>
      <x:c r="B246" s="14" t="str">
        <x:v>02</x:v>
      </x:c>
      <x:c r="C246" s="14" t="str">
        <x:v>2024_IMDb_Cast_Lists_Batch_02(1).xlsx</x:v>
      </x:c>
      <x:c r="D246" s="14" t="str">
        <x:v>Ellis</x:v>
      </x:c>
      <x:c r="E246" s="14" t="n">
        <x:v>18</x:v>
      </x:c>
      <x:c r="F246" s="14" t="str">
        <x:v>Ellis</x:v>
      </x:c>
      <x:c r="G246" s="14" t="str">
        <x:v>tt30802702</x:v>
      </x:c>
      <x:c r="H246" s="14" t="n">
        <x:v>2024</x:v>
      </x:c>
      <x:c r="I246" s="14" t="n">
        <x:v>2025</x:v>
      </x:c>
      <x:c r="J246" s="14" t="str">
        <x:v>Post-study cohort</x:v>
      </x:c>
      <x:c r="K246" s="14" t="n">
        <x:v>2024</x:v>
      </x:c>
      <x:c r="L246" s="14" t="str">
        <x:v>Not inherited</x:v>
      </x:c>
      <x:c r="M246" s="15" t="n">
        <x:v>11</x:v>
      </x:c>
      <x:c r="N246" s="14" t="str">
        <x:v>Matilda Freeman</x:v>
      </x:c>
      <x:c r="O246" s="14" t="str">
        <x:v>nm7961340</x:v>
      </x:c>
      <x:c r="P246" s="14" t="str">
        <x:v>Mackenzie Quinn</x:v>
      </x:c>
      <x:c r="Q246" s="15" t="n">
        <x:v>2</x:v>
      </x:c>
      <x:c r="R246" s="14" t="str">
        <x:v>2026</x:v>
      </x:c>
      <x:c r="S246" s="14" t="n">
        <x:v>2026</x:v>
      </x:c>
      <x:c r="T246" s="14" t="n">
        <x:v>2026</x:v>
      </x:c>
      <x:c r="U246" s="14" t="str">
        <x:v>Explicit source first year retained</x:v>
      </x:c>
      <x:c r="V246" s="14" t="str">
        <x:v>Earliest supplied year is 2026.</x:v>
      </x:c>
      <x:c r="W246" s="14"/>
      <x:c r="X246" s="14" t="str">
        <x:v>Excluded: after 2025</x:v>
      </x:c>
      <x:c r="Y246" s="14"/>
      <x:c r="Z246" s="14" t="str">
        <x:v>Ellis.docx</x:v>
      </x:c>
      <x:c r="AA246" s="14" t="str">
        <x:v>HYPERLINK is not implemented. linkLocation=https://www.imdb.com/title/tt30802702/fullcredits/, friendlyName=Open source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Channel 5 / 5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7" t="e">
        <x:f>HYPERLINK("https://en.wikipedia.org/wiki/Ellis","Open source")</x:f>
        <x:v>HYPERLINK is not implemented. linkLocation=https://en.wikipedia.org/wiki/Ellis, friendlyName=Open source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 t="str">
        <x:v>No established-register match</x:v>
      </x:c>
      <x:c r="AT246" s="14"/>
      <x:c r="AU246" s="14"/>
      <x:c r="AV246" s="14" t="str">
        <x:v>No established apparent-disability match</x:v>
      </x:c>
      <x:c r="AW246" s="14"/>
      <x:c r="AX246" s="14" t="str">
        <x:v>No</x:v>
      </x:c>
      <x:c r="AY246" s="14" t="str">
        <x:v>Unmatched</x:v>
      </x:c>
      <x:c r="AZ246" s="14" t="str">
        <x:v>Final supplied register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7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2</x:v>
      </x:c>
      <x:c r="BS246" s="16" t="n">
        <x:v>0.2857142857142857</x:v>
      </x:c>
      <x:c r="BT246" s="14" t="str">
        <x:v>Minority of episodes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4" t="str">
        <x:v>HYPERLINK is not implemented. linkLocation=https://www.imdb.com/title/tt30802702/fullcredits/, friendlyName=Open source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tt30802702|nm2631544|pippa ellerson</x:v>
      </x:c>
      <x:c r="B247" s="14" t="str">
        <x:v>02</x:v>
      </x:c>
      <x:c r="C247" s="14" t="str">
        <x:v>2024_IMDb_Cast_Lists_Batch_02(1).xlsx</x:v>
      </x:c>
      <x:c r="D247" s="14" t="str">
        <x:v>Ellis</x:v>
      </x:c>
      <x:c r="E247" s="14" t="n">
        <x:v>19</x:v>
      </x:c>
      <x:c r="F247" s="14" t="str">
        <x:v>Ellis</x:v>
      </x:c>
      <x:c r="G247" s="14" t="str">
        <x:v>tt30802702</x:v>
      </x:c>
      <x:c r="H247" s="14" t="n">
        <x:v>2024</x:v>
      </x:c>
      <x:c r="I247" s="14" t="n">
        <x:v>2025</x:v>
      </x:c>
      <x:c r="J247" s="14" t="str">
        <x:v>Post-study cohort</x:v>
      </x:c>
      <x:c r="K247" s="14" t="n">
        <x:v>2024</x:v>
      </x:c>
      <x:c r="L247" s="14" t="str">
        <x:v>Not inherited</x:v>
      </x:c>
      <x:c r="M247" s="15" t="n">
        <x:v>12</x:v>
      </x:c>
      <x:c r="N247" s="14" t="str">
        <x:v>Cariad Lloyd</x:v>
      </x:c>
      <x:c r="O247" s="14" t="str">
        <x:v>nm2631544</x:v>
      </x:c>
      <x:c r="P247" s="14" t="str">
        <x:v>Pippa Ellerson</x:v>
      </x:c>
      <x:c r="Q247" s="15" t="n">
        <x:v>2</x:v>
      </x:c>
      <x:c r="R247" s="14" t="str">
        <x:v>2026</x:v>
      </x:c>
      <x:c r="S247" s="14" t="n">
        <x:v>2026</x:v>
      </x:c>
      <x:c r="T247" s="14" t="n">
        <x:v>2026</x:v>
      </x:c>
      <x:c r="U247" s="14" t="str">
        <x:v>Explicit source first year retained</x:v>
      </x:c>
      <x:c r="V247" s="14" t="str">
        <x:v>Earliest supplied year is 2026.</x:v>
      </x:c>
      <x:c r="W247" s="14"/>
      <x:c r="X247" s="14" t="str">
        <x:v>Excluded: after 2025</x:v>
      </x:c>
      <x:c r="Y247" s="14"/>
      <x:c r="Z247" s="14" t="str">
        <x:v>Ellis.docx</x:v>
      </x:c>
      <x:c r="AA247" s="14" t="str">
        <x:v>HYPERLINK is not implemented. linkLocation=https://www.imdb.com/title/tt30802702/fullcredits/, friendlyName=Open source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Channel 5 / 5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7" t="e">
        <x:f>HYPERLINK("https://en.wikipedia.org/wiki/Ellis","Open source")</x:f>
        <x:v>HYPERLINK is not implemented. linkLocation=https://en.wikipedia.org/wiki/Ellis, friendlyName=Open source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 t="str">
        <x:v>No established-register match</x:v>
      </x:c>
      <x:c r="AT247" s="14"/>
      <x:c r="AU247" s="14"/>
      <x:c r="AV247" s="14" t="str">
        <x:v>No established apparent-disability match</x:v>
      </x:c>
      <x:c r="AW247" s="14"/>
      <x:c r="AX247" s="14" t="str">
        <x:v>No</x:v>
      </x:c>
      <x:c r="AY247" s="14" t="str">
        <x:v>Unmatched</x:v>
      </x:c>
      <x:c r="AZ247" s="14" t="str">
        <x:v>Final supplied register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7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2</x:v>
      </x:c>
      <x:c r="BS247" s="16" t="n">
        <x:v>0.2857142857142857</x:v>
      </x:c>
      <x:c r="BT247" s="14" t="str">
        <x:v>Minority of episodes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4" t="str">
        <x:v>HYPERLINK is not implemented. linkLocation=https://www.imdb.com/title/tt30802702/fullcredits/, friendlyName=Open source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tt30802702|nm0822811|tina marshall</x:v>
      </x:c>
      <x:c r="B248" s="14" t="str">
        <x:v>02</x:v>
      </x:c>
      <x:c r="C248" s="14" t="str">
        <x:v>2024_IMDb_Cast_Lists_Batch_02(1).xlsx</x:v>
      </x:c>
      <x:c r="D248" s="14" t="str">
        <x:v>Ellis</x:v>
      </x:c>
      <x:c r="E248" s="14" t="n">
        <x:v>20</x:v>
      </x:c>
      <x:c r="F248" s="14" t="str">
        <x:v>Ellis</x:v>
      </x:c>
      <x:c r="G248" s="14" t="str">
        <x:v>tt30802702</x:v>
      </x:c>
      <x:c r="H248" s="14" t="n">
        <x:v>2024</x:v>
      </x:c>
      <x:c r="I248" s="14" t="n">
        <x:v>2025</x:v>
      </x:c>
      <x:c r="J248" s="14" t="str">
        <x:v>Post-study cohort</x:v>
      </x:c>
      <x:c r="K248" s="14" t="n">
        <x:v>2024</x:v>
      </x:c>
      <x:c r="L248" s="14" t="str">
        <x:v>Not inherited</x:v>
      </x:c>
      <x:c r="M248" s="15" t="n">
        <x:v>13</x:v>
      </x:c>
      <x:c r="N248" s="14" t="str">
        <x:v>Sophie Stanton</x:v>
      </x:c>
      <x:c r="O248" s="14" t="str">
        <x:v>nm0822811</x:v>
      </x:c>
      <x:c r="P248" s="14" t="str">
        <x:v>Tina Marshall</x:v>
      </x:c>
      <x:c r="Q248" s="15" t="n">
        <x:v>2</x:v>
      </x:c>
      <x:c r="R248" s="14" t="str">
        <x:v>2026</x:v>
      </x:c>
      <x:c r="S248" s="14" t="n">
        <x:v>2026</x:v>
      </x:c>
      <x:c r="T248" s="14" t="n">
        <x:v>2026</x:v>
      </x:c>
      <x:c r="U248" s="14" t="str">
        <x:v>Explicit source first year retained</x:v>
      </x:c>
      <x:c r="V248" s="14" t="str">
        <x:v>Earliest supplied year is 2026.</x:v>
      </x:c>
      <x:c r="W248" s="14"/>
      <x:c r="X248" s="14" t="str">
        <x:v>Excluded: after 2025</x:v>
      </x:c>
      <x:c r="Y248" s="14"/>
      <x:c r="Z248" s="14" t="str">
        <x:v>Ellis.docx</x:v>
      </x:c>
      <x:c r="AA248" s="14" t="str">
        <x:v>HYPERLINK is not implemented. linkLocation=https://www.imdb.com/title/tt30802702/fullcredits/, friendlyName=Open source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Channel 5 / 5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7" t="e">
        <x:f>HYPERLINK("https://en.wikipedia.org/wiki/Ellis","Open source")</x:f>
        <x:v>HYPERLINK is not implemented. linkLocation=https://en.wikipedia.org/wiki/Ellis, friendlyName=Open source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 t="str">
        <x:v>No established-register match</x:v>
      </x:c>
      <x:c r="AT248" s="14"/>
      <x:c r="AU248" s="14"/>
      <x:c r="AV248" s="14" t="str">
        <x:v>No established apparent-disability match</x:v>
      </x:c>
      <x:c r="AW248" s="14"/>
      <x:c r="AX248" s="14" t="str">
        <x:v>No</x:v>
      </x:c>
      <x:c r="AY248" s="14" t="str">
        <x:v>Unmatched</x:v>
      </x:c>
      <x:c r="AZ248" s="14" t="str">
        <x:v>Final supplied register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7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2</x:v>
      </x:c>
      <x:c r="BS248" s="16" t="n">
        <x:v>0.2857142857142857</x:v>
      </x:c>
      <x:c r="BT248" s="14" t="str">
        <x:v>Minority of episodes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4" t="str">
        <x:v>HYPERLINK is not implemented. linkLocation=https://www.imdb.com/title/tt30802702/fullcredits/, friendlyName=Open source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tt30802702|nm0606655|joseph ward</x:v>
      </x:c>
      <x:c r="B249" s="14" t="str">
        <x:v>02</x:v>
      </x:c>
      <x:c r="C249" s="14" t="str">
        <x:v>2024_IMDb_Cast_Lists_Batch_02(1).xlsx</x:v>
      </x:c>
      <x:c r="D249" s="14" t="str">
        <x:v>Ellis</x:v>
      </x:c>
      <x:c r="E249" s="14" t="n">
        <x:v>21</x:v>
      </x:c>
      <x:c r="F249" s="14" t="str">
        <x:v>Ellis</x:v>
      </x:c>
      <x:c r="G249" s="14" t="str">
        <x:v>tt30802702</x:v>
      </x:c>
      <x:c r="H249" s="14" t="n">
        <x:v>2024</x:v>
      </x:c>
      <x:c r="I249" s="14" t="n">
        <x:v>2025</x:v>
      </x:c>
      <x:c r="J249" s="14" t="str">
        <x:v>Post-study cohort</x:v>
      </x:c>
      <x:c r="K249" s="14" t="n">
        <x:v>2024</x:v>
      </x:c>
      <x:c r="L249" s="14" t="str">
        <x:v>Not inherited</x:v>
      </x:c>
      <x:c r="M249" s="15" t="n">
        <x:v>14</x:v>
      </x:c>
      <x:c r="N249" s="14" t="str">
        <x:v>Joel Morris</x:v>
      </x:c>
      <x:c r="O249" s="14" t="str">
        <x:v>nm0606655</x:v>
      </x:c>
      <x:c r="P249" s="14" t="str">
        <x:v>Joseph Ward</x:v>
      </x:c>
      <x:c r="Q249" s="15" t="n">
        <x:v>2</x:v>
      </x:c>
      <x:c r="R249" s="14" t="str">
        <x:v>2026</x:v>
      </x:c>
      <x:c r="S249" s="14" t="n">
        <x:v>2026</x:v>
      </x:c>
      <x:c r="T249" s="14" t="n">
        <x:v>2026</x:v>
      </x:c>
      <x:c r="U249" s="14" t="str">
        <x:v>Explicit source first year retained</x:v>
      </x:c>
      <x:c r="V249" s="14" t="str">
        <x:v>Earliest supplied year is 2026.</x:v>
      </x:c>
      <x:c r="W249" s="14"/>
      <x:c r="X249" s="14" t="str">
        <x:v>Excluded: after 2025</x:v>
      </x:c>
      <x:c r="Y249" s="14"/>
      <x:c r="Z249" s="14" t="str">
        <x:v>Ellis.docx</x:v>
      </x:c>
      <x:c r="AA249" s="14" t="str">
        <x:v>HYPERLINK is not implemented. linkLocation=https://www.imdb.com/title/tt30802702/fullcredits/, friendlyName=Open source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Channel 5 / 5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7" t="e">
        <x:f>HYPERLINK("https://en.wikipedia.org/wiki/Ellis","Open source")</x:f>
        <x:v>HYPERLINK is not implemented. linkLocation=https://en.wikipedia.org/wiki/Ellis, friendlyName=Open source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 t="str">
        <x:v>No established-register match</x:v>
      </x:c>
      <x:c r="AT249" s="14"/>
      <x:c r="AU249" s="14"/>
      <x:c r="AV249" s="14" t="str">
        <x:v>No established apparent-disability match</x:v>
      </x:c>
      <x:c r="AW249" s="14"/>
      <x:c r="AX249" s="14" t="str">
        <x:v>No</x:v>
      </x:c>
      <x:c r="AY249" s="14" t="str">
        <x:v>Unmatched</x:v>
      </x:c>
      <x:c r="AZ249" s="14" t="str">
        <x:v>Final supplied register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7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2</x:v>
      </x:c>
      <x:c r="BS249" s="16" t="n">
        <x:v>0.2857142857142857</x:v>
      </x:c>
      <x:c r="BT249" s="14" t="str">
        <x:v>Minority of episodes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4" t="str">
        <x:v>HYPERLINK is not implemented. linkLocation=https://www.imdb.com/title/tt30802702/fullcredits/, friendlyName=Open source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tt30802702|nm0867017|dci chalmers</x:v>
      </x:c>
      <x:c r="B250" s="14" t="str">
        <x:v>02</x:v>
      </x:c>
      <x:c r="C250" s="14" t="str">
        <x:v>2024_IMDb_Cast_Lists_Batch_02(1).xlsx</x:v>
      </x:c>
      <x:c r="D250" s="14" t="str">
        <x:v>Ellis</x:v>
      </x:c>
      <x:c r="E250" s="14" t="n">
        <x:v>22</x:v>
      </x:c>
      <x:c r="F250" s="14" t="str">
        <x:v>Ellis</x:v>
      </x:c>
      <x:c r="G250" s="14" t="str">
        <x:v>tt30802702</x:v>
      </x:c>
      <x:c r="H250" s="14" t="n">
        <x:v>2024</x:v>
      </x:c>
      <x:c r="I250" s="14" t="n">
        <x:v>2025</x:v>
      </x:c>
      <x:c r="J250" s="14" t="str">
        <x:v>Post-study cohort</x:v>
      </x:c>
      <x:c r="K250" s="14" t="n">
        <x:v>2024</x:v>
      </x:c>
      <x:c r="L250" s="14" t="str">
        <x:v>Not inherited</x:v>
      </x:c>
      <x:c r="M250" s="15" t="n">
        <x:v>15</x:v>
      </x:c>
      <x:c r="N250" s="14" t="str">
        <x:v>Stephen Tompkinson</x:v>
      </x:c>
      <x:c r="O250" s="14" t="str">
        <x:v>nm0867017</x:v>
      </x:c>
      <x:c r="P250" s="14" t="str">
        <x:v>DCI Chalmers</x:v>
      </x:c>
      <x:c r="Q250" s="15" t="n">
        <x:v>2</x:v>
      </x:c>
      <x:c r="R250" s="14" t="str">
        <x:v>2026</x:v>
      </x:c>
      <x:c r="S250" s="14" t="n">
        <x:v>2026</x:v>
      </x:c>
      <x:c r="T250" s="14" t="n">
        <x:v>2026</x:v>
      </x:c>
      <x:c r="U250" s="14" t="str">
        <x:v>Explicit source first year retained</x:v>
      </x:c>
      <x:c r="V250" s="14" t="str">
        <x:v>Earliest supplied year is 2026.</x:v>
      </x:c>
      <x:c r="W250" s="14"/>
      <x:c r="X250" s="14" t="str">
        <x:v>Excluded: after 2025</x:v>
      </x:c>
      <x:c r="Y250" s="14"/>
      <x:c r="Z250" s="14" t="str">
        <x:v>Ellis.docx</x:v>
      </x:c>
      <x:c r="AA250" s="14" t="str">
        <x:v>HYPERLINK is not implemented. linkLocation=https://www.imdb.com/title/tt30802702/fullcredits/, friendlyName=Open source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Channel 5 / 5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7" t="e">
        <x:f>HYPERLINK("https://en.wikipedia.org/wiki/Ellis","Open source")</x:f>
        <x:v>HYPERLINK is not implemented. linkLocation=https://en.wikipedia.org/wiki/Ellis, friendlyName=Open source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 t="str">
        <x:v>No established-register match</x:v>
      </x:c>
      <x:c r="AT250" s="14"/>
      <x:c r="AU250" s="14"/>
      <x:c r="AV250" s="14" t="str">
        <x:v>No established apparent-disability match</x:v>
      </x:c>
      <x:c r="AW250" s="14"/>
      <x:c r="AX250" s="14" t="str">
        <x:v>No</x:v>
      </x:c>
      <x:c r="AY250" s="14" t="str">
        <x:v>Unmatched</x:v>
      </x:c>
      <x:c r="AZ250" s="14" t="str">
        <x:v>Final supplied register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7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2</x:v>
      </x:c>
      <x:c r="BS250" s="16" t="n">
        <x:v>0.2857142857142857</x:v>
      </x:c>
      <x:c r="BT250" s="14" t="str">
        <x:v>Minority of episodes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4" t="str">
        <x:v>HYPERLINK is not implemented. linkLocation=https://www.imdb.com/title/tt30802702/fullcredits/, friendlyName=Open source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tt30802702|nm13189310|kelvin jones</x:v>
      </x:c>
      <x:c r="B251" s="14" t="str">
        <x:v>02</x:v>
      </x:c>
      <x:c r="C251" s="14" t="str">
        <x:v>2024_IMDb_Cast_Lists_Batch_02(1).xlsx</x:v>
      </x:c>
      <x:c r="D251" s="14" t="str">
        <x:v>Ellis</x:v>
      </x:c>
      <x:c r="E251" s="14" t="n">
        <x:v>23</x:v>
      </x:c>
      <x:c r="F251" s="14" t="str">
        <x:v>Ellis</x:v>
      </x:c>
      <x:c r="G251" s="14" t="str">
        <x:v>tt30802702</x:v>
      </x:c>
      <x:c r="H251" s="14" t="n">
        <x:v>2024</x:v>
      </x:c>
      <x:c r="I251" s="14" t="n">
        <x:v>2025</x:v>
      </x:c>
      <x:c r="J251" s="14" t="str">
        <x:v>Post-study cohort</x:v>
      </x:c>
      <x:c r="K251" s="14" t="n">
        <x:v>2024</x:v>
      </x:c>
      <x:c r="L251" s="14" t="str">
        <x:v>Not inherited</x:v>
      </x:c>
      <x:c r="M251" s="15" t="n">
        <x:v>16</x:v>
      </x:c>
      <x:c r="N251" s="14" t="str">
        <x:v>Sonny Walker</x:v>
      </x:c>
      <x:c r="O251" s="14" t="str">
        <x:v>nm13189310</x:v>
      </x:c>
      <x:c r="P251" s="14" t="str">
        <x:v>Kelvin Jones</x:v>
      </x:c>
      <x:c r="Q251" s="15" t="n">
        <x:v>2</x:v>
      </x:c>
      <x:c r="R251" s="14" t="str">
        <x:v>2026</x:v>
      </x:c>
      <x:c r="S251" s="14" t="n">
        <x:v>2026</x:v>
      </x:c>
      <x:c r="T251" s="14" t="n">
        <x:v>2026</x:v>
      </x:c>
      <x:c r="U251" s="14" t="str">
        <x:v>Explicit source first year retained</x:v>
      </x:c>
      <x:c r="V251" s="14" t="str">
        <x:v>Earliest supplied year is 2026.</x:v>
      </x:c>
      <x:c r="W251" s="14"/>
      <x:c r="X251" s="14" t="str">
        <x:v>Excluded: after 2025</x:v>
      </x:c>
      <x:c r="Y251" s="14"/>
      <x:c r="Z251" s="14" t="str">
        <x:v>Ellis.docx</x:v>
      </x:c>
      <x:c r="AA251" s="14" t="str">
        <x:v>HYPERLINK is not implemented. linkLocation=https://www.imdb.com/title/tt30802702/fullcredits/, friendlyName=Open source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Channel 5 / 5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7" t="e">
        <x:f>HYPERLINK("https://en.wikipedia.org/wiki/Ellis","Open source")</x:f>
        <x:v>HYPERLINK is not implemented. linkLocation=https://en.wikipedia.org/wiki/Ellis, friendlyName=Open source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 t="str">
        <x:v>No established-register match</x:v>
      </x:c>
      <x:c r="AT251" s="14"/>
      <x:c r="AU251" s="14"/>
      <x:c r="AV251" s="14" t="str">
        <x:v>No established apparent-disability match</x:v>
      </x:c>
      <x:c r="AW251" s="14"/>
      <x:c r="AX251" s="14" t="str">
        <x:v>No</x:v>
      </x:c>
      <x:c r="AY251" s="14" t="str">
        <x:v>Unmatched</x:v>
      </x:c>
      <x:c r="AZ251" s="14" t="str">
        <x:v>Final supplied register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7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2</x:v>
      </x:c>
      <x:c r="BS251" s="16" t="n">
        <x:v>0.2857142857142857</x:v>
      </x:c>
      <x:c r="BT251" s="14" t="str">
        <x:v>Minority of episodes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4" t="str">
        <x:v>HYPERLINK is not implemented. linkLocation=https://www.imdb.com/title/tt30802702/fullcredits/, friendlyName=Open source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tt30802702|nm3989486|abi marshall</x:v>
      </x:c>
      <x:c r="B252" s="14" t="str">
        <x:v>02</x:v>
      </x:c>
      <x:c r="C252" s="14" t="str">
        <x:v>2024_IMDb_Cast_Lists_Batch_02(1).xlsx</x:v>
      </x:c>
      <x:c r="D252" s="14" t="str">
        <x:v>Ellis</x:v>
      </x:c>
      <x:c r="E252" s="14" t="n">
        <x:v>24</x:v>
      </x:c>
      <x:c r="F252" s="14" t="str">
        <x:v>Ellis</x:v>
      </x:c>
      <x:c r="G252" s="14" t="str">
        <x:v>tt30802702</x:v>
      </x:c>
      <x:c r="H252" s="14" t="n">
        <x:v>2024</x:v>
      </x:c>
      <x:c r="I252" s="14" t="n">
        <x:v>2025</x:v>
      </x:c>
      <x:c r="J252" s="14" t="str">
        <x:v>Post-study cohort</x:v>
      </x:c>
      <x:c r="K252" s="14" t="n">
        <x:v>2024</x:v>
      </x:c>
      <x:c r="L252" s="14" t="str">
        <x:v>Not inherited</x:v>
      </x:c>
      <x:c r="M252" s="15" t="n">
        <x:v>17</x:v>
      </x:c>
      <x:c r="N252" s="14" t="str">
        <x:v>Lisa Ambalavanar</x:v>
      </x:c>
      <x:c r="O252" s="14" t="str">
        <x:v>nm3989486</x:v>
      </x:c>
      <x:c r="P252" s="14" t="str">
        <x:v>Abi Marshall</x:v>
      </x:c>
      <x:c r="Q252" s="15" t="n">
        <x:v>2</x:v>
      </x:c>
      <x:c r="R252" s="14" t="str">
        <x:v>2026</x:v>
      </x:c>
      <x:c r="S252" s="14" t="n">
        <x:v>2026</x:v>
      </x:c>
      <x:c r="T252" s="14" t="n">
        <x:v>2026</x:v>
      </x:c>
      <x:c r="U252" s="14" t="str">
        <x:v>Explicit source first year retained</x:v>
      </x:c>
      <x:c r="V252" s="14" t="str">
        <x:v>Earliest supplied year is 2026.</x:v>
      </x:c>
      <x:c r="W252" s="14"/>
      <x:c r="X252" s="14" t="str">
        <x:v>Excluded: after 2025</x:v>
      </x:c>
      <x:c r="Y252" s="14"/>
      <x:c r="Z252" s="14" t="str">
        <x:v>Ellis.docx</x:v>
      </x:c>
      <x:c r="AA252" s="14" t="str">
        <x:v>HYPERLINK is not implemented. linkLocation=https://www.imdb.com/title/tt30802702/fullcredits/, friendlyName=Open source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Channel 5 / 5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7" t="e">
        <x:f>HYPERLINK("https://en.wikipedia.org/wiki/Ellis","Open source")</x:f>
        <x:v>HYPERLINK is not implemented. linkLocation=https://en.wikipedia.org/wiki/Ellis, friendlyName=Open source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 t="str">
        <x:v>No established-register match</x:v>
      </x:c>
      <x:c r="AT252" s="14"/>
      <x:c r="AU252" s="14"/>
      <x:c r="AV252" s="14" t="str">
        <x:v>No established apparent-disability match</x:v>
      </x:c>
      <x:c r="AW252" s="14"/>
      <x:c r="AX252" s="14" t="str">
        <x:v>No</x:v>
      </x:c>
      <x:c r="AY252" s="14" t="str">
        <x:v>Unmatched</x:v>
      </x:c>
      <x:c r="AZ252" s="14" t="str">
        <x:v>Final supplied register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7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2</x:v>
      </x:c>
      <x:c r="BS252" s="16" t="n">
        <x:v>0.2857142857142857</x:v>
      </x:c>
      <x:c r="BT252" s="14" t="str">
        <x:v>Minority of episodes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4" t="str">
        <x:v>HYPERLINK is not implemented. linkLocation=https://www.imdb.com/title/tt30802702/fullcredits/, friendlyName=Open source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tt30802702|nm9032197|jade bell</x:v>
      </x:c>
      <x:c r="B253" s="14" t="str">
        <x:v>02</x:v>
      </x:c>
      <x:c r="C253" s="14" t="str">
        <x:v>2024_IMDb_Cast_Lists_Batch_02(1).xlsx</x:v>
      </x:c>
      <x:c r="D253" s="14" t="str">
        <x:v>Ellis</x:v>
      </x:c>
      <x:c r="E253" s="14" t="n">
        <x:v>25</x:v>
      </x:c>
      <x:c r="F253" s="14" t="str">
        <x:v>Ellis</x:v>
      </x:c>
      <x:c r="G253" s="14" t="str">
        <x:v>tt30802702</x:v>
      </x:c>
      <x:c r="H253" s="14" t="n">
        <x:v>2024</x:v>
      </x:c>
      <x:c r="I253" s="14" t="n">
        <x:v>2025</x:v>
      </x:c>
      <x:c r="J253" s="14" t="str">
        <x:v>Post-study cohort</x:v>
      </x:c>
      <x:c r="K253" s="14" t="n">
        <x:v>2024</x:v>
      </x:c>
      <x:c r="L253" s="14" t="str">
        <x:v>Not inherited</x:v>
      </x:c>
      <x:c r="M253" s="15" t="n">
        <x:v>18</x:v>
      </x:c>
      <x:c r="N253" s="14" t="str">
        <x:v>Niamh Blackshaw</x:v>
      </x:c>
      <x:c r="O253" s="14" t="str">
        <x:v>nm9032197</x:v>
      </x:c>
      <x:c r="P253" s="14" t="str">
        <x:v>Jade Bell</x:v>
      </x:c>
      <x:c r="Q253" s="15" t="n">
        <x:v>2</x:v>
      </x:c>
      <x:c r="R253" s="14" t="str">
        <x:v>2026</x:v>
      </x:c>
      <x:c r="S253" s="14" t="n">
        <x:v>2026</x:v>
      </x:c>
      <x:c r="T253" s="14" t="n">
        <x:v>2026</x:v>
      </x:c>
      <x:c r="U253" s="14" t="str">
        <x:v>Explicit source first year retained</x:v>
      </x:c>
      <x:c r="V253" s="14" t="str">
        <x:v>Earliest supplied year is 2026.</x:v>
      </x:c>
      <x:c r="W253" s="14"/>
      <x:c r="X253" s="14" t="str">
        <x:v>Excluded: after 2025</x:v>
      </x:c>
      <x:c r="Y253" s="14"/>
      <x:c r="Z253" s="14" t="str">
        <x:v>Ellis.docx</x:v>
      </x:c>
      <x:c r="AA253" s="14" t="str">
        <x:v>HYPERLINK is not implemented. linkLocation=https://www.imdb.com/title/tt30802702/fullcredits/, friendlyName=Open source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Channel 5 / 5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7" t="e">
        <x:f>HYPERLINK("https://en.wikipedia.org/wiki/Ellis","Open source")</x:f>
        <x:v>HYPERLINK is not implemented. linkLocation=https://en.wikipedia.org/wiki/Ellis, friendlyName=Open source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 t="str">
        <x:v>No established-register match</x:v>
      </x:c>
      <x:c r="AT253" s="14"/>
      <x:c r="AU253" s="14"/>
      <x:c r="AV253" s="14" t="str">
        <x:v>No established apparent-disability match</x:v>
      </x:c>
      <x:c r="AW253" s="14"/>
      <x:c r="AX253" s="14" t="str">
        <x:v>No</x:v>
      </x:c>
      <x:c r="AY253" s="14" t="str">
        <x:v>Unmatched</x:v>
      </x:c>
      <x:c r="AZ253" s="14" t="str">
        <x:v>Final supplied register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7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2</x:v>
      </x:c>
      <x:c r="BS253" s="16" t="n">
        <x:v>0.2857142857142857</x:v>
      </x:c>
      <x:c r="BT253" s="14" t="str">
        <x:v>Minority of episodes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4" t="str">
        <x:v>HYPERLINK is not implemented. linkLocation=https://www.imdb.com/title/tt30802702/fullcredits/, friendlyName=Open source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tt30802702|nm3966497|joshua quinn</x:v>
      </x:c>
      <x:c r="B254" s="14" t="str">
        <x:v>02</x:v>
      </x:c>
      <x:c r="C254" s="14" t="str">
        <x:v>2024_IMDb_Cast_Lists_Batch_02(1).xlsx</x:v>
      </x:c>
      <x:c r="D254" s="14" t="str">
        <x:v>Ellis</x:v>
      </x:c>
      <x:c r="E254" s="14" t="n">
        <x:v>26</x:v>
      </x:c>
      <x:c r="F254" s="14" t="str">
        <x:v>Ellis</x:v>
      </x:c>
      <x:c r="G254" s="14" t="str">
        <x:v>tt30802702</x:v>
      </x:c>
      <x:c r="H254" s="14" t="n">
        <x:v>2024</x:v>
      </x:c>
      <x:c r="I254" s="14" t="n">
        <x:v>2025</x:v>
      </x:c>
      <x:c r="J254" s="14" t="str">
        <x:v>Post-study cohort</x:v>
      </x:c>
      <x:c r="K254" s="14" t="n">
        <x:v>2024</x:v>
      </x:c>
      <x:c r="L254" s="14" t="str">
        <x:v>Not inherited</x:v>
      </x:c>
      <x:c r="M254" s="15" t="n">
        <x:v>19</x:v>
      </x:c>
      <x:c r="N254" s="14" t="str">
        <x:v>Sonny Ashbourne Serkis</x:v>
      </x:c>
      <x:c r="O254" s="14" t="str">
        <x:v>nm3966497</x:v>
      </x:c>
      <x:c r="P254" s="14" t="str">
        <x:v>Joshua Quinn</x:v>
      </x:c>
      <x:c r="Q254" s="15" t="n">
        <x:v>2</x:v>
      </x:c>
      <x:c r="R254" s="14" t="str">
        <x:v>2026</x:v>
      </x:c>
      <x:c r="S254" s="14" t="n">
        <x:v>2026</x:v>
      </x:c>
      <x:c r="T254" s="14" t="n">
        <x:v>2026</x:v>
      </x:c>
      <x:c r="U254" s="14" t="str">
        <x:v>Explicit source first year retained</x:v>
      </x:c>
      <x:c r="V254" s="14" t="str">
        <x:v>Earliest supplied year is 2026.</x:v>
      </x:c>
      <x:c r="W254" s="14"/>
      <x:c r="X254" s="14" t="str">
        <x:v>Excluded: after 2025</x:v>
      </x:c>
      <x:c r="Y254" s="14" t="str">
        <x:v>(as Sonny Ashbourne-Serkis)</x:v>
      </x:c>
      <x:c r="Z254" s="14" t="str">
        <x:v>Ellis.docx</x:v>
      </x:c>
      <x:c r="AA254" s="14" t="str">
        <x:v>HYPERLINK is not implemented. linkLocation=https://www.imdb.com/title/tt30802702/fullcredits/, friendlyName=Open source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Channel 5 / 5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7" t="e">
        <x:f>HYPERLINK("https://en.wikipedia.org/wiki/Ellis","Open source")</x:f>
        <x:v>HYPERLINK is not implemented. linkLocation=https://en.wikipedia.org/wiki/Ellis, friendlyName=Open source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 t="str">
        <x:v>No established-register match</x:v>
      </x:c>
      <x:c r="AT254" s="14"/>
      <x:c r="AU254" s="14"/>
      <x:c r="AV254" s="14" t="str">
        <x:v>No established apparent-disability match</x:v>
      </x:c>
      <x:c r="AW254" s="14"/>
      <x:c r="AX254" s="14" t="str">
        <x:v>No</x:v>
      </x:c>
      <x:c r="AY254" s="14" t="str">
        <x:v>Unmatched</x:v>
      </x:c>
      <x:c r="AZ254" s="14" t="str">
        <x:v>Final supplied register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7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2</x:v>
      </x:c>
      <x:c r="BS254" s="16" t="n">
        <x:v>0.2857142857142857</x:v>
      </x:c>
      <x:c r="BT254" s="14" t="str">
        <x:v>Minority of episodes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4" t="str">
        <x:v>HYPERLINK is not implemented. linkLocation=https://www.imdb.com/title/tt30802702/fullcredits/, friendlyName=Open source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tt30802702|nm6247581|avery barron</x:v>
      </x:c>
      <x:c r="B255" s="14" t="str">
        <x:v>02</x:v>
      </x:c>
      <x:c r="C255" s="14" t="str">
        <x:v>2024_IMDb_Cast_Lists_Batch_02(1).xlsx</x:v>
      </x:c>
      <x:c r="D255" s="14" t="str">
        <x:v>Ellis</x:v>
      </x:c>
      <x:c r="E255" s="14" t="n">
        <x:v>27</x:v>
      </x:c>
      <x:c r="F255" s="14" t="str">
        <x:v>Ellis</x:v>
      </x:c>
      <x:c r="G255" s="14" t="str">
        <x:v>tt30802702</x:v>
      </x:c>
      <x:c r="H255" s="14" t="n">
        <x:v>2024</x:v>
      </x:c>
      <x:c r="I255" s="14" t="n">
        <x:v>2025</x:v>
      </x:c>
      <x:c r="J255" s="14" t="str">
        <x:v>Post-study cohort</x:v>
      </x:c>
      <x:c r="K255" s="14" t="n">
        <x:v>2024</x:v>
      </x:c>
      <x:c r="L255" s="14" t="str">
        <x:v>Not inherited</x:v>
      </x:c>
      <x:c r="M255" s="15" t="n">
        <x:v>20</x:v>
      </x:c>
      <x:c r="N255" s="14" t="str">
        <x:v>Hannah Chinn</x:v>
      </x:c>
      <x:c r="O255" s="14" t="str">
        <x:v>nm6247581</x:v>
      </x:c>
      <x:c r="P255" s="14" t="str">
        <x:v>Avery Barron</x:v>
      </x:c>
      <x:c r="Q255" s="15" t="n">
        <x:v>2</x:v>
      </x:c>
      <x:c r="R255" s="14" t="str">
        <x:v>2026</x:v>
      </x:c>
      <x:c r="S255" s="14" t="n">
        <x:v>2026</x:v>
      </x:c>
      <x:c r="T255" s="14" t="n">
        <x:v>2026</x:v>
      </x:c>
      <x:c r="U255" s="14" t="str">
        <x:v>Explicit source first year retained</x:v>
      </x:c>
      <x:c r="V255" s="14" t="str">
        <x:v>Earliest supplied year is 2026.</x:v>
      </x:c>
      <x:c r="W255" s="14"/>
      <x:c r="X255" s="14" t="str">
        <x:v>Excluded: after 2025</x:v>
      </x:c>
      <x:c r="Y255" s="14"/>
      <x:c r="Z255" s="14" t="str">
        <x:v>Ellis.docx</x:v>
      </x:c>
      <x:c r="AA255" s="14" t="str">
        <x:v>HYPERLINK is not implemented. linkLocation=https://www.imdb.com/title/tt30802702/fullcredits/, friendlyName=Open source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Channel 5 / 5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7" t="e">
        <x:f>HYPERLINK("https://en.wikipedia.org/wiki/Ellis","Open source")</x:f>
        <x:v>HYPERLINK is not implemented. linkLocation=https://en.wikipedia.org/wiki/Ellis, friendlyName=Open source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 t="str">
        <x:v>No established-register match</x:v>
      </x:c>
      <x:c r="AT255" s="14"/>
      <x:c r="AU255" s="14"/>
      <x:c r="AV255" s="14" t="str">
        <x:v>No established apparent-disability match</x:v>
      </x:c>
      <x:c r="AW255" s="14"/>
      <x:c r="AX255" s="14" t="str">
        <x:v>No</x:v>
      </x:c>
      <x:c r="AY255" s="14" t="str">
        <x:v>Unmatched</x:v>
      </x:c>
      <x:c r="AZ255" s="14" t="str">
        <x:v>Final supplied register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7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2</x:v>
      </x:c>
      <x:c r="BS255" s="16" t="n">
        <x:v>0.2857142857142857</x:v>
      </x:c>
      <x:c r="BT255" s="14" t="str">
        <x:v>Minority of episodes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4" t="str">
        <x:v>HYPERLINK is not implemented. linkLocation=https://www.imdb.com/title/tt30802702/fullcredits/, friendlyName=Open source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tt30802702|nm3751359|pc suravi kareem</x:v>
      </x:c>
      <x:c r="B256" s="14" t="str">
        <x:v>02</x:v>
      </x:c>
      <x:c r="C256" s="14" t="str">
        <x:v>2024_IMDb_Cast_Lists_Batch_02(1).xlsx</x:v>
      </x:c>
      <x:c r="D256" s="14" t="str">
        <x:v>Ellis</x:v>
      </x:c>
      <x:c r="E256" s="14" t="n">
        <x:v>28</x:v>
      </x:c>
      <x:c r="F256" s="14" t="str">
        <x:v>Ellis</x:v>
      </x:c>
      <x:c r="G256" s="14" t="str">
        <x:v>tt30802702</x:v>
      </x:c>
      <x:c r="H256" s="14" t="n">
        <x:v>2024</x:v>
      </x:c>
      <x:c r="I256" s="14" t="n">
        <x:v>2025</x:v>
      </x:c>
      <x:c r="J256" s="14" t="str">
        <x:v>Post-study cohort</x:v>
      </x:c>
      <x:c r="K256" s="14" t="n">
        <x:v>2024</x:v>
      </x:c>
      <x:c r="L256" s="14" t="str">
        <x:v>Not inherited</x:v>
      </x:c>
      <x:c r="M256" s="15" t="n">
        <x:v>21</x:v>
      </x:c>
      <x:c r="N256" s="14" t="str">
        <x:v>Sasha Desouza-Willock</x:v>
      </x:c>
      <x:c r="O256" s="14" t="str">
        <x:v>nm3751359</x:v>
      </x:c>
      <x:c r="P256" s="14" t="str">
        <x:v>PC Suravi Kareem</x:v>
      </x:c>
      <x:c r="Q256" s="15" t="n">
        <x:v>2</x:v>
      </x:c>
      <x:c r="R256" s="14" t="str">
        <x:v>2026</x:v>
      </x:c>
      <x:c r="S256" s="14" t="n">
        <x:v>2026</x:v>
      </x:c>
      <x:c r="T256" s="14" t="n">
        <x:v>2026</x:v>
      </x:c>
      <x:c r="U256" s="14" t="str">
        <x:v>Explicit source first year retained</x:v>
      </x:c>
      <x:c r="V256" s="14" t="str">
        <x:v>Earliest supplied year is 2026.</x:v>
      </x:c>
      <x:c r="W256" s="14"/>
      <x:c r="X256" s="14" t="str">
        <x:v>Excluded: after 2025</x:v>
      </x:c>
      <x:c r="Y256" s="14"/>
      <x:c r="Z256" s="14" t="str">
        <x:v>Ellis.docx</x:v>
      </x:c>
      <x:c r="AA256" s="14" t="str">
        <x:v>HYPERLINK is not implemented. linkLocation=https://www.imdb.com/title/tt30802702/fullcredits/, friendlyName=Open source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Channel 5 / 5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7" t="e">
        <x:f>HYPERLINK("https://en.wikipedia.org/wiki/Ellis","Open source")</x:f>
        <x:v>HYPERLINK is not implemented. linkLocation=https://en.wikipedia.org/wiki/Ellis, friendlyName=Open source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 t="str">
        <x:v>No established-register match</x:v>
      </x:c>
      <x:c r="AT256" s="14"/>
      <x:c r="AU256" s="14"/>
      <x:c r="AV256" s="14" t="str">
        <x:v>No established apparent-disability match</x:v>
      </x:c>
      <x:c r="AW256" s="14"/>
      <x:c r="AX256" s="14" t="str">
        <x:v>No</x:v>
      </x:c>
      <x:c r="AY256" s="14" t="str">
        <x:v>Unmatched</x:v>
      </x:c>
      <x:c r="AZ256" s="14" t="str">
        <x:v>Final supplied register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7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2</x:v>
      </x:c>
      <x:c r="BS256" s="16" t="n">
        <x:v>0.2857142857142857</x:v>
      </x:c>
      <x:c r="BT256" s="14" t="str">
        <x:v>Minority of episodes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4" t="str">
        <x:v>HYPERLINK is not implemented. linkLocation=https://www.imdb.com/title/tt30802702/fullcredits/, friendlyName=Open source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tt30802702|nm2978720|ludmilla nowak</x:v>
      </x:c>
      <x:c r="B257" s="14" t="str">
        <x:v>02</x:v>
      </x:c>
      <x:c r="C257" s="14" t="str">
        <x:v>2024_IMDb_Cast_Lists_Batch_02(1).xlsx</x:v>
      </x:c>
      <x:c r="D257" s="14" t="str">
        <x:v>Ellis</x:v>
      </x:c>
      <x:c r="E257" s="14" t="n">
        <x:v>29</x:v>
      </x:c>
      <x:c r="F257" s="14" t="str">
        <x:v>Ellis</x:v>
      </x:c>
      <x:c r="G257" s="14" t="str">
        <x:v>tt30802702</x:v>
      </x:c>
      <x:c r="H257" s="14" t="n">
        <x:v>2024</x:v>
      </x:c>
      <x:c r="I257" s="14" t="n">
        <x:v>2025</x:v>
      </x:c>
      <x:c r="J257" s="14" t="str">
        <x:v>Post-study cohort</x:v>
      </x:c>
      <x:c r="K257" s="14" t="n">
        <x:v>2024</x:v>
      </x:c>
      <x:c r="L257" s="14" t="str">
        <x:v>Not inherited</x:v>
      </x:c>
      <x:c r="M257" s="15" t="n">
        <x:v>22</x:v>
      </x:c>
      <x:c r="N257" s="14" t="str">
        <x:v>Natalia Kostrzewa</x:v>
      </x:c>
      <x:c r="O257" s="14" t="str">
        <x:v>nm2978720</x:v>
      </x:c>
      <x:c r="P257" s="14" t="str">
        <x:v>Ludmilla Nowak</x:v>
      </x:c>
      <x:c r="Q257" s="15" t="n">
        <x:v>2</x:v>
      </x:c>
      <x:c r="R257" s="14" t="str">
        <x:v>2026</x:v>
      </x:c>
      <x:c r="S257" s="14" t="n">
        <x:v>2026</x:v>
      </x:c>
      <x:c r="T257" s="14" t="n">
        <x:v>2026</x:v>
      </x:c>
      <x:c r="U257" s="14" t="str">
        <x:v>Explicit source first year retained</x:v>
      </x:c>
      <x:c r="V257" s="14" t="str">
        <x:v>Earliest supplied year is 2026.</x:v>
      </x:c>
      <x:c r="W257" s="14"/>
      <x:c r="X257" s="14" t="str">
        <x:v>Excluded: after 2025</x:v>
      </x:c>
      <x:c r="Y257" s="14"/>
      <x:c r="Z257" s="14" t="str">
        <x:v>Ellis.docx</x:v>
      </x:c>
      <x:c r="AA257" s="14" t="str">
        <x:v>HYPERLINK is not implemented. linkLocation=https://www.imdb.com/title/tt30802702/fullcredits/, friendlyName=Open source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Channel 5 / 5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7" t="e">
        <x:f>HYPERLINK("https://en.wikipedia.org/wiki/Ellis","Open source")</x:f>
        <x:v>HYPERLINK is not implemented. linkLocation=https://en.wikipedia.org/wiki/Ellis, friendlyName=Open source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 t="str">
        <x:v>No established-register match</x:v>
      </x:c>
      <x:c r="AT257" s="14"/>
      <x:c r="AU257" s="14"/>
      <x:c r="AV257" s="14" t="str">
        <x:v>No established apparent-disability match</x:v>
      </x:c>
      <x:c r="AW257" s="14"/>
      <x:c r="AX257" s="14" t="str">
        <x:v>No</x:v>
      </x:c>
      <x:c r="AY257" s="14" t="str">
        <x:v>Unmatched</x:v>
      </x:c>
      <x:c r="AZ257" s="14" t="str">
        <x:v>Final supplied register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7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2</x:v>
      </x:c>
      <x:c r="BS257" s="16" t="n">
        <x:v>0.2857142857142857</x:v>
      </x:c>
      <x:c r="BT257" s="14" t="str">
        <x:v>Minority of episodes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4" t="str">
        <x:v>HYPERLINK is not implemented. linkLocation=https://www.imdb.com/title/tt30802702/fullcredits/, friendlyName=Open source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tt30802702|nm18295048|peter barron</x:v>
      </x:c>
      <x:c r="B258" s="14" t="str">
        <x:v>02</x:v>
      </x:c>
      <x:c r="C258" s="14" t="str">
        <x:v>2024_IMDb_Cast_Lists_Batch_02(1).xlsx</x:v>
      </x:c>
      <x:c r="D258" s="14" t="str">
        <x:v>Ellis</x:v>
      </x:c>
      <x:c r="E258" s="14" t="n">
        <x:v>30</x:v>
      </x:c>
      <x:c r="F258" s="14" t="str">
        <x:v>Ellis</x:v>
      </x:c>
      <x:c r="G258" s="14" t="str">
        <x:v>tt30802702</x:v>
      </x:c>
      <x:c r="H258" s="14" t="n">
        <x:v>2024</x:v>
      </x:c>
      <x:c r="I258" s="14" t="n">
        <x:v>2025</x:v>
      </x:c>
      <x:c r="J258" s="14" t="str">
        <x:v>Post-study cohort</x:v>
      </x:c>
      <x:c r="K258" s="14" t="n">
        <x:v>2024</x:v>
      </x:c>
      <x:c r="L258" s="14" t="str">
        <x:v>Not inherited</x:v>
      </x:c>
      <x:c r="M258" s="15" t="n">
        <x:v>23</x:v>
      </x:c>
      <x:c r="N258" s="14" t="str">
        <x:v>James Doran</x:v>
      </x:c>
      <x:c r="O258" s="14" t="str">
        <x:v>nm18295048</x:v>
      </x:c>
      <x:c r="P258" s="14" t="str">
        <x:v>Peter Barron</x:v>
      </x:c>
      <x:c r="Q258" s="15" t="n">
        <x:v>2</x:v>
      </x:c>
      <x:c r="R258" s="14" t="str">
        <x:v>2026</x:v>
      </x:c>
      <x:c r="S258" s="14" t="n">
        <x:v>2026</x:v>
      </x:c>
      <x:c r="T258" s="14" t="n">
        <x:v>2026</x:v>
      </x:c>
      <x:c r="U258" s="14" t="str">
        <x:v>Explicit source first year retained</x:v>
      </x:c>
      <x:c r="V258" s="14" t="str">
        <x:v>Earliest supplied year is 2026.</x:v>
      </x:c>
      <x:c r="W258" s="14"/>
      <x:c r="X258" s="14" t="str">
        <x:v>Excluded: after 2025</x:v>
      </x:c>
      <x:c r="Y258" s="14"/>
      <x:c r="Z258" s="14" t="str">
        <x:v>Ellis.docx</x:v>
      </x:c>
      <x:c r="AA258" s="14" t="str">
        <x:v>HYPERLINK is not implemented. linkLocation=https://www.imdb.com/title/tt30802702/fullcredits/, friendlyName=Open source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Channel 5 / 5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7" t="e">
        <x:f>HYPERLINK("https://en.wikipedia.org/wiki/Ellis","Open source")</x:f>
        <x:v>HYPERLINK is not implemented. linkLocation=https://en.wikipedia.org/wiki/Ellis, friendlyName=Open source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 t="str">
        <x:v>No established-register match</x:v>
      </x:c>
      <x:c r="AT258" s="14"/>
      <x:c r="AU258" s="14"/>
      <x:c r="AV258" s="14" t="str">
        <x:v>No established apparent-disability match</x:v>
      </x:c>
      <x:c r="AW258" s="14"/>
      <x:c r="AX258" s="14" t="str">
        <x:v>No</x:v>
      </x:c>
      <x:c r="AY258" s="14" t="str">
        <x:v>Unmatched</x:v>
      </x:c>
      <x:c r="AZ258" s="14" t="str">
        <x:v>Final supplied register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7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2</x:v>
      </x:c>
      <x:c r="BS258" s="16" t="n">
        <x:v>0.2857142857142857</x:v>
      </x:c>
      <x:c r="BT258" s="14" t="str">
        <x:v>Minority of episodes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4" t="str">
        <x:v>HYPERLINK is not implemented. linkLocation=https://www.imdb.com/title/tt30802702/fullcredits/, friendlyName=Open source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tt30802702|nm1328998|celina pusch</x:v>
      </x:c>
      <x:c r="B259" s="14" t="str">
        <x:v>02</x:v>
      </x:c>
      <x:c r="C259" s="14" t="str">
        <x:v>2024_IMDb_Cast_Lists_Batch_02(1).xlsx</x:v>
      </x:c>
      <x:c r="D259" s="14" t="str">
        <x:v>Ellis</x:v>
      </x:c>
      <x:c r="E259" s="14" t="n">
        <x:v>31</x:v>
      </x:c>
      <x:c r="F259" s="14" t="str">
        <x:v>Ellis</x:v>
      </x:c>
      <x:c r="G259" s="14" t="str">
        <x:v>tt30802702</x:v>
      </x:c>
      <x:c r="H259" s="14" t="n">
        <x:v>2024</x:v>
      </x:c>
      <x:c r="I259" s="14" t="n">
        <x:v>2025</x:v>
      </x:c>
      <x:c r="J259" s="14" t="str">
        <x:v>Post-study cohort</x:v>
      </x:c>
      <x:c r="K259" s="14" t="n">
        <x:v>2024</x:v>
      </x:c>
      <x:c r="L259" s="14" t="str">
        <x:v>Not inherited</x:v>
      </x:c>
      <x:c r="M259" s="15" t="n">
        <x:v>24</x:v>
      </x:c>
      <x:c r="N259" s="14" t="str">
        <x:v>Julia Krynke</x:v>
      </x:c>
      <x:c r="O259" s="14" t="str">
        <x:v>nm1328998</x:v>
      </x:c>
      <x:c r="P259" s="14" t="str">
        <x:v>Celina Pusch</x:v>
      </x:c>
      <x:c r="Q259" s="15" t="n">
        <x:v>2</x:v>
      </x:c>
      <x:c r="R259" s="14" t="str">
        <x:v>2026</x:v>
      </x:c>
      <x:c r="S259" s="14" t="n">
        <x:v>2026</x:v>
      </x:c>
      <x:c r="T259" s="14" t="n">
        <x:v>2026</x:v>
      </x:c>
      <x:c r="U259" s="14" t="str">
        <x:v>Explicit source first year retained</x:v>
      </x:c>
      <x:c r="V259" s="14" t="str">
        <x:v>Earliest supplied year is 2026.</x:v>
      </x:c>
      <x:c r="W259" s="14"/>
      <x:c r="X259" s="14" t="str">
        <x:v>Excluded: after 2025</x:v>
      </x:c>
      <x:c r="Y259" s="14"/>
      <x:c r="Z259" s="14" t="str">
        <x:v>Ellis.docx</x:v>
      </x:c>
      <x:c r="AA259" s="14" t="str">
        <x:v>HYPERLINK is not implemented. linkLocation=https://www.imdb.com/title/tt30802702/fullcredits/, friendlyName=Open source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Channel 5 / 5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7" t="e">
        <x:f>HYPERLINK("https://en.wikipedia.org/wiki/Ellis","Open source")</x:f>
        <x:v>HYPERLINK is not implemented. linkLocation=https://en.wikipedia.org/wiki/Ellis, friendlyName=Open source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No established-register match</x:v>
      </x:c>
      <x:c r="AT259" s="14"/>
      <x:c r="AU259" s="14"/>
      <x:c r="AV259" s="14" t="str">
        <x:v>No established apparent-disability match</x:v>
      </x:c>
      <x:c r="AW259" s="14"/>
      <x:c r="AX259" s="14" t="str">
        <x:v>No</x:v>
      </x:c>
      <x:c r="AY259" s="14" t="str">
        <x:v>Unmatched</x:v>
      </x:c>
      <x:c r="AZ259" s="14" t="str">
        <x:v>Final supplied register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7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2</x:v>
      </x:c>
      <x:c r="BS259" s="16" t="n">
        <x:v>0.2857142857142857</x:v>
      </x:c>
      <x:c r="BT259" s="14" t="str">
        <x:v>Minority of episodes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4" t="str">
        <x:v>HYPERLINK is not implemented. linkLocation=https://www.imdb.com/title/tt30802702/fullcredits/, friendlyName=Open source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tt30802702|nm13090687|archie ellerson</x:v>
      </x:c>
      <x:c r="B260" s="14" t="str">
        <x:v>02</x:v>
      </x:c>
      <x:c r="C260" s="14" t="str">
        <x:v>2024_IMDb_Cast_Lists_Batch_02(1).xlsx</x:v>
      </x:c>
      <x:c r="D260" s="14" t="str">
        <x:v>Ellis</x:v>
      </x:c>
      <x:c r="E260" s="14" t="n">
        <x:v>32</x:v>
      </x:c>
      <x:c r="F260" s="14" t="str">
        <x:v>Ellis</x:v>
      </x:c>
      <x:c r="G260" s="14" t="str">
        <x:v>tt30802702</x:v>
      </x:c>
      <x:c r="H260" s="14" t="n">
        <x:v>2024</x:v>
      </x:c>
      <x:c r="I260" s="14" t="n">
        <x:v>2025</x:v>
      </x:c>
      <x:c r="J260" s="14" t="str">
        <x:v>Post-study cohort</x:v>
      </x:c>
      <x:c r="K260" s="14" t="n">
        <x:v>2024</x:v>
      </x:c>
      <x:c r="L260" s="14" t="str">
        <x:v>Not inherited</x:v>
      </x:c>
      <x:c r="M260" s="15" t="n">
        <x:v>25</x:v>
      </x:c>
      <x:c r="N260" s="14" t="str">
        <x:v>Elliot Douglas</x:v>
      </x:c>
      <x:c r="O260" s="14" t="str">
        <x:v>nm13090687</x:v>
      </x:c>
      <x:c r="P260" s="14" t="str">
        <x:v>Archie Ellerson</x:v>
      </x:c>
      <x:c r="Q260" s="15" t="n">
        <x:v>2</x:v>
      </x:c>
      <x:c r="R260" s="14" t="str">
        <x:v>2026</x:v>
      </x:c>
      <x:c r="S260" s="14" t="n">
        <x:v>2026</x:v>
      </x:c>
      <x:c r="T260" s="14" t="n">
        <x:v>2026</x:v>
      </x:c>
      <x:c r="U260" s="14" t="str">
        <x:v>Explicit source first year retained</x:v>
      </x:c>
      <x:c r="V260" s="14" t="str">
        <x:v>Earliest supplied year is 2026.</x:v>
      </x:c>
      <x:c r="W260" s="14"/>
      <x:c r="X260" s="14" t="str">
        <x:v>Excluded: after 2025</x:v>
      </x:c>
      <x:c r="Y260" s="14"/>
      <x:c r="Z260" s="14" t="str">
        <x:v>Ellis.docx</x:v>
      </x:c>
      <x:c r="AA260" s="14" t="str">
        <x:v>HYPERLINK is not implemented. linkLocation=https://www.imdb.com/title/tt30802702/fullcredits/, friendlyName=Open source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Channel 5 / 5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7" t="e">
        <x:f>HYPERLINK("https://en.wikipedia.org/wiki/Ellis","Open source")</x:f>
        <x:v>HYPERLINK is not implemented. linkLocation=https://en.wikipedia.org/wiki/Ellis, friendlyName=Open source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 t="str">
        <x:v>No established-register match</x:v>
      </x:c>
      <x:c r="AT260" s="14"/>
      <x:c r="AU260" s="14"/>
      <x:c r="AV260" s="14" t="str">
        <x:v>No established apparent-disability match</x:v>
      </x:c>
      <x:c r="AW260" s="14"/>
      <x:c r="AX260" s="14" t="str">
        <x:v>No</x:v>
      </x:c>
      <x:c r="AY260" s="14" t="str">
        <x:v>Unmatched</x:v>
      </x:c>
      <x:c r="AZ260" s="14" t="str">
        <x:v>Final supplied register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7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2</x:v>
      </x:c>
      <x:c r="BS260" s="16" t="n">
        <x:v>0.2857142857142857</x:v>
      </x:c>
      <x:c r="BT260" s="14" t="str">
        <x:v>Minority of episodes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4" t="str">
        <x:v>HYPERLINK is not implemented. linkLocation=https://www.imdb.com/title/tt30802702/fullcredits/, friendlyName=Open source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tt30802702|nm1937932|lucy quinn</x:v>
      </x:c>
      <x:c r="B261" s="14" t="str">
        <x:v>02</x:v>
      </x:c>
      <x:c r="C261" s="14" t="str">
        <x:v>2024_IMDb_Cast_Lists_Batch_02(1).xlsx</x:v>
      </x:c>
      <x:c r="D261" s="14" t="str">
        <x:v>Ellis</x:v>
      </x:c>
      <x:c r="E261" s="14" t="n">
        <x:v>33</x:v>
      </x:c>
      <x:c r="F261" s="14" t="str">
        <x:v>Ellis</x:v>
      </x:c>
      <x:c r="G261" s="14" t="str">
        <x:v>tt30802702</x:v>
      </x:c>
      <x:c r="H261" s="14" t="n">
        <x:v>2024</x:v>
      </x:c>
      <x:c r="I261" s="14" t="n">
        <x:v>2025</x:v>
      </x:c>
      <x:c r="J261" s="14" t="str">
        <x:v>Post-study cohort</x:v>
      </x:c>
      <x:c r="K261" s="14" t="n">
        <x:v>2024</x:v>
      </x:c>
      <x:c r="L261" s="14" t="str">
        <x:v>Not inherited</x:v>
      </x:c>
      <x:c r="M261" s="15" t="n">
        <x:v>26</x:v>
      </x:c>
      <x:c r="N261" s="14" t="str">
        <x:v>Dorothea Myer-Bennett</x:v>
      </x:c>
      <x:c r="O261" s="14" t="str">
        <x:v>nm1937932</x:v>
      </x:c>
      <x:c r="P261" s="14" t="str">
        <x:v>Lucy Quinn</x:v>
      </x:c>
      <x:c r="Q261" s="15" t="n">
        <x:v>2</x:v>
      </x:c>
      <x:c r="R261" s="14" t="str">
        <x:v>2026</x:v>
      </x:c>
      <x:c r="S261" s="14" t="n">
        <x:v>2026</x:v>
      </x:c>
      <x:c r="T261" s="14" t="n">
        <x:v>2026</x:v>
      </x:c>
      <x:c r="U261" s="14" t="str">
        <x:v>Explicit source first year retained</x:v>
      </x:c>
      <x:c r="V261" s="14" t="str">
        <x:v>Earliest supplied year is 2026.</x:v>
      </x:c>
      <x:c r="W261" s="14"/>
      <x:c r="X261" s="14" t="str">
        <x:v>Excluded: after 2025</x:v>
      </x:c>
      <x:c r="Y261" s="14"/>
      <x:c r="Z261" s="14" t="str">
        <x:v>Ellis.docx</x:v>
      </x:c>
      <x:c r="AA261" s="14" t="str">
        <x:v>HYPERLINK is not implemented. linkLocation=https://www.imdb.com/title/tt30802702/fullcredits/, friendlyName=Open source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Channel 5 / 5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7" t="e">
        <x:f>HYPERLINK("https://en.wikipedia.org/wiki/Ellis","Open source")</x:f>
        <x:v>HYPERLINK is not implemented. linkLocation=https://en.wikipedia.org/wiki/Ellis, friendlyName=Open source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 t="str">
        <x:v>No established-register match</x:v>
      </x:c>
      <x:c r="AT261" s="14"/>
      <x:c r="AU261" s="14"/>
      <x:c r="AV261" s="14" t="str">
        <x:v>No established apparent-disability match</x:v>
      </x:c>
      <x:c r="AW261" s="14"/>
      <x:c r="AX261" s="14" t="str">
        <x:v>No</x:v>
      </x:c>
      <x:c r="AY261" s="14" t="str">
        <x:v>Unmatched</x:v>
      </x:c>
      <x:c r="AZ261" s="14" t="str">
        <x:v>Final supplied register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7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2</x:v>
      </x:c>
      <x:c r="BS261" s="16" t="n">
        <x:v>0.2857142857142857</x:v>
      </x:c>
      <x:c r="BT261" s="14" t="str">
        <x:v>Minority of episodes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4" t="str">
        <x:v>HYPERLINK is not implemented. linkLocation=https://www.imdb.com/title/tt30802702/fullcredits/, friendlyName=Open source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tt30802702|nm18295050|voice of grace</x:v>
      </x:c>
      <x:c r="B262" s="14" t="str">
        <x:v>02</x:v>
      </x:c>
      <x:c r="C262" s="14" t="str">
        <x:v>2024_IMDb_Cast_Lists_Batch_02(1).xlsx</x:v>
      </x:c>
      <x:c r="D262" s="14" t="str">
        <x:v>Ellis</x:v>
      </x:c>
      <x:c r="E262" s="14" t="n">
        <x:v>34</x:v>
      </x:c>
      <x:c r="F262" s="14" t="str">
        <x:v>Ellis</x:v>
      </x:c>
      <x:c r="G262" s="14" t="str">
        <x:v>tt30802702</x:v>
      </x:c>
      <x:c r="H262" s="14" t="n">
        <x:v>2024</x:v>
      </x:c>
      <x:c r="I262" s="14" t="n">
        <x:v>2025</x:v>
      </x:c>
      <x:c r="J262" s="14" t="str">
        <x:v>Post-study cohort</x:v>
      </x:c>
      <x:c r="K262" s="14" t="n">
        <x:v>2024</x:v>
      </x:c>
      <x:c r="L262" s="14" t="str">
        <x:v>Not inherited</x:v>
      </x:c>
      <x:c r="M262" s="15" t="n">
        <x:v>27</x:v>
      </x:c>
      <x:c r="N262" s="14" t="str">
        <x:v>Colenso Le Berre</x:v>
      </x:c>
      <x:c r="O262" s="14" t="str">
        <x:v>nm18295050</x:v>
      </x:c>
      <x:c r="P262" s="14" t="str">
        <x:v>Voice of Grace</x:v>
      </x:c>
      <x:c r="Q262" s="15" t="n">
        <x:v>2</x:v>
      </x:c>
      <x:c r="R262" s="14" t="str">
        <x:v>2026</x:v>
      </x:c>
      <x:c r="S262" s="14" t="n">
        <x:v>2026</x:v>
      </x:c>
      <x:c r="T262" s="14" t="n">
        <x:v>2026</x:v>
      </x:c>
      <x:c r="U262" s="14" t="str">
        <x:v>Explicit source first year retained</x:v>
      </x:c>
      <x:c r="V262" s="14" t="str">
        <x:v>Earliest supplied year is 2026.</x:v>
      </x:c>
      <x:c r="W262" s="14"/>
      <x:c r="X262" s="14" t="str">
        <x:v>Excluded: after 2025</x:v>
      </x:c>
      <x:c r="Y262" s="14"/>
      <x:c r="Z262" s="14" t="str">
        <x:v>Ellis.docx</x:v>
      </x:c>
      <x:c r="AA262" s="14" t="str">
        <x:v>HYPERLINK is not implemented. linkLocation=https://www.imdb.com/title/tt30802702/fullcredits/, friendlyName=Open source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Channel 5 / 5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7" t="e">
        <x:f>HYPERLINK("https://en.wikipedia.org/wiki/Ellis","Open source")</x:f>
        <x:v>HYPERLINK is not implemented. linkLocation=https://en.wikipedia.org/wiki/Ellis, friendlyName=Open source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 t="str">
        <x:v>No established-register match</x:v>
      </x:c>
      <x:c r="AT262" s="14"/>
      <x:c r="AU262" s="14"/>
      <x:c r="AV262" s="14" t="str">
        <x:v>No established apparent-disability match</x:v>
      </x:c>
      <x:c r="AW262" s="14"/>
      <x:c r="AX262" s="14" t="str">
        <x:v>No</x:v>
      </x:c>
      <x:c r="AY262" s="14" t="str">
        <x:v>Unmatched</x:v>
      </x:c>
      <x:c r="AZ262" s="14" t="str">
        <x:v>Final supplied register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7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2</x:v>
      </x:c>
      <x:c r="BS262" s="16" t="n">
        <x:v>0.2857142857142857</x:v>
      </x:c>
      <x:c r="BT262" s="14" t="str">
        <x:v>Minority of episodes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4" t="str">
        <x:v>HYPERLINK is not implemented. linkLocation=https://www.imdb.com/title/tt30802702/fullcredits/, friendlyName=Open source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tt30802702|nm0642109|rosie watts</x:v>
      </x:c>
      <x:c r="B263" s="14" t="str">
        <x:v>02</x:v>
      </x:c>
      <x:c r="C263" s="14" t="str">
        <x:v>2024_IMDb_Cast_Lists_Batch_02(1).xlsx</x:v>
      </x:c>
      <x:c r="D263" s="14" t="str">
        <x:v>Ellis</x:v>
      </x:c>
      <x:c r="E263" s="14" t="n">
        <x:v>35</x:v>
      </x:c>
      <x:c r="F263" s="14" t="str">
        <x:v>Ellis</x:v>
      </x:c>
      <x:c r="G263" s="14" t="str">
        <x:v>tt30802702</x:v>
      </x:c>
      <x:c r="H263" s="14" t="n">
        <x:v>2024</x:v>
      </x:c>
      <x:c r="I263" s="14" t="n">
        <x:v>2025</x:v>
      </x:c>
      <x:c r="J263" s="14" t="str">
        <x:v>Post-study cohort</x:v>
      </x:c>
      <x:c r="K263" s="14" t="n">
        <x:v>2024</x:v>
      </x:c>
      <x:c r="L263" s="14" t="str">
        <x:v>Not inherited</x:v>
      </x:c>
      <x:c r="M263" s="15" t="n">
        <x:v>28</x:v>
      </x:c>
      <x:c r="N263" s="14" t="str">
        <x:v>Caroline O'Neill</x:v>
      </x:c>
      <x:c r="O263" s="14" t="str">
        <x:v>nm0642109</x:v>
      </x:c>
      <x:c r="P263" s="14" t="str">
        <x:v>Rosie Watts</x:v>
      </x:c>
      <x:c r="Q263" s="15" t="n">
        <x:v>2</x:v>
      </x:c>
      <x:c r="R263" s="14" t="str">
        <x:v>2026</x:v>
      </x:c>
      <x:c r="S263" s="14" t="n">
        <x:v>2026</x:v>
      </x:c>
      <x:c r="T263" s="14" t="n">
        <x:v>2026</x:v>
      </x:c>
      <x:c r="U263" s="14" t="str">
        <x:v>Explicit source first year retained</x:v>
      </x:c>
      <x:c r="V263" s="14" t="str">
        <x:v>Earliest supplied year is 2026.</x:v>
      </x:c>
      <x:c r="W263" s="14"/>
      <x:c r="X263" s="14" t="str">
        <x:v>Excluded: after 2025</x:v>
      </x:c>
      <x:c r="Y263" s="14"/>
      <x:c r="Z263" s="14" t="str">
        <x:v>Ellis.docx</x:v>
      </x:c>
      <x:c r="AA263" s="14" t="str">
        <x:v>HYPERLINK is not implemented. linkLocation=https://www.imdb.com/title/tt30802702/fullcredits/, friendlyName=Open source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Channel 5 / 5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7" t="e">
        <x:f>HYPERLINK("https://en.wikipedia.org/wiki/Ellis","Open source")</x:f>
        <x:v>HYPERLINK is not implemented. linkLocation=https://en.wikipedia.org/wiki/Ellis, friendlyName=Open source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 t="str">
        <x:v>No established-register match</x:v>
      </x:c>
      <x:c r="AT263" s="14"/>
      <x:c r="AU263" s="14"/>
      <x:c r="AV263" s="14" t="str">
        <x:v>No established apparent-disability match</x:v>
      </x:c>
      <x:c r="AW263" s="14"/>
      <x:c r="AX263" s="14" t="str">
        <x:v>No</x:v>
      </x:c>
      <x:c r="AY263" s="14" t="str">
        <x:v>Unmatched</x:v>
      </x:c>
      <x:c r="AZ263" s="14" t="str">
        <x:v>Final supplied register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7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2</x:v>
      </x:c>
      <x:c r="BS263" s="16" t="n">
        <x:v>0.2857142857142857</x:v>
      </x:c>
      <x:c r="BT263" s="14" t="str">
        <x:v>Minority of episodes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4" t="str">
        <x:v>HYPERLINK is not implemented. linkLocation=https://www.imdb.com/title/tt30802702/fullcredits/, friendlyName=Open source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tt30802702|nm10405032|christian kalonas</x:v>
      </x:c>
      <x:c r="B264" s="14" t="str">
        <x:v>02</x:v>
      </x:c>
      <x:c r="C264" s="14" t="str">
        <x:v>2024_IMDb_Cast_Lists_Batch_02(1).xlsx</x:v>
      </x:c>
      <x:c r="D264" s="14" t="str">
        <x:v>Ellis</x:v>
      </x:c>
      <x:c r="E264" s="14" t="n">
        <x:v>36</x:v>
      </x:c>
      <x:c r="F264" s="14" t="str">
        <x:v>Ellis</x:v>
      </x:c>
      <x:c r="G264" s="14" t="str">
        <x:v>tt30802702</x:v>
      </x:c>
      <x:c r="H264" s="14" t="n">
        <x:v>2024</x:v>
      </x:c>
      <x:c r="I264" s="14" t="n">
        <x:v>2025</x:v>
      </x:c>
      <x:c r="J264" s="14" t="str">
        <x:v>Post-study cohort</x:v>
      </x:c>
      <x:c r="K264" s="14" t="n">
        <x:v>2024</x:v>
      </x:c>
      <x:c r="L264" s="14" t="str">
        <x:v>Not inherited</x:v>
      </x:c>
      <x:c r="M264" s="15" t="n">
        <x:v>29</x:v>
      </x:c>
      <x:c r="N264" s="14" t="str">
        <x:v>Florian Rafuna</x:v>
      </x:c>
      <x:c r="O264" s="14" t="str">
        <x:v>nm10405032</x:v>
      </x:c>
      <x:c r="P264" s="14" t="str">
        <x:v>Christian Kalonas</x:v>
      </x:c>
      <x:c r="Q264" s="15" t="n">
        <x:v>2</x:v>
      </x:c>
      <x:c r="R264" s="14" t="str">
        <x:v>2026</x:v>
      </x:c>
      <x:c r="S264" s="14" t="n">
        <x:v>2026</x:v>
      </x:c>
      <x:c r="T264" s="14" t="n">
        <x:v>2026</x:v>
      </x:c>
      <x:c r="U264" s="14" t="str">
        <x:v>Explicit source first year retained</x:v>
      </x:c>
      <x:c r="V264" s="14" t="str">
        <x:v>Earliest supplied year is 2026.</x:v>
      </x:c>
      <x:c r="W264" s="14"/>
      <x:c r="X264" s="14" t="str">
        <x:v>Excluded: after 2025</x:v>
      </x:c>
      <x:c r="Y264" s="14"/>
      <x:c r="Z264" s="14" t="str">
        <x:v>Ellis.docx</x:v>
      </x:c>
      <x:c r="AA264" s="14" t="str">
        <x:v>HYPERLINK is not implemented. linkLocation=https://www.imdb.com/title/tt30802702/fullcredits/, friendlyName=Open source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Channel 5 / 5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7" t="e">
        <x:f>HYPERLINK("https://en.wikipedia.org/wiki/Ellis","Open source")</x:f>
        <x:v>HYPERLINK is not implemented. linkLocation=https://en.wikipedia.org/wiki/Ellis, friendlyName=Open source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 t="str">
        <x:v>No established-register match</x:v>
      </x:c>
      <x:c r="AT264" s="14"/>
      <x:c r="AU264" s="14"/>
      <x:c r="AV264" s="14" t="str">
        <x:v>No established apparent-disability match</x:v>
      </x:c>
      <x:c r="AW264" s="14"/>
      <x:c r="AX264" s="14" t="str">
        <x:v>No</x:v>
      </x:c>
      <x:c r="AY264" s="14" t="str">
        <x:v>Unmatched</x:v>
      </x:c>
      <x:c r="AZ264" s="14" t="str">
        <x:v>Final supplied register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7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2</x:v>
      </x:c>
      <x:c r="BS264" s="16" t="n">
        <x:v>0.2857142857142857</x:v>
      </x:c>
      <x:c r="BT264" s="14" t="str">
        <x:v>Minority of episodes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4" t="str">
        <x:v>HYPERLINK is not implemented. linkLocation=https://www.imdb.com/title/tt30802702/fullcredits/, friendlyName=Open source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tt30802702|nm4335246|landlord</x:v>
      </x:c>
      <x:c r="B265" s="14" t="str">
        <x:v>02</x:v>
      </x:c>
      <x:c r="C265" s="14" t="str">
        <x:v>2024_IMDb_Cast_Lists_Batch_02(1).xlsx</x:v>
      </x:c>
      <x:c r="D265" s="14" t="str">
        <x:v>Ellis</x:v>
      </x:c>
      <x:c r="E265" s="14" t="n">
        <x:v>37</x:v>
      </x:c>
      <x:c r="F265" s="14" t="str">
        <x:v>Ellis</x:v>
      </x:c>
      <x:c r="G265" s="14" t="str">
        <x:v>tt30802702</x:v>
      </x:c>
      <x:c r="H265" s="14" t="n">
        <x:v>2024</x:v>
      </x:c>
      <x:c r="I265" s="14" t="n">
        <x:v>2025</x:v>
      </x:c>
      <x:c r="J265" s="14" t="str">
        <x:v>Post-study cohort</x:v>
      </x:c>
      <x:c r="K265" s="14" t="n">
        <x:v>2024</x:v>
      </x:c>
      <x:c r="L265" s="14" t="str">
        <x:v>Not inherited</x:v>
      </x:c>
      <x:c r="M265" s="15" t="n">
        <x:v>30</x:v>
      </x:c>
      <x:c r="N265" s="14" t="str">
        <x:v>Faolan Morgan</x:v>
      </x:c>
      <x:c r="O265" s="14" t="str">
        <x:v>nm4335246</x:v>
      </x:c>
      <x:c r="P265" s="14" t="str">
        <x:v>Landlord</x:v>
      </x:c>
      <x:c r="Q265" s="15" t="n">
        <x:v>2</x:v>
      </x:c>
      <x:c r="R265" s="14" t="str">
        <x:v>2026</x:v>
      </x:c>
      <x:c r="S265" s="14" t="n">
        <x:v>2026</x:v>
      </x:c>
      <x:c r="T265" s="14" t="n">
        <x:v>2026</x:v>
      </x:c>
      <x:c r="U265" s="14" t="str">
        <x:v>Explicit source first year retained</x:v>
      </x:c>
      <x:c r="V265" s="14" t="str">
        <x:v>Earliest supplied year is 2026.</x:v>
      </x:c>
      <x:c r="W265" s="14"/>
      <x:c r="X265" s="14" t="str">
        <x:v>Excluded: after 2025</x:v>
      </x:c>
      <x:c r="Y265" s="14"/>
      <x:c r="Z265" s="14" t="str">
        <x:v>Ellis.docx</x:v>
      </x:c>
      <x:c r="AA265" s="14" t="str">
        <x:v>HYPERLINK is not implemented. linkLocation=https://www.imdb.com/title/tt30802702/fullcredits/, friendlyName=Open source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Channel 5 / 5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7" t="e">
        <x:f>HYPERLINK("https://en.wikipedia.org/wiki/Ellis","Open source")</x:f>
        <x:v>HYPERLINK is not implemented. linkLocation=https://en.wikipedia.org/wiki/Ellis, friendlyName=Open source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 t="str">
        <x:v>No established-register match</x:v>
      </x:c>
      <x:c r="AT265" s="14"/>
      <x:c r="AU265" s="14"/>
      <x:c r="AV265" s="14" t="str">
        <x:v>No established apparent-disability match</x:v>
      </x:c>
      <x:c r="AW265" s="14"/>
      <x:c r="AX265" s="14" t="str">
        <x:v>No</x:v>
      </x:c>
      <x:c r="AY265" s="14" t="str">
        <x:v>Unmatched</x:v>
      </x:c>
      <x:c r="AZ265" s="14" t="str">
        <x:v>Final supplied register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7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2</x:v>
      </x:c>
      <x:c r="BS265" s="16" t="n">
        <x:v>0.2857142857142857</x:v>
      </x:c>
      <x:c r="BT265" s="14" t="str">
        <x:v>Minority of episodes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4" t="str">
        <x:v>HYPERLINK is not implemented. linkLocation=https://www.imdb.com/title/tt30802702/fullcredits/, friendlyName=Open source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tt30802702|nm14474166|katja vogel</x:v>
      </x:c>
      <x:c r="B266" s="14" t="str">
        <x:v>02</x:v>
      </x:c>
      <x:c r="C266" s="14" t="str">
        <x:v>2024_IMDb_Cast_Lists_Batch_02(1).xlsx</x:v>
      </x:c>
      <x:c r="D266" s="14" t="str">
        <x:v>Ellis</x:v>
      </x:c>
      <x:c r="E266" s="14" t="n">
        <x:v>63</x:v>
      </x:c>
      <x:c r="F266" s="14" t="str">
        <x:v>Ellis</x:v>
      </x:c>
      <x:c r="G266" s="14" t="str">
        <x:v>tt30802702</x:v>
      </x:c>
      <x:c r="H266" s="14" t="n">
        <x:v>2024</x:v>
      </x:c>
      <x:c r="I266" s="14" t="n">
        <x:v>2025</x:v>
      </x:c>
      <x:c r="J266" s="14" t="str">
        <x:v>Post-study cohort</x:v>
      </x:c>
      <x:c r="K266" s="14" t="n">
        <x:v>2024</x:v>
      </x:c>
      <x:c r="L266" s="14" t="str">
        <x:v>Not inherited</x:v>
      </x:c>
      <x:c r="M266" s="15" t="n">
        <x:v>56</x:v>
      </x:c>
      <x:c r="N266" s="14" t="str">
        <x:v>Karyna Khymchuk</x:v>
      </x:c>
      <x:c r="O266" s="14" t="str">
        <x:v>nm14474166</x:v>
      </x:c>
      <x:c r="P266" s="14" t="str">
        <x:v>Katja Vogel</x:v>
      </x:c>
      <x:c r="Q266" s="15" t="n">
        <x:v>1</x:v>
      </x:c>
      <x:c r="R266" s="14" t="str">
        <x:v>2026</x:v>
      </x:c>
      <x:c r="S266" s="14" t="n">
        <x:v>2026</x:v>
      </x:c>
      <x:c r="T266" s="14" t="n">
        <x:v>2026</x:v>
      </x:c>
      <x:c r="U266" s="14" t="str">
        <x:v>Explicit source first year retained</x:v>
      </x:c>
      <x:c r="V266" s="14" t="str">
        <x:v>Earliest supplied year is 2026.</x:v>
      </x:c>
      <x:c r="W266" s="14"/>
      <x:c r="X266" s="14" t="str">
        <x:v>Excluded: after 2025</x:v>
      </x:c>
      <x:c r="Y266" s="14"/>
      <x:c r="Z266" s="14" t="str">
        <x:v>Ellis.docx</x:v>
      </x:c>
      <x:c r="AA266" s="14" t="str">
        <x:v>HYPERLINK is not implemented. linkLocation=https://www.imdb.com/title/tt30802702/fullcredits/, friendlyName=Open source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Channel 5 / 5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7" t="e">
        <x:f>HYPERLINK("https://en.wikipedia.org/wiki/Ellis","Open source")</x:f>
        <x:v>HYPERLINK is not implemented. linkLocation=https://en.wikipedia.org/wiki/Ellis, friendlyName=Open source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 t="str">
        <x:v>No established-register match</x:v>
      </x:c>
      <x:c r="AT266" s="14"/>
      <x:c r="AU266" s="14"/>
      <x:c r="AV266" s="14" t="str">
        <x:v>No established apparent-disability match</x:v>
      </x:c>
      <x:c r="AW266" s="14"/>
      <x:c r="AX266" s="14" t="str">
        <x:v>No</x:v>
      </x:c>
      <x:c r="AY266" s="14" t="str">
        <x:v>Unmatched</x:v>
      </x:c>
      <x:c r="AZ266" s="14" t="str">
        <x:v>Final supplied register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7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0.14285714285714285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4" t="str">
        <x:v>HYPERLINK is not implemented. linkLocation=https://www.imdb.com/title/tt30802702/fullcredits/, friendlyName=Open source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tt30802702|nm18297902|malcom oliver - 1991</x:v>
      </x:c>
      <x:c r="B267" s="14" t="str">
        <x:v>02</x:v>
      </x:c>
      <x:c r="C267" s="14" t="str">
        <x:v>2024_IMDb_Cast_Lists_Batch_02(1).xlsx</x:v>
      </x:c>
      <x:c r="D267" s="14" t="str">
        <x:v>Ellis</x:v>
      </x:c>
      <x:c r="E267" s="14" t="n">
        <x:v>72</x:v>
      </x:c>
      <x:c r="F267" s="14" t="str">
        <x:v>Ellis</x:v>
      </x:c>
      <x:c r="G267" s="14" t="str">
        <x:v>tt30802702</x:v>
      </x:c>
      <x:c r="H267" s="14" t="n">
        <x:v>2024</x:v>
      </x:c>
      <x:c r="I267" s="14" t="n">
        <x:v>2025</x:v>
      </x:c>
      <x:c r="J267" s="14" t="str">
        <x:v>Post-study cohort</x:v>
      </x:c>
      <x:c r="K267" s="14" t="n">
        <x:v>2024</x:v>
      </x:c>
      <x:c r="L267" s="14" t="str">
        <x:v>Not inherited</x:v>
      </x:c>
      <x:c r="M267" s="15" t="n">
        <x:v>65</x:v>
      </x:c>
      <x:c r="N267" s="14" t="str">
        <x:v>Jay Downey</x:v>
      </x:c>
      <x:c r="O267" s="14" t="str">
        <x:v>nm18297902</x:v>
      </x:c>
      <x:c r="P267" s="14" t="str">
        <x:v>Malcom Oliver - 1991</x:v>
      </x:c>
      <x:c r="Q267" s="15" t="n">
        <x:v>1</x:v>
      </x:c>
      <x:c r="R267" s="14" t="str">
        <x:v>2026</x:v>
      </x:c>
      <x:c r="S267" s="14" t="n">
        <x:v>2026</x:v>
      </x:c>
      <x:c r="T267" s="14" t="n">
        <x:v>2026</x:v>
      </x:c>
      <x:c r="U267" s="14" t="str">
        <x:v>Explicit source first year retained</x:v>
      </x:c>
      <x:c r="V267" s="14" t="str">
        <x:v>Earliest supplied year is 2026.</x:v>
      </x:c>
      <x:c r="W267" s="14"/>
      <x:c r="X267" s="14" t="str">
        <x:v>Excluded: after 2025</x:v>
      </x:c>
      <x:c r="Y267" s="14"/>
      <x:c r="Z267" s="14" t="str">
        <x:v>Ellis.docx</x:v>
      </x:c>
      <x:c r="AA267" s="14" t="str">
        <x:v>HYPERLINK is not implemented. linkLocation=https://www.imdb.com/title/tt30802702/fullcredits/, friendlyName=Open source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Channel 5 / 5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7" t="e">
        <x:f>HYPERLINK("https://en.wikipedia.org/wiki/Ellis","Open source")</x:f>
        <x:v>HYPERLINK is not implemented. linkLocation=https://en.wikipedia.org/wiki/Ellis, friendlyName=Open source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 t="str">
        <x:v>No established-register match</x:v>
      </x:c>
      <x:c r="AT267" s="14"/>
      <x:c r="AU267" s="14"/>
      <x:c r="AV267" s="14" t="str">
        <x:v>No established apparent-disability match</x:v>
      </x:c>
      <x:c r="AW267" s="14"/>
      <x:c r="AX267" s="14" t="str">
        <x:v>No</x:v>
      </x:c>
      <x:c r="AY267" s="14" t="str">
        <x:v>Unmatched</x:v>
      </x:c>
      <x:c r="AZ267" s="14" t="str">
        <x:v>Final supplied register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7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0.14285714285714285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4" t="str">
        <x:v>HYPERLINK is not implemented. linkLocation=https://www.imdb.com/title/tt30802702/fullcredits/, friendlyName=Open source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tt30802702|nm18297901|alan moyes - 1991</x:v>
      </x:c>
      <x:c r="B268" s="14" t="str">
        <x:v>02</x:v>
      </x:c>
      <x:c r="C268" s="14" t="str">
        <x:v>2024_IMDb_Cast_Lists_Batch_02(1).xlsx</x:v>
      </x:c>
      <x:c r="D268" s="14" t="str">
        <x:v>Ellis</x:v>
      </x:c>
      <x:c r="E268" s="14" t="n">
        <x:v>76</x:v>
      </x:c>
      <x:c r="F268" s="14" t="str">
        <x:v>Ellis</x:v>
      </x:c>
      <x:c r="G268" s="14" t="str">
        <x:v>tt30802702</x:v>
      </x:c>
      <x:c r="H268" s="14" t="n">
        <x:v>2024</x:v>
      </x:c>
      <x:c r="I268" s="14" t="n">
        <x:v>2025</x:v>
      </x:c>
      <x:c r="J268" s="14" t="str">
        <x:v>Post-study cohort</x:v>
      </x:c>
      <x:c r="K268" s="14" t="n">
        <x:v>2024</x:v>
      </x:c>
      <x:c r="L268" s="14" t="str">
        <x:v>Not inherited</x:v>
      </x:c>
      <x:c r="M268" s="15" t="n">
        <x:v>69</x:v>
      </x:c>
      <x:c r="N268" s="14" t="str">
        <x:v>Brandon Fisher</x:v>
      </x:c>
      <x:c r="O268" s="14" t="str">
        <x:v>nm18297901</x:v>
      </x:c>
      <x:c r="P268" s="14" t="str">
        <x:v>Alan Moyes - 1991</x:v>
      </x:c>
      <x:c r="Q268" s="15" t="n">
        <x:v>1</x:v>
      </x:c>
      <x:c r="R268" s="14" t="str">
        <x:v>2026</x:v>
      </x:c>
      <x:c r="S268" s="14" t="n">
        <x:v>2026</x:v>
      </x:c>
      <x:c r="T268" s="14" t="n">
        <x:v>2026</x:v>
      </x:c>
      <x:c r="U268" s="14" t="str">
        <x:v>Explicit source first year retained</x:v>
      </x:c>
      <x:c r="V268" s="14" t="str">
        <x:v>Earliest supplied year is 2026.</x:v>
      </x:c>
      <x:c r="W268" s="14"/>
      <x:c r="X268" s="14" t="str">
        <x:v>Excluded: after 2025</x:v>
      </x:c>
      <x:c r="Y268" s="14"/>
      <x:c r="Z268" s="14" t="str">
        <x:v>Ellis.docx</x:v>
      </x:c>
      <x:c r="AA268" s="14" t="str">
        <x:v>HYPERLINK is not implemented. linkLocation=https://www.imdb.com/title/tt30802702/fullcredits/, friendlyName=Open source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Channel 5 / 5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7" t="e">
        <x:f>HYPERLINK("https://en.wikipedia.org/wiki/Ellis","Open source")</x:f>
        <x:v>HYPERLINK is not implemented. linkLocation=https://en.wikipedia.org/wiki/Ellis, friendlyName=Open source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 t="str">
        <x:v>No established-register match</x:v>
      </x:c>
      <x:c r="AT268" s="14"/>
      <x:c r="AU268" s="14"/>
      <x:c r="AV268" s="14" t="str">
        <x:v>No established apparent-disability match</x:v>
      </x:c>
      <x:c r="AW268" s="14"/>
      <x:c r="AX268" s="14" t="str">
        <x:v>No</x:v>
      </x:c>
      <x:c r="AY268" s="14" t="str">
        <x:v>Unmatched</x:v>
      </x:c>
      <x:c r="AZ268" s="14" t="str">
        <x:v>Final supplied register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7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0.14285714285714285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4" t="str">
        <x:v>HYPERLINK is not implemented. linkLocation=https://www.imdb.com/title/tt30802702/fullcredits/, friendlyName=Open source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tt30802702|nm18297903|bevan laird - 1991</x:v>
      </x:c>
      <x:c r="B269" s="14" t="str">
        <x:v>02</x:v>
      </x:c>
      <x:c r="C269" s="14" t="str">
        <x:v>2024_IMDb_Cast_Lists_Batch_02(1).xlsx</x:v>
      </x:c>
      <x:c r="D269" s="14" t="str">
        <x:v>Ellis</x:v>
      </x:c>
      <x:c r="E269" s="14" t="n">
        <x:v>80</x:v>
      </x:c>
      <x:c r="F269" s="14" t="str">
        <x:v>Ellis</x:v>
      </x:c>
      <x:c r="G269" s="14" t="str">
        <x:v>tt30802702</x:v>
      </x:c>
      <x:c r="H269" s="14" t="n">
        <x:v>2024</x:v>
      </x:c>
      <x:c r="I269" s="14" t="n">
        <x:v>2025</x:v>
      </x:c>
      <x:c r="J269" s="14" t="str">
        <x:v>Post-study cohort</x:v>
      </x:c>
      <x:c r="K269" s="14" t="n">
        <x:v>2024</x:v>
      </x:c>
      <x:c r="L269" s="14" t="str">
        <x:v>Not inherited</x:v>
      </x:c>
      <x:c r="M269" s="15" t="n">
        <x:v>73</x:v>
      </x:c>
      <x:c r="N269" s="14" t="str">
        <x:v>Ewan Meijer</x:v>
      </x:c>
      <x:c r="O269" s="14" t="str">
        <x:v>nm18297903</x:v>
      </x:c>
      <x:c r="P269" s="14" t="str">
        <x:v>Bevan Laird - 1991</x:v>
      </x:c>
      <x:c r="Q269" s="15" t="n">
        <x:v>1</x:v>
      </x:c>
      <x:c r="R269" s="14" t="str">
        <x:v>2026</x:v>
      </x:c>
      <x:c r="S269" s="14" t="n">
        <x:v>2026</x:v>
      </x:c>
      <x:c r="T269" s="14" t="n">
        <x:v>2026</x:v>
      </x:c>
      <x:c r="U269" s="14" t="str">
        <x:v>Explicit source first year retained</x:v>
      </x:c>
      <x:c r="V269" s="14" t="str">
        <x:v>Earliest supplied year is 2026.</x:v>
      </x:c>
      <x:c r="W269" s="14"/>
      <x:c r="X269" s="14" t="str">
        <x:v>Excluded: after 2025</x:v>
      </x:c>
      <x:c r="Y269" s="14"/>
      <x:c r="Z269" s="14" t="str">
        <x:v>Ellis.docx</x:v>
      </x:c>
      <x:c r="AA269" s="14" t="str">
        <x:v>HYPERLINK is not implemented. linkLocation=https://www.imdb.com/title/tt30802702/fullcredits/, friendlyName=Open source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Channel 5 / 5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7" t="e">
        <x:f>HYPERLINK("https://en.wikipedia.org/wiki/Ellis","Open source")</x:f>
        <x:v>HYPERLINK is not implemented. linkLocation=https://en.wikipedia.org/wiki/Ellis, friendlyName=Open source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 t="str">
        <x:v>No established-register match</x:v>
      </x:c>
      <x:c r="AT269" s="14"/>
      <x:c r="AU269" s="14"/>
      <x:c r="AV269" s="14" t="str">
        <x:v>No established apparent-disability match</x:v>
      </x:c>
      <x:c r="AW269" s="14"/>
      <x:c r="AX269" s="14" t="str">
        <x:v>No</x:v>
      </x:c>
      <x:c r="AY269" s="14" t="str">
        <x:v>Unmatched</x:v>
      </x:c>
      <x:c r="AZ269" s="14" t="str">
        <x:v>Final supplied register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7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0.14285714285714285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4" t="str">
        <x:v>HYPERLINK is not implemented. linkLocation=https://www.imdb.com/title/tt30802702/fullcredits/, friendlyName=Open source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tt30802702|nm16426771|bola lapido</x:v>
      </x:c>
      <x:c r="B270" s="14" t="str">
        <x:v>02</x:v>
      </x:c>
      <x:c r="C270" s="14" t="str">
        <x:v>2024_IMDb_Cast_Lists_Batch_02(1).xlsx</x:v>
      </x:c>
      <x:c r="D270" s="14" t="str">
        <x:v>Ellis</x:v>
      </x:c>
      <x:c r="E270" s="14" t="n">
        <x:v>81</x:v>
      </x:c>
      <x:c r="F270" s="14" t="str">
        <x:v>Ellis</x:v>
      </x:c>
      <x:c r="G270" s="14" t="str">
        <x:v>tt30802702</x:v>
      </x:c>
      <x:c r="H270" s="14" t="n">
        <x:v>2024</x:v>
      </x:c>
      <x:c r="I270" s="14" t="n">
        <x:v>2025</x:v>
      </x:c>
      <x:c r="J270" s="14" t="str">
        <x:v>Post-study cohort</x:v>
      </x:c>
      <x:c r="K270" s="14" t="n">
        <x:v>2024</x:v>
      </x:c>
      <x:c r="L270" s="14" t="str">
        <x:v>Not inherited</x:v>
      </x:c>
      <x:c r="M270" s="15" t="n">
        <x:v>74</x:v>
      </x:c>
      <x:c r="N270" s="14" t="str">
        <x:v>Kyle Ndukuba</x:v>
      </x:c>
      <x:c r="O270" s="14" t="str">
        <x:v>nm16426771</x:v>
      </x:c>
      <x:c r="P270" s="14" t="str">
        <x:v>Bola Lapido</x:v>
      </x:c>
      <x:c r="Q270" s="15" t="n">
        <x:v>1</x:v>
      </x:c>
      <x:c r="R270" s="14" t="str">
        <x:v>2026</x:v>
      </x:c>
      <x:c r="S270" s="14" t="n">
        <x:v>2026</x:v>
      </x:c>
      <x:c r="T270" s="14" t="n">
        <x:v>2026</x:v>
      </x:c>
      <x:c r="U270" s="14" t="str">
        <x:v>Explicit source first year retained</x:v>
      </x:c>
      <x:c r="V270" s="14" t="str">
        <x:v>Earliest supplied year is 2026.</x:v>
      </x:c>
      <x:c r="W270" s="14"/>
      <x:c r="X270" s="14" t="str">
        <x:v>Excluded: after 2025</x:v>
      </x:c>
      <x:c r="Y270" s="14"/>
      <x:c r="Z270" s="14" t="str">
        <x:v>Ellis.docx</x:v>
      </x:c>
      <x:c r="AA270" s="14" t="str">
        <x:v>HYPERLINK is not implemented. linkLocation=https://www.imdb.com/title/tt30802702/fullcredits/, friendlyName=Open source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Channel 5 / 5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7" t="e">
        <x:f>HYPERLINK("https://en.wikipedia.org/wiki/Ellis","Open source")</x:f>
        <x:v>HYPERLINK is not implemented. linkLocation=https://en.wikipedia.org/wiki/Ellis, friendlyName=Open source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 t="str">
        <x:v>No established-register match</x:v>
      </x:c>
      <x:c r="AT270" s="14"/>
      <x:c r="AU270" s="14"/>
      <x:c r="AV270" s="14" t="str">
        <x:v>No established apparent-disability match</x:v>
      </x:c>
      <x:c r="AW270" s="14"/>
      <x:c r="AX270" s="14" t="str">
        <x:v>No</x:v>
      </x:c>
      <x:c r="AY270" s="14" t="str">
        <x:v>Unmatched</x:v>
      </x:c>
      <x:c r="AZ270" s="14" t="str">
        <x:v>Final supplied register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7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0.14285714285714285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4" t="str">
        <x:v>HYPERLINK is not implemented. linkLocation=https://www.imdb.com/title/tt30802702/fullcredits/, friendlyName=Open source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tt30802702|nm18297904|peter barron - 1991</x:v>
      </x:c>
      <x:c r="B271" s="14" t="str">
        <x:v>02</x:v>
      </x:c>
      <x:c r="C271" s="14" t="str">
        <x:v>2024_IMDb_Cast_Lists_Batch_02(1).xlsx</x:v>
      </x:c>
      <x:c r="D271" s="14" t="str">
        <x:v>Ellis</x:v>
      </x:c>
      <x:c r="E271" s="14" t="n">
        <x:v>82</x:v>
      </x:c>
      <x:c r="F271" s="14" t="str">
        <x:v>Ellis</x:v>
      </x:c>
      <x:c r="G271" s="14" t="str">
        <x:v>tt30802702</x:v>
      </x:c>
      <x:c r="H271" s="14" t="n">
        <x:v>2024</x:v>
      </x:c>
      <x:c r="I271" s="14" t="n">
        <x:v>2025</x:v>
      </x:c>
      <x:c r="J271" s="14" t="str">
        <x:v>Post-study cohort</x:v>
      </x:c>
      <x:c r="K271" s="14" t="n">
        <x:v>2024</x:v>
      </x:c>
      <x:c r="L271" s="14" t="str">
        <x:v>Not inherited</x:v>
      </x:c>
      <x:c r="M271" s="15" t="n">
        <x:v>75</x:v>
      </x:c>
      <x:c r="N271" s="14" t="str">
        <x:v>Ethan Shaw</x:v>
      </x:c>
      <x:c r="O271" s="14" t="str">
        <x:v>nm18297904</x:v>
      </x:c>
      <x:c r="P271" s="14" t="str">
        <x:v>Peter Barron - 1991</x:v>
      </x:c>
      <x:c r="Q271" s="15" t="n">
        <x:v>1</x:v>
      </x:c>
      <x:c r="R271" s="14" t="str">
        <x:v>2026</x:v>
      </x:c>
      <x:c r="S271" s="14" t="n">
        <x:v>2026</x:v>
      </x:c>
      <x:c r="T271" s="14" t="n">
        <x:v>2026</x:v>
      </x:c>
      <x:c r="U271" s="14" t="str">
        <x:v>Explicit source first year retained</x:v>
      </x:c>
      <x:c r="V271" s="14" t="str">
        <x:v>Earliest supplied year is 2026.</x:v>
      </x:c>
      <x:c r="W271" s="14"/>
      <x:c r="X271" s="14" t="str">
        <x:v>Excluded: after 2025</x:v>
      </x:c>
      <x:c r="Y271" s="14"/>
      <x:c r="Z271" s="14" t="str">
        <x:v>Ellis.docx</x:v>
      </x:c>
      <x:c r="AA271" s="14" t="str">
        <x:v>HYPERLINK is not implemented. linkLocation=https://www.imdb.com/title/tt30802702/fullcredits/, friendlyName=Open source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Channel 5 / 5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7" t="e">
        <x:f>HYPERLINK("https://en.wikipedia.org/wiki/Ellis","Open source")</x:f>
        <x:v>HYPERLINK is not implemented. linkLocation=https://en.wikipedia.org/wiki/Ellis, friendlyName=Open source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No established-register match</x:v>
      </x:c>
      <x:c r="AT271" s="14"/>
      <x:c r="AU271" s="14"/>
      <x:c r="AV271" s="14" t="str">
        <x:v>No established apparent-disability match</x:v>
      </x:c>
      <x:c r="AW271" s="14"/>
      <x:c r="AX271" s="14" t="str">
        <x:v>No</x:v>
      </x:c>
      <x:c r="AY271" s="14" t="str">
        <x:v>Unmatched</x:v>
      </x:c>
      <x:c r="AZ271" s="14" t="str">
        <x:v>Final supplied register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7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0.14285714285714285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4" t="str">
        <x:v>HYPERLINK is not implemented. linkLocation=https://www.imdb.com/title/tt30802702/fullcredits/, friendlyName=Open source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tt27846061|nm4863101|dc ethan cole</x:v>
      </x:c>
      <x:c r="B272" s="14" t="str">
        <x:v>03</x:v>
      </x:c>
      <x:c r="C272" s="14" t="str">
        <x:v>2024_IMDb_Cast_Lists_Batch_03(1).xlsx</x:v>
      </x:c>
      <x:c r="D272" s="14" t="str">
        <x:v>Ludwig</x:v>
      </x:c>
      <x:c r="E272" s="14" t="n">
        <x:v>17</x:v>
      </x:c>
      <x:c r="F272" s="14" t="str">
        <x:v>Ludwig</x:v>
      </x:c>
      <x:c r="G272" s="14" t="str">
        <x:v>tt27846061</x:v>
      </x:c>
      <x:c r="H272" s="14" t="n">
        <x:v>2024</x:v>
      </x:c>
      <x:c r="I272" s="14" t="n">
        <x:v>2025</x:v>
      </x:c>
      <x:c r="J272" s="14" t="str">
        <x:v>Post-study cohort</x:v>
      </x:c>
      <x:c r="K272" s="14" t="n">
        <x:v>2024</x:v>
      </x:c>
      <x:c r="L272" s="14" t="str">
        <x:v>Not inherited</x:v>
      </x:c>
      <x:c r="M272" s="15" t="n">
        <x:v>10</x:v>
      </x:c>
      <x:c r="N272" s="14" t="str">
        <x:v>Ben Ashenden</x:v>
      </x:c>
      <x:c r="O272" s="14" t="str">
        <x:v>nm4863101</x:v>
      </x:c>
      <x:c r="P272" s="14" t="str">
        <x:v>DC Ethan Cole</x:v>
      </x:c>
      <x:c r="Q272" s="15" t="n">
        <x:v>3</x:v>
      </x:c>
      <x:c r="R272" s="14" t="str">
        <x:v>2026</x:v>
      </x:c>
      <x:c r="S272" s="14" t="n">
        <x:v>2026</x:v>
      </x:c>
      <x:c r="T272" s="14" t="n">
        <x:v>2026</x:v>
      </x:c>
      <x:c r="U272" s="14" t="str">
        <x:v>Explicit source first year retained</x:v>
      </x:c>
      <x:c r="V272" s="14" t="str">
        <x:v>Earliest supplied year is 2026.</x:v>
      </x:c>
      <x:c r="W272" s="14"/>
      <x:c r="X272" s="14" t="str">
        <x:v>Excluded: after 2025</x:v>
      </x:c>
      <x:c r="Y272" s="14"/>
      <x:c r="Z272" s="14" t="str">
        <x:v>Ludwig(1).docx</x:v>
      </x:c>
      <x:c r="AA272" s="14" t="str">
        <x:v>HYPERLINK is not implemented. linkLocation=https://www.imdb.com/title/tt27846061/fullcredits/, friendlyName=Open source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BBC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7" t="e">
        <x:f>HYPERLINK("https://en.wikipedia.org/wiki/Ludwig","Open source")</x:f>
        <x:v>HYPERLINK is not implemented. linkLocation=https://en.wikipedia.org/wiki/Ludwig, friendlyName=Open source</x:v>
      </x:c>
      <x:c r="AN272" s="14" t="str">
        <x:v>BBC public-service commission</x:v>
      </x:c>
      <x:c r="AO272" s="14" t="str">
        <x:v>Yes</x:v>
      </x:c>
      <x:c r="AP272" s="14" t="str">
        <x:v>Direct BBC public-service scope</x:v>
      </x:c>
      <x:c r="AQ272" s="14" t="str">
        <x:v>Yes</x:v>
      </x:c>
      <x:c r="AR272" s="14" t="str">
        <x:v>Resolved from master register</x:v>
      </x:c>
      <x:c r="AS272" s="14" t="str">
        <x:v>No established-register match</x:v>
      </x:c>
      <x:c r="AT272" s="14"/>
      <x:c r="AU272" s="14"/>
      <x:c r="AV272" s="14" t="str">
        <x:v>No established apparent-disability match</x:v>
      </x:c>
      <x:c r="AW272" s="14"/>
      <x:c r="AX272" s="14" t="str">
        <x:v>No</x:v>
      </x:c>
      <x:c r="AY272" s="14" t="str">
        <x:v>Unmatched</x:v>
      </x:c>
      <x:c r="AZ272" s="14" t="str">
        <x:v>Final supplied register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12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3</x:v>
      </x:c>
      <x:c r="BS272" s="16" t="n">
        <x:v>0.25</x:v>
      </x:c>
      <x:c r="BT272" s="14" t="str">
        <x:v>Minority of episodes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4" t="str">
        <x:v>HYPERLINK is not implemented. linkLocation=https://www.imdb.com/title/tt27846061/fullcredits/, friendlyName=Open source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tt27846061|nm13339986|dc caitlin sullivan</x:v>
      </x:c>
      <x:c r="B273" s="14" t="str">
        <x:v>03</x:v>
      </x:c>
      <x:c r="C273" s="14" t="str">
        <x:v>2024_IMDb_Cast_Lists_Batch_03(1).xlsx</x:v>
      </x:c>
      <x:c r="D273" s="14" t="str">
        <x:v>Ludwig</x:v>
      </x:c>
      <x:c r="E273" s="14" t="n">
        <x:v>18</x:v>
      </x:c>
      <x:c r="F273" s="14" t="str">
        <x:v>Ludwig</x:v>
      </x:c>
      <x:c r="G273" s="14" t="str">
        <x:v>tt27846061</x:v>
      </x:c>
      <x:c r="H273" s="14" t="n">
        <x:v>2024</x:v>
      </x:c>
      <x:c r="I273" s="14" t="n">
        <x:v>2025</x:v>
      </x:c>
      <x:c r="J273" s="14" t="str">
        <x:v>Post-study cohort</x:v>
      </x:c>
      <x:c r="K273" s="14" t="n">
        <x:v>2024</x:v>
      </x:c>
      <x:c r="L273" s="14" t="str">
        <x:v>Not inherited</x:v>
      </x:c>
      <x:c r="M273" s="15" t="n">
        <x:v>11</x:v>
      </x:c>
      <x:c r="N273" s="14" t="str">
        <x:v>Rumi Sutton</x:v>
      </x:c>
      <x:c r="O273" s="14" t="str">
        <x:v>nm13339986</x:v>
      </x:c>
      <x:c r="P273" s="14" t="str">
        <x:v>DC Caitlin Sullivan</x:v>
      </x:c>
      <x:c r="Q273" s="15" t="n">
        <x:v>3</x:v>
      </x:c>
      <x:c r="R273" s="14" t="str">
        <x:v>2026</x:v>
      </x:c>
      <x:c r="S273" s="14" t="n">
        <x:v>2026</x:v>
      </x:c>
      <x:c r="T273" s="14" t="n">
        <x:v>2026</x:v>
      </x:c>
      <x:c r="U273" s="14" t="str">
        <x:v>Explicit source first year retained</x:v>
      </x:c>
      <x:c r="V273" s="14" t="str">
        <x:v>Earliest supplied year is 2026.</x:v>
      </x:c>
      <x:c r="W273" s="14"/>
      <x:c r="X273" s="14" t="str">
        <x:v>Excluded: after 2025</x:v>
      </x:c>
      <x:c r="Y273" s="14"/>
      <x:c r="Z273" s="14" t="str">
        <x:v>Ludwig(1).docx</x:v>
      </x:c>
      <x:c r="AA273" s="14" t="str">
        <x:v>HYPERLINK is not implemented. linkLocation=https://www.imdb.com/title/tt27846061/fullcredits/, friendlyName=Open source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BBC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7" t="e">
        <x:f>HYPERLINK("https://en.wikipedia.org/wiki/Ludwig","Open source")</x:f>
        <x:v>HYPERLINK is not implemented. linkLocation=https://en.wikipedia.org/wiki/Ludwig, friendlyName=Open source</x:v>
      </x:c>
      <x:c r="AN273" s="14" t="str">
        <x:v>BBC public-service commission</x:v>
      </x:c>
      <x:c r="AO273" s="14" t="str">
        <x:v>Yes</x:v>
      </x:c>
      <x:c r="AP273" s="14" t="str">
        <x:v>Direct BBC public-service scope</x:v>
      </x:c>
      <x:c r="AQ273" s="14" t="str">
        <x:v>Yes</x:v>
      </x:c>
      <x:c r="AR273" s="14" t="str">
        <x:v>Resolved from master register</x:v>
      </x:c>
      <x:c r="AS273" s="14" t="str">
        <x:v>No established-register match</x:v>
      </x:c>
      <x:c r="AT273" s="14"/>
      <x:c r="AU273" s="14"/>
      <x:c r="AV273" s="14" t="str">
        <x:v>No established apparent-disability match</x:v>
      </x:c>
      <x:c r="AW273" s="14"/>
      <x:c r="AX273" s="14" t="str">
        <x:v>No</x:v>
      </x:c>
      <x:c r="AY273" s="14" t="str">
        <x:v>Unmatched</x:v>
      </x:c>
      <x:c r="AZ273" s="14" t="str">
        <x:v>Final supplied register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12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3</x:v>
      </x:c>
      <x:c r="BS273" s="16" t="n">
        <x:v>0.25</x:v>
      </x:c>
      <x:c r="BT273" s="14" t="str">
        <x:v>Minority of episodes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4" t="str">
        <x:v>HYPERLINK is not implemented. linkLocation=https://www.imdb.com/title/tt27846061/fullcredits/, friendlyName=Open source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tt27846061|nm1326440|gareth fisher</x:v>
      </x:c>
      <x:c r="B274" s="14" t="str">
        <x:v>03</x:v>
      </x:c>
      <x:c r="C274" s="14" t="str">
        <x:v>2024_IMDb_Cast_Lists_Batch_03(1).xlsx</x:v>
      </x:c>
      <x:c r="D274" s="14" t="str">
        <x:v>Ludwig</x:v>
      </x:c>
      <x:c r="E274" s="14" t="n">
        <x:v>19</x:v>
      </x:c>
      <x:c r="F274" s="14" t="str">
        <x:v>Ludwig</x:v>
      </x:c>
      <x:c r="G274" s="14" t="str">
        <x:v>tt27846061</x:v>
      </x:c>
      <x:c r="H274" s="14" t="n">
        <x:v>2024</x:v>
      </x:c>
      <x:c r="I274" s="14" t="n">
        <x:v>2025</x:v>
      </x:c>
      <x:c r="J274" s="14" t="str">
        <x:v>Post-study cohort</x:v>
      </x:c>
      <x:c r="K274" s="14" t="n">
        <x:v>2024</x:v>
      </x:c>
      <x:c r="L274" s="14" t="str">
        <x:v>Not inherited</x:v>
      </x:c>
      <x:c r="M274" s="15" t="n">
        <x:v>12</x:v>
      </x:c>
      <x:c r="N274" s="14" t="str">
        <x:v>Mark Bonnar</x:v>
      </x:c>
      <x:c r="O274" s="14" t="str">
        <x:v>nm1326440</x:v>
      </x:c>
      <x:c r="P274" s="14" t="str">
        <x:v>Gareth Fisher</x:v>
      </x:c>
      <x:c r="Q274" s="15" t="n">
        <x:v>3</x:v>
      </x:c>
      <x:c r="R274" s="14" t="str">
        <x:v>2026</x:v>
      </x:c>
      <x:c r="S274" s="14" t="n">
        <x:v>2026</x:v>
      </x:c>
      <x:c r="T274" s="14" t="n">
        <x:v>2026</x:v>
      </x:c>
      <x:c r="U274" s="14" t="str">
        <x:v>Explicit source first year retained</x:v>
      </x:c>
      <x:c r="V274" s="14" t="str">
        <x:v>Earliest supplied year is 2026.</x:v>
      </x:c>
      <x:c r="W274" s="14"/>
      <x:c r="X274" s="14" t="str">
        <x:v>Excluded: after 2025</x:v>
      </x:c>
      <x:c r="Y274" s="14"/>
      <x:c r="Z274" s="14" t="str">
        <x:v>Ludwig(1).docx</x:v>
      </x:c>
      <x:c r="AA274" s="14" t="str">
        <x:v>HYPERLINK is not implemented. linkLocation=https://www.imdb.com/title/tt27846061/fullcredits/, friendlyName=Open source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BBC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7" t="e">
        <x:f>HYPERLINK("https://en.wikipedia.org/wiki/Ludwig","Open source")</x:f>
        <x:v>HYPERLINK is not implemented. linkLocation=https://en.wikipedia.org/wiki/Ludwig, friendlyName=Open source</x:v>
      </x:c>
      <x:c r="AN274" s="14" t="str">
        <x:v>BBC public-service commission</x:v>
      </x:c>
      <x:c r="AO274" s="14" t="str">
        <x:v>Yes</x:v>
      </x:c>
      <x:c r="AP274" s="14" t="str">
        <x:v>Direct BBC public-service scope</x:v>
      </x:c>
      <x:c r="AQ274" s="14" t="str">
        <x:v>Yes</x:v>
      </x:c>
      <x:c r="AR274" s="14" t="str">
        <x:v>Resolved from master register</x:v>
      </x:c>
      <x:c r="AS274" s="14" t="str">
        <x:v>No established-register match</x:v>
      </x:c>
      <x:c r="AT274" s="14"/>
      <x:c r="AU274" s="14"/>
      <x:c r="AV274" s="14" t="str">
        <x:v>No established apparent-disability match</x:v>
      </x:c>
      <x:c r="AW274" s="14"/>
      <x:c r="AX274" s="14" t="str">
        <x:v>No</x:v>
      </x:c>
      <x:c r="AY274" s="14" t="str">
        <x:v>Unmatched</x:v>
      </x:c>
      <x:c r="AZ274" s="14" t="str">
        <x:v>Final supplied register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12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3</x:v>
      </x:c>
      <x:c r="BS274" s="16" t="n">
        <x:v>0.25</x:v>
      </x:c>
      <x:c r="BT274" s="14" t="str">
        <x:v>Minority of episodes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4" t="str">
        <x:v>HYPERLINK is not implemented. linkLocation=https://www.imdb.com/title/tt27846061/fullcredits/, friendlyName=Open source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tt27846061|nm13782082|hannah foster</x:v>
      </x:c>
      <x:c r="B275" s="14" t="str">
        <x:v>03</x:v>
      </x:c>
      <x:c r="C275" s="14" t="str">
        <x:v>2024_IMDb_Cast_Lists_Batch_03(1).xlsx</x:v>
      </x:c>
      <x:c r="D275" s="14" t="str">
        <x:v>Ludwig</x:v>
      </x:c>
      <x:c r="E275" s="14" t="n">
        <x:v>20</x:v>
      </x:c>
      <x:c r="F275" s="14" t="str">
        <x:v>Ludwig</x:v>
      </x:c>
      <x:c r="G275" s="14" t="str">
        <x:v>tt27846061</x:v>
      </x:c>
      <x:c r="H275" s="14" t="n">
        <x:v>2024</x:v>
      </x:c>
      <x:c r="I275" s="14" t="n">
        <x:v>2025</x:v>
      </x:c>
      <x:c r="J275" s="14" t="str">
        <x:v>Post-study cohort</x:v>
      </x:c>
      <x:c r="K275" s="14" t="n">
        <x:v>2024</x:v>
      </x:c>
      <x:c r="L275" s="14" t="str">
        <x:v>Not inherited</x:v>
      </x:c>
      <x:c r="M275" s="15" t="n">
        <x:v>13</x:v>
      </x:c>
      <x:c r="N275" s="14" t="str">
        <x:v>Bairavi Manoharan</x:v>
      </x:c>
      <x:c r="O275" s="14" t="str">
        <x:v>nm13782082</x:v>
      </x:c>
      <x:c r="P275" s="14" t="str">
        <x:v>Hannah Foster</x:v>
      </x:c>
      <x:c r="Q275" s="15" t="n">
        <x:v>3</x:v>
      </x:c>
      <x:c r="R275" s="14" t="str">
        <x:v>2026</x:v>
      </x:c>
      <x:c r="S275" s="14" t="n">
        <x:v>2026</x:v>
      </x:c>
      <x:c r="T275" s="14" t="n">
        <x:v>2026</x:v>
      </x:c>
      <x:c r="U275" s="14" t="str">
        <x:v>Explicit source first year retained</x:v>
      </x:c>
      <x:c r="V275" s="14" t="str">
        <x:v>Earliest supplied year is 2026.</x:v>
      </x:c>
      <x:c r="W275" s="14"/>
      <x:c r="X275" s="14" t="str">
        <x:v>Excluded: after 2025</x:v>
      </x:c>
      <x:c r="Y275" s="14"/>
      <x:c r="Z275" s="14" t="str">
        <x:v>Ludwig(1).docx</x:v>
      </x:c>
      <x:c r="AA275" s="14" t="str">
        <x:v>HYPERLINK is not implemented. linkLocation=https://www.imdb.com/title/tt27846061/fullcredits/, friendlyName=Open source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BBC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7" t="e">
        <x:f>HYPERLINK("https://en.wikipedia.org/wiki/Ludwig","Open source")</x:f>
        <x:v>HYPERLINK is not implemented. linkLocation=https://en.wikipedia.org/wiki/Ludwig, friendlyName=Open source</x:v>
      </x:c>
      <x:c r="AN275" s="14" t="str">
        <x:v>BBC public-service commission</x:v>
      </x:c>
      <x:c r="AO275" s="14" t="str">
        <x:v>Yes</x:v>
      </x:c>
      <x:c r="AP275" s="14" t="str">
        <x:v>Direct BBC public-service scope</x:v>
      </x:c>
      <x:c r="AQ275" s="14" t="str">
        <x:v>Yes</x:v>
      </x:c>
      <x:c r="AR275" s="14" t="str">
        <x:v>Resolved from master register</x:v>
      </x:c>
      <x:c r="AS275" s="14" t="str">
        <x:v>No established-register match</x:v>
      </x:c>
      <x:c r="AT275" s="14"/>
      <x:c r="AU275" s="14"/>
      <x:c r="AV275" s="14" t="str">
        <x:v>No established apparent-disability match</x:v>
      </x:c>
      <x:c r="AW275" s="14"/>
      <x:c r="AX275" s="14" t="str">
        <x:v>No</x:v>
      </x:c>
      <x:c r="AY275" s="14" t="str">
        <x:v>Unmatched</x:v>
      </x:c>
      <x:c r="AZ275" s="14" t="str">
        <x:v>Final supplied register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12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3</x:v>
      </x:c>
      <x:c r="BS275" s="16" t="n">
        <x:v>0.25</x:v>
      </x:c>
      <x:c r="BT275" s="14" t="str">
        <x:v>Minority of episodes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4" t="str">
        <x:v>HYPERLINK is not implemented. linkLocation=https://www.imdb.com/title/tt27846061/fullcredits/, friendlyName=Open source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tt27846061|nm1183224|dcc clint radley</x:v>
      </x:c>
      <x:c r="B276" s="14" t="str">
        <x:v>03</x:v>
      </x:c>
      <x:c r="C276" s="14" t="str">
        <x:v>2024_IMDb_Cast_Lists_Batch_03(1).xlsx</x:v>
      </x:c>
      <x:c r="D276" s="14" t="str">
        <x:v>Ludwig</x:v>
      </x:c>
      <x:c r="E276" s="14" t="n">
        <x:v>21</x:v>
      </x:c>
      <x:c r="F276" s="14" t="str">
        <x:v>Ludwig</x:v>
      </x:c>
      <x:c r="G276" s="14" t="str">
        <x:v>tt27846061</x:v>
      </x:c>
      <x:c r="H276" s="14" t="n">
        <x:v>2024</x:v>
      </x:c>
      <x:c r="I276" s="14" t="n">
        <x:v>2025</x:v>
      </x:c>
      <x:c r="J276" s="14" t="str">
        <x:v>Post-study cohort</x:v>
      </x:c>
      <x:c r="K276" s="14" t="n">
        <x:v>2024</x:v>
      </x:c>
      <x:c r="L276" s="14" t="str">
        <x:v>Not inherited</x:v>
      </x:c>
      <x:c r="M276" s="15" t="n">
        <x:v>14</x:v>
      </x:c>
      <x:c r="N276" s="14" t="str">
        <x:v>Michael Wildman</x:v>
      </x:c>
      <x:c r="O276" s="14" t="str">
        <x:v>nm1183224</x:v>
      </x:c>
      <x:c r="P276" s="14" t="str">
        <x:v>DCC Clint Radley</x:v>
      </x:c>
      <x:c r="Q276" s="15" t="n">
        <x:v>3</x:v>
      </x:c>
      <x:c r="R276" s="14" t="str">
        <x:v>2026</x:v>
      </x:c>
      <x:c r="S276" s="14" t="n">
        <x:v>2026</x:v>
      </x:c>
      <x:c r="T276" s="14" t="n">
        <x:v>2026</x:v>
      </x:c>
      <x:c r="U276" s="14" t="str">
        <x:v>Explicit source first year retained</x:v>
      </x:c>
      <x:c r="V276" s="14" t="str">
        <x:v>Earliest supplied year is 2026.</x:v>
      </x:c>
      <x:c r="W276" s="14"/>
      <x:c r="X276" s="14" t="str">
        <x:v>Excluded: after 2025</x:v>
      </x:c>
      <x:c r="Y276" s="14"/>
      <x:c r="Z276" s="14" t="str">
        <x:v>Ludwig(1).docx</x:v>
      </x:c>
      <x:c r="AA276" s="14" t="str">
        <x:v>HYPERLINK is not implemented. linkLocation=https://www.imdb.com/title/tt27846061/fullcredits/, friendlyName=Open source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BBC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7" t="e">
        <x:f>HYPERLINK("https://en.wikipedia.org/wiki/Ludwig","Open source")</x:f>
        <x:v>HYPERLINK is not implemented. linkLocation=https://en.wikipedia.org/wiki/Ludwig, friendlyName=Open source</x:v>
      </x:c>
      <x:c r="AN276" s="14" t="str">
        <x:v>BBC public-service commission</x:v>
      </x:c>
      <x:c r="AO276" s="14" t="str">
        <x:v>Yes</x:v>
      </x:c>
      <x:c r="AP276" s="14" t="str">
        <x:v>Direct BBC public-service scope</x:v>
      </x:c>
      <x:c r="AQ276" s="14" t="str">
        <x:v>Yes</x:v>
      </x:c>
      <x:c r="AR276" s="14" t="str">
        <x:v>Resolved from master register</x:v>
      </x:c>
      <x:c r="AS276" s="14" t="str">
        <x:v>No established-register match</x:v>
      </x:c>
      <x:c r="AT276" s="14"/>
      <x:c r="AU276" s="14"/>
      <x:c r="AV276" s="14" t="str">
        <x:v>No established apparent-disability match</x:v>
      </x:c>
      <x:c r="AW276" s="14"/>
      <x:c r="AX276" s="14" t="str">
        <x:v>No</x:v>
      </x:c>
      <x:c r="AY276" s="14" t="str">
        <x:v>Unmatched</x:v>
      </x:c>
      <x:c r="AZ276" s="14" t="str">
        <x:v>Final supplied register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12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3</x:v>
      </x:c>
      <x:c r="BS276" s="16" t="n">
        <x:v>0.25</x:v>
      </x:c>
      <x:c r="BT276" s="14" t="str">
        <x:v>Minority of episodes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4" t="str">
        <x:v>HYPERLINK is not implemented. linkLocation=https://www.imdb.com/title/tt27846061/fullcredits/, friendlyName=Open source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tt27846061|nm5427486|joanne kemper</x:v>
      </x:c>
      <x:c r="B277" s="14" t="str">
        <x:v>03</x:v>
      </x:c>
      <x:c r="C277" s="14" t="str">
        <x:v>2024_IMDb_Cast_Lists_Batch_03(1).xlsx</x:v>
      </x:c>
      <x:c r="D277" s="14" t="str">
        <x:v>Ludwig</x:v>
      </x:c>
      <x:c r="E277" s="14" t="n">
        <x:v>24</x:v>
      </x:c>
      <x:c r="F277" s="14" t="str">
        <x:v>Ludwig</x:v>
      </x:c>
      <x:c r="G277" s="14" t="str">
        <x:v>tt27846061</x:v>
      </x:c>
      <x:c r="H277" s="14" t="n">
        <x:v>2024</x:v>
      </x:c>
      <x:c r="I277" s="14" t="n">
        <x:v>2025</x:v>
      </x:c>
      <x:c r="J277" s="14" t="str">
        <x:v>Post-study cohort</x:v>
      </x:c>
      <x:c r="K277" s="14" t="n">
        <x:v>2024</x:v>
      </x:c>
      <x:c r="L277" s="14" t="str">
        <x:v>Not inherited</x:v>
      </x:c>
      <x:c r="M277" s="15" t="n">
        <x:v>17</x:v>
      </x:c>
      <x:c r="N277" s="14" t="str">
        <x:v>Sian Clifford</x:v>
      </x:c>
      <x:c r="O277" s="14" t="str">
        <x:v>nm5427486</x:v>
      </x:c>
      <x:c r="P277" s="14" t="str">
        <x:v>Joanne Kemper</x:v>
      </x:c>
      <x:c r="Q277" s="15" t="n">
        <x:v>2</x:v>
      </x:c>
      <x:c r="R277" s="14" t="str">
        <x:v>2026</x:v>
      </x:c>
      <x:c r="S277" s="14" t="n">
        <x:v>2026</x:v>
      </x:c>
      <x:c r="T277" s="14" t="n">
        <x:v>2026</x:v>
      </x:c>
      <x:c r="U277" s="14" t="str">
        <x:v>Explicit source first year retained</x:v>
      </x:c>
      <x:c r="V277" s="14" t="str">
        <x:v>Earliest supplied year is 2026.</x:v>
      </x:c>
      <x:c r="W277" s="14"/>
      <x:c r="X277" s="14" t="str">
        <x:v>Excluded: after 2025</x:v>
      </x:c>
      <x:c r="Y277" s="14"/>
      <x:c r="Z277" s="14" t="str">
        <x:v>Ludwig(1).docx</x:v>
      </x:c>
      <x:c r="AA277" s="14" t="str">
        <x:v>HYPERLINK is not implemented. linkLocation=https://www.imdb.com/title/tt27846061/fullcredits/, friendlyName=Open source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BBC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7" t="e">
        <x:f>HYPERLINK("https://en.wikipedia.org/wiki/Ludwig","Open source")</x:f>
        <x:v>HYPERLINK is not implemented. linkLocation=https://en.wikipedia.org/wiki/Ludwig, friendlyName=Open source</x:v>
      </x:c>
      <x:c r="AN277" s="14" t="str">
        <x:v>BBC public-service commission</x:v>
      </x:c>
      <x:c r="AO277" s="14" t="str">
        <x:v>Yes</x:v>
      </x:c>
      <x:c r="AP277" s="14" t="str">
        <x:v>Direct BBC public-service scope</x:v>
      </x:c>
      <x:c r="AQ277" s="14" t="str">
        <x:v>Yes</x:v>
      </x:c>
      <x:c r="AR277" s="14" t="str">
        <x:v>Resolved from master register</x:v>
      </x:c>
      <x:c r="AS277" s="14" t="str">
        <x:v>No established-register match</x:v>
      </x:c>
      <x:c r="AT277" s="14"/>
      <x:c r="AU277" s="14"/>
      <x:c r="AV277" s="14" t="str">
        <x:v>No established apparent-disability match</x:v>
      </x:c>
      <x:c r="AW277" s="14"/>
      <x:c r="AX277" s="14" t="str">
        <x:v>No</x:v>
      </x:c>
      <x:c r="AY277" s="14" t="str">
        <x:v>Unmatched</x:v>
      </x:c>
      <x:c r="AZ277" s="14" t="str">
        <x:v>Final supplied register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12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2</x:v>
      </x:c>
      <x:c r="BS277" s="16" t="n">
        <x:v>0.16666666666666666</x:v>
      </x:c>
      <x:c r="BT277" s="14" t="str">
        <x:v>Minority of episodes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4" t="str">
        <x:v>HYPERLINK is not implemented. linkLocation=https://www.imdb.com/title/tt27846061/fullcredits/, friendlyName=Open source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tt27846061|nm0296410|patricia lowery</x:v>
      </x:c>
      <x:c r="B278" s="14" t="str">
        <x:v>03</x:v>
      </x:c>
      <x:c r="C278" s="14" t="str">
        <x:v>2024_IMDb_Cast_Lists_Batch_03(1).xlsx</x:v>
      </x:c>
      <x:c r="D278" s="14" t="str">
        <x:v>Ludwig</x:v>
      </x:c>
      <x:c r="E278" s="14" t="n">
        <x:v>43</x:v>
      </x:c>
      <x:c r="F278" s="14" t="str">
        <x:v>Ludwig</x:v>
      </x:c>
      <x:c r="G278" s="14" t="str">
        <x:v>tt27846061</x:v>
      </x:c>
      <x:c r="H278" s="14" t="n">
        <x:v>2024</x:v>
      </x:c>
      <x:c r="I278" s="14" t="n">
        <x:v>2025</x:v>
      </x:c>
      <x:c r="J278" s="14" t="str">
        <x:v>Post-study cohort</x:v>
      </x:c>
      <x:c r="K278" s="14" t="n">
        <x:v>2024</x:v>
      </x:c>
      <x:c r="L278" s="14" t="str">
        <x:v>Not inherited</x:v>
      </x:c>
      <x:c r="M278" s="15" t="n">
        <x:v>36</x:v>
      </x:c>
      <x:c r="N278" s="14" t="str">
        <x:v>Rebecca Front</x:v>
      </x:c>
      <x:c r="O278" s="14" t="str">
        <x:v>nm0296410</x:v>
      </x:c>
      <x:c r="P278" s="14" t="str">
        <x:v>Patricia Lowery</x:v>
      </x:c>
      <x:c r="Q278" s="15" t="n">
        <x:v>1</x:v>
      </x:c>
      <x:c r="R278" s="14" t="str">
        <x:v>2026</x:v>
      </x:c>
      <x:c r="S278" s="14" t="n">
        <x:v>2026</x:v>
      </x:c>
      <x:c r="T278" s="14" t="n">
        <x:v>2026</x:v>
      </x:c>
      <x:c r="U278" s="14" t="str">
        <x:v>Explicit source first year retained</x:v>
      </x:c>
      <x:c r="V278" s="14" t="str">
        <x:v>Earliest supplied year is 2026.</x:v>
      </x:c>
      <x:c r="W278" s="14"/>
      <x:c r="X278" s="14" t="str">
        <x:v>Excluded: after 2025</x:v>
      </x:c>
      <x:c r="Y278" s="14"/>
      <x:c r="Z278" s="14" t="str">
        <x:v>Ludwig(1).docx</x:v>
      </x:c>
      <x:c r="AA278" s="14" t="str">
        <x:v>HYPERLINK is not implemented. linkLocation=https://www.imdb.com/title/tt27846061/fullcredits/, friendlyName=Open source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BBC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7" t="e">
        <x:f>HYPERLINK("https://en.wikipedia.org/wiki/Ludwig","Open source")</x:f>
        <x:v>HYPERLINK is not implemented. linkLocation=https://en.wikipedia.org/wiki/Ludwig, friendlyName=Open source</x:v>
      </x:c>
      <x:c r="AN278" s="14" t="str">
        <x:v>BBC public-service commission</x:v>
      </x:c>
      <x:c r="AO278" s="14" t="str">
        <x:v>Yes</x:v>
      </x:c>
      <x:c r="AP278" s="14" t="str">
        <x:v>Direct BBC public-service scope</x:v>
      </x:c>
      <x:c r="AQ278" s="14" t="str">
        <x:v>Yes</x:v>
      </x:c>
      <x:c r="AR278" s="14" t="str">
        <x:v>Resolved from master register</x:v>
      </x:c>
      <x:c r="AS278" s="14" t="str">
        <x:v>No established-register match</x:v>
      </x:c>
      <x:c r="AT278" s="14"/>
      <x:c r="AU278" s="14"/>
      <x:c r="AV278" s="14" t="str">
        <x:v>No established apparent-disability match</x:v>
      </x:c>
      <x:c r="AW278" s="14"/>
      <x:c r="AX278" s="14" t="str">
        <x:v>No</x:v>
      </x:c>
      <x:c r="AY278" s="14" t="str">
        <x:v>Unmatched</x:v>
      </x:c>
      <x:c r="AZ278" s="14" t="str">
        <x:v>Final supplied register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12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0.08333333333333333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4" t="str">
        <x:v>HYPERLINK is not implemented. linkLocation=https://www.imdb.com/title/tt27846061/fullcredits/, friendlyName=Open source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tt27846061|nm0533489|portia lowery</x:v>
      </x:c>
      <x:c r="B279" s="14" t="str">
        <x:v>03</x:v>
      </x:c>
      <x:c r="C279" s="14" t="str">
        <x:v>2024_IMDb_Cast_Lists_Batch_03(1).xlsx</x:v>
      </x:c>
      <x:c r="D279" s="14" t="str">
        <x:v>Ludwig</x:v>
      </x:c>
      <x:c r="E279" s="14" t="n">
        <x:v>48</x:v>
      </x:c>
      <x:c r="F279" s="14" t="str">
        <x:v>Ludwig</x:v>
      </x:c>
      <x:c r="G279" s="14" t="str">
        <x:v>tt27846061</x:v>
      </x:c>
      <x:c r="H279" s="14" t="n">
        <x:v>2024</x:v>
      </x:c>
      <x:c r="I279" s="14" t="n">
        <x:v>2025</x:v>
      </x:c>
      <x:c r="J279" s="14" t="str">
        <x:v>Post-study cohort</x:v>
      </x:c>
      <x:c r="K279" s="14" t="n">
        <x:v>2024</x:v>
      </x:c>
      <x:c r="L279" s="14" t="str">
        <x:v>Not inherited</x:v>
      </x:c>
      <x:c r="M279" s="15" t="n">
        <x:v>41</x:v>
      </x:c>
      <x:c r="N279" s="14" t="str">
        <x:v>Doon Mackichan</x:v>
      </x:c>
      <x:c r="O279" s="14" t="str">
        <x:v>nm0533489</x:v>
      </x:c>
      <x:c r="P279" s="14" t="str">
        <x:v>Portia Lowery</x:v>
      </x:c>
      <x:c r="Q279" s="15" t="n">
        <x:v>1</x:v>
      </x:c>
      <x:c r="R279" s="14" t="str">
        <x:v>2026</x:v>
      </x:c>
      <x:c r="S279" s="14" t="n">
        <x:v>2026</x:v>
      </x:c>
      <x:c r="T279" s="14" t="n">
        <x:v>2026</x:v>
      </x:c>
      <x:c r="U279" s="14" t="str">
        <x:v>Explicit source first year retained</x:v>
      </x:c>
      <x:c r="V279" s="14" t="str">
        <x:v>Earliest supplied year is 2026.</x:v>
      </x:c>
      <x:c r="W279" s="14"/>
      <x:c r="X279" s="14" t="str">
        <x:v>Excluded: after 2025</x:v>
      </x:c>
      <x:c r="Y279" s="14"/>
      <x:c r="Z279" s="14" t="str">
        <x:v>Ludwig(1).docx</x:v>
      </x:c>
      <x:c r="AA279" s="14" t="str">
        <x:v>HYPERLINK is not implemented. linkLocation=https://www.imdb.com/title/tt27846061/fullcredits/, friendlyName=Open source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BBC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7" t="e">
        <x:f>HYPERLINK("https://en.wikipedia.org/wiki/Ludwig","Open source")</x:f>
        <x:v>HYPERLINK is not implemented. linkLocation=https://en.wikipedia.org/wiki/Ludwig, friendlyName=Open source</x:v>
      </x:c>
      <x:c r="AN279" s="14" t="str">
        <x:v>BBC public-service commission</x:v>
      </x:c>
      <x:c r="AO279" s="14" t="str">
        <x:v>Yes</x:v>
      </x:c>
      <x:c r="AP279" s="14" t="str">
        <x:v>Direct BBC public-service scope</x:v>
      </x:c>
      <x:c r="AQ279" s="14" t="str">
        <x:v>Yes</x:v>
      </x:c>
      <x:c r="AR279" s="14" t="str">
        <x:v>Resolved from master register</x:v>
      </x:c>
      <x:c r="AS279" s="14" t="str">
        <x:v>No established-register match</x:v>
      </x:c>
      <x:c r="AT279" s="14"/>
      <x:c r="AU279" s="14"/>
      <x:c r="AV279" s="14" t="str">
        <x:v>No established apparent-disability match</x:v>
      </x:c>
      <x:c r="AW279" s="14"/>
      <x:c r="AX279" s="14" t="str">
        <x:v>No</x:v>
      </x:c>
      <x:c r="AY279" s="14" t="str">
        <x:v>Unmatched</x:v>
      </x:c>
      <x:c r="AZ279" s="14" t="str">
        <x:v>Final supplied register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0.08333333333333333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4" t="str">
        <x:v>HYPERLINK is not implemented. linkLocation=https://www.imdb.com/title/tt27846061/fullcredits/, friendlyName=Open source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tt27846061|nm1541121|lilibeth lowery</x:v>
      </x:c>
      <x:c r="B280" s="14" t="str">
        <x:v>03</x:v>
      </x:c>
      <x:c r="C280" s="14" t="str">
        <x:v>2024_IMDb_Cast_Lists_Batch_03(1).xlsx</x:v>
      </x:c>
      <x:c r="D280" s="14" t="str">
        <x:v>Ludwig</x:v>
      </x:c>
      <x:c r="E280" s="14" t="n">
        <x:v>57</x:v>
      </x:c>
      <x:c r="F280" s="14" t="str">
        <x:v>Ludwig</x:v>
      </x:c>
      <x:c r="G280" s="14" t="str">
        <x:v>tt27846061</x:v>
      </x:c>
      <x:c r="H280" s="14" t="n">
        <x:v>2024</x:v>
      </x:c>
      <x:c r="I280" s="14" t="n">
        <x:v>2025</x:v>
      </x:c>
      <x:c r="J280" s="14" t="str">
        <x:v>Post-study cohort</x:v>
      </x:c>
      <x:c r="K280" s="14" t="n">
        <x:v>2024</x:v>
      </x:c>
      <x:c r="L280" s="14" t="str">
        <x:v>Not inherited</x:v>
      </x:c>
      <x:c r="M280" s="15" t="n">
        <x:v>50</x:v>
      </x:c>
      <x:c r="N280" s="14" t="str">
        <x:v>Gillian Royale</x:v>
      </x:c>
      <x:c r="O280" s="14" t="str">
        <x:v>nm1541121</x:v>
      </x:c>
      <x:c r="P280" s="14" t="str">
        <x:v>Lilibeth Lowery</x:v>
      </x:c>
      <x:c r="Q280" s="15" t="n">
        <x:v>1</x:v>
      </x:c>
      <x:c r="R280" s="14" t="str">
        <x:v>2026</x:v>
      </x:c>
      <x:c r="S280" s="14" t="n">
        <x:v>2026</x:v>
      </x:c>
      <x:c r="T280" s="14" t="n">
        <x:v>2026</x:v>
      </x:c>
      <x:c r="U280" s="14" t="str">
        <x:v>Explicit source first year retained</x:v>
      </x:c>
      <x:c r="V280" s="14" t="str">
        <x:v>Earliest supplied year is 2026.</x:v>
      </x:c>
      <x:c r="W280" s="14"/>
      <x:c r="X280" s="14" t="str">
        <x:v>Excluded: after 2025</x:v>
      </x:c>
      <x:c r="Y280" s="14"/>
      <x:c r="Z280" s="14" t="str">
        <x:v>Ludwig(1).docx</x:v>
      </x:c>
      <x:c r="AA280" s="14" t="str">
        <x:v>HYPERLINK is not implemented. linkLocation=https://www.imdb.com/title/tt27846061/fullcredits/, friendlyName=Open source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BBC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7" t="e">
        <x:f>HYPERLINK("https://en.wikipedia.org/wiki/Ludwig","Open source")</x:f>
        <x:v>HYPERLINK is not implemented. linkLocation=https://en.wikipedia.org/wiki/Ludwig, friendlyName=Open source</x:v>
      </x:c>
      <x:c r="AN280" s="14" t="str">
        <x:v>BBC public-service commission</x:v>
      </x:c>
      <x:c r="AO280" s="14" t="str">
        <x:v>Yes</x:v>
      </x:c>
      <x:c r="AP280" s="14" t="str">
        <x:v>Direct BBC public-service scope</x:v>
      </x:c>
      <x:c r="AQ280" s="14" t="str">
        <x:v>Yes</x:v>
      </x:c>
      <x:c r="AR280" s="14" t="str">
        <x:v>Resolved from master register</x:v>
      </x:c>
      <x:c r="AS280" s="14" t="str">
        <x:v>No established-register match</x:v>
      </x:c>
      <x:c r="AT280" s="14"/>
      <x:c r="AU280" s="14"/>
      <x:c r="AV280" s="14" t="str">
        <x:v>No established apparent-disability match</x:v>
      </x:c>
      <x:c r="AW280" s="14"/>
      <x:c r="AX280" s="14" t="str">
        <x:v>No</x:v>
      </x:c>
      <x:c r="AY280" s="14" t="str">
        <x:v>Unmatched</x:v>
      </x:c>
      <x:c r="AZ280" s="14" t="str">
        <x:v>Final supplied register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0.08333333333333333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4" t="str">
        <x:v>HYPERLINK is not implemented. linkLocation=https://www.imdb.com/title/tt27846061/fullcredits/, friendlyName=Open source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tt27846061|nm0580351|danny sloane</x:v>
      </x:c>
      <x:c r="B281" s="14" t="str">
        <x:v>03</x:v>
      </x:c>
      <x:c r="C281" s="14" t="str">
        <x:v>2024_IMDb_Cast_Lists_Batch_03(1).xlsx</x:v>
      </x:c>
      <x:c r="D281" s="14" t="str">
        <x:v>Ludwig</x:v>
      </x:c>
      <x:c r="E281" s="14" t="n">
        <x:v>75</x:v>
      </x:c>
      <x:c r="F281" s="14" t="str">
        <x:v>Ludwig</x:v>
      </x:c>
      <x:c r="G281" s="14" t="str">
        <x:v>tt27846061</x:v>
      </x:c>
      <x:c r="H281" s="14" t="n">
        <x:v>2024</x:v>
      </x:c>
      <x:c r="I281" s="14" t="n">
        <x:v>2025</x:v>
      </x:c>
      <x:c r="J281" s="14" t="str">
        <x:v>Post-study cohort</x:v>
      </x:c>
      <x:c r="K281" s="14" t="n">
        <x:v>2024</x:v>
      </x:c>
      <x:c r="L281" s="14" t="str">
        <x:v>Not inherited</x:v>
      </x:c>
      <x:c r="M281" s="15" t="n">
        <x:v>68</x:v>
      </x:c>
      <x:c r="N281" s="14" t="str">
        <x:v>Stephen Merchant</x:v>
      </x:c>
      <x:c r="O281" s="14" t="str">
        <x:v>nm0580351</x:v>
      </x:c>
      <x:c r="P281" s="14" t="str">
        <x:v>Danny Sloane</x:v>
      </x:c>
      <x:c r="Q281" s="15" t="n">
        <x:v>1</x:v>
      </x:c>
      <x:c r="R281" s="14" t="str">
        <x:v>2026</x:v>
      </x:c>
      <x:c r="S281" s="14" t="n">
        <x:v>2026</x:v>
      </x:c>
      <x:c r="T281" s="14" t="n">
        <x:v>2026</x:v>
      </x:c>
      <x:c r="U281" s="14" t="str">
        <x:v>Explicit source first year retained</x:v>
      </x:c>
      <x:c r="V281" s="14" t="str">
        <x:v>Earliest supplied year is 2026.</x:v>
      </x:c>
      <x:c r="W281" s="14"/>
      <x:c r="X281" s="14" t="str">
        <x:v>Excluded: after 2025</x:v>
      </x:c>
      <x:c r="Y281" s="14"/>
      <x:c r="Z281" s="14" t="str">
        <x:v>Ludwig(1).docx</x:v>
      </x:c>
      <x:c r="AA281" s="14" t="str">
        <x:v>HYPERLINK is not implemented. linkLocation=https://www.imdb.com/title/tt27846061/fullcredits/, friendlyName=Open source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BBC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7" t="e">
        <x:f>HYPERLINK("https://en.wikipedia.org/wiki/Ludwig","Open source")</x:f>
        <x:v>HYPERLINK is not implemented. linkLocation=https://en.wikipedia.org/wiki/Ludwig, friendlyName=Open source</x:v>
      </x:c>
      <x:c r="AN281" s="14" t="str">
        <x:v>BBC public-service commission</x:v>
      </x:c>
      <x:c r="AO281" s="14" t="str">
        <x:v>Yes</x:v>
      </x:c>
      <x:c r="AP281" s="14" t="str">
        <x:v>Direct BBC public-service scope</x:v>
      </x:c>
      <x:c r="AQ281" s="14" t="str">
        <x:v>Yes</x:v>
      </x:c>
      <x:c r="AR281" s="14" t="str">
        <x:v>Resolved from master register</x:v>
      </x:c>
      <x:c r="AS281" s="14" t="str">
        <x:v>No established-register match</x:v>
      </x:c>
      <x:c r="AT281" s="14"/>
      <x:c r="AU281" s="14"/>
      <x:c r="AV281" s="14" t="str">
        <x:v>No established apparent-disability match</x:v>
      </x:c>
      <x:c r="AW281" s="14"/>
      <x:c r="AX281" s="14" t="str">
        <x:v>No</x:v>
      </x:c>
      <x:c r="AY281" s="14" t="str">
        <x:v>Unmatched</x:v>
      </x:c>
      <x:c r="AZ281" s="14" t="str">
        <x:v>Final supplied register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0.08333333333333333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4" t="str">
        <x:v>HYPERLINK is not implemented. linkLocation=https://www.imdb.com/title/tt27846061/fullcredits/, friendlyName=Open source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tt27846061|nm0063542|phillip mooney</x:v>
      </x:c>
      <x:c r="B282" s="14" t="str">
        <x:v>03</x:v>
      </x:c>
      <x:c r="C282" s="14" t="str">
        <x:v>2024_IMDb_Cast_Lists_Batch_03(1).xlsx</x:v>
      </x:c>
      <x:c r="D282" s="14" t="str">
        <x:v>Ludwig</x:v>
      </x:c>
      <x:c r="E282" s="14" t="n">
        <x:v>76</x:v>
      </x:c>
      <x:c r="F282" s="14" t="str">
        <x:v>Ludwig</x:v>
      </x:c>
      <x:c r="G282" s="14" t="str">
        <x:v>tt27846061</x:v>
      </x:c>
      <x:c r="H282" s="14" t="n">
        <x:v>2024</x:v>
      </x:c>
      <x:c r="I282" s="14" t="n">
        <x:v>2025</x:v>
      </x:c>
      <x:c r="J282" s="14" t="str">
        <x:v>Post-study cohort</x:v>
      </x:c>
      <x:c r="K282" s="14" t="n">
        <x:v>2024</x:v>
      </x:c>
      <x:c r="L282" s="14" t="str">
        <x:v>Not inherited</x:v>
      </x:c>
      <x:c r="M282" s="15" t="n">
        <x:v>69</x:v>
      </x:c>
      <x:c r="N282" s="14" t="str">
        <x:v>Gary Beadle</x:v>
      </x:c>
      <x:c r="O282" s="14" t="str">
        <x:v>nm0063542</x:v>
      </x:c>
      <x:c r="P282" s="14" t="str">
        <x:v>Phillip Mooney</x:v>
      </x:c>
      <x:c r="Q282" s="15" t="n">
        <x:v>1</x:v>
      </x:c>
      <x:c r="R282" s="14" t="str">
        <x:v>2026</x:v>
      </x:c>
      <x:c r="S282" s="14" t="n">
        <x:v>2026</x:v>
      </x:c>
      <x:c r="T282" s="14" t="n">
        <x:v>2026</x:v>
      </x:c>
      <x:c r="U282" s="14" t="str">
        <x:v>Explicit source first year retained</x:v>
      </x:c>
      <x:c r="V282" s="14" t="str">
        <x:v>Earliest supplied year is 2026.</x:v>
      </x:c>
      <x:c r="W282" s="14"/>
      <x:c r="X282" s="14" t="str">
        <x:v>Excluded: after 2025</x:v>
      </x:c>
      <x:c r="Y282" s="14"/>
      <x:c r="Z282" s="14" t="str">
        <x:v>Ludwig(1).docx</x:v>
      </x:c>
      <x:c r="AA282" s="14" t="str">
        <x:v>HYPERLINK is not implemented. linkLocation=https://www.imdb.com/title/tt27846061/fullcredits/, friendlyName=Open source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BBC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7" t="e">
        <x:f>HYPERLINK("https://en.wikipedia.org/wiki/Ludwig","Open source")</x:f>
        <x:v>HYPERLINK is not implemented. linkLocation=https://en.wikipedia.org/wiki/Ludwig, friendlyName=Open source</x:v>
      </x:c>
      <x:c r="AN282" s="14" t="str">
        <x:v>BBC public-service commission</x:v>
      </x:c>
      <x:c r="AO282" s="14" t="str">
        <x:v>Yes</x:v>
      </x:c>
      <x:c r="AP282" s="14" t="str">
        <x:v>Direct BBC public-service scope</x:v>
      </x:c>
      <x:c r="AQ282" s="14" t="str">
        <x:v>Yes</x:v>
      </x:c>
      <x:c r="AR282" s="14" t="str">
        <x:v>Resolved from master register</x:v>
      </x:c>
      <x:c r="AS282" s="14" t="str">
        <x:v>No established-register match</x:v>
      </x:c>
      <x:c r="AT282" s="14"/>
      <x:c r="AU282" s="14"/>
      <x:c r="AV282" s="14" t="str">
        <x:v>No established apparent-disability match</x:v>
      </x:c>
      <x:c r="AW282" s="14"/>
      <x:c r="AX282" s="14" t="str">
        <x:v>No</x:v>
      </x:c>
      <x:c r="AY282" s="14" t="str">
        <x:v>Unmatched</x:v>
      </x:c>
      <x:c r="AZ282" s="14" t="str">
        <x:v>Final supplied register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1</x:v>
      </x:c>
      <x:c r="BS282" s="16" t="n">
        <x:v>0.08333333333333333</x:v>
      </x:c>
      <x:c r="BT282" s="14" t="str">
        <x:v>One episode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4" t="str">
        <x:v>HYPERLINK is not implemented. linkLocation=https://www.imdb.com/title/tt27846061/fullcredits/, friendlyName=Open source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tt27846061|nm3382412|jackie mooney</x:v>
      </x:c>
      <x:c r="B283" s="14" t="str">
        <x:v>03</x:v>
      </x:c>
      <x:c r="C283" s="14" t="str">
        <x:v>2024_IMDb_Cast_Lists_Batch_03(1).xlsx</x:v>
      </x:c>
      <x:c r="D283" s="14" t="str">
        <x:v>Ludwig</x:v>
      </x:c>
      <x:c r="E283" s="14" t="n">
        <x:v>77</x:v>
      </x:c>
      <x:c r="F283" s="14" t="str">
        <x:v>Ludwig</x:v>
      </x:c>
      <x:c r="G283" s="14" t="str">
        <x:v>tt27846061</x:v>
      </x:c>
      <x:c r="H283" s="14" t="n">
        <x:v>2024</x:v>
      </x:c>
      <x:c r="I283" s="14" t="n">
        <x:v>2025</x:v>
      </x:c>
      <x:c r="J283" s="14" t="str">
        <x:v>Post-study cohort</x:v>
      </x:c>
      <x:c r="K283" s="14" t="n">
        <x:v>2024</x:v>
      </x:c>
      <x:c r="L283" s="14" t="str">
        <x:v>Not inherited</x:v>
      </x:c>
      <x:c r="M283" s="15" t="n">
        <x:v>70</x:v>
      </x:c>
      <x:c r="N283" s="14" t="str">
        <x:v>Michelle Greenidge</x:v>
      </x:c>
      <x:c r="O283" s="14" t="str">
        <x:v>nm3382412</x:v>
      </x:c>
      <x:c r="P283" s="14" t="str">
        <x:v>Jackie Mooney</x:v>
      </x:c>
      <x:c r="Q283" s="15" t="n">
        <x:v>1</x:v>
      </x:c>
      <x:c r="R283" s="14" t="str">
        <x:v>2026</x:v>
      </x:c>
      <x:c r="S283" s="14" t="n">
        <x:v>2026</x:v>
      </x:c>
      <x:c r="T283" s="14" t="n">
        <x:v>2026</x:v>
      </x:c>
      <x:c r="U283" s="14" t="str">
        <x:v>Explicit source first year retained</x:v>
      </x:c>
      <x:c r="V283" s="14" t="str">
        <x:v>Earliest supplied year is 2026.</x:v>
      </x:c>
      <x:c r="W283" s="14"/>
      <x:c r="X283" s="14" t="str">
        <x:v>Excluded: after 2025</x:v>
      </x:c>
      <x:c r="Y283" s="14"/>
      <x:c r="Z283" s="14" t="str">
        <x:v>Ludwig(1).docx</x:v>
      </x:c>
      <x:c r="AA283" s="14" t="str">
        <x:v>HYPERLINK is not implemented. linkLocation=https://www.imdb.com/title/tt27846061/fullcredits/, friendlyName=Open source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BBC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7" t="e">
        <x:f>HYPERLINK("https://en.wikipedia.org/wiki/Ludwig","Open source")</x:f>
        <x:v>HYPERLINK is not implemented. linkLocation=https://en.wikipedia.org/wiki/Ludwig, friendlyName=Open source</x:v>
      </x:c>
      <x:c r="AN283" s="14" t="str">
        <x:v>BBC public-service commission</x:v>
      </x:c>
      <x:c r="AO283" s="14" t="str">
        <x:v>Yes</x:v>
      </x:c>
      <x:c r="AP283" s="14" t="str">
        <x:v>Direct BBC public-service scope</x:v>
      </x:c>
      <x:c r="AQ283" s="14" t="str">
        <x:v>Yes</x:v>
      </x:c>
      <x:c r="AR283" s="14" t="str">
        <x:v>Resolved from master register</x:v>
      </x:c>
      <x:c r="AS283" s="14" t="str">
        <x:v>No established-register match</x:v>
      </x:c>
      <x:c r="AT283" s="14"/>
      <x:c r="AU283" s="14"/>
      <x:c r="AV283" s="14" t="str">
        <x:v>No established apparent-disability match</x:v>
      </x:c>
      <x:c r="AW283" s="14"/>
      <x:c r="AX283" s="14" t="str">
        <x:v>No</x:v>
      </x:c>
      <x:c r="AY283" s="14" t="str">
        <x:v>Unmatched</x:v>
      </x:c>
      <x:c r="AZ283" s="14" t="str">
        <x:v>Final supplied register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1</x:v>
      </x:c>
      <x:c r="BS283" s="16" t="n">
        <x:v>0.08333333333333333</x:v>
      </x:c>
      <x:c r="BT283" s="14" t="str">
        <x:v>One episode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4" t="str">
        <x:v>HYPERLINK is not implemented. linkLocation=https://www.imdb.com/title/tt27846061/fullcredits/, friendlyName=Open source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tt27846061|nm6521386|zack woodson</x:v>
      </x:c>
      <x:c r="B284" s="14" t="str">
        <x:v>03</x:v>
      </x:c>
      <x:c r="C284" s="14" t="str">
        <x:v>2024_IMDb_Cast_Lists_Batch_03(1).xlsx</x:v>
      </x:c>
      <x:c r="D284" s="14" t="str">
        <x:v>Ludwig</x:v>
      </x:c>
      <x:c r="E284" s="14" t="n">
        <x:v>78</x:v>
      </x:c>
      <x:c r="F284" s="14" t="str">
        <x:v>Ludwig</x:v>
      </x:c>
      <x:c r="G284" s="14" t="str">
        <x:v>tt27846061</x:v>
      </x:c>
      <x:c r="H284" s="14" t="n">
        <x:v>2024</x:v>
      </x:c>
      <x:c r="I284" s="14" t="n">
        <x:v>2025</x:v>
      </x:c>
      <x:c r="J284" s="14" t="str">
        <x:v>Post-study cohort</x:v>
      </x:c>
      <x:c r="K284" s="14" t="n">
        <x:v>2024</x:v>
      </x:c>
      <x:c r="L284" s="14" t="str">
        <x:v>Not inherited</x:v>
      </x:c>
      <x:c r="M284" s="15" t="n">
        <x:v>71</x:v>
      </x:c>
      <x:c r="N284" s="14" t="str">
        <x:v>Joseph Ollman</x:v>
      </x:c>
      <x:c r="O284" s="14" t="str">
        <x:v>nm6521386</x:v>
      </x:c>
      <x:c r="P284" s="14" t="str">
        <x:v>Zack Woodson</x:v>
      </x:c>
      <x:c r="Q284" s="15" t="n">
        <x:v>1</x:v>
      </x:c>
      <x:c r="R284" s="14" t="str">
        <x:v>2026</x:v>
      </x:c>
      <x:c r="S284" s="14" t="n">
        <x:v>2026</x:v>
      </x:c>
      <x:c r="T284" s="14" t="n">
        <x:v>2026</x:v>
      </x:c>
      <x:c r="U284" s="14" t="str">
        <x:v>Explicit source first year retained</x:v>
      </x:c>
      <x:c r="V284" s="14" t="str">
        <x:v>Earliest supplied year is 2026.</x:v>
      </x:c>
      <x:c r="W284" s="14"/>
      <x:c r="X284" s="14" t="str">
        <x:v>Excluded: after 2025</x:v>
      </x:c>
      <x:c r="Y284" s="14"/>
      <x:c r="Z284" s="14" t="str">
        <x:v>Ludwig(1).docx</x:v>
      </x:c>
      <x:c r="AA284" s="14" t="str">
        <x:v>HYPERLINK is not implemented. linkLocation=https://www.imdb.com/title/tt27846061/fullcredits/, friendlyName=Open source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BBC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7" t="e">
        <x:f>HYPERLINK("https://en.wikipedia.org/wiki/Ludwig","Open source")</x:f>
        <x:v>HYPERLINK is not implemented. linkLocation=https://en.wikipedia.org/wiki/Ludwig, friendlyName=Open source</x:v>
      </x:c>
      <x:c r="AN284" s="14" t="str">
        <x:v>BBC public-service commission</x:v>
      </x:c>
      <x:c r="AO284" s="14" t="str">
        <x:v>Yes</x:v>
      </x:c>
      <x:c r="AP284" s="14" t="str">
        <x:v>Direct BBC public-service scope</x:v>
      </x:c>
      <x:c r="AQ284" s="14" t="str">
        <x:v>Yes</x:v>
      </x:c>
      <x:c r="AR284" s="14" t="str">
        <x:v>Resolved from master register</x:v>
      </x:c>
      <x:c r="AS284" s="14" t="str">
        <x:v>No established-register match</x:v>
      </x:c>
      <x:c r="AT284" s="14"/>
      <x:c r="AU284" s="14"/>
      <x:c r="AV284" s="14" t="str">
        <x:v>No established apparent-disability match</x:v>
      </x:c>
      <x:c r="AW284" s="14"/>
      <x:c r="AX284" s="14" t="str">
        <x:v>No</x:v>
      </x:c>
      <x:c r="AY284" s="14" t="str">
        <x:v>Unmatched</x:v>
      </x:c>
      <x:c r="AZ284" s="14" t="str">
        <x:v>Final supplied register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1</x:v>
      </x:c>
      <x:c r="BS284" s="16" t="n">
        <x:v>0.08333333333333333</x:v>
      </x:c>
      <x:c r="BT284" s="14" t="str">
        <x:v>One episode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4" t="str">
        <x:v>HYPERLINK is not implemented. linkLocation=https://www.imdb.com/title/tt27846061/fullcredits/, friendlyName=Open source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tt27846061|nm2680253|aiden mooney</x:v>
      </x:c>
      <x:c r="B285" s="14" t="str">
        <x:v>03</x:v>
      </x:c>
      <x:c r="C285" s="14" t="str">
        <x:v>2024_IMDb_Cast_Lists_Batch_03(1).xlsx</x:v>
      </x:c>
      <x:c r="D285" s="14" t="str">
        <x:v>Ludwig</x:v>
      </x:c>
      <x:c r="E285" s="14" t="n">
        <x:v>79</x:v>
      </x:c>
      <x:c r="F285" s="14" t="str">
        <x:v>Ludwig</x:v>
      </x:c>
      <x:c r="G285" s="14" t="str">
        <x:v>tt27846061</x:v>
      </x:c>
      <x:c r="H285" s="14" t="n">
        <x:v>2024</x:v>
      </x:c>
      <x:c r="I285" s="14" t="n">
        <x:v>2025</x:v>
      </x:c>
      <x:c r="J285" s="14" t="str">
        <x:v>Post-study cohort</x:v>
      </x:c>
      <x:c r="K285" s="14" t="n">
        <x:v>2024</x:v>
      </x:c>
      <x:c r="L285" s="14" t="str">
        <x:v>Not inherited</x:v>
      </x:c>
      <x:c r="M285" s="15" t="n">
        <x:v>72</x:v>
      </x:c>
      <x:c r="N285" s="14" t="str">
        <x:v>Daniel Lawrence Taylor</x:v>
      </x:c>
      <x:c r="O285" s="14" t="str">
        <x:v>nm2680253</x:v>
      </x:c>
      <x:c r="P285" s="14" t="str">
        <x:v>Aiden Mooney</x:v>
      </x:c>
      <x:c r="Q285" s="15" t="n">
        <x:v>1</x:v>
      </x:c>
      <x:c r="R285" s="14" t="str">
        <x:v>2026</x:v>
      </x:c>
      <x:c r="S285" s="14" t="n">
        <x:v>2026</x:v>
      </x:c>
      <x:c r="T285" s="14" t="n">
        <x:v>2026</x:v>
      </x:c>
      <x:c r="U285" s="14" t="str">
        <x:v>Explicit source first year retained</x:v>
      </x:c>
      <x:c r="V285" s="14" t="str">
        <x:v>Earliest supplied year is 2026.</x:v>
      </x:c>
      <x:c r="W285" s="14"/>
      <x:c r="X285" s="14" t="str">
        <x:v>Excluded: after 2025</x:v>
      </x:c>
      <x:c r="Y285" s="14"/>
      <x:c r="Z285" s="14" t="str">
        <x:v>Ludwig(1).docx</x:v>
      </x:c>
      <x:c r="AA285" s="14" t="str">
        <x:v>HYPERLINK is not implemented. linkLocation=https://www.imdb.com/title/tt27846061/fullcredits/, friendlyName=Open source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BBC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7" t="e">
        <x:f>HYPERLINK("https://en.wikipedia.org/wiki/Ludwig","Open source")</x:f>
        <x:v>HYPERLINK is not implemented. linkLocation=https://en.wikipedia.org/wiki/Ludwig, friendlyName=Open source</x:v>
      </x:c>
      <x:c r="AN285" s="14" t="str">
        <x:v>BBC public-service commission</x:v>
      </x:c>
      <x:c r="AO285" s="14" t="str">
        <x:v>Yes</x:v>
      </x:c>
      <x:c r="AP285" s="14" t="str">
        <x:v>Direct BBC public-service scope</x:v>
      </x:c>
      <x:c r="AQ285" s="14" t="str">
        <x:v>Yes</x:v>
      </x:c>
      <x:c r="AR285" s="14" t="str">
        <x:v>Resolved from master register</x:v>
      </x:c>
      <x:c r="AS285" s="14" t="str">
        <x:v>No established-register match</x:v>
      </x:c>
      <x:c r="AT285" s="14"/>
      <x:c r="AU285" s="14"/>
      <x:c r="AV285" s="14" t="str">
        <x:v>No established apparent-disability match</x:v>
      </x:c>
      <x:c r="AW285" s="14"/>
      <x:c r="AX285" s="14" t="str">
        <x:v>No</x:v>
      </x:c>
      <x:c r="AY285" s="14" t="str">
        <x:v>Unmatched</x:v>
      </x:c>
      <x:c r="AZ285" s="14" t="str">
        <x:v>Final supplied register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4" t="str">
        <x:v>HYPERLINK is not implemented. linkLocation=https://www.imdb.com/title/tt27846061/fullcredits/, friendlyName=Open source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tt27846061|nm6909685|jennifer wicks</x:v>
      </x:c>
      <x:c r="B286" s="14" t="str">
        <x:v>03</x:v>
      </x:c>
      <x:c r="C286" s="14" t="str">
        <x:v>2024_IMDb_Cast_Lists_Batch_03(1).xlsx</x:v>
      </x:c>
      <x:c r="D286" s="14" t="str">
        <x:v>Ludwig</x:v>
      </x:c>
      <x:c r="E286" s="14" t="n">
        <x:v>80</x:v>
      </x:c>
      <x:c r="F286" s="14" t="str">
        <x:v>Ludwig</x:v>
      </x:c>
      <x:c r="G286" s="14" t="str">
        <x:v>tt27846061</x:v>
      </x:c>
      <x:c r="H286" s="14" t="n">
        <x:v>2024</x:v>
      </x:c>
      <x:c r="I286" s="14" t="n">
        <x:v>2025</x:v>
      </x:c>
      <x:c r="J286" s="14" t="str">
        <x:v>Post-study cohort</x:v>
      </x:c>
      <x:c r="K286" s="14" t="n">
        <x:v>2024</x:v>
      </x:c>
      <x:c r="L286" s="14" t="str">
        <x:v>Not inherited</x:v>
      </x:c>
      <x:c r="M286" s="15" t="n">
        <x:v>73</x:v>
      </x:c>
      <x:c r="N286" s="14" t="str">
        <x:v>Emily Laing</x:v>
      </x:c>
      <x:c r="O286" s="14" t="str">
        <x:v>nm6909685</x:v>
      </x:c>
      <x:c r="P286" s="14" t="str">
        <x:v>Jennifer Wicks</x:v>
      </x:c>
      <x:c r="Q286" s="15" t="n">
        <x:v>1</x:v>
      </x:c>
      <x:c r="R286" s="14" t="str">
        <x:v>2026</x:v>
      </x:c>
      <x:c r="S286" s="14" t="n">
        <x:v>2026</x:v>
      </x:c>
      <x:c r="T286" s="14" t="n">
        <x:v>2026</x:v>
      </x:c>
      <x:c r="U286" s="14" t="str">
        <x:v>Explicit source first year retained</x:v>
      </x:c>
      <x:c r="V286" s="14" t="str">
        <x:v>Earliest supplied year is 2026.</x:v>
      </x:c>
      <x:c r="W286" s="14"/>
      <x:c r="X286" s="14" t="str">
        <x:v>Excluded: after 2025</x:v>
      </x:c>
      <x:c r="Y286" s="14"/>
      <x:c r="Z286" s="14" t="str">
        <x:v>Ludwig(1).docx</x:v>
      </x:c>
      <x:c r="AA286" s="14" t="str">
        <x:v>HYPERLINK is not implemented. linkLocation=https://www.imdb.com/title/tt27846061/fullcredits/, friendlyName=Open source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BBC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7" t="e">
        <x:f>HYPERLINK("https://en.wikipedia.org/wiki/Ludwig","Open source")</x:f>
        <x:v>HYPERLINK is not implemented. linkLocation=https://en.wikipedia.org/wiki/Ludwig, friendlyName=Open source</x:v>
      </x:c>
      <x:c r="AN286" s="14" t="str">
        <x:v>BBC public-service commission</x:v>
      </x:c>
      <x:c r="AO286" s="14" t="str">
        <x:v>Yes</x:v>
      </x:c>
      <x:c r="AP286" s="14" t="str">
        <x:v>Direct BBC public-service scope</x:v>
      </x:c>
      <x:c r="AQ286" s="14" t="str">
        <x:v>Yes</x:v>
      </x:c>
      <x:c r="AR286" s="14" t="str">
        <x:v>Resolved from master register</x:v>
      </x:c>
      <x:c r="AS286" s="14" t="str">
        <x:v>No established-register match</x:v>
      </x:c>
      <x:c r="AT286" s="14"/>
      <x:c r="AU286" s="14"/>
      <x:c r="AV286" s="14" t="str">
        <x:v>No established apparent-disability match</x:v>
      </x:c>
      <x:c r="AW286" s="14"/>
      <x:c r="AX286" s="14" t="str">
        <x:v>No</x:v>
      </x:c>
      <x:c r="AY286" s="14" t="str">
        <x:v>Unmatched</x:v>
      </x:c>
      <x:c r="AZ286" s="14" t="str">
        <x:v>Final supplied register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4" t="str">
        <x:v>HYPERLINK is not implemented. linkLocation=https://www.imdb.com/title/tt27846061/fullcredits/, friendlyName=Open source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tt27846061|nm1478396|colin</x:v>
      </x:c>
      <x:c r="B287" s="14" t="str">
        <x:v>03</x:v>
      </x:c>
      <x:c r="C287" s="14" t="str">
        <x:v>2024_IMDb_Cast_Lists_Batch_03(1).xlsx</x:v>
      </x:c>
      <x:c r="D287" s="14" t="str">
        <x:v>Ludwig</x:v>
      </x:c>
      <x:c r="E287" s="14" t="n">
        <x:v>81</x:v>
      </x:c>
      <x:c r="F287" s="14" t="str">
        <x:v>Ludwig</x:v>
      </x:c>
      <x:c r="G287" s="14" t="str">
        <x:v>tt27846061</x:v>
      </x:c>
      <x:c r="H287" s="14" t="n">
        <x:v>2024</x:v>
      </x:c>
      <x:c r="I287" s="14" t="n">
        <x:v>2025</x:v>
      </x:c>
      <x:c r="J287" s="14" t="str">
        <x:v>Post-study cohort</x:v>
      </x:c>
      <x:c r="K287" s="14" t="n">
        <x:v>2024</x:v>
      </x:c>
      <x:c r="L287" s="14" t="str">
        <x:v>Not inherited</x:v>
      </x:c>
      <x:c r="M287" s="15" t="n">
        <x:v>74</x:v>
      </x:c>
      <x:c r="N287" s="14" t="str">
        <x:v>Tony Jayawardena</x:v>
      </x:c>
      <x:c r="O287" s="14" t="str">
        <x:v>nm1478396</x:v>
      </x:c>
      <x:c r="P287" s="14" t="str">
        <x:v>Colin</x:v>
      </x:c>
      <x:c r="Q287" s="15" t="n">
        <x:v>1</x:v>
      </x:c>
      <x:c r="R287" s="14" t="str">
        <x:v>2026</x:v>
      </x:c>
      <x:c r="S287" s="14" t="n">
        <x:v>2026</x:v>
      </x:c>
      <x:c r="T287" s="14" t="n">
        <x:v>2026</x:v>
      </x:c>
      <x:c r="U287" s="14" t="str">
        <x:v>Explicit source first year retained</x:v>
      </x:c>
      <x:c r="V287" s="14" t="str">
        <x:v>Earliest supplied year is 2026.</x:v>
      </x:c>
      <x:c r="W287" s="14"/>
      <x:c r="X287" s="14" t="str">
        <x:v>Excluded: after 2025</x:v>
      </x:c>
      <x:c r="Y287" s="14"/>
      <x:c r="Z287" s="14" t="str">
        <x:v>Ludwig(1).docx</x:v>
      </x:c>
      <x:c r="AA287" s="14" t="str">
        <x:v>HYPERLINK is not implemented. linkLocation=https://www.imdb.com/title/tt27846061/fullcredits/, friendlyName=Open source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BBC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7" t="e">
        <x:f>HYPERLINK("https://en.wikipedia.org/wiki/Ludwig","Open source")</x:f>
        <x:v>HYPERLINK is not implemented. linkLocation=https://en.wikipedia.org/wiki/Ludwig, friendlyName=Open source</x:v>
      </x:c>
      <x:c r="AN287" s="14" t="str">
        <x:v>BBC public-service commission</x:v>
      </x:c>
      <x:c r="AO287" s="14" t="str">
        <x:v>Yes</x:v>
      </x:c>
      <x:c r="AP287" s="14" t="str">
        <x:v>Direct BBC public-service scope</x:v>
      </x:c>
      <x:c r="AQ287" s="14" t="str">
        <x:v>Yes</x:v>
      </x:c>
      <x:c r="AR287" s="14" t="str">
        <x:v>Resolved from master register</x:v>
      </x:c>
      <x:c r="AS287" s="14" t="str">
        <x:v>No established-register match</x:v>
      </x:c>
      <x:c r="AT287" s="14"/>
      <x:c r="AU287" s="14"/>
      <x:c r="AV287" s="14" t="str">
        <x:v>No established apparent-disability match</x:v>
      </x:c>
      <x:c r="AW287" s="14"/>
      <x:c r="AX287" s="14" t="str">
        <x:v>No</x:v>
      </x:c>
      <x:c r="AY287" s="14" t="str">
        <x:v>Unmatched</x:v>
      </x:c>
      <x:c r="AZ287" s="14" t="str">
        <x:v>Final supplied register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4" t="str">
        <x:v>HYPERLINK is not implemented. linkLocation=https://www.imdb.com/title/tt27846061/fullcredits/, friendlyName=Open source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tt27846061|nm12293026|tiffany catley</x:v>
      </x:c>
      <x:c r="B288" s="14" t="str">
        <x:v>03</x:v>
      </x:c>
      <x:c r="C288" s="14" t="str">
        <x:v>2024_IMDb_Cast_Lists_Batch_03(1).xlsx</x:v>
      </x:c>
      <x:c r="D288" s="14" t="str">
        <x:v>Ludwig</x:v>
      </x:c>
      <x:c r="E288" s="14" t="n">
        <x:v>82</x:v>
      </x:c>
      <x:c r="F288" s="14" t="str">
        <x:v>Ludwig</x:v>
      </x:c>
      <x:c r="G288" s="14" t="str">
        <x:v>tt27846061</x:v>
      </x:c>
      <x:c r="H288" s="14" t="n">
        <x:v>2024</x:v>
      </x:c>
      <x:c r="I288" s="14" t="n">
        <x:v>2025</x:v>
      </x:c>
      <x:c r="J288" s="14" t="str">
        <x:v>Post-study cohort</x:v>
      </x:c>
      <x:c r="K288" s="14" t="n">
        <x:v>2024</x:v>
      </x:c>
      <x:c r="L288" s="14" t="str">
        <x:v>Not inherited</x:v>
      </x:c>
      <x:c r="M288" s="15" t="n">
        <x:v>75</x:v>
      </x:c>
      <x:c r="N288" s="14" t="str">
        <x:v>Dujonna Gift</x:v>
      </x:c>
      <x:c r="O288" s="14" t="str">
        <x:v>nm12293026</x:v>
      </x:c>
      <x:c r="P288" s="14" t="str">
        <x:v>Tiffany Catley</x:v>
      </x:c>
      <x:c r="Q288" s="15" t="n">
        <x:v>1</x:v>
      </x:c>
      <x:c r="R288" s="14" t="str">
        <x:v>2026</x:v>
      </x:c>
      <x:c r="S288" s="14" t="n">
        <x:v>2026</x:v>
      </x:c>
      <x:c r="T288" s="14" t="n">
        <x:v>2026</x:v>
      </x:c>
      <x:c r="U288" s="14" t="str">
        <x:v>Explicit source first year retained</x:v>
      </x:c>
      <x:c r="V288" s="14" t="str">
        <x:v>Earliest supplied year is 2026.</x:v>
      </x:c>
      <x:c r="W288" s="14"/>
      <x:c r="X288" s="14" t="str">
        <x:v>Excluded: after 2025</x:v>
      </x:c>
      <x:c r="Y288" s="14"/>
      <x:c r="Z288" s="14" t="str">
        <x:v>Ludwig(1).docx</x:v>
      </x:c>
      <x:c r="AA288" s="14" t="str">
        <x:v>HYPERLINK is not implemented. linkLocation=https://www.imdb.com/title/tt27846061/fullcredits/, friendlyName=Open source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BBC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7" t="e">
        <x:f>HYPERLINK("https://en.wikipedia.org/wiki/Ludwig","Open source")</x:f>
        <x:v>HYPERLINK is not implemented. linkLocation=https://en.wikipedia.org/wiki/Ludwig, friendlyName=Open source</x:v>
      </x:c>
      <x:c r="AN288" s="14" t="str">
        <x:v>BBC public-service commission</x:v>
      </x:c>
      <x:c r="AO288" s="14" t="str">
        <x:v>Yes</x:v>
      </x:c>
      <x:c r="AP288" s="14" t="str">
        <x:v>Direct BBC public-service scope</x:v>
      </x:c>
      <x:c r="AQ288" s="14" t="str">
        <x:v>Yes</x:v>
      </x:c>
      <x:c r="AR288" s="14" t="str">
        <x:v>Resolved from master register</x:v>
      </x:c>
      <x:c r="AS288" s="14" t="str">
        <x:v>No established-register match</x:v>
      </x:c>
      <x:c r="AT288" s="14"/>
      <x:c r="AU288" s="14"/>
      <x:c r="AV288" s="14" t="str">
        <x:v>No established apparent-disability match</x:v>
      </x:c>
      <x:c r="AW288" s="14"/>
      <x:c r="AX288" s="14" t="str">
        <x:v>No</x:v>
      </x:c>
      <x:c r="AY288" s="14" t="str">
        <x:v>Unmatched</x:v>
      </x:c>
      <x:c r="AZ288" s="14" t="str">
        <x:v>Final supplied register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4" t="str">
        <x:v>HYPERLINK is not implemented. linkLocation=https://www.imdb.com/title/tt27846061/fullcredits/, friendlyName=Open source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tt27846061|nm9738465|leo brantley</x:v>
      </x:c>
      <x:c r="B289" s="14" t="str">
        <x:v>03</x:v>
      </x:c>
      <x:c r="C289" s="14" t="str">
        <x:v>2024_IMDb_Cast_Lists_Batch_03(1).xlsx</x:v>
      </x:c>
      <x:c r="D289" s="14" t="str">
        <x:v>Ludwig</x:v>
      </x:c>
      <x:c r="E289" s="14" t="n">
        <x:v>83</x:v>
      </x:c>
      <x:c r="F289" s="14" t="str">
        <x:v>Ludwig</x:v>
      </x:c>
      <x:c r="G289" s="14" t="str">
        <x:v>tt27846061</x:v>
      </x:c>
      <x:c r="H289" s="14" t="n">
        <x:v>2024</x:v>
      </x:c>
      <x:c r="I289" s="14" t="n">
        <x:v>2025</x:v>
      </x:c>
      <x:c r="J289" s="14" t="str">
        <x:v>Post-study cohort</x:v>
      </x:c>
      <x:c r="K289" s="14" t="n">
        <x:v>2024</x:v>
      </x:c>
      <x:c r="L289" s="14" t="str">
        <x:v>Not inherited</x:v>
      </x:c>
      <x:c r="M289" s="15" t="n">
        <x:v>76</x:v>
      </x:c>
      <x:c r="N289" s="14" t="str">
        <x:v>Henry Felix</x:v>
      </x:c>
      <x:c r="O289" s="14" t="str">
        <x:v>nm9738465</x:v>
      </x:c>
      <x:c r="P289" s="14" t="str">
        <x:v>Leo Brantley</x:v>
      </x:c>
      <x:c r="Q289" s="15" t="n">
        <x:v>1</x:v>
      </x:c>
      <x:c r="R289" s="14" t="str">
        <x:v>2026</x:v>
      </x:c>
      <x:c r="S289" s="14" t="n">
        <x:v>2026</x:v>
      </x:c>
      <x:c r="T289" s="14" t="n">
        <x:v>2026</x:v>
      </x:c>
      <x:c r="U289" s="14" t="str">
        <x:v>Explicit source first year retained</x:v>
      </x:c>
      <x:c r="V289" s="14" t="str">
        <x:v>Earliest supplied year is 2026.</x:v>
      </x:c>
      <x:c r="W289" s="14"/>
      <x:c r="X289" s="14" t="str">
        <x:v>Excluded: after 2025</x:v>
      </x:c>
      <x:c r="Y289" s="14"/>
      <x:c r="Z289" s="14" t="str">
        <x:v>Ludwig(1).docx</x:v>
      </x:c>
      <x:c r="AA289" s="14" t="str">
        <x:v>HYPERLINK is not implemented. linkLocation=https://www.imdb.com/title/tt27846061/fullcredits/, friendlyName=Open source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BBC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7" t="e">
        <x:f>HYPERLINK("https://en.wikipedia.org/wiki/Ludwig","Open source")</x:f>
        <x:v>HYPERLINK is not implemented. linkLocation=https://en.wikipedia.org/wiki/Ludwig, friendlyName=Open source</x:v>
      </x:c>
      <x:c r="AN289" s="14" t="str">
        <x:v>BBC public-service commission</x:v>
      </x:c>
      <x:c r="AO289" s="14" t="str">
        <x:v>Yes</x:v>
      </x:c>
      <x:c r="AP289" s="14" t="str">
        <x:v>Direct BBC public-service scope</x:v>
      </x:c>
      <x:c r="AQ289" s="14" t="str">
        <x:v>Yes</x:v>
      </x:c>
      <x:c r="AR289" s="14" t="str">
        <x:v>Resolved from master register</x:v>
      </x:c>
      <x:c r="AS289" s="14" t="str">
        <x:v>No established-register match</x:v>
      </x:c>
      <x:c r="AT289" s="14"/>
      <x:c r="AU289" s="14"/>
      <x:c r="AV289" s="14" t="str">
        <x:v>No established apparent-disability match</x:v>
      </x:c>
      <x:c r="AW289" s="14"/>
      <x:c r="AX289" s="14" t="str">
        <x:v>No</x:v>
      </x:c>
      <x:c r="AY289" s="14" t="str">
        <x:v>Unmatched</x:v>
      </x:c>
      <x:c r="AZ289" s="14" t="str">
        <x:v>Final supplied register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0.08333333333333333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4" t="str">
        <x:v>HYPERLINK is not implemented. linkLocation=https://www.imdb.com/title/tt27846061/fullcredits/, friendlyName=Open source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tt27846061|nm8420168|tristan price</x:v>
      </x:c>
      <x:c r="B290" s="14" t="str">
        <x:v>03</x:v>
      </x:c>
      <x:c r="C290" s="14" t="str">
        <x:v>2024_IMDb_Cast_Lists_Batch_03(1).xlsx</x:v>
      </x:c>
      <x:c r="D290" s="14" t="str">
        <x:v>Ludwig</x:v>
      </x:c>
      <x:c r="E290" s="14" t="n">
        <x:v>84</x:v>
      </x:c>
      <x:c r="F290" s="14" t="str">
        <x:v>Ludwig</x:v>
      </x:c>
      <x:c r="G290" s="14" t="str">
        <x:v>tt27846061</x:v>
      </x:c>
      <x:c r="H290" s="14" t="n">
        <x:v>2024</x:v>
      </x:c>
      <x:c r="I290" s="14" t="n">
        <x:v>2025</x:v>
      </x:c>
      <x:c r="J290" s="14" t="str">
        <x:v>Post-study cohort</x:v>
      </x:c>
      <x:c r="K290" s="14" t="n">
        <x:v>2024</x:v>
      </x:c>
      <x:c r="L290" s="14" t="str">
        <x:v>Not inherited</x:v>
      </x:c>
      <x:c r="M290" s="15" t="n">
        <x:v>77</x:v>
      </x:c>
      <x:c r="N290" s="14" t="str">
        <x:v>Rory Douglas-Speed</x:v>
      </x:c>
      <x:c r="O290" s="14" t="str">
        <x:v>nm8420168</x:v>
      </x:c>
      <x:c r="P290" s="14" t="str">
        <x:v>Tristan Price</x:v>
      </x:c>
      <x:c r="Q290" s="15" t="n">
        <x:v>1</x:v>
      </x:c>
      <x:c r="R290" s="14" t="str">
        <x:v>2026</x:v>
      </x:c>
      <x:c r="S290" s="14" t="n">
        <x:v>2026</x:v>
      </x:c>
      <x:c r="T290" s="14" t="n">
        <x:v>2026</x:v>
      </x:c>
      <x:c r="U290" s="14" t="str">
        <x:v>Explicit source first year retained</x:v>
      </x:c>
      <x:c r="V290" s="14" t="str">
        <x:v>Earliest supplied year is 2026.</x:v>
      </x:c>
      <x:c r="W290" s="14"/>
      <x:c r="X290" s="14" t="str">
        <x:v>Excluded: after 2025</x:v>
      </x:c>
      <x:c r="Y290" s="14"/>
      <x:c r="Z290" s="14" t="str">
        <x:v>Ludwig(1).docx</x:v>
      </x:c>
      <x:c r="AA290" s="14" t="str">
        <x:v>HYPERLINK is not implemented. linkLocation=https://www.imdb.com/title/tt27846061/fullcredits/, friendlyName=Open source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BBC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7" t="e">
        <x:f>HYPERLINK("https://en.wikipedia.org/wiki/Ludwig","Open source")</x:f>
        <x:v>HYPERLINK is not implemented. linkLocation=https://en.wikipedia.org/wiki/Ludwig, friendlyName=Open source</x:v>
      </x:c>
      <x:c r="AN290" s="14" t="str">
        <x:v>BBC public-service commission</x:v>
      </x:c>
      <x:c r="AO290" s="14" t="str">
        <x:v>Yes</x:v>
      </x:c>
      <x:c r="AP290" s="14" t="str">
        <x:v>Direct BBC public-service scope</x:v>
      </x:c>
      <x:c r="AQ290" s="14" t="str">
        <x:v>Yes</x:v>
      </x:c>
      <x:c r="AR290" s="14" t="str">
        <x:v>Resolved from master register</x:v>
      </x:c>
      <x:c r="AS290" s="14" t="str">
        <x:v>No established-register match</x:v>
      </x:c>
      <x:c r="AT290" s="14"/>
      <x:c r="AU290" s="14"/>
      <x:c r="AV290" s="14" t="str">
        <x:v>No established apparent-disability match</x:v>
      </x:c>
      <x:c r="AW290" s="14"/>
      <x:c r="AX290" s="14" t="str">
        <x:v>No</x:v>
      </x:c>
      <x:c r="AY290" s="14" t="str">
        <x:v>Unmatched</x:v>
      </x:c>
      <x:c r="AZ290" s="14" t="str">
        <x:v>Final supplied register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1</x:v>
      </x:c>
      <x:c r="BS290" s="16" t="n">
        <x:v>0.08333333333333333</x:v>
      </x:c>
      <x:c r="BT290" s="14" t="str">
        <x:v>One episode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4" t="str">
        <x:v>HYPERLINK is not implemented. linkLocation=https://www.imdb.com/title/tt27846061/fullcredits/, friendlyName=Open source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tt27846061|nm5041464|sienna mooney</x:v>
      </x:c>
      <x:c r="B291" s="14" t="str">
        <x:v>03</x:v>
      </x:c>
      <x:c r="C291" s="14" t="str">
        <x:v>2024_IMDb_Cast_Lists_Batch_03(1).xlsx</x:v>
      </x:c>
      <x:c r="D291" s="14" t="str">
        <x:v>Ludwig</x:v>
      </x:c>
      <x:c r="E291" s="14" t="n">
        <x:v>85</x:v>
      </x:c>
      <x:c r="F291" s="14" t="str">
        <x:v>Ludwig</x:v>
      </x:c>
      <x:c r="G291" s="14" t="str">
        <x:v>tt27846061</x:v>
      </x:c>
      <x:c r="H291" s="14" t="n">
        <x:v>2024</x:v>
      </x:c>
      <x:c r="I291" s="14" t="n">
        <x:v>2025</x:v>
      </x:c>
      <x:c r="J291" s="14" t="str">
        <x:v>Post-study cohort</x:v>
      </x:c>
      <x:c r="K291" s="14" t="n">
        <x:v>2024</x:v>
      </x:c>
      <x:c r="L291" s="14" t="str">
        <x:v>Not inherited</x:v>
      </x:c>
      <x:c r="M291" s="15" t="n">
        <x:v>78</x:v>
      </x:c>
      <x:c r="N291" s="14" t="str">
        <x:v>Tsion Habte</x:v>
      </x:c>
      <x:c r="O291" s="14" t="str">
        <x:v>nm5041464</x:v>
      </x:c>
      <x:c r="P291" s="14" t="str">
        <x:v>Sienna Mooney</x:v>
      </x:c>
      <x:c r="Q291" s="15" t="n">
        <x:v>1</x:v>
      </x:c>
      <x:c r="R291" s="14" t="str">
        <x:v>2026</x:v>
      </x:c>
      <x:c r="S291" s="14" t="n">
        <x:v>2026</x:v>
      </x:c>
      <x:c r="T291" s="14" t="n">
        <x:v>2026</x:v>
      </x:c>
      <x:c r="U291" s="14" t="str">
        <x:v>Explicit source first year retained</x:v>
      </x:c>
      <x:c r="V291" s="14" t="str">
        <x:v>Earliest supplied year is 2026.</x:v>
      </x:c>
      <x:c r="W291" s="14"/>
      <x:c r="X291" s="14" t="str">
        <x:v>Excluded: after 2025</x:v>
      </x:c>
      <x:c r="Y291" s="14"/>
      <x:c r="Z291" s="14" t="str">
        <x:v>Ludwig(1).docx</x:v>
      </x:c>
      <x:c r="AA291" s="14" t="str">
        <x:v>HYPERLINK is not implemented. linkLocation=https://www.imdb.com/title/tt27846061/fullcredits/, friendlyName=Open source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BBC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7" t="e">
        <x:f>HYPERLINK("https://en.wikipedia.org/wiki/Ludwig","Open source")</x:f>
        <x:v>HYPERLINK is not implemented. linkLocation=https://en.wikipedia.org/wiki/Ludwig, friendlyName=Open source</x:v>
      </x:c>
      <x:c r="AN291" s="14" t="str">
        <x:v>BBC public-service commission</x:v>
      </x:c>
      <x:c r="AO291" s="14" t="str">
        <x:v>Yes</x:v>
      </x:c>
      <x:c r="AP291" s="14" t="str">
        <x:v>Direct BBC public-service scope</x:v>
      </x:c>
      <x:c r="AQ291" s="14" t="str">
        <x:v>Yes</x:v>
      </x:c>
      <x:c r="AR291" s="14" t="str">
        <x:v>Resolved from master register</x:v>
      </x:c>
      <x:c r="AS291" s="14" t="str">
        <x:v>No established-register match</x:v>
      </x:c>
      <x:c r="AT291" s="14"/>
      <x:c r="AU291" s="14"/>
      <x:c r="AV291" s="14" t="str">
        <x:v>No established apparent-disability match</x:v>
      </x:c>
      <x:c r="AW291" s="14"/>
      <x:c r="AX291" s="14" t="str">
        <x:v>No</x:v>
      </x:c>
      <x:c r="AY291" s="14" t="str">
        <x:v>Unmatched</x:v>
      </x:c>
      <x:c r="AZ291" s="14" t="str">
        <x:v>Final supplied register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1</x:v>
      </x:c>
      <x:c r="BS291" s="16" t="n">
        <x:v>0.08333333333333333</x:v>
      </x:c>
      <x:c r="BT291" s="14" t="str">
        <x:v>One episode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4" t="str">
        <x:v>HYPERLINK is not implemented. linkLocation=https://www.imdb.com/title/tt27846061/fullcredits/, friendlyName=Open source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tt27846061|nm2262219|jenny</x:v>
      </x:c>
      <x:c r="B292" s="14" t="str">
        <x:v>03</x:v>
      </x:c>
      <x:c r="C292" s="14" t="str">
        <x:v>2024_IMDb_Cast_Lists_Batch_03(1).xlsx</x:v>
      </x:c>
      <x:c r="D292" s="14" t="str">
        <x:v>Ludwig</x:v>
      </x:c>
      <x:c r="E292" s="14" t="n">
        <x:v>86</x:v>
      </x:c>
      <x:c r="F292" s="14" t="str">
        <x:v>Ludwig</x:v>
      </x:c>
      <x:c r="G292" s="14" t="str">
        <x:v>tt27846061</x:v>
      </x:c>
      <x:c r="H292" s="14" t="n">
        <x:v>2024</x:v>
      </x:c>
      <x:c r="I292" s="14" t="n">
        <x:v>2025</x:v>
      </x:c>
      <x:c r="J292" s="14" t="str">
        <x:v>Post-study cohort</x:v>
      </x:c>
      <x:c r="K292" s="14" t="n">
        <x:v>2024</x:v>
      </x:c>
      <x:c r="L292" s="14" t="str">
        <x:v>Not inherited</x:v>
      </x:c>
      <x:c r="M292" s="15" t="n">
        <x:v>79</x:v>
      </x:c>
      <x:c r="N292" s="14" t="str">
        <x:v>Melissa Woodbridge</x:v>
      </x:c>
      <x:c r="O292" s="14" t="str">
        <x:v>nm2262219</x:v>
      </x:c>
      <x:c r="P292" s="14" t="str">
        <x:v>Jenny</x:v>
      </x:c>
      <x:c r="Q292" s="15" t="n">
        <x:v>1</x:v>
      </x:c>
      <x:c r="R292" s="14" t="str">
        <x:v>2026</x:v>
      </x:c>
      <x:c r="S292" s="14" t="n">
        <x:v>2026</x:v>
      </x:c>
      <x:c r="T292" s="14" t="n">
        <x:v>2026</x:v>
      </x:c>
      <x:c r="U292" s="14" t="str">
        <x:v>Explicit source first year retained</x:v>
      </x:c>
      <x:c r="V292" s="14" t="str">
        <x:v>Earliest supplied year is 2026.</x:v>
      </x:c>
      <x:c r="W292" s="14"/>
      <x:c r="X292" s="14" t="str">
        <x:v>Excluded: after 2025</x:v>
      </x:c>
      <x:c r="Y292" s="14"/>
      <x:c r="Z292" s="14" t="str">
        <x:v>Ludwig(1).docx</x:v>
      </x:c>
      <x:c r="AA292" s="14" t="str">
        <x:v>HYPERLINK is not implemented. linkLocation=https://www.imdb.com/title/tt27846061/fullcredits/, friendlyName=Open source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BBC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7" t="e">
        <x:f>HYPERLINK("https://en.wikipedia.org/wiki/Ludwig","Open source")</x:f>
        <x:v>HYPERLINK is not implemented. linkLocation=https://en.wikipedia.org/wiki/Ludwig, friendlyName=Open source</x:v>
      </x:c>
      <x:c r="AN292" s="14" t="str">
        <x:v>BBC public-service commission</x:v>
      </x:c>
      <x:c r="AO292" s="14" t="str">
        <x:v>Yes</x:v>
      </x:c>
      <x:c r="AP292" s="14" t="str">
        <x:v>Direct BBC public-service scope</x:v>
      </x:c>
      <x:c r="AQ292" s="14" t="str">
        <x:v>Yes</x:v>
      </x:c>
      <x:c r="AR292" s="14" t="str">
        <x:v>Resolved from master register</x:v>
      </x:c>
      <x:c r="AS292" s="14" t="str">
        <x:v>No established-register match</x:v>
      </x:c>
      <x:c r="AT292" s="14"/>
      <x:c r="AU292" s="14"/>
      <x:c r="AV292" s="14" t="str">
        <x:v>No established apparent-disability match</x:v>
      </x:c>
      <x:c r="AW292" s="14"/>
      <x:c r="AX292" s="14" t="str">
        <x:v>No</x:v>
      </x:c>
      <x:c r="AY292" s="14" t="str">
        <x:v>Unmatched</x:v>
      </x:c>
      <x:c r="AZ292" s="14" t="str">
        <x:v>Final supplied register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1</x:v>
      </x:c>
      <x:c r="BS292" s="16" t="n">
        <x:v>0.08333333333333333</x:v>
      </x:c>
      <x:c r="BT292" s="14" t="str">
        <x:v>One episode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4" t="str">
        <x:v>HYPERLINK is not implemented. linkLocation=https://www.imdb.com/title/tt27846061/fullcredits/, friendlyName=Open source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tt27846061|nm5541010|coco aarons</x:v>
      </x:c>
      <x:c r="B293" s="14" t="str">
        <x:v>03</x:v>
      </x:c>
      <x:c r="C293" s="14" t="str">
        <x:v>2024_IMDb_Cast_Lists_Batch_03(1).xlsx</x:v>
      </x:c>
      <x:c r="D293" s="14" t="str">
        <x:v>Ludwig</x:v>
      </x:c>
      <x:c r="E293" s="14" t="n">
        <x:v>87</x:v>
      </x:c>
      <x:c r="F293" s="14" t="str">
        <x:v>Ludwig</x:v>
      </x:c>
      <x:c r="G293" s="14" t="str">
        <x:v>tt27846061</x:v>
      </x:c>
      <x:c r="H293" s="14" t="n">
        <x:v>2024</x:v>
      </x:c>
      <x:c r="I293" s="14" t="n">
        <x:v>2025</x:v>
      </x:c>
      <x:c r="J293" s="14" t="str">
        <x:v>Post-study cohort</x:v>
      </x:c>
      <x:c r="K293" s="14" t="n">
        <x:v>2024</x:v>
      </x:c>
      <x:c r="L293" s="14" t="str">
        <x:v>Not inherited</x:v>
      </x:c>
      <x:c r="M293" s="15" t="n">
        <x:v>80</x:v>
      </x:c>
      <x:c r="N293" s="14" t="str">
        <x:v>Nemide May</x:v>
      </x:c>
      <x:c r="O293" s="14" t="str">
        <x:v>nm5541010</x:v>
      </x:c>
      <x:c r="P293" s="14" t="str">
        <x:v>Coco Aarons</x:v>
      </x:c>
      <x:c r="Q293" s="15" t="n">
        <x:v>1</x:v>
      </x:c>
      <x:c r="R293" s="14" t="str">
        <x:v>2026</x:v>
      </x:c>
      <x:c r="S293" s="14" t="n">
        <x:v>2026</x:v>
      </x:c>
      <x:c r="T293" s="14" t="n">
        <x:v>2026</x:v>
      </x:c>
      <x:c r="U293" s="14" t="str">
        <x:v>Explicit source first year retained</x:v>
      </x:c>
      <x:c r="V293" s="14" t="str">
        <x:v>Earliest supplied year is 2026.</x:v>
      </x:c>
      <x:c r="W293" s="14"/>
      <x:c r="X293" s="14" t="str">
        <x:v>Excluded: after 2025</x:v>
      </x:c>
      <x:c r="Y293" s="14"/>
      <x:c r="Z293" s="14" t="str">
        <x:v>Ludwig(1).docx</x:v>
      </x:c>
      <x:c r="AA293" s="14" t="str">
        <x:v>HYPERLINK is not implemented. linkLocation=https://www.imdb.com/title/tt27846061/fullcredits/, friendlyName=Open source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BBC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7" t="e">
        <x:f>HYPERLINK("https://en.wikipedia.org/wiki/Ludwig","Open source")</x:f>
        <x:v>HYPERLINK is not implemented. linkLocation=https://en.wikipedia.org/wiki/Ludwig, friendlyName=Open source</x:v>
      </x:c>
      <x:c r="AN293" s="14" t="str">
        <x:v>BBC public-service commission</x:v>
      </x:c>
      <x:c r="AO293" s="14" t="str">
        <x:v>Yes</x:v>
      </x:c>
      <x:c r="AP293" s="14" t="str">
        <x:v>Direct BBC public-service scope</x:v>
      </x:c>
      <x:c r="AQ293" s="14" t="str">
        <x:v>Yes</x:v>
      </x:c>
      <x:c r="AR293" s="14" t="str">
        <x:v>Resolved from master register</x:v>
      </x:c>
      <x:c r="AS293" s="14" t="str">
        <x:v>No established-register match</x:v>
      </x:c>
      <x:c r="AT293" s="14"/>
      <x:c r="AU293" s="14"/>
      <x:c r="AV293" s="14" t="str">
        <x:v>No established apparent-disability match</x:v>
      </x:c>
      <x:c r="AW293" s="14"/>
      <x:c r="AX293" s="14" t="str">
        <x:v>No</x:v>
      </x:c>
      <x:c r="AY293" s="14" t="str">
        <x:v>Unmatched</x:v>
      </x:c>
      <x:c r="AZ293" s="14" t="str">
        <x:v>Final supplied register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1</x:v>
      </x:c>
      <x:c r="BS293" s="16" t="n">
        <x:v>0.08333333333333333</x:v>
      </x:c>
      <x:c r="BT293" s="14" t="str">
        <x:v>One episode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4" t="str">
        <x:v>HYPERLINK is not implemented. linkLocation=https://www.imdb.com/title/tt27846061/fullcredits/, friendlyName=Open source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tt27846061|nm11876717|owen doyle</x:v>
      </x:c>
      <x:c r="B294" s="14" t="str">
        <x:v>03</x:v>
      </x:c>
      <x:c r="C294" s="14" t="str">
        <x:v>2024_IMDb_Cast_Lists_Batch_03(1).xlsx</x:v>
      </x:c>
      <x:c r="D294" s="14" t="str">
        <x:v>Ludwig</x:v>
      </x:c>
      <x:c r="E294" s="14" t="n">
        <x:v>88</x:v>
      </x:c>
      <x:c r="F294" s="14" t="str">
        <x:v>Ludwig</x:v>
      </x:c>
      <x:c r="G294" s="14" t="str">
        <x:v>tt27846061</x:v>
      </x:c>
      <x:c r="H294" s="14" t="n">
        <x:v>2024</x:v>
      </x:c>
      <x:c r="I294" s="14" t="n">
        <x:v>2025</x:v>
      </x:c>
      <x:c r="J294" s="14" t="str">
        <x:v>Post-study cohort</x:v>
      </x:c>
      <x:c r="K294" s="14" t="n">
        <x:v>2024</x:v>
      </x:c>
      <x:c r="L294" s="14" t="str">
        <x:v>Not inherited</x:v>
      </x:c>
      <x:c r="M294" s="15" t="n">
        <x:v>81</x:v>
      </x:c>
      <x:c r="N294" s="14" t="str">
        <x:v>Lloyd Bowen</x:v>
      </x:c>
      <x:c r="O294" s="14" t="str">
        <x:v>nm11876717</x:v>
      </x:c>
      <x:c r="P294" s="14" t="str">
        <x:v>Owen Doyle</x:v>
      </x:c>
      <x:c r="Q294" s="15" t="n">
        <x:v>1</x:v>
      </x:c>
      <x:c r="R294" s="14" t="str">
        <x:v>2026</x:v>
      </x:c>
      <x:c r="S294" s="14" t="n">
        <x:v>2026</x:v>
      </x:c>
      <x:c r="T294" s="14" t="n">
        <x:v>2026</x:v>
      </x:c>
      <x:c r="U294" s="14" t="str">
        <x:v>Explicit source first year retained</x:v>
      </x:c>
      <x:c r="V294" s="14" t="str">
        <x:v>Earliest supplied year is 2026.</x:v>
      </x:c>
      <x:c r="W294" s="14"/>
      <x:c r="X294" s="14" t="str">
        <x:v>Excluded: after 2025</x:v>
      </x:c>
      <x:c r="Y294" s="14"/>
      <x:c r="Z294" s="14" t="str">
        <x:v>Ludwig(1).docx</x:v>
      </x:c>
      <x:c r="AA294" s="14" t="str">
        <x:v>HYPERLINK is not implemented. linkLocation=https://www.imdb.com/title/tt27846061/fullcredits/, friendlyName=Open source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BBC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7" t="e">
        <x:f>HYPERLINK("https://en.wikipedia.org/wiki/Ludwig","Open source")</x:f>
        <x:v>HYPERLINK is not implemented. linkLocation=https://en.wikipedia.org/wiki/Ludwig, friendlyName=Open source</x:v>
      </x:c>
      <x:c r="AN294" s="14" t="str">
        <x:v>BBC public-service commission</x:v>
      </x:c>
      <x:c r="AO294" s="14" t="str">
        <x:v>Yes</x:v>
      </x:c>
      <x:c r="AP294" s="14" t="str">
        <x:v>Direct BBC public-service scope</x:v>
      </x:c>
      <x:c r="AQ294" s="14" t="str">
        <x:v>Yes</x:v>
      </x:c>
      <x:c r="AR294" s="14" t="str">
        <x:v>Resolved from master register</x:v>
      </x:c>
      <x:c r="AS294" s="14" t="str">
        <x:v>No established-register match</x:v>
      </x:c>
      <x:c r="AT294" s="14"/>
      <x:c r="AU294" s="14"/>
      <x:c r="AV294" s="14" t="str">
        <x:v>No established apparent-disability match</x:v>
      </x:c>
      <x:c r="AW294" s="14"/>
      <x:c r="AX294" s="14" t="str">
        <x:v>No</x:v>
      </x:c>
      <x:c r="AY294" s="14" t="str">
        <x:v>Unmatched</x:v>
      </x:c>
      <x:c r="AZ294" s="14" t="str">
        <x:v>Final supplied register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1</x:v>
      </x:c>
      <x:c r="BS294" s="16" t="n">
        <x:v>0.08333333333333333</x:v>
      </x:c>
      <x:c r="BT294" s="14" t="str">
        <x:v>One episode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4" t="str">
        <x:v>HYPERLINK is not implemented. linkLocation=https://www.imdb.com/title/tt27846061/fullcredits/, friendlyName=Open source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tt30645178|nm11346330|danni</x:v>
      </x:c>
      <x:c r="B295" s="14" t="str">
        <x:v>03</x:v>
      </x:c>
      <x:c r="C295" s="14" t="str">
        <x:v>2024_IMDb_Cast_Lists_Batch_03(1).xlsx</x:v>
      </x:c>
      <x:c r="D295" s="14" t="str">
        <x:v>Piglets</x:v>
      </x:c>
      <x:c r="E295" s="14" t="n">
        <x:v>18</x:v>
      </x:c>
      <x:c r="F295" s="14" t="str">
        <x:v>Piglets</x:v>
      </x:c>
      <x:c r="G295" s="14" t="str">
        <x:v>tt30645178</x:v>
      </x:c>
      <x:c r="H295" s="14" t="n">
        <x:v>2024</x:v>
      </x:c>
      <x:c r="I295" s="14" t="n">
        <x:v>2025</x:v>
      </x:c>
      <x:c r="J295" s="14" t="str">
        <x:v>Post-study cohort</x:v>
      </x:c>
      <x:c r="K295" s="14" t="n">
        <x:v>2024</x:v>
      </x:c>
      <x:c r="L295" s="14" t="str">
        <x:v>Not inherited</x:v>
      </x:c>
      <x:c r="M295" s="15" t="n">
        <x:v>11</x:v>
      </x:c>
      <x:c r="N295" s="14" t="str">
        <x:v>Madelyn Smedley</x:v>
      </x:c>
      <x:c r="O295" s="14" t="str">
        <x:v>nm11346330</x:v>
      </x:c>
      <x:c r="P295" s="14" t="str">
        <x:v>Danni</x:v>
      </x:c>
      <x:c r="Q295" s="15" t="n">
        <x:v>6</x:v>
      </x:c>
      <x:c r="R295" s="14" t="str">
        <x:v>2026</x:v>
      </x:c>
      <x:c r="S295" s="14" t="n">
        <x:v>2026</x:v>
      </x:c>
      <x:c r="T295" s="14" t="n">
        <x:v>2026</x:v>
      </x:c>
      <x:c r="U295" s="14" t="str">
        <x:v>Explicit source first year retained</x:v>
      </x:c>
      <x:c r="V295" s="14" t="str">
        <x:v>Earliest supplied year is 2026.</x:v>
      </x:c>
      <x:c r="W295" s="14"/>
      <x:c r="X295" s="14" t="str">
        <x:v>Excluded: after 2025</x:v>
      </x:c>
      <x:c r="Y295" s="14"/>
      <x:c r="Z295" s="14" t="str">
        <x:v>Piglets.docx</x:v>
      </x:c>
      <x:c r="AA295" s="14" t="str">
        <x:v>HYPERLINK is not implemented. linkLocation=https://www.imdb.com/title/tt30645178/fullcredits/, friendlyName=Open source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ITV / ITVX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7" t="e">
        <x:f>HYPERLINK("https://en.wikipedia.org/wiki/Piglet","Open source")</x:f>
        <x:v>HYPERLINK is not implemented. linkLocation=https://en.wikipedia.org/wiki/Piglet, friendlyName=Open source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 t="str">
        <x:v>No established-register match</x:v>
      </x:c>
      <x:c r="AT295" s="14"/>
      <x:c r="AU295" s="14"/>
      <x:c r="AV295" s="14" t="str">
        <x:v>No established apparent-disability match</x:v>
      </x:c>
      <x:c r="AW295" s="14"/>
      <x:c r="AX295" s="14" t="str">
        <x:v>No</x:v>
      </x:c>
      <x:c r="AY295" s="14" t="str">
        <x:v>Unmatched</x:v>
      </x:c>
      <x:c r="AZ295" s="14" t="str">
        <x:v>Final supplied register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6</x:v>
      </x:c>
      <x:c r="BS295" s="16" t="n">
        <x:v>0.5</x:v>
      </x:c>
      <x:c r="BT295" s="14" t="str">
        <x:v>Minority of episodes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4" t="str">
        <x:v>HYPERLINK is not implemented. linkLocation=https://www.imdb.com/title/tt30645178/fullcredits/, friendlyName=Open source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tt30645178|nm4523680|connor</x:v>
      </x:c>
      <x:c r="B296" s="14" t="str">
        <x:v>03</x:v>
      </x:c>
      <x:c r="C296" s="14" t="str">
        <x:v>2024_IMDb_Cast_Lists_Batch_03(1).xlsx</x:v>
      </x:c>
      <x:c r="D296" s="14" t="str">
        <x:v>Piglets</x:v>
      </x:c>
      <x:c r="E296" s="14" t="n">
        <x:v>20</x:v>
      </x:c>
      <x:c r="F296" s="14" t="str">
        <x:v>Piglets</x:v>
      </x:c>
      <x:c r="G296" s="14" t="str">
        <x:v>tt30645178</x:v>
      </x:c>
      <x:c r="H296" s="14" t="n">
        <x:v>2024</x:v>
      </x:c>
      <x:c r="I296" s="14" t="n">
        <x:v>2025</x:v>
      </x:c>
      <x:c r="J296" s="14" t="str">
        <x:v>Post-study cohort</x:v>
      </x:c>
      <x:c r="K296" s="14" t="n">
        <x:v>2024</x:v>
      </x:c>
      <x:c r="L296" s="14" t="str">
        <x:v>Not inherited</x:v>
      </x:c>
      <x:c r="M296" s="15" t="n">
        <x:v>13</x:v>
      </x:c>
      <x:c r="N296" s="14" t="str">
        <x:v>Kerr Logan</x:v>
      </x:c>
      <x:c r="O296" s="14" t="str">
        <x:v>nm4523680</x:v>
      </x:c>
      <x:c r="P296" s="14" t="str">
        <x:v>Connor</x:v>
      </x:c>
      <x:c r="Q296" s="15" t="n">
        <x:v>6</x:v>
      </x:c>
      <x:c r="R296" s="14" t="str">
        <x:v>2026</x:v>
      </x:c>
      <x:c r="S296" s="14" t="n">
        <x:v>2026</x:v>
      </x:c>
      <x:c r="T296" s="14" t="n">
        <x:v>2026</x:v>
      </x:c>
      <x:c r="U296" s="14" t="str">
        <x:v>Explicit source first year retained</x:v>
      </x:c>
      <x:c r="V296" s="14" t="str">
        <x:v>Earliest supplied year is 2026.</x:v>
      </x:c>
      <x:c r="W296" s="14"/>
      <x:c r="X296" s="14" t="str">
        <x:v>Excluded: after 2025</x:v>
      </x:c>
      <x:c r="Y296" s="14"/>
      <x:c r="Z296" s="14" t="str">
        <x:v>Piglets.docx</x:v>
      </x:c>
      <x:c r="AA296" s="14" t="str">
        <x:v>HYPERLINK is not implemented. linkLocation=https://www.imdb.com/title/tt30645178/fullcredits/, friendlyName=Open source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ITV / ITVX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7" t="e">
        <x:f>HYPERLINK("https://en.wikipedia.org/wiki/Piglet","Open source")</x:f>
        <x:v>HYPERLINK is not implemented. linkLocation=https://en.wikipedia.org/wiki/Piglet, friendlyName=Open source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 t="str">
        <x:v>No established-register match</x:v>
      </x:c>
      <x:c r="AT296" s="14"/>
      <x:c r="AU296" s="14"/>
      <x:c r="AV296" s="14" t="str">
        <x:v>No established apparent-disability match</x:v>
      </x:c>
      <x:c r="AW296" s="14"/>
      <x:c r="AX296" s="14" t="str">
        <x:v>No</x:v>
      </x:c>
      <x:c r="AY296" s="14" t="str">
        <x:v>Unmatched</x:v>
      </x:c>
      <x:c r="AZ296" s="14" t="str">
        <x:v>Final supplied register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6</x:v>
      </x:c>
      <x:c r="BS296" s="16" t="n">
        <x:v>0.5</x:v>
      </x:c>
      <x:c r="BT296" s="14" t="str">
        <x:v>Minority of episodes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4" t="str">
        <x:v>HYPERLINK is not implemented. linkLocation=https://www.imdb.com/title/tt30645178/fullcredits/, friendlyName=Open source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tt30645178|nm9836074|jasim</x:v>
      </x:c>
      <x:c r="B297" s="14" t="str">
        <x:v>03</x:v>
      </x:c>
      <x:c r="C297" s="14" t="str">
        <x:v>2024_IMDb_Cast_Lists_Batch_03(1).xlsx</x:v>
      </x:c>
      <x:c r="D297" s="14" t="str">
        <x:v>Piglets</x:v>
      </x:c>
      <x:c r="E297" s="14" t="n">
        <x:v>23</x:v>
      </x:c>
      <x:c r="F297" s="14" t="str">
        <x:v>Piglets</x:v>
      </x:c>
      <x:c r="G297" s="14" t="str">
        <x:v>tt30645178</x:v>
      </x:c>
      <x:c r="H297" s="14" t="n">
        <x:v>2024</x:v>
      </x:c>
      <x:c r="I297" s="14" t="n">
        <x:v>2025</x:v>
      </x:c>
      <x:c r="J297" s="14" t="str">
        <x:v>Post-study cohort</x:v>
      </x:c>
      <x:c r="K297" s="14" t="n">
        <x:v>2024</x:v>
      </x:c>
      <x:c r="L297" s="14" t="str">
        <x:v>Not inherited</x:v>
      </x:c>
      <x:c r="M297" s="15" t="n">
        <x:v>16</x:v>
      </x:c>
      <x:c r="N297" s="14" t="str">
        <x:v>Aaron Gill</x:v>
      </x:c>
      <x:c r="O297" s="14" t="str">
        <x:v>nm9836074</x:v>
      </x:c>
      <x:c r="P297" s="14" t="str">
        <x:v>Jasim</x:v>
      </x:c>
      <x:c r="Q297" s="15" t="n">
        <x:v>3</x:v>
      </x:c>
      <x:c r="R297" s="14" t="str">
        <x:v>2026</x:v>
      </x:c>
      <x:c r="S297" s="14" t="n">
        <x:v>2026</x:v>
      </x:c>
      <x:c r="T297" s="14" t="n">
        <x:v>2026</x:v>
      </x:c>
      <x:c r="U297" s="14" t="str">
        <x:v>Explicit source first year retained</x:v>
      </x:c>
      <x:c r="V297" s="14" t="str">
        <x:v>Earliest supplied year is 2026.</x:v>
      </x:c>
      <x:c r="W297" s="14"/>
      <x:c r="X297" s="14" t="str">
        <x:v>Excluded: after 2025</x:v>
      </x:c>
      <x:c r="Y297" s="14"/>
      <x:c r="Z297" s="14" t="str">
        <x:v>Piglets.docx</x:v>
      </x:c>
      <x:c r="AA297" s="14" t="str">
        <x:v>HYPERLINK is not implemented. linkLocation=https://www.imdb.com/title/tt30645178/fullcredits/, friendlyName=Open source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ITV / ITVX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7" t="e">
        <x:f>HYPERLINK("https://en.wikipedia.org/wiki/Piglet","Open source")</x:f>
        <x:v>HYPERLINK is not implemented. linkLocation=https://en.wikipedia.org/wiki/Piglet, friendlyName=Open source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 t="str">
        <x:v>No established-register match</x:v>
      </x:c>
      <x:c r="AT297" s="14"/>
      <x:c r="AU297" s="14"/>
      <x:c r="AV297" s="14" t="str">
        <x:v>No established apparent-disability match</x:v>
      </x:c>
      <x:c r="AW297" s="14"/>
      <x:c r="AX297" s="14" t="str">
        <x:v>No</x:v>
      </x:c>
      <x:c r="AY297" s="14" t="str">
        <x:v>Unmatched</x:v>
      </x:c>
      <x:c r="AZ297" s="14" t="str">
        <x:v>Final supplied register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3</x:v>
      </x:c>
      <x:c r="BS297" s="16" t="n">
        <x:v>0.25</x:v>
      </x:c>
      <x:c r="BT297" s="14" t="str">
        <x:v>Minority of episodes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4" t="str">
        <x:v>HYPERLINK is not implemented. linkLocation=https://www.imdb.com/title/tt30645178/fullcredits/, friendlyName=Open source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tt30645178|nm0916997|sergeant clarkson</x:v>
      </x:c>
      <x:c r="B298" s="14" t="str">
        <x:v>03</x:v>
      </x:c>
      <x:c r="C298" s="14" t="str">
        <x:v>2024_IMDb_Cast_Lists_Batch_03(1).xlsx</x:v>
      </x:c>
      <x:c r="D298" s="14" t="str">
        <x:v>Piglets</x:v>
      </x:c>
      <x:c r="E298" s="14" t="n">
        <x:v>24</x:v>
      </x:c>
      <x:c r="F298" s="14" t="str">
        <x:v>Piglets</x:v>
      </x:c>
      <x:c r="G298" s="14" t="str">
        <x:v>tt30645178</x:v>
      </x:c>
      <x:c r="H298" s="14" t="n">
        <x:v>2024</x:v>
      </x:c>
      <x:c r="I298" s="14" t="n">
        <x:v>2025</x:v>
      </x:c>
      <x:c r="J298" s="14" t="str">
        <x:v>Post-study cohort</x:v>
      </x:c>
      <x:c r="K298" s="14" t="n">
        <x:v>2024</x:v>
      </x:c>
      <x:c r="L298" s="14" t="str">
        <x:v>Not inherited</x:v>
      </x:c>
      <x:c r="M298" s="15" t="n">
        <x:v>17</x:v>
      </x:c>
      <x:c r="N298" s="14" t="str">
        <x:v>Ron Webster</x:v>
      </x:c>
      <x:c r="O298" s="14" t="str">
        <x:v>nm0916997</x:v>
      </x:c>
      <x:c r="P298" s="14" t="str">
        <x:v>Sergeant Clarkson</x:v>
      </x:c>
      <x:c r="Q298" s="15" t="n">
        <x:v>3</x:v>
      </x:c>
      <x:c r="R298" s="14" t="str">
        <x:v>2026</x:v>
      </x:c>
      <x:c r="S298" s="14" t="n">
        <x:v>2026</x:v>
      </x:c>
      <x:c r="T298" s="14" t="n">
        <x:v>2026</x:v>
      </x:c>
      <x:c r="U298" s="14" t="str">
        <x:v>Explicit source first year retained</x:v>
      </x:c>
      <x:c r="V298" s="14" t="str">
        <x:v>Earliest supplied year is 2026.</x:v>
      </x:c>
      <x:c r="W298" s="14"/>
      <x:c r="X298" s="14" t="str">
        <x:v>Excluded: after 2025</x:v>
      </x:c>
      <x:c r="Y298" s="14"/>
      <x:c r="Z298" s="14" t="str">
        <x:v>Piglets.docx</x:v>
      </x:c>
      <x:c r="AA298" s="14" t="str">
        <x:v>HYPERLINK is not implemented. linkLocation=https://www.imdb.com/title/tt30645178/fullcredits/, friendlyName=Open source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ITV / ITVX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7" t="e">
        <x:f>HYPERLINK("https://en.wikipedia.org/wiki/Piglet","Open source")</x:f>
        <x:v>HYPERLINK is not implemented. linkLocation=https://en.wikipedia.org/wiki/Piglet, friendlyName=Open source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 t="str">
        <x:v>No established-register match</x:v>
      </x:c>
      <x:c r="AT298" s="14"/>
      <x:c r="AU298" s="14"/>
      <x:c r="AV298" s="14" t="str">
        <x:v>No established apparent-disability match</x:v>
      </x:c>
      <x:c r="AW298" s="14"/>
      <x:c r="AX298" s="14" t="str">
        <x:v>No</x:v>
      </x:c>
      <x:c r="AY298" s="14" t="str">
        <x:v>Unmatched</x:v>
      </x:c>
      <x:c r="AZ298" s="14" t="str">
        <x:v>Final supplied register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3</x:v>
      </x:c>
      <x:c r="BS298" s="16" t="n">
        <x:v>0.25</x:v>
      </x:c>
      <x:c r="BT298" s="14" t="str">
        <x:v>Minority of episodes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4" t="str">
        <x:v>HYPERLINK is not implemented. linkLocation=https://www.imdb.com/title/tt30645178/fullcredits/, friendlyName=Open source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tt30645178|nm5141621|frankie huggins</x:v>
      </x:c>
      <x:c r="B299" s="14" t="str">
        <x:v>03</x:v>
      </x:c>
      <x:c r="C299" s="14" t="str">
        <x:v>2024_IMDb_Cast_Lists_Batch_03(1).xlsx</x:v>
      </x:c>
      <x:c r="D299" s="14" t="str">
        <x:v>Piglets</x:v>
      </x:c>
      <x:c r="E299" s="14" t="n">
        <x:v>25</x:v>
      </x:c>
      <x:c r="F299" s="14" t="str">
        <x:v>Piglets</x:v>
      </x:c>
      <x:c r="G299" s="14" t="str">
        <x:v>tt30645178</x:v>
      </x:c>
      <x:c r="H299" s="14" t="n">
        <x:v>2024</x:v>
      </x:c>
      <x:c r="I299" s="14" t="n">
        <x:v>2025</x:v>
      </x:c>
      <x:c r="J299" s="14" t="str">
        <x:v>Post-study cohort</x:v>
      </x:c>
      <x:c r="K299" s="14" t="n">
        <x:v>2024</x:v>
      </x:c>
      <x:c r="L299" s="14" t="str">
        <x:v>Not inherited</x:v>
      </x:c>
      <x:c r="M299" s="15" t="n">
        <x:v>18</x:v>
      </x:c>
      <x:c r="N299" s="14" t="str">
        <x:v>Frankie Wilson</x:v>
      </x:c>
      <x:c r="O299" s="14" t="str">
        <x:v>nm5141621</x:v>
      </x:c>
      <x:c r="P299" s="14" t="str">
        <x:v>Frankie Huggins</x:v>
      </x:c>
      <x:c r="Q299" s="15" t="n">
        <x:v>2</x:v>
      </x:c>
      <x:c r="R299" s="14" t="str">
        <x:v>2026</x:v>
      </x:c>
      <x:c r="S299" s="14" t="n">
        <x:v>2026</x:v>
      </x:c>
      <x:c r="T299" s="14" t="n">
        <x:v>2026</x:v>
      </x:c>
      <x:c r="U299" s="14" t="str">
        <x:v>Explicit source first year retained</x:v>
      </x:c>
      <x:c r="V299" s="14" t="str">
        <x:v>Earliest supplied year is 2026.</x:v>
      </x:c>
      <x:c r="W299" s="14"/>
      <x:c r="X299" s="14" t="str">
        <x:v>Excluded: after 2025</x:v>
      </x:c>
      <x:c r="Y299" s="14"/>
      <x:c r="Z299" s="14" t="str">
        <x:v>Piglets.docx</x:v>
      </x:c>
      <x:c r="AA299" s="14" t="str">
        <x:v>HYPERLINK is not implemented. linkLocation=https://www.imdb.com/title/tt30645178/fullcredits/, friendlyName=Open source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ITV / ITVX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7" t="e">
        <x:f>HYPERLINK("https://en.wikipedia.org/wiki/Piglet","Open source")</x:f>
        <x:v>HYPERLINK is not implemented. linkLocation=https://en.wikipedia.org/wiki/Piglet, friendlyName=Open source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 t="str">
        <x:v>No established-register match</x:v>
      </x:c>
      <x:c r="AT299" s="14"/>
      <x:c r="AU299" s="14"/>
      <x:c r="AV299" s="14" t="str">
        <x:v>No established apparent-disability match</x:v>
      </x:c>
      <x:c r="AW299" s="14"/>
      <x:c r="AX299" s="14" t="str">
        <x:v>No</x:v>
      </x:c>
      <x:c r="AY299" s="14" t="str">
        <x:v>Unmatched</x:v>
      </x:c>
      <x:c r="AZ299" s="14" t="str">
        <x:v>Final supplied register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2</x:v>
      </x:c>
      <x:c r="BS299" s="16" t="n">
        <x:v>0.16666666666666666</x:v>
      </x:c>
      <x:c r="BT299" s="14" t="str">
        <x:v>Minority of episodes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4" t="str">
        <x:v>HYPERLINK is not implemented. linkLocation=https://www.imdb.com/title/tt30645178/fullcredits/, friendlyName=Open source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tt30645178|nm0249467|optician</x:v>
      </x:c>
      <x:c r="B300" s="14" t="str">
        <x:v>03</x:v>
      </x:c>
      <x:c r="C300" s="14" t="str">
        <x:v>2024_IMDb_Cast_Lists_Batch_03(1).xlsx</x:v>
      </x:c>
      <x:c r="D300" s="14" t="str">
        <x:v>Piglets</x:v>
      </x:c>
      <x:c r="E300" s="14" t="n">
        <x:v>33</x:v>
      </x:c>
      <x:c r="F300" s="14" t="str">
        <x:v>Piglets</x:v>
      </x:c>
      <x:c r="G300" s="14" t="str">
        <x:v>tt30645178</x:v>
      </x:c>
      <x:c r="H300" s="14" t="n">
        <x:v>2024</x:v>
      </x:c>
      <x:c r="I300" s="14" t="n">
        <x:v>2025</x:v>
      </x:c>
      <x:c r="J300" s="14" t="str">
        <x:v>Post-study cohort</x:v>
      </x:c>
      <x:c r="K300" s="14" t="n">
        <x:v>2024</x:v>
      </x:c>
      <x:c r="L300" s="14" t="str">
        <x:v>Not inherited</x:v>
      </x:c>
      <x:c r="M300" s="15" t="n">
        <x:v>26</x:v>
      </x:c>
      <x:c r="N300" s="14" t="str">
        <x:v>Neil Edmond</x:v>
      </x:c>
      <x:c r="O300" s="14" t="str">
        <x:v>nm0249467</x:v>
      </x:c>
      <x:c r="P300" s="14" t="str">
        <x:v>Optician</x:v>
      </x:c>
      <x:c r="Q300" s="15" t="n">
        <x:v>1</x:v>
      </x:c>
      <x:c r="R300" s="14" t="str">
        <x:v>2026</x:v>
      </x:c>
      <x:c r="S300" s="14" t="n">
        <x:v>2026</x:v>
      </x:c>
      <x:c r="T300" s="14" t="n">
        <x:v>2026</x:v>
      </x:c>
      <x:c r="U300" s="14" t="str">
        <x:v>Explicit source first year retained</x:v>
      </x:c>
      <x:c r="V300" s="14" t="str">
        <x:v>Earliest supplied year is 2026.</x:v>
      </x:c>
      <x:c r="W300" s="14"/>
      <x:c r="X300" s="14" t="str">
        <x:v>Excluded: after 2025</x:v>
      </x:c>
      <x:c r="Y300" s="14"/>
      <x:c r="Z300" s="14" t="str">
        <x:v>Piglets.docx</x:v>
      </x:c>
      <x:c r="AA300" s="14" t="str">
        <x:v>HYPERLINK is not implemented. linkLocation=https://www.imdb.com/title/tt30645178/fullcredits/, friendlyName=Open source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ITV / ITVX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7" t="e">
        <x:f>HYPERLINK("https://en.wikipedia.org/wiki/Piglet","Open source")</x:f>
        <x:v>HYPERLINK is not implemented. linkLocation=https://en.wikipedia.org/wiki/Piglet, friendlyName=Open source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 t="str">
        <x:v>No established-register match</x:v>
      </x:c>
      <x:c r="AT300" s="14"/>
      <x:c r="AU300" s="14"/>
      <x:c r="AV300" s="14" t="str">
        <x:v>No established apparent-disability match</x:v>
      </x:c>
      <x:c r="AW300" s="14"/>
      <x:c r="AX300" s="14" t="str">
        <x:v>No</x:v>
      </x:c>
      <x:c r="AY300" s="14" t="str">
        <x:v>Unmatched</x:v>
      </x:c>
      <x:c r="AZ300" s="14" t="str">
        <x:v>Final supplied register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12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1</x:v>
      </x:c>
      <x:c r="BS300" s="16" t="n">
        <x:v>0.08333333333333333</x:v>
      </x:c>
      <x:c r="BT300" s="14" t="str">
        <x:v>One episode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4" t="str">
        <x:v>HYPERLINK is not implemented. linkLocation=https://www.imdb.com/title/tt30645178/fullcredits/, friendlyName=Open source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tt30645178|nm1624492|oily jim</x:v>
      </x:c>
      <x:c r="B301" s="14" t="str">
        <x:v>03</x:v>
      </x:c>
      <x:c r="C301" s="14" t="str">
        <x:v>2024_IMDb_Cast_Lists_Batch_03(1).xlsx</x:v>
      </x:c>
      <x:c r="D301" s="14" t="str">
        <x:v>Piglets</x:v>
      </x:c>
      <x:c r="E301" s="14" t="n">
        <x:v>34</x:v>
      </x:c>
      <x:c r="F301" s="14" t="str">
        <x:v>Piglets</x:v>
      </x:c>
      <x:c r="G301" s="14" t="str">
        <x:v>tt30645178</x:v>
      </x:c>
      <x:c r="H301" s="14" t="n">
        <x:v>2024</x:v>
      </x:c>
      <x:c r="I301" s="14" t="n">
        <x:v>2025</x:v>
      </x:c>
      <x:c r="J301" s="14" t="str">
        <x:v>Post-study cohort</x:v>
      </x:c>
      <x:c r="K301" s="14" t="n">
        <x:v>2024</x:v>
      </x:c>
      <x:c r="L301" s="14" t="str">
        <x:v>Not inherited</x:v>
      </x:c>
      <x:c r="M301" s="15" t="n">
        <x:v>27</x:v>
      </x:c>
      <x:c r="N301" s="14" t="str">
        <x:v>John Cummins</x:v>
      </x:c>
      <x:c r="O301" s="14" t="str">
        <x:v>nm1624492</x:v>
      </x:c>
      <x:c r="P301" s="14" t="str">
        <x:v>Oily Jim</x:v>
      </x:c>
      <x:c r="Q301" s="15" t="n">
        <x:v>1</x:v>
      </x:c>
      <x:c r="R301" s="14" t="str">
        <x:v>2026</x:v>
      </x:c>
      <x:c r="S301" s="14" t="n">
        <x:v>2026</x:v>
      </x:c>
      <x:c r="T301" s="14" t="n">
        <x:v>2026</x:v>
      </x:c>
      <x:c r="U301" s="14" t="str">
        <x:v>Explicit source first year retained</x:v>
      </x:c>
      <x:c r="V301" s="14" t="str">
        <x:v>Earliest supplied year is 2026.</x:v>
      </x:c>
      <x:c r="W301" s="14"/>
      <x:c r="X301" s="14" t="str">
        <x:v>Excluded: after 2025</x:v>
      </x:c>
      <x:c r="Y301" s="14"/>
      <x:c r="Z301" s="14" t="str">
        <x:v>Piglets.docx</x:v>
      </x:c>
      <x:c r="AA301" s="14" t="str">
        <x:v>HYPERLINK is not implemented. linkLocation=https://www.imdb.com/title/tt30645178/fullcredits/, friendlyName=Open source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ITV / ITVX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7" t="e">
        <x:f>HYPERLINK("https://en.wikipedia.org/wiki/Piglet","Open source")</x:f>
        <x:v>HYPERLINK is not implemented. linkLocation=https://en.wikipedia.org/wiki/Piglet, friendlyName=Open source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 t="str">
        <x:v>No established-register match</x:v>
      </x:c>
      <x:c r="AT301" s="14"/>
      <x:c r="AU301" s="14"/>
      <x:c r="AV301" s="14" t="str">
        <x:v>No established apparent-disability match</x:v>
      </x:c>
      <x:c r="AW301" s="14"/>
      <x:c r="AX301" s="14" t="str">
        <x:v>No</x:v>
      </x:c>
      <x:c r="AY301" s="14" t="str">
        <x:v>Unmatched</x:v>
      </x:c>
      <x:c r="AZ301" s="14" t="str">
        <x:v>Final supplied register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12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1</x:v>
      </x:c>
      <x:c r="BS301" s="16" t="n">
        <x:v>0.08333333333333333</x:v>
      </x:c>
      <x:c r="BT301" s="14" t="str">
        <x:v>One episode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4" t="str">
        <x:v>HYPERLINK is not implemented. linkLocation=https://www.imdb.com/title/tt30645178/fullcredits/, friendlyName=Open source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tt30645178|nm1528111|legal advisor</x:v>
      </x:c>
      <x:c r="B302" s="14" t="str">
        <x:v>03</x:v>
      </x:c>
      <x:c r="C302" s="14" t="str">
        <x:v>2024_IMDb_Cast_Lists_Batch_03(1).xlsx</x:v>
      </x:c>
      <x:c r="D302" s="14" t="str">
        <x:v>Piglets</x:v>
      </x:c>
      <x:c r="E302" s="14" t="n">
        <x:v>36</x:v>
      </x:c>
      <x:c r="F302" s="14" t="str">
        <x:v>Piglets</x:v>
      </x:c>
      <x:c r="G302" s="14" t="str">
        <x:v>tt30645178</x:v>
      </x:c>
      <x:c r="H302" s="14" t="n">
        <x:v>2024</x:v>
      </x:c>
      <x:c r="I302" s="14" t="n">
        <x:v>2025</x:v>
      </x:c>
      <x:c r="J302" s="14" t="str">
        <x:v>Post-study cohort</x:v>
      </x:c>
      <x:c r="K302" s="14" t="n">
        <x:v>2024</x:v>
      </x:c>
      <x:c r="L302" s="14" t="str">
        <x:v>Not inherited</x:v>
      </x:c>
      <x:c r="M302" s="15" t="n">
        <x:v>29</x:v>
      </x:c>
      <x:c r="N302" s="14" t="str">
        <x:v>Sanchia McCormack</x:v>
      </x:c>
      <x:c r="O302" s="14" t="str">
        <x:v>nm1528111</x:v>
      </x:c>
      <x:c r="P302" s="14" t="str">
        <x:v>Legal Advisor</x:v>
      </x:c>
      <x:c r="Q302" s="15" t="n">
        <x:v>1</x:v>
      </x:c>
      <x:c r="R302" s="14" t="str">
        <x:v>2026</x:v>
      </x:c>
      <x:c r="S302" s="14" t="n">
        <x:v>2026</x:v>
      </x:c>
      <x:c r="T302" s="14" t="n">
        <x:v>2026</x:v>
      </x:c>
      <x:c r="U302" s="14" t="str">
        <x:v>Explicit source first year retained</x:v>
      </x:c>
      <x:c r="V302" s="14" t="str">
        <x:v>Earliest supplied year is 2026.</x:v>
      </x:c>
      <x:c r="W302" s="14"/>
      <x:c r="X302" s="14" t="str">
        <x:v>Excluded: after 2025</x:v>
      </x:c>
      <x:c r="Y302" s="14"/>
      <x:c r="Z302" s="14" t="str">
        <x:v>Piglets.docx</x:v>
      </x:c>
      <x:c r="AA302" s="14" t="str">
        <x:v>HYPERLINK is not implemented. linkLocation=https://www.imdb.com/title/tt30645178/fullcredits/, friendlyName=Open source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ITV / ITVX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7" t="e">
        <x:f>HYPERLINK("https://en.wikipedia.org/wiki/Piglet","Open source")</x:f>
        <x:v>HYPERLINK is not implemented. linkLocation=https://en.wikipedia.org/wiki/Piglet, friendlyName=Open source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 t="str">
        <x:v>No established-register match</x:v>
      </x:c>
      <x:c r="AT302" s="14"/>
      <x:c r="AU302" s="14"/>
      <x:c r="AV302" s="14" t="str">
        <x:v>No established apparent-disability match</x:v>
      </x:c>
      <x:c r="AW302" s="14"/>
      <x:c r="AX302" s="14" t="str">
        <x:v>No</x:v>
      </x:c>
      <x:c r="AY302" s="14" t="str">
        <x:v>Unmatched</x:v>
      </x:c>
      <x:c r="AZ302" s="14" t="str">
        <x:v>Final supplied register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1</x:v>
      </x:c>
      <x:c r="BS302" s="16" t="n">
        <x:v>0.08333333333333333</x:v>
      </x:c>
      <x:c r="BT302" s="14" t="str">
        <x:v>One episode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4" t="str">
        <x:v>HYPERLINK is not implemented. linkLocation=https://www.imdb.com/title/tt30645178/fullcredits/, friendlyName=Open source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tt30645178|nm5098614|hairdresser</x:v>
      </x:c>
      <x:c r="B303" s="14" t="str">
        <x:v>03</x:v>
      </x:c>
      <x:c r="C303" s="14" t="str">
        <x:v>2024_IMDb_Cast_Lists_Batch_03(1).xlsx</x:v>
      </x:c>
      <x:c r="D303" s="14" t="str">
        <x:v>Piglets</x:v>
      </x:c>
      <x:c r="E303" s="14" t="n">
        <x:v>37</x:v>
      </x:c>
      <x:c r="F303" s="14" t="str">
        <x:v>Piglets</x:v>
      </x:c>
      <x:c r="G303" s="14" t="str">
        <x:v>tt30645178</x:v>
      </x:c>
      <x:c r="H303" s="14" t="n">
        <x:v>2024</x:v>
      </x:c>
      <x:c r="I303" s="14" t="n">
        <x:v>2025</x:v>
      </x:c>
      <x:c r="J303" s="14" t="str">
        <x:v>Post-study cohort</x:v>
      </x:c>
      <x:c r="K303" s="14" t="n">
        <x:v>2024</x:v>
      </x:c>
      <x:c r="L303" s="14" t="str">
        <x:v>Not inherited</x:v>
      </x:c>
      <x:c r="M303" s="15" t="n">
        <x:v>30</x:v>
      </x:c>
      <x:c r="N303" s="14" t="str">
        <x:v>Alexander Theo</x:v>
      </x:c>
      <x:c r="O303" s="14" t="str">
        <x:v>nm5098614</x:v>
      </x:c>
      <x:c r="P303" s="14" t="str">
        <x:v>Hairdresser</x:v>
      </x:c>
      <x:c r="Q303" s="15" t="n">
        <x:v>1</x:v>
      </x:c>
      <x:c r="R303" s="14" t="str">
        <x:v>2026</x:v>
      </x:c>
      <x:c r="S303" s="14" t="n">
        <x:v>2026</x:v>
      </x:c>
      <x:c r="T303" s="14" t="n">
        <x:v>2026</x:v>
      </x:c>
      <x:c r="U303" s="14" t="str">
        <x:v>Explicit source first year retained</x:v>
      </x:c>
      <x:c r="V303" s="14" t="str">
        <x:v>Earliest supplied year is 2026.</x:v>
      </x:c>
      <x:c r="W303" s="14"/>
      <x:c r="X303" s="14" t="str">
        <x:v>Excluded: after 2025</x:v>
      </x:c>
      <x:c r="Y303" s="14"/>
      <x:c r="Z303" s="14" t="str">
        <x:v>Piglets.docx</x:v>
      </x:c>
      <x:c r="AA303" s="14" t="str">
        <x:v>HYPERLINK is not implemented. linkLocation=https://www.imdb.com/title/tt30645178/fullcredits/, friendlyName=Open source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ITV / ITVX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7" t="e">
        <x:f>HYPERLINK("https://en.wikipedia.org/wiki/Piglet","Open source")</x:f>
        <x:v>HYPERLINK is not implemented. linkLocation=https://en.wikipedia.org/wiki/Piglet, friendlyName=Open source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 t="str">
        <x:v>No established-register match</x:v>
      </x:c>
      <x:c r="AT303" s="14"/>
      <x:c r="AU303" s="14"/>
      <x:c r="AV303" s="14" t="str">
        <x:v>No established apparent-disability match</x:v>
      </x:c>
      <x:c r="AW303" s="14"/>
      <x:c r="AX303" s="14" t="str">
        <x:v>No</x:v>
      </x:c>
      <x:c r="AY303" s="14" t="str">
        <x:v>Unmatched</x:v>
      </x:c>
      <x:c r="AZ303" s="14" t="str">
        <x:v>Final supplied register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1</x:v>
      </x:c>
      <x:c r="BS303" s="16" t="n">
        <x:v>0.08333333333333333</x:v>
      </x:c>
      <x:c r="BT303" s="14" t="str">
        <x:v>One episode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4" t="str">
        <x:v>HYPERLINK is not implemented. linkLocation=https://www.imdb.com/title/tt30645178/fullcredits/, friendlyName=Open source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tt30645178|nm3387525|reza</x:v>
      </x:c>
      <x:c r="B304" s="14" t="str">
        <x:v>03</x:v>
      </x:c>
      <x:c r="C304" s="14" t="str">
        <x:v>2024_IMDb_Cast_Lists_Batch_03(1).xlsx</x:v>
      </x:c>
      <x:c r="D304" s="14" t="str">
        <x:v>Piglets</x:v>
      </x:c>
      <x:c r="E304" s="14" t="n">
        <x:v>41</x:v>
      </x:c>
      <x:c r="F304" s="14" t="str">
        <x:v>Piglets</x:v>
      </x:c>
      <x:c r="G304" s="14" t="str">
        <x:v>tt30645178</x:v>
      </x:c>
      <x:c r="H304" s="14" t="n">
        <x:v>2024</x:v>
      </x:c>
      <x:c r="I304" s="14" t="n">
        <x:v>2025</x:v>
      </x:c>
      <x:c r="J304" s="14" t="str">
        <x:v>Post-study cohort</x:v>
      </x:c>
      <x:c r="K304" s="14" t="n">
        <x:v>2024</x:v>
      </x:c>
      <x:c r="L304" s="14" t="str">
        <x:v>Not inherited</x:v>
      </x:c>
      <x:c r="M304" s="15" t="n">
        <x:v>34</x:v>
      </x:c>
      <x:c r="N304" s="14" t="str">
        <x:v>Joshua Osei</x:v>
      </x:c>
      <x:c r="O304" s="14" t="str">
        <x:v>nm3387525</x:v>
      </x:c>
      <x:c r="P304" s="14" t="str">
        <x:v>Reza</x:v>
      </x:c>
      <x:c r="Q304" s="15" t="n">
        <x:v>1</x:v>
      </x:c>
      <x:c r="R304" s="14" t="str">
        <x:v>2026</x:v>
      </x:c>
      <x:c r="S304" s="14" t="n">
        <x:v>2026</x:v>
      </x:c>
      <x:c r="T304" s="14" t="n">
        <x:v>2026</x:v>
      </x:c>
      <x:c r="U304" s="14" t="str">
        <x:v>Explicit source first year retained</x:v>
      </x:c>
      <x:c r="V304" s="14" t="str">
        <x:v>Earliest supplied year is 2026.</x:v>
      </x:c>
      <x:c r="W304" s="14"/>
      <x:c r="X304" s="14" t="str">
        <x:v>Excluded: after 2025</x:v>
      </x:c>
      <x:c r="Y304" s="14"/>
      <x:c r="Z304" s="14" t="str">
        <x:v>Piglets.docx</x:v>
      </x:c>
      <x:c r="AA304" s="14" t="str">
        <x:v>HYPERLINK is not implemented. linkLocation=https://www.imdb.com/title/tt30645178/fullcredits/, friendlyName=Open source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ITV / ITVX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7" t="e">
        <x:f>HYPERLINK("https://en.wikipedia.org/wiki/Piglet","Open source")</x:f>
        <x:v>HYPERLINK is not implemented. linkLocation=https://en.wikipedia.org/wiki/Piglet, friendlyName=Open source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 t="str">
        <x:v>No established-register match</x:v>
      </x:c>
      <x:c r="AT304" s="14"/>
      <x:c r="AU304" s="14"/>
      <x:c r="AV304" s="14" t="str">
        <x:v>No established apparent-disability match</x:v>
      </x:c>
      <x:c r="AW304" s="14"/>
      <x:c r="AX304" s="14" t="str">
        <x:v>No</x:v>
      </x:c>
      <x:c r="AY304" s="14" t="str">
        <x:v>Unmatched</x:v>
      </x:c>
      <x:c r="AZ304" s="14" t="str">
        <x:v>Final supplied register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1</x:v>
      </x:c>
      <x:c r="BS304" s="16" t="n">
        <x:v>0.08333333333333333</x:v>
      </x:c>
      <x:c r="BT304" s="14" t="str">
        <x:v>One episode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4" t="str">
        <x:v>HYPERLINK is not implemented. linkLocation=https://www.imdb.com/title/tt30645178/fullcredits/, friendlyName=Open source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tt23897504|nm1161994|rso clay brody</x:v>
      </x:c>
      <x:c r="B305" s="14" t="str">
        <x:v>04</x:v>
      </x:c>
      <x:c r="C305" s="14" t="str">
        <x:v>2024_IMDb_Cast_Lists_Batch_04(1).xlsx</x:v>
      </x:c>
      <x:c r="D305" s="14" t="str">
        <x:v>Red Eye</x:v>
      </x:c>
      <x:c r="E305" s="14" t="n">
        <x:v>16</x:v>
      </x:c>
      <x:c r="F305" s="14" t="str">
        <x:v>Red Eye</x:v>
      </x:c>
      <x:c r="G305" s="14" t="str">
        <x:v>tt23897504</x:v>
      </x:c>
      <x:c r="H305" s="14" t="n">
        <x:v>2024</x:v>
      </x:c>
      <x:c r="I305" s="14" t="n">
        <x:v>2025</x:v>
      </x:c>
      <x:c r="J305" s="14" t="str">
        <x:v>Post-study cohort</x:v>
      </x:c>
      <x:c r="K305" s="14" t="n">
        <x:v>2024</x:v>
      </x:c>
      <x:c r="L305" s="14" t="str">
        <x:v>Not inherited</x:v>
      </x:c>
      <x:c r="M305" s="15" t="n">
        <x:v>9</x:v>
      </x:c>
      <x:c r="N305" s="14" t="str">
        <x:v>Martin Compston</x:v>
      </x:c>
      <x:c r="O305" s="14" t="str">
        <x:v>nm1161994</x:v>
      </x:c>
      <x:c r="P305" s="14" t="str">
        <x:v>RSO Clay Brody</x:v>
      </x:c>
      <x:c r="Q305" s="15" t="n">
        <x:v>6</x:v>
      </x:c>
      <x:c r="R305" s="14" t="str">
        <x:v>2026</x:v>
      </x:c>
      <x:c r="S305" s="14" t="n">
        <x:v>2026</x:v>
      </x:c>
      <x:c r="T305" s="14" t="n">
        <x:v>2026</x:v>
      </x:c>
      <x:c r="U305" s="14" t="str">
        <x:v>Explicit source first year retained</x:v>
      </x:c>
      <x:c r="V305" s="14" t="str">
        <x:v>Earliest supplied year is 2026.</x:v>
      </x:c>
      <x:c r="W305" s="14"/>
      <x:c r="X305" s="14" t="str">
        <x:v>Excluded: after 2025</x:v>
      </x:c>
      <x:c r="Y305" s="14"/>
      <x:c r="Z305" s="14" t="str">
        <x:v>Red Eye(1).docx</x:v>
      </x:c>
      <x:c r="AA305" s="14" t="str">
        <x:v>HYPERLINK is not implemented. linkLocation=https://www.imdb.com/title/tt23897504/fullcredits/, friendlyName=Open source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ITV / ITVX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7" t="e">
        <x:f>HYPERLINK("https://en.wikipedia.org/wiki/Red_eye","Open source")</x:f>
        <x:v>HYPERLINK is not implemented. linkLocation=https://en.wikipedia.org/wiki/Red_eye, friendlyName=Open source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 t="str">
        <x:v>No established-register match</x:v>
      </x:c>
      <x:c r="AT305" s="14"/>
      <x:c r="AU305" s="14"/>
      <x:c r="AV305" s="14" t="str">
        <x:v>No established apparent-disability match</x:v>
      </x:c>
      <x:c r="AW305" s="14"/>
      <x:c r="AX305" s="14" t="str">
        <x:v>No</x:v>
      </x:c>
      <x:c r="AY305" s="14" t="str">
        <x:v>Unmatched</x:v>
      </x:c>
      <x:c r="AZ305" s="14" t="str">
        <x:v>Final supplied register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6</x:v>
      </x:c>
      <x:c r="BS305" s="16" t="n">
        <x:v>0.5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4" t="str">
        <x:v>HYPERLINK is not implemented. linkLocation=https://www.imdb.com/title/tt23897504/fullcredits/, friendlyName=Open source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tt23897504|nm6664537|fox</x:v>
      </x:c>
      <x:c r="B306" s="14" t="str">
        <x:v>04</x:v>
      </x:c>
      <x:c r="C306" s="14" t="str">
        <x:v>2024_IMDb_Cast_Lists_Batch_04(1).xlsx</x:v>
      </x:c>
      <x:c r="D306" s="14" t="str">
        <x:v>Red Eye</x:v>
      </x:c>
      <x:c r="E306" s="14" t="n">
        <x:v>17</x:v>
      </x:c>
      <x:c r="F306" s="14" t="str">
        <x:v>Red Eye</x:v>
      </x:c>
      <x:c r="G306" s="14" t="str">
        <x:v>tt23897504</x:v>
      </x:c>
      <x:c r="H306" s="14" t="n">
        <x:v>2024</x:v>
      </x:c>
      <x:c r="I306" s="14" t="n">
        <x:v>2025</x:v>
      </x:c>
      <x:c r="J306" s="14" t="str">
        <x:v>Post-study cohort</x:v>
      </x:c>
      <x:c r="K306" s="14" t="n">
        <x:v>2024</x:v>
      </x:c>
      <x:c r="L306" s="14" t="str">
        <x:v>Not inherited</x:v>
      </x:c>
      <x:c r="M306" s="15" t="n">
        <x:v>10</x:v>
      </x:c>
      <x:c r="N306" s="14" t="str">
        <x:v>Tom Forbes</x:v>
      </x:c>
      <x:c r="O306" s="14" t="str">
        <x:v>nm6664537</x:v>
      </x:c>
      <x:c r="P306" s="14" t="str">
        <x:v>Fox</x:v>
      </x:c>
      <x:c r="Q306" s="15" t="n">
        <x:v>6</x:v>
      </x:c>
      <x:c r="R306" s="14" t="str">
        <x:v>2026</x:v>
      </x:c>
      <x:c r="S306" s="14" t="n">
        <x:v>2026</x:v>
      </x:c>
      <x:c r="T306" s="14" t="n">
        <x:v>2026</x:v>
      </x:c>
      <x:c r="U306" s="14" t="str">
        <x:v>Explicit source first year retained</x:v>
      </x:c>
      <x:c r="V306" s="14" t="str">
        <x:v>Earliest supplied year is 2026.</x:v>
      </x:c>
      <x:c r="W306" s="14"/>
      <x:c r="X306" s="14" t="str">
        <x:v>Excluded: after 2025</x:v>
      </x:c>
      <x:c r="Y306" s="14"/>
      <x:c r="Z306" s="14" t="str">
        <x:v>Red Eye(1).docx</x:v>
      </x:c>
      <x:c r="AA306" s="14" t="str">
        <x:v>HYPERLINK is not implemented. linkLocation=https://www.imdb.com/title/tt23897504/fullcredits/, friendlyName=Open source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ITV / ITVX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7" t="e">
        <x:f>HYPERLINK("https://en.wikipedia.org/wiki/Red_eye","Open source")</x:f>
        <x:v>HYPERLINK is not implemented. linkLocation=https://en.wikipedia.org/wiki/Red_eye, friendlyName=Open source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 t="str">
        <x:v>No established-register match</x:v>
      </x:c>
      <x:c r="AT306" s="14"/>
      <x:c r="AU306" s="14"/>
      <x:c r="AV306" s="14" t="str">
        <x:v>No established apparent-disability match</x:v>
      </x:c>
      <x:c r="AW306" s="14"/>
      <x:c r="AX306" s="14" t="str">
        <x:v>No</x:v>
      </x:c>
      <x:c r="AY306" s="14" t="str">
        <x:v>Unmatched</x:v>
      </x:c>
      <x:c r="AZ306" s="14" t="str">
        <x:v>Final supplied register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6</x:v>
      </x:c>
      <x:c r="BS306" s="16" t="n">
        <x:v>0.5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4" t="str">
        <x:v>HYPERLINK is not implemented. linkLocation=https://www.imdb.com/title/tt23897504/fullcredits/, friendlyName=Open source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tt23897504|nm0746583|dsec alex peterson</x:v>
      </x:c>
      <x:c r="B307" s="14" t="str">
        <x:v>04</x:v>
      </x:c>
      <x:c r="C307" s="14" t="str">
        <x:v>2024_IMDb_Cast_Lists_Batch_04(1).xlsx</x:v>
      </x:c>
      <x:c r="D307" s="14" t="str">
        <x:v>Red Eye</x:v>
      </x:c>
      <x:c r="E307" s="14" t="n">
        <x:v>18</x:v>
      </x:c>
      <x:c r="F307" s="14" t="str">
        <x:v>Red Eye</x:v>
      </x:c>
      <x:c r="G307" s="14" t="str">
        <x:v>tt23897504</x:v>
      </x:c>
      <x:c r="H307" s="14" t="n">
        <x:v>2024</x:v>
      </x:c>
      <x:c r="I307" s="14" t="n">
        <x:v>2025</x:v>
      </x:c>
      <x:c r="J307" s="14" t="str">
        <x:v>Post-study cohort</x:v>
      </x:c>
      <x:c r="K307" s="14" t="n">
        <x:v>2024</x:v>
      </x:c>
      <x:c r="L307" s="14" t="str">
        <x:v>Not inherited</x:v>
      </x:c>
      <x:c r="M307" s="15" t="n">
        <x:v>11</x:v>
      </x:c>
      <x:c r="N307" s="14" t="str">
        <x:v>Nicholas Rowe</x:v>
      </x:c>
      <x:c r="O307" s="14" t="str">
        <x:v>nm0746583</x:v>
      </x:c>
      <x:c r="P307" s="14" t="str">
        <x:v>DSEC Alex Peterson</x:v>
      </x:c>
      <x:c r="Q307" s="15" t="n">
        <x:v>6</x:v>
      </x:c>
      <x:c r="R307" s="14" t="str">
        <x:v>2026</x:v>
      </x:c>
      <x:c r="S307" s="14" t="n">
        <x:v>2026</x:v>
      </x:c>
      <x:c r="T307" s="14" t="n">
        <x:v>2026</x:v>
      </x:c>
      <x:c r="U307" s="14" t="str">
        <x:v>Explicit source first year retained</x:v>
      </x:c>
      <x:c r="V307" s="14" t="str">
        <x:v>Earliest supplied year is 2026.</x:v>
      </x:c>
      <x:c r="W307" s="14"/>
      <x:c r="X307" s="14" t="str">
        <x:v>Excluded: after 2025</x:v>
      </x:c>
      <x:c r="Y307" s="14"/>
      <x:c r="Z307" s="14" t="str">
        <x:v>Red Eye(1).docx</x:v>
      </x:c>
      <x:c r="AA307" s="14" t="str">
        <x:v>HYPERLINK is not implemented. linkLocation=https://www.imdb.com/title/tt23897504/fullcredits/, friendlyName=Open source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ITV / ITVX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7" t="e">
        <x:f>HYPERLINK("https://en.wikipedia.org/wiki/Red_eye","Open source")</x:f>
        <x:v>HYPERLINK is not implemented. linkLocation=https://en.wikipedia.org/wiki/Red_eye, friendlyName=Open source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 t="str">
        <x:v>No established-register match</x:v>
      </x:c>
      <x:c r="AT307" s="14"/>
      <x:c r="AU307" s="14"/>
      <x:c r="AV307" s="14" t="str">
        <x:v>No established apparent-disability match</x:v>
      </x:c>
      <x:c r="AW307" s="14"/>
      <x:c r="AX307" s="14" t="str">
        <x:v>No</x:v>
      </x:c>
      <x:c r="AY307" s="14" t="str">
        <x:v>Unmatched</x:v>
      </x:c>
      <x:c r="AZ307" s="14" t="str">
        <x:v>Final supplied register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6</x:v>
      </x:c>
      <x:c r="BS307" s="16" t="n">
        <x:v>0.5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4" t="str">
        <x:v>HYPERLINK is not implemented. linkLocation=https://www.imdb.com/title/tt23897504/fullcredits/, friendlyName=Open source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tt23897504|nm0925544|us ambassador ronald tillman</x:v>
      </x:c>
      <x:c r="B308" s="14" t="str">
        <x:v>04</x:v>
      </x:c>
      <x:c r="C308" s="14" t="str">
        <x:v>2024_IMDb_Cast_Lists_Batch_04(1).xlsx</x:v>
      </x:c>
      <x:c r="D308" s="14" t="str">
        <x:v>Red Eye</x:v>
      </x:c>
      <x:c r="E308" s="14" t="n">
        <x:v>20</x:v>
      </x:c>
      <x:c r="F308" s="14" t="str">
        <x:v>Red Eye</x:v>
      </x:c>
      <x:c r="G308" s="14" t="str">
        <x:v>tt23897504</x:v>
      </x:c>
      <x:c r="H308" s="14" t="n">
        <x:v>2024</x:v>
      </x:c>
      <x:c r="I308" s="14" t="n">
        <x:v>2025</x:v>
      </x:c>
      <x:c r="J308" s="14" t="str">
        <x:v>Post-study cohort</x:v>
      </x:c>
      <x:c r="K308" s="14" t="n">
        <x:v>2024</x:v>
      </x:c>
      <x:c r="L308" s="14" t="str">
        <x:v>Not inherited</x:v>
      </x:c>
      <x:c r="M308" s="15" t="n">
        <x:v>13</x:v>
      </x:c>
      <x:c r="N308" s="14" t="str">
        <x:v>Trevor White</x:v>
      </x:c>
      <x:c r="O308" s="14" t="str">
        <x:v>nm0925544</x:v>
      </x:c>
      <x:c r="P308" s="14" t="str">
        <x:v>US Ambassador Ronald Tillman</x:v>
      </x:c>
      <x:c r="Q308" s="15" t="n">
        <x:v>6</x:v>
      </x:c>
      <x:c r="R308" s="14" t="str">
        <x:v>2026</x:v>
      </x:c>
      <x:c r="S308" s="14" t="n">
        <x:v>2026</x:v>
      </x:c>
      <x:c r="T308" s="14" t="n">
        <x:v>2026</x:v>
      </x:c>
      <x:c r="U308" s="14" t="str">
        <x:v>Explicit source first year retained</x:v>
      </x:c>
      <x:c r="V308" s="14" t="str">
        <x:v>Earliest supplied year is 2026.</x:v>
      </x:c>
      <x:c r="W308" s="14"/>
      <x:c r="X308" s="14" t="str">
        <x:v>Excluded: after 2025</x:v>
      </x:c>
      <x:c r="Y308" s="14"/>
      <x:c r="Z308" s="14" t="str">
        <x:v>Red Eye(1).docx</x:v>
      </x:c>
      <x:c r="AA308" s="14" t="str">
        <x:v>HYPERLINK is not implemented. linkLocation=https://www.imdb.com/title/tt23897504/fullcredits/, friendlyName=Open source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ITV / ITVX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7" t="e">
        <x:f>HYPERLINK("https://en.wikipedia.org/wiki/Red_eye","Open source")</x:f>
        <x:v>HYPERLINK is not implemented. linkLocation=https://en.wikipedia.org/wiki/Red_eye, friendlyName=Open source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 t="str">
        <x:v>No established-register match</x:v>
      </x:c>
      <x:c r="AT308" s="14"/>
      <x:c r="AU308" s="14"/>
      <x:c r="AV308" s="14" t="str">
        <x:v>No established apparent-disability match</x:v>
      </x:c>
      <x:c r="AW308" s="14"/>
      <x:c r="AX308" s="14" t="str">
        <x:v>No</x:v>
      </x:c>
      <x:c r="AY308" s="14" t="str">
        <x:v>Unmatched</x:v>
      </x:c>
      <x:c r="AZ308" s="14" t="str">
        <x:v>Final supplied register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6</x:v>
      </x:c>
      <x:c r="BS308" s="16" t="n">
        <x:v>0.5</x:v>
      </x:c>
      <x:c r="BT308" s="14" t="str">
        <x:v>Minority of episodes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4" t="str">
        <x:v>HYPERLINK is not implemented. linkLocation=https://www.imdb.com/title/tt23897504/fullcredits/, friendlyName=Open source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tt23897504|nm0930714|air marshal john johnson</x:v>
      </x:c>
      <x:c r="B309" s="14" t="str">
        <x:v>04</x:v>
      </x:c>
      <x:c r="C309" s="14" t="str">
        <x:v>2024_IMDb_Cast_Lists_Batch_04(1).xlsx</x:v>
      </x:c>
      <x:c r="D309" s="14" t="str">
        <x:v>Red Eye</x:v>
      </x:c>
      <x:c r="E309" s="14" t="n">
        <x:v>24</x:v>
      </x:c>
      <x:c r="F309" s="14" t="str">
        <x:v>Red Eye</x:v>
      </x:c>
      <x:c r="G309" s="14" t="str">
        <x:v>tt23897504</x:v>
      </x:c>
      <x:c r="H309" s="14" t="n">
        <x:v>2024</x:v>
      </x:c>
      <x:c r="I309" s="14" t="n">
        <x:v>2025</x:v>
      </x:c>
      <x:c r="J309" s="14" t="str">
        <x:v>Post-study cohort</x:v>
      </x:c>
      <x:c r="K309" s="14" t="n">
        <x:v>2024</x:v>
      </x:c>
      <x:c r="L309" s="14" t="str">
        <x:v>Not inherited</x:v>
      </x:c>
      <x:c r="M309" s="15" t="n">
        <x:v>17</x:v>
      </x:c>
      <x:c r="N309" s="14" t="str">
        <x:v>Guy Williams</x:v>
      </x:c>
      <x:c r="O309" s="14" t="str">
        <x:v>nm0930714</x:v>
      </x:c>
      <x:c r="P309" s="14" t="str">
        <x:v>Air Marshal John Johnson</x:v>
      </x:c>
      <x:c r="Q309" s="15" t="n">
        <x:v>6</x:v>
      </x:c>
      <x:c r="R309" s="14" t="str">
        <x:v>2026</x:v>
      </x:c>
      <x:c r="S309" s="14" t="n">
        <x:v>2026</x:v>
      </x:c>
      <x:c r="T309" s="14" t="n">
        <x:v>2026</x:v>
      </x:c>
      <x:c r="U309" s="14" t="str">
        <x:v>Explicit source first year retained</x:v>
      </x:c>
      <x:c r="V309" s="14" t="str">
        <x:v>Earliest supplied year is 2026.</x:v>
      </x:c>
      <x:c r="W309" s="14"/>
      <x:c r="X309" s="14" t="str">
        <x:v>Excluded: after 2025</x:v>
      </x:c>
      <x:c r="Y309" s="14"/>
      <x:c r="Z309" s="14" t="str">
        <x:v>Red Eye(1).docx</x:v>
      </x:c>
      <x:c r="AA309" s="14" t="str">
        <x:v>HYPERLINK is not implemented. linkLocation=https://www.imdb.com/title/tt23897504/fullcredits/, friendlyName=Open source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ITV / ITVX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7" t="e">
        <x:f>HYPERLINK("https://en.wikipedia.org/wiki/Red_eye","Open source")</x:f>
        <x:v>HYPERLINK is not implemented. linkLocation=https://en.wikipedia.org/wiki/Red_eye, friendlyName=Open source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 t="str">
        <x:v>No established-register match</x:v>
      </x:c>
      <x:c r="AT309" s="14"/>
      <x:c r="AU309" s="14"/>
      <x:c r="AV309" s="14" t="str">
        <x:v>No established apparent-disability match</x:v>
      </x:c>
      <x:c r="AW309" s="14"/>
      <x:c r="AX309" s="14" t="str">
        <x:v>No</x:v>
      </x:c>
      <x:c r="AY309" s="14" t="str">
        <x:v>Unmatched</x:v>
      </x:c>
      <x:c r="AZ309" s="14" t="str">
        <x:v>Final supplied register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6</x:v>
      </x:c>
      <x:c r="BS309" s="16" t="n">
        <x:v>0.5</x:v>
      </x:c>
      <x:c r="BT309" s="14" t="str">
        <x:v>Minority of episodes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4" t="str">
        <x:v>HYPERLINK is not implemented. linkLocation=https://www.imdb.com/title/tt23897504/fullcredits/, friendlyName=Open source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tt23897504|nm7391230|captain sarah wright</x:v>
      </x:c>
      <x:c r="B310" s="14" t="str">
        <x:v>04</x:v>
      </x:c>
      <x:c r="C310" s="14" t="str">
        <x:v>2024_IMDb_Cast_Lists_Batch_04(1).xlsx</x:v>
      </x:c>
      <x:c r="D310" s="14" t="str">
        <x:v>Red Eye</x:v>
      </x:c>
      <x:c r="E310" s="14" t="n">
        <x:v>26</x:v>
      </x:c>
      <x:c r="F310" s="14" t="str">
        <x:v>Red Eye</x:v>
      </x:c>
      <x:c r="G310" s="14" t="str">
        <x:v>tt23897504</x:v>
      </x:c>
      <x:c r="H310" s="14" t="n">
        <x:v>2024</x:v>
      </x:c>
      <x:c r="I310" s="14" t="n">
        <x:v>2025</x:v>
      </x:c>
      <x:c r="J310" s="14" t="str">
        <x:v>Post-study cohort</x:v>
      </x:c>
      <x:c r="K310" s="14" t="n">
        <x:v>2024</x:v>
      </x:c>
      <x:c r="L310" s="14" t="str">
        <x:v>Not inherited</x:v>
      </x:c>
      <x:c r="M310" s="15" t="n">
        <x:v>19</x:v>
      </x:c>
      <x:c r="N310" s="14" t="str">
        <x:v>Danusia Samal</x:v>
      </x:c>
      <x:c r="O310" s="14" t="str">
        <x:v>nm7391230</x:v>
      </x:c>
      <x:c r="P310" s="14" t="str">
        <x:v>Captain Sarah Wright</x:v>
      </x:c>
      <x:c r="Q310" s="15" t="n">
        <x:v>5</x:v>
      </x:c>
      <x:c r="R310" s="14" t="str">
        <x:v>2026</x:v>
      </x:c>
      <x:c r="S310" s="14" t="n">
        <x:v>2026</x:v>
      </x:c>
      <x:c r="T310" s="14" t="n">
        <x:v>2026</x:v>
      </x:c>
      <x:c r="U310" s="14" t="str">
        <x:v>Explicit source first year retained</x:v>
      </x:c>
      <x:c r="V310" s="14" t="str">
        <x:v>Earliest supplied year is 2026.</x:v>
      </x:c>
      <x:c r="W310" s="14"/>
      <x:c r="X310" s="14" t="str">
        <x:v>Excluded: after 2025</x:v>
      </x:c>
      <x:c r="Y310" s="14"/>
      <x:c r="Z310" s="14" t="str">
        <x:v>Red Eye(1).docx</x:v>
      </x:c>
      <x:c r="AA310" s="14" t="str">
        <x:v>HYPERLINK is not implemented. linkLocation=https://www.imdb.com/title/tt23897504/fullcredits/, friendlyName=Open source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ITV / ITVX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7" t="e">
        <x:f>HYPERLINK("https://en.wikipedia.org/wiki/Red_eye","Open source")</x:f>
        <x:v>HYPERLINK is not implemented. linkLocation=https://en.wikipedia.org/wiki/Red_eye, friendlyName=Open source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 t="str">
        <x:v>No established-register match</x:v>
      </x:c>
      <x:c r="AT310" s="14"/>
      <x:c r="AU310" s="14"/>
      <x:c r="AV310" s="14" t="str">
        <x:v>No established apparent-disability match</x:v>
      </x:c>
      <x:c r="AW310" s="14"/>
      <x:c r="AX310" s="14" t="str">
        <x:v>No</x:v>
      </x:c>
      <x:c r="AY310" s="14" t="str">
        <x:v>Unmatched</x:v>
      </x:c>
      <x:c r="AZ310" s="14" t="str">
        <x:v>Final supplied register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5</x:v>
      </x:c>
      <x:c r="BS310" s="16" t="n">
        <x:v>0.4166666666666667</x:v>
      </x:c>
      <x:c r="BT310" s="14" t="str">
        <x:v>Minority of episodes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4" t="str">
        <x:v>HYPERLINK is not implemented. linkLocation=https://www.imdb.com/title/tt23897504/fullcredits/, friendlyName=Open source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tt23897504|nm13029770|agent liv lewis</x:v>
      </x:c>
      <x:c r="B311" s="14" t="str">
        <x:v>04</x:v>
      </x:c>
      <x:c r="C311" s="14" t="str">
        <x:v>2024_IMDb_Cast_Lists_Batch_04(1).xlsx</x:v>
      </x:c>
      <x:c r="D311" s="14" t="str">
        <x:v>Red Eye</x:v>
      </x:c>
      <x:c r="E311" s="14" t="n">
        <x:v>27</x:v>
      </x:c>
      <x:c r="F311" s="14" t="str">
        <x:v>Red Eye</x:v>
      </x:c>
      <x:c r="G311" s="14" t="str">
        <x:v>tt23897504</x:v>
      </x:c>
      <x:c r="H311" s="14" t="n">
        <x:v>2024</x:v>
      </x:c>
      <x:c r="I311" s="14" t="n">
        <x:v>2025</x:v>
      </x:c>
      <x:c r="J311" s="14" t="str">
        <x:v>Post-study cohort</x:v>
      </x:c>
      <x:c r="K311" s="14" t="n">
        <x:v>2024</x:v>
      </x:c>
      <x:c r="L311" s="14" t="str">
        <x:v>Not inherited</x:v>
      </x:c>
      <x:c r="M311" s="15" t="n">
        <x:v>20</x:v>
      </x:c>
      <x:c r="N311" s="14" t="str">
        <x:v>Sarah Junillon</x:v>
      </x:c>
      <x:c r="O311" s="14" t="str">
        <x:v>nm13029770</x:v>
      </x:c>
      <x:c r="P311" s="14" t="str">
        <x:v>Agent Liv Lewis</x:v>
      </x:c>
      <x:c r="Q311" s="15" t="n">
        <x:v>5</x:v>
      </x:c>
      <x:c r="R311" s="14" t="str">
        <x:v>2026</x:v>
      </x:c>
      <x:c r="S311" s="14" t="n">
        <x:v>2026</x:v>
      </x:c>
      <x:c r="T311" s="14" t="n">
        <x:v>2026</x:v>
      </x:c>
      <x:c r="U311" s="14" t="str">
        <x:v>Explicit source first year retained</x:v>
      </x:c>
      <x:c r="V311" s="14" t="str">
        <x:v>Earliest supplied year is 2026.</x:v>
      </x:c>
      <x:c r="W311" s="14"/>
      <x:c r="X311" s="14" t="str">
        <x:v>Excluded: after 2025</x:v>
      </x:c>
      <x:c r="Y311" s="14"/>
      <x:c r="Z311" s="14" t="str">
        <x:v>Red Eye(1).docx</x:v>
      </x:c>
      <x:c r="AA311" s="14" t="str">
        <x:v>HYPERLINK is not implemented. linkLocation=https://www.imdb.com/title/tt23897504/fullcredits/, friendlyName=Open source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ITV / ITVX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7" t="e">
        <x:f>HYPERLINK("https://en.wikipedia.org/wiki/Red_eye","Open source")</x:f>
        <x:v>HYPERLINK is not implemented. linkLocation=https://en.wikipedia.org/wiki/Red_eye, friendlyName=Open source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 t="str">
        <x:v>No established-register match</x:v>
      </x:c>
      <x:c r="AT311" s="14"/>
      <x:c r="AU311" s="14"/>
      <x:c r="AV311" s="14" t="str">
        <x:v>No established apparent-disability match</x:v>
      </x:c>
      <x:c r="AW311" s="14"/>
      <x:c r="AX311" s="14" t="str">
        <x:v>No</x:v>
      </x:c>
      <x:c r="AY311" s="14" t="str">
        <x:v>Unmatched</x:v>
      </x:c>
      <x:c r="AZ311" s="14" t="str">
        <x:v>Final supplied register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5</x:v>
      </x:c>
      <x:c r="BS311" s="16" t="n">
        <x:v>0.4166666666666667</x:v>
      </x:c>
      <x:c r="BT311" s="14" t="str">
        <x:v>Minority of episodes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4" t="str">
        <x:v>HYPERLINK is not implemented. linkLocation=https://www.imdb.com/title/tt23897504/fullcredits/, friendlyName=Open source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tt23897504|nm6760646|rowan olsen</x:v>
      </x:c>
      <x:c r="B312" s="14" t="str">
        <x:v>04</x:v>
      </x:c>
      <x:c r="C312" s="14" t="str">
        <x:v>2024_IMDb_Cast_Lists_Batch_04(1).xlsx</x:v>
      </x:c>
      <x:c r="D312" s="14" t="str">
        <x:v>Red Eye</x:v>
      </x:c>
      <x:c r="E312" s="14" t="n">
        <x:v>28</x:v>
      </x:c>
      <x:c r="F312" s="14" t="str">
        <x:v>Red Eye</x:v>
      </x:c>
      <x:c r="G312" s="14" t="str">
        <x:v>tt23897504</x:v>
      </x:c>
      <x:c r="H312" s="14" t="n">
        <x:v>2024</x:v>
      </x:c>
      <x:c r="I312" s="14" t="n">
        <x:v>2025</x:v>
      </x:c>
      <x:c r="J312" s="14" t="str">
        <x:v>Post-study cohort</x:v>
      </x:c>
      <x:c r="K312" s="14" t="n">
        <x:v>2024</x:v>
      </x:c>
      <x:c r="L312" s="14" t="str">
        <x:v>Not inherited</x:v>
      </x:c>
      <x:c r="M312" s="15" t="n">
        <x:v>21</x:v>
      </x:c>
      <x:c r="N312" s="14" t="str">
        <x:v>Adam Buchanan</x:v>
      </x:c>
      <x:c r="O312" s="14" t="str">
        <x:v>nm6760646</x:v>
      </x:c>
      <x:c r="P312" s="14" t="str">
        <x:v>Rowan Olsen</x:v>
      </x:c>
      <x:c r="Q312" s="15" t="n">
        <x:v>5</x:v>
      </x:c>
      <x:c r="R312" s="14" t="str">
        <x:v>2026</x:v>
      </x:c>
      <x:c r="S312" s="14" t="n">
        <x:v>2026</x:v>
      </x:c>
      <x:c r="T312" s="14" t="n">
        <x:v>2026</x:v>
      </x:c>
      <x:c r="U312" s="14" t="str">
        <x:v>Explicit source first year retained</x:v>
      </x:c>
      <x:c r="V312" s="14" t="str">
        <x:v>Earliest supplied year is 2026.</x:v>
      </x:c>
      <x:c r="W312" s="14"/>
      <x:c r="X312" s="14" t="str">
        <x:v>Excluded: after 2025</x:v>
      </x:c>
      <x:c r="Y312" s="14"/>
      <x:c r="Z312" s="14" t="str">
        <x:v>Red Eye(1).docx</x:v>
      </x:c>
      <x:c r="AA312" s="14" t="str">
        <x:v>HYPERLINK is not implemented. linkLocation=https://www.imdb.com/title/tt23897504/fullcredits/, friendlyName=Open source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ITV / ITVX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7" t="e">
        <x:f>HYPERLINK("https://en.wikipedia.org/wiki/Red_eye","Open source")</x:f>
        <x:v>HYPERLINK is not implemented. linkLocation=https://en.wikipedia.org/wiki/Red_eye, friendlyName=Open source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 t="str">
        <x:v>No established-register match</x:v>
      </x:c>
      <x:c r="AT312" s="14"/>
      <x:c r="AU312" s="14"/>
      <x:c r="AV312" s="14" t="str">
        <x:v>No established apparent-disability match</x:v>
      </x:c>
      <x:c r="AW312" s="14"/>
      <x:c r="AX312" s="14" t="str">
        <x:v>No</x:v>
      </x:c>
      <x:c r="AY312" s="14" t="str">
        <x:v>Unmatched</x:v>
      </x:c>
      <x:c r="AZ312" s="14" t="str">
        <x:v>Final supplied register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5</x:v>
      </x:c>
      <x:c r="BS312" s="16" t="n">
        <x:v>0.4166666666666667</x:v>
      </x:c>
      <x:c r="BT312" s="14" t="str">
        <x:v>Minority of episodes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4" t="str">
        <x:v>HYPERLINK is not implemented. linkLocation=https://www.imdb.com/title/tt23897504/fullcredits/, friendlyName=Open source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tt23897504|nm3769549|dcm cece redding</x:v>
      </x:c>
      <x:c r="B313" s="14" t="str">
        <x:v>04</x:v>
      </x:c>
      <x:c r="C313" s="14" t="str">
        <x:v>2024_IMDb_Cast_Lists_Batch_04(1).xlsx</x:v>
      </x:c>
      <x:c r="D313" s="14" t="str">
        <x:v>Red Eye</x:v>
      </x:c>
      <x:c r="E313" s="14" t="n">
        <x:v>29</x:v>
      </x:c>
      <x:c r="F313" s="14" t="str">
        <x:v>Red Eye</x:v>
      </x:c>
      <x:c r="G313" s="14" t="str">
        <x:v>tt23897504</x:v>
      </x:c>
      <x:c r="H313" s="14" t="n">
        <x:v>2024</x:v>
      </x:c>
      <x:c r="I313" s="14" t="n">
        <x:v>2025</x:v>
      </x:c>
      <x:c r="J313" s="14" t="str">
        <x:v>Post-study cohort</x:v>
      </x:c>
      <x:c r="K313" s="14" t="n">
        <x:v>2024</x:v>
      </x:c>
      <x:c r="L313" s="14" t="str">
        <x:v>Not inherited</x:v>
      </x:c>
      <x:c r="M313" s="15" t="n">
        <x:v>22</x:v>
      </x:c>
      <x:c r="N313" s="14" t="str">
        <x:v>Isaura Barbé-Brown</x:v>
      </x:c>
      <x:c r="O313" s="14" t="str">
        <x:v>nm3769549</x:v>
      </x:c>
      <x:c r="P313" s="14" t="str">
        <x:v>DCM Cece Redding</x:v>
      </x:c>
      <x:c r="Q313" s="15" t="n">
        <x:v>5</x:v>
      </x:c>
      <x:c r="R313" s="14" t="str">
        <x:v>2026</x:v>
      </x:c>
      <x:c r="S313" s="14" t="n">
        <x:v>2026</x:v>
      </x:c>
      <x:c r="T313" s="14" t="n">
        <x:v>2026</x:v>
      </x:c>
      <x:c r="U313" s="14" t="str">
        <x:v>Explicit source first year retained</x:v>
      </x:c>
      <x:c r="V313" s="14" t="str">
        <x:v>Earliest supplied year is 2026.</x:v>
      </x:c>
      <x:c r="W313" s="14"/>
      <x:c r="X313" s="14" t="str">
        <x:v>Excluded: after 2025</x:v>
      </x:c>
      <x:c r="Y313" s="14"/>
      <x:c r="Z313" s="14" t="str">
        <x:v>Red Eye(1).docx</x:v>
      </x:c>
      <x:c r="AA313" s="14" t="str">
        <x:v>HYPERLINK is not implemented. linkLocation=https://www.imdb.com/title/tt23897504/fullcredits/, friendlyName=Open source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ITV / ITVX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7" t="e">
        <x:f>HYPERLINK("https://en.wikipedia.org/wiki/Red_eye","Open source")</x:f>
        <x:v>HYPERLINK is not implemented. linkLocation=https://en.wikipedia.org/wiki/Red_eye, friendlyName=Open source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 t="str">
        <x:v>No established-register match</x:v>
      </x:c>
      <x:c r="AT313" s="14"/>
      <x:c r="AU313" s="14"/>
      <x:c r="AV313" s="14" t="str">
        <x:v>No established apparent-disability match</x:v>
      </x:c>
      <x:c r="AW313" s="14"/>
      <x:c r="AX313" s="14" t="str">
        <x:v>No</x:v>
      </x:c>
      <x:c r="AY313" s="14" t="str">
        <x:v>Unmatched</x:v>
      </x:c>
      <x:c r="AZ313" s="14" t="str">
        <x:v>Final supplied register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5</x:v>
      </x:c>
      <x:c r="BS313" s="16" t="n">
        <x:v>0.4166666666666667</x:v>
      </x:c>
      <x:c r="BT313" s="14" t="str">
        <x:v>Minority of episodes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4" t="str">
        <x:v>HYPERLINK is not implemented. linkLocation=https://www.imdb.com/title/tt23897504/fullcredits/, friendlyName=Open source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tt23897504|nm0795345|ssg o'hanlon</x:v>
      </x:c>
      <x:c r="B314" s="14" t="str">
        <x:v>04</x:v>
      </x:c>
      <x:c r="C314" s="14" t="str">
        <x:v>2024_IMDb_Cast_Lists_Batch_04(1).xlsx</x:v>
      </x:c>
      <x:c r="D314" s="14" t="str">
        <x:v>Red Eye</x:v>
      </x:c>
      <x:c r="E314" s="14" t="n">
        <x:v>32</x:v>
      </x:c>
      <x:c r="F314" s="14" t="str">
        <x:v>Red Eye</x:v>
      </x:c>
      <x:c r="G314" s="14" t="str">
        <x:v>tt23897504</x:v>
      </x:c>
      <x:c r="H314" s="14" t="n">
        <x:v>2024</x:v>
      </x:c>
      <x:c r="I314" s="14" t="n">
        <x:v>2025</x:v>
      </x:c>
      <x:c r="J314" s="14" t="str">
        <x:v>Post-study cohort</x:v>
      </x:c>
      <x:c r="K314" s="14" t="n">
        <x:v>2024</x:v>
      </x:c>
      <x:c r="L314" s="14" t="str">
        <x:v>Not inherited</x:v>
      </x:c>
      <x:c r="M314" s="15" t="n">
        <x:v>25</x:v>
      </x:c>
      <x:c r="N314" s="14" t="str">
        <x:v>Lex Shrapnel</x:v>
      </x:c>
      <x:c r="O314" s="14" t="str">
        <x:v>nm0795345</x:v>
      </x:c>
      <x:c r="P314" s="14" t="str">
        <x:v>SSG O'Hanlon</x:v>
      </x:c>
      <x:c r="Q314" s="15" t="n">
        <x:v>5</x:v>
      </x:c>
      <x:c r="R314" s="14" t="str">
        <x:v>2026</x:v>
      </x:c>
      <x:c r="S314" s="14" t="n">
        <x:v>2026</x:v>
      </x:c>
      <x:c r="T314" s="14" t="n">
        <x:v>2026</x:v>
      </x:c>
      <x:c r="U314" s="14" t="str">
        <x:v>Explicit source first year retained</x:v>
      </x:c>
      <x:c r="V314" s="14" t="str">
        <x:v>Earliest supplied year is 2026.</x:v>
      </x:c>
      <x:c r="W314" s="14"/>
      <x:c r="X314" s="14" t="str">
        <x:v>Excluded: after 2025</x:v>
      </x:c>
      <x:c r="Y314" s="14"/>
      <x:c r="Z314" s="14" t="str">
        <x:v>Red Eye(1).docx</x:v>
      </x:c>
      <x:c r="AA314" s="14" t="str">
        <x:v>HYPERLINK is not implemented. linkLocation=https://www.imdb.com/title/tt23897504/fullcredits/, friendlyName=Open source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ITV / ITVX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7" t="e">
        <x:f>HYPERLINK("https://en.wikipedia.org/wiki/Red_eye","Open source")</x:f>
        <x:v>HYPERLINK is not implemented. linkLocation=https://en.wikipedia.org/wiki/Red_eye, friendlyName=Open source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 t="str">
        <x:v>No established-register match</x:v>
      </x:c>
      <x:c r="AT314" s="14"/>
      <x:c r="AU314" s="14"/>
      <x:c r="AV314" s="14" t="str">
        <x:v>No established apparent-disability match</x:v>
      </x:c>
      <x:c r="AW314" s="14"/>
      <x:c r="AX314" s="14" t="str">
        <x:v>No</x:v>
      </x:c>
      <x:c r="AY314" s="14" t="str">
        <x:v>Unmatched</x:v>
      </x:c>
      <x:c r="AZ314" s="14" t="str">
        <x:v>Final supplied register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5</x:v>
      </x:c>
      <x:c r="BS314" s="16" t="n">
        <x:v>0.4166666666666667</x:v>
      </x:c>
      <x:c r="BT314" s="14" t="str">
        <x:v>Minority of episodes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4" t="str">
        <x:v>HYPERLINK is not implemented. linkLocation=https://www.imdb.com/title/tt23897504/fullcredits/, friendlyName=Open source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tt23897504|nm7906653|co-pilot gavin moore</x:v>
      </x:c>
      <x:c r="B315" s="14" t="str">
        <x:v>04</x:v>
      </x:c>
      <x:c r="C315" s="14" t="str">
        <x:v>2024_IMDb_Cast_Lists_Batch_04(1).xlsx</x:v>
      </x:c>
      <x:c r="D315" s="14" t="str">
        <x:v>Red Eye</x:v>
      </x:c>
      <x:c r="E315" s="14" t="n">
        <x:v>34</x:v>
      </x:c>
      <x:c r="F315" s="14" t="str">
        <x:v>Red Eye</x:v>
      </x:c>
      <x:c r="G315" s="14" t="str">
        <x:v>tt23897504</x:v>
      </x:c>
      <x:c r="H315" s="14" t="n">
        <x:v>2024</x:v>
      </x:c>
      <x:c r="I315" s="14" t="n">
        <x:v>2025</x:v>
      </x:c>
      <x:c r="J315" s="14" t="str">
        <x:v>Post-study cohort</x:v>
      </x:c>
      <x:c r="K315" s="14" t="n">
        <x:v>2024</x:v>
      </x:c>
      <x:c r="L315" s="14" t="str">
        <x:v>Not inherited</x:v>
      </x:c>
      <x:c r="M315" s="15" t="n">
        <x:v>27</x:v>
      </x:c>
      <x:c r="N315" s="14" t="str">
        <x:v>Michael James</x:v>
      </x:c>
      <x:c r="O315" s="14" t="str">
        <x:v>nm7906653</x:v>
      </x:c>
      <x:c r="P315" s="14" t="str">
        <x:v>Co-Pilot Gavin Moore</x:v>
      </x:c>
      <x:c r="Q315" s="15" t="n">
        <x:v>4</x:v>
      </x:c>
      <x:c r="R315" s="14" t="str">
        <x:v>2026</x:v>
      </x:c>
      <x:c r="S315" s="14" t="n">
        <x:v>2026</x:v>
      </x:c>
      <x:c r="T315" s="14" t="n">
        <x:v>2026</x:v>
      </x:c>
      <x:c r="U315" s="14" t="str">
        <x:v>Explicit source first year retained</x:v>
      </x:c>
      <x:c r="V315" s="14" t="str">
        <x:v>Earliest supplied year is 2026.</x:v>
      </x:c>
      <x:c r="W315" s="14"/>
      <x:c r="X315" s="14" t="str">
        <x:v>Excluded: after 2025</x:v>
      </x:c>
      <x:c r="Y315" s="14"/>
      <x:c r="Z315" s="14" t="str">
        <x:v>Red Eye(1).docx</x:v>
      </x:c>
      <x:c r="AA315" s="14" t="str">
        <x:v>HYPERLINK is not implemented. linkLocation=https://www.imdb.com/title/tt23897504/fullcredits/, friendlyName=Open source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ITV / ITVX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7" t="e">
        <x:f>HYPERLINK("https://en.wikipedia.org/wiki/Red_eye","Open source")</x:f>
        <x:v>HYPERLINK is not implemented. linkLocation=https://en.wikipedia.org/wiki/Red_eye, friendlyName=Open source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 t="str">
        <x:v>No established-register match</x:v>
      </x:c>
      <x:c r="AT315" s="14"/>
      <x:c r="AU315" s="14"/>
      <x:c r="AV315" s="14" t="str">
        <x:v>No established apparent-disability match</x:v>
      </x:c>
      <x:c r="AW315" s="14"/>
      <x:c r="AX315" s="14" t="str">
        <x:v>No</x:v>
      </x:c>
      <x:c r="AY315" s="14" t="str">
        <x:v>Unmatched</x:v>
      </x:c>
      <x:c r="AZ315" s="14" t="str">
        <x:v>Final supplied register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4</x:v>
      </x:c>
      <x:c r="BS315" s="16" t="n">
        <x:v>0.3333333333333333</x:v>
      </x:c>
      <x:c r="BT315" s="14" t="str">
        <x:v>Minority of episodes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4" t="str">
        <x:v>HYPERLINK is not implemented. linkLocation=https://www.imdb.com/title/tt23897504/fullcredits/, friendlyName=Open source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tt23897504|nm10211747|flight lieutenant patrick johnson</x:v>
      </x:c>
      <x:c r="B316" s="14" t="str">
        <x:v>04</x:v>
      </x:c>
      <x:c r="C316" s="14" t="str">
        <x:v>2024_IMDb_Cast_Lists_Batch_04(1).xlsx</x:v>
      </x:c>
      <x:c r="D316" s="14" t="str">
        <x:v>Red Eye</x:v>
      </x:c>
      <x:c r="E316" s="14" t="n">
        <x:v>35</x:v>
      </x:c>
      <x:c r="F316" s="14" t="str">
        <x:v>Red Eye</x:v>
      </x:c>
      <x:c r="G316" s="14" t="str">
        <x:v>tt23897504</x:v>
      </x:c>
      <x:c r="H316" s="14" t="n">
        <x:v>2024</x:v>
      </x:c>
      <x:c r="I316" s="14" t="n">
        <x:v>2025</x:v>
      </x:c>
      <x:c r="J316" s="14" t="str">
        <x:v>Post-study cohort</x:v>
      </x:c>
      <x:c r="K316" s="14" t="n">
        <x:v>2024</x:v>
      </x:c>
      <x:c r="L316" s="14" t="str">
        <x:v>Not inherited</x:v>
      </x:c>
      <x:c r="M316" s="15" t="n">
        <x:v>28</x:v>
      </x:c>
      <x:c r="N316" s="14" t="str">
        <x:v>Jack Ambrose</x:v>
      </x:c>
      <x:c r="O316" s="14" t="str">
        <x:v>nm10211747</x:v>
      </x:c>
      <x:c r="P316" s="14" t="str">
        <x:v>Flight Lieutenant Patrick Johnson</x:v>
      </x:c>
      <x:c r="Q316" s="15" t="n">
        <x:v>4</x:v>
      </x:c>
      <x:c r="R316" s="14" t="str">
        <x:v>2026</x:v>
      </x:c>
      <x:c r="S316" s="14" t="n">
        <x:v>2026</x:v>
      </x:c>
      <x:c r="T316" s="14" t="n">
        <x:v>2026</x:v>
      </x:c>
      <x:c r="U316" s="14" t="str">
        <x:v>Explicit source first year retained</x:v>
      </x:c>
      <x:c r="V316" s="14" t="str">
        <x:v>Earliest supplied year is 2026.</x:v>
      </x:c>
      <x:c r="W316" s="14"/>
      <x:c r="X316" s="14" t="str">
        <x:v>Excluded: after 2025</x:v>
      </x:c>
      <x:c r="Y316" s="14"/>
      <x:c r="Z316" s="14" t="str">
        <x:v>Red Eye(1).docx</x:v>
      </x:c>
      <x:c r="AA316" s="14" t="str">
        <x:v>HYPERLINK is not implemented. linkLocation=https://www.imdb.com/title/tt23897504/fullcredits/, friendlyName=Open source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ITV / ITVX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7" t="e">
        <x:f>HYPERLINK("https://en.wikipedia.org/wiki/Red_eye","Open source")</x:f>
        <x:v>HYPERLINK is not implemented. linkLocation=https://en.wikipedia.org/wiki/Red_eye, friendlyName=Open source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 t="str">
        <x:v>No established-register match</x:v>
      </x:c>
      <x:c r="AT316" s="14"/>
      <x:c r="AU316" s="14"/>
      <x:c r="AV316" s="14" t="str">
        <x:v>No established apparent-disability match</x:v>
      </x:c>
      <x:c r="AW316" s="14"/>
      <x:c r="AX316" s="14" t="str">
        <x:v>No</x:v>
      </x:c>
      <x:c r="AY316" s="14" t="str">
        <x:v>Unmatched</x:v>
      </x:c>
      <x:c r="AZ316" s="14" t="str">
        <x:v>Final supplied register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4</x:v>
      </x:c>
      <x:c r="BS316" s="16" t="n">
        <x:v>0.3333333333333333</x:v>
      </x:c>
      <x:c r="BT316" s="14" t="str">
        <x:v>Minority of episodes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4" t="str">
        <x:v>HYPERLINK is not implemented. linkLocation=https://www.imdb.com/title/tt23897504/fullcredits/, friendlyName=Open source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tt23897504|nm6526252|noel king</x:v>
      </x:c>
      <x:c r="B317" s="14" t="str">
        <x:v>04</x:v>
      </x:c>
      <x:c r="C317" s="14" t="str">
        <x:v>2024_IMDb_Cast_Lists_Batch_04(1).xlsx</x:v>
      </x:c>
      <x:c r="D317" s="14" t="str">
        <x:v>Red Eye</x:v>
      </x:c>
      <x:c r="E317" s="14" t="n">
        <x:v>38</x:v>
      </x:c>
      <x:c r="F317" s="14" t="str">
        <x:v>Red Eye</x:v>
      </x:c>
      <x:c r="G317" s="14" t="str">
        <x:v>tt23897504</x:v>
      </x:c>
      <x:c r="H317" s="14" t="n">
        <x:v>2024</x:v>
      </x:c>
      <x:c r="I317" s="14" t="n">
        <x:v>2025</x:v>
      </x:c>
      <x:c r="J317" s="14" t="str">
        <x:v>Post-study cohort</x:v>
      </x:c>
      <x:c r="K317" s="14" t="n">
        <x:v>2024</x:v>
      </x:c>
      <x:c r="L317" s="14" t="str">
        <x:v>Not inherited</x:v>
      </x:c>
      <x:c r="M317" s="15" t="n">
        <x:v>31</x:v>
      </x:c>
      <x:c r="N317" s="14" t="str">
        <x:v>Tom Ashley</x:v>
      </x:c>
      <x:c r="O317" s="14" t="str">
        <x:v>nm6526252</x:v>
      </x:c>
      <x:c r="P317" s="14" t="str">
        <x:v>Noel King</x:v>
      </x:c>
      <x:c r="Q317" s="15" t="n">
        <x:v>4</x:v>
      </x:c>
      <x:c r="R317" s="14" t="str">
        <x:v>2026</x:v>
      </x:c>
      <x:c r="S317" s="14" t="n">
        <x:v>2026</x:v>
      </x:c>
      <x:c r="T317" s="14" t="n">
        <x:v>2026</x:v>
      </x:c>
      <x:c r="U317" s="14" t="str">
        <x:v>Explicit source first year retained</x:v>
      </x:c>
      <x:c r="V317" s="14" t="str">
        <x:v>Earliest supplied year is 2026.</x:v>
      </x:c>
      <x:c r="W317" s="14"/>
      <x:c r="X317" s="14" t="str">
        <x:v>Excluded: after 2025</x:v>
      </x:c>
      <x:c r="Y317" s="14"/>
      <x:c r="Z317" s="14" t="str">
        <x:v>Red Eye(1).docx</x:v>
      </x:c>
      <x:c r="AA317" s="14" t="str">
        <x:v>HYPERLINK is not implemented. linkLocation=https://www.imdb.com/title/tt23897504/fullcredits/, friendlyName=Open source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ITV / ITVX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7" t="e">
        <x:f>HYPERLINK("https://en.wikipedia.org/wiki/Red_eye","Open source")</x:f>
        <x:v>HYPERLINK is not implemented. linkLocation=https://en.wikipedia.org/wiki/Red_eye, friendlyName=Open source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 t="str">
        <x:v>No established-register match</x:v>
      </x:c>
      <x:c r="AT317" s="14"/>
      <x:c r="AU317" s="14"/>
      <x:c r="AV317" s="14" t="str">
        <x:v>No established apparent-disability match</x:v>
      </x:c>
      <x:c r="AW317" s="14"/>
      <x:c r="AX317" s="14" t="str">
        <x:v>No</x:v>
      </x:c>
      <x:c r="AY317" s="14" t="str">
        <x:v>Unmatched</x:v>
      </x:c>
      <x:c r="AZ317" s="14" t="str">
        <x:v>Final supplied register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4</x:v>
      </x:c>
      <x:c r="BS317" s="16" t="n">
        <x:v>0.3333333333333333</x:v>
      </x:c>
      <x:c r="BT317" s="14" t="str">
        <x:v>Minority of episodes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4" t="str">
        <x:v>HYPERLINK is not implemented. linkLocation=https://www.imdb.com/title/tt23897504/fullcredits/, friendlyName=Open source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tt23897504|nm0941983|craig stewart</x:v>
      </x:c>
      <x:c r="B318" s="14" t="str">
        <x:v>04</x:v>
      </x:c>
      <x:c r="C318" s="14" t="str">
        <x:v>2024_IMDb_Cast_Lists_Batch_04(1).xlsx</x:v>
      </x:c>
      <x:c r="D318" s="14" t="str">
        <x:v>Red Eye</x:v>
      </x:c>
      <x:c r="E318" s="14" t="n">
        <x:v>45</x:v>
      </x:c>
      <x:c r="F318" s="14" t="str">
        <x:v>Red Eye</x:v>
      </x:c>
      <x:c r="G318" s="14" t="str">
        <x:v>tt23897504</x:v>
      </x:c>
      <x:c r="H318" s="14" t="n">
        <x:v>2024</x:v>
      </x:c>
      <x:c r="I318" s="14" t="n">
        <x:v>2025</x:v>
      </x:c>
      <x:c r="J318" s="14" t="str">
        <x:v>Post-study cohort</x:v>
      </x:c>
      <x:c r="K318" s="14" t="n">
        <x:v>2024</x:v>
      </x:c>
      <x:c r="L318" s="14" t="str">
        <x:v>Not inherited</x:v>
      </x:c>
      <x:c r="M318" s="15" t="n">
        <x:v>38</x:v>
      </x:c>
      <x:c r="N318" s="14" t="str">
        <x:v>Glenn Wrage</x:v>
      </x:c>
      <x:c r="O318" s="14" t="str">
        <x:v>nm0941983</x:v>
      </x:c>
      <x:c r="P318" s="14" t="str">
        <x:v>Craig Stewart</x:v>
      </x:c>
      <x:c r="Q318" s="15" t="n">
        <x:v>3</x:v>
      </x:c>
      <x:c r="R318" s="14" t="str">
        <x:v>2026</x:v>
      </x:c>
      <x:c r="S318" s="14" t="n">
        <x:v>2026</x:v>
      </x:c>
      <x:c r="T318" s="14" t="n">
        <x:v>2026</x:v>
      </x:c>
      <x:c r="U318" s="14" t="str">
        <x:v>Explicit source first year retained</x:v>
      </x:c>
      <x:c r="V318" s="14" t="str">
        <x:v>Earliest supplied year is 2026.</x:v>
      </x:c>
      <x:c r="W318" s="14"/>
      <x:c r="X318" s="14" t="str">
        <x:v>Excluded: after 2025</x:v>
      </x:c>
      <x:c r="Y318" s="14"/>
      <x:c r="Z318" s="14" t="str">
        <x:v>Red Eye(1).docx</x:v>
      </x:c>
      <x:c r="AA318" s="14" t="str">
        <x:v>HYPERLINK is not implemented. linkLocation=https://www.imdb.com/title/tt23897504/fullcredits/, friendlyName=Open source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ITV / ITVX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7" t="e">
        <x:f>HYPERLINK("https://en.wikipedia.org/wiki/Red_eye","Open source")</x:f>
        <x:v>HYPERLINK is not implemented. linkLocation=https://en.wikipedia.org/wiki/Red_eye, friendlyName=Open source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 t="str">
        <x:v>No established-register match</x:v>
      </x:c>
      <x:c r="AT318" s="14"/>
      <x:c r="AU318" s="14"/>
      <x:c r="AV318" s="14" t="str">
        <x:v>No established apparent-disability match</x:v>
      </x:c>
      <x:c r="AW318" s="14"/>
      <x:c r="AX318" s="14" t="str">
        <x:v>No</x:v>
      </x:c>
      <x:c r="AY318" s="14" t="str">
        <x:v>Unmatched</x:v>
      </x:c>
      <x:c r="AZ318" s="14" t="str">
        <x:v>Final supplied register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3</x:v>
      </x:c>
      <x:c r="BS318" s="16" t="n">
        <x:v>0.25</x:v>
      </x:c>
      <x:c r="BT318" s="14" t="str">
        <x:v>Minority of episodes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4" t="str">
        <x:v>HYPERLINK is not implemented. linkLocation=https://www.imdb.com/title/tt23897504/fullcredits/, friendlyName=Open source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tt23897504|nm7966041|perry lambert</x:v>
      </x:c>
      <x:c r="B319" s="14" t="str">
        <x:v>04</x:v>
      </x:c>
      <x:c r="C319" s="14" t="str">
        <x:v>2024_IMDb_Cast_Lists_Batch_04(1).xlsx</x:v>
      </x:c>
      <x:c r="D319" s="14" t="str">
        <x:v>Red Eye</x:v>
      </x:c>
      <x:c r="E319" s="14" t="n">
        <x:v>48</x:v>
      </x:c>
      <x:c r="F319" s="14" t="str">
        <x:v>Red Eye</x:v>
      </x:c>
      <x:c r="G319" s="14" t="str">
        <x:v>tt23897504</x:v>
      </x:c>
      <x:c r="H319" s="14" t="n">
        <x:v>2024</x:v>
      </x:c>
      <x:c r="I319" s="14" t="n">
        <x:v>2025</x:v>
      </x:c>
      <x:c r="J319" s="14" t="str">
        <x:v>Post-study cohort</x:v>
      </x:c>
      <x:c r="K319" s="14" t="n">
        <x:v>2024</x:v>
      </x:c>
      <x:c r="L319" s="14" t="str">
        <x:v>Not inherited</x:v>
      </x:c>
      <x:c r="M319" s="15" t="n">
        <x:v>41</x:v>
      </x:c>
      <x:c r="N319" s="14" t="str">
        <x:v>Tibu Fortes</x:v>
      </x:c>
      <x:c r="O319" s="14" t="str">
        <x:v>nm7966041</x:v>
      </x:c>
      <x:c r="P319" s="14" t="str">
        <x:v>Perry Lambert</x:v>
      </x:c>
      <x:c r="Q319" s="15" t="n">
        <x:v>3</x:v>
      </x:c>
      <x:c r="R319" s="14" t="str">
        <x:v>2026</x:v>
      </x:c>
      <x:c r="S319" s="14" t="n">
        <x:v>2026</x:v>
      </x:c>
      <x:c r="T319" s="14" t="n">
        <x:v>2026</x:v>
      </x:c>
      <x:c r="U319" s="14" t="str">
        <x:v>Explicit source first year retained</x:v>
      </x:c>
      <x:c r="V319" s="14" t="str">
        <x:v>Earliest supplied year is 2026.</x:v>
      </x:c>
      <x:c r="W319" s="14"/>
      <x:c r="X319" s="14" t="str">
        <x:v>Excluded: after 2025</x:v>
      </x:c>
      <x:c r="Y319" s="14"/>
      <x:c r="Z319" s="14" t="str">
        <x:v>Red Eye(1).docx</x:v>
      </x:c>
      <x:c r="AA319" s="14" t="str">
        <x:v>HYPERLINK is not implemented. linkLocation=https://www.imdb.com/title/tt23897504/fullcredits/, friendlyName=Open source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ITV / ITVX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7" t="e">
        <x:f>HYPERLINK("https://en.wikipedia.org/wiki/Red_eye","Open source")</x:f>
        <x:v>HYPERLINK is not implemented. linkLocation=https://en.wikipedia.org/wiki/Red_eye, friendlyName=Open source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 t="str">
        <x:v>No established-register match</x:v>
      </x:c>
      <x:c r="AT319" s="14"/>
      <x:c r="AU319" s="14"/>
      <x:c r="AV319" s="14" t="str">
        <x:v>No established apparent-disability match</x:v>
      </x:c>
      <x:c r="AW319" s="14"/>
      <x:c r="AX319" s="14" t="str">
        <x:v>No</x:v>
      </x:c>
      <x:c r="AY319" s="14" t="str">
        <x:v>Unmatched</x:v>
      </x:c>
      <x:c r="AZ319" s="14" t="str">
        <x:v>Final supplied register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3</x:v>
      </x:c>
      <x:c r="BS319" s="16" t="n">
        <x:v>0.25</x:v>
      </x:c>
      <x:c r="BT319" s="14" t="str">
        <x:v>Minority of episodes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4" t="str">
        <x:v>HYPERLINK is not implemented. linkLocation=https://www.imdb.com/title/tt23897504/fullcredits/, friendlyName=Open source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tt23897504|nm1347017|mary stewart</x:v>
      </x:c>
      <x:c r="B320" s="14" t="str">
        <x:v>04</x:v>
      </x:c>
      <x:c r="C320" s="14" t="str">
        <x:v>2024_IMDb_Cast_Lists_Batch_04(1).xlsx</x:v>
      </x:c>
      <x:c r="D320" s="14" t="str">
        <x:v>Red Eye</x:v>
      </x:c>
      <x:c r="E320" s="14" t="n">
        <x:v>49</x:v>
      </x:c>
      <x:c r="F320" s="14" t="str">
        <x:v>Red Eye</x:v>
      </x:c>
      <x:c r="G320" s="14" t="str">
        <x:v>tt23897504</x:v>
      </x:c>
      <x:c r="H320" s="14" t="n">
        <x:v>2024</x:v>
      </x:c>
      <x:c r="I320" s="14" t="n">
        <x:v>2025</x:v>
      </x:c>
      <x:c r="J320" s="14" t="str">
        <x:v>Post-study cohort</x:v>
      </x:c>
      <x:c r="K320" s="14" t="n">
        <x:v>2024</x:v>
      </x:c>
      <x:c r="L320" s="14" t="str">
        <x:v>Not inherited</x:v>
      </x:c>
      <x:c r="M320" s="15" t="n">
        <x:v>42</x:v>
      </x:c>
      <x:c r="N320" s="14" t="str">
        <x:v>Lucy Newman-Williams</x:v>
      </x:c>
      <x:c r="O320" s="14" t="str">
        <x:v>nm1347017</x:v>
      </x:c>
      <x:c r="P320" s="14" t="str">
        <x:v>Mary Stewart</x:v>
      </x:c>
      <x:c r="Q320" s="15" t="n">
        <x:v>3</x:v>
      </x:c>
      <x:c r="R320" s="14" t="str">
        <x:v>2026</x:v>
      </x:c>
      <x:c r="S320" s="14" t="n">
        <x:v>2026</x:v>
      </x:c>
      <x:c r="T320" s="14" t="n">
        <x:v>2026</x:v>
      </x:c>
      <x:c r="U320" s="14" t="str">
        <x:v>Explicit source first year retained</x:v>
      </x:c>
      <x:c r="V320" s="14" t="str">
        <x:v>Earliest supplied year is 2026.</x:v>
      </x:c>
      <x:c r="W320" s="14"/>
      <x:c r="X320" s="14" t="str">
        <x:v>Excluded: after 2025</x:v>
      </x:c>
      <x:c r="Y320" s="14"/>
      <x:c r="Z320" s="14" t="str">
        <x:v>Red Eye(1).docx</x:v>
      </x:c>
      <x:c r="AA320" s="14" t="str">
        <x:v>HYPERLINK is not implemented. linkLocation=https://www.imdb.com/title/tt23897504/fullcredits/, friendlyName=Open source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ITV / ITVX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7" t="e">
        <x:f>HYPERLINK("https://en.wikipedia.org/wiki/Red_eye","Open source")</x:f>
        <x:v>HYPERLINK is not implemented. linkLocation=https://en.wikipedia.org/wiki/Red_eye, friendlyName=Open source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 t="str">
        <x:v>No established-register match</x:v>
      </x:c>
      <x:c r="AT320" s="14"/>
      <x:c r="AU320" s="14"/>
      <x:c r="AV320" s="14" t="str">
        <x:v>No established apparent-disability match</x:v>
      </x:c>
      <x:c r="AW320" s="14"/>
      <x:c r="AX320" s="14" t="str">
        <x:v>No</x:v>
      </x:c>
      <x:c r="AY320" s="14" t="str">
        <x:v>Unmatched</x:v>
      </x:c>
      <x:c r="AZ320" s="14" t="str">
        <x:v>Final supplied register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3</x:v>
      </x:c>
      <x:c r="BS320" s="16" t="n">
        <x:v>0.25</x:v>
      </x:c>
      <x:c r="BT320" s="14" t="str">
        <x:v>Minority of episodes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4" t="str">
        <x:v>HYPERLINK is not implemented. linkLocation=https://www.imdb.com/title/tt23897504/fullcredits/, friendlyName=Open source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tt23897504|nm5122748|nicholas martin</x:v>
      </x:c>
      <x:c r="B321" s="14" t="str">
        <x:v>04</x:v>
      </x:c>
      <x:c r="C321" s="14" t="str">
        <x:v>2024_IMDb_Cast_Lists_Batch_04(1).xlsx</x:v>
      </x:c>
      <x:c r="D321" s="14" t="str">
        <x:v>Red Eye</x:v>
      </x:c>
      <x:c r="E321" s="14" t="n">
        <x:v>50</x:v>
      </x:c>
      <x:c r="F321" s="14" t="str">
        <x:v>Red Eye</x:v>
      </x:c>
      <x:c r="G321" s="14" t="str">
        <x:v>tt23897504</x:v>
      </x:c>
      <x:c r="H321" s="14" t="n">
        <x:v>2024</x:v>
      </x:c>
      <x:c r="I321" s="14" t="n">
        <x:v>2025</x:v>
      </x:c>
      <x:c r="J321" s="14" t="str">
        <x:v>Post-study cohort</x:v>
      </x:c>
      <x:c r="K321" s="14" t="n">
        <x:v>2024</x:v>
      </x:c>
      <x:c r="L321" s="14" t="str">
        <x:v>Not inherited</x:v>
      </x:c>
      <x:c r="M321" s="15" t="n">
        <x:v>43</x:v>
      </x:c>
      <x:c r="N321" s="14" t="str">
        <x:v>Mark Weinman</x:v>
      </x:c>
      <x:c r="O321" s="14" t="str">
        <x:v>nm5122748</x:v>
      </x:c>
      <x:c r="P321" s="14" t="str">
        <x:v>Nicholas Martin</x:v>
      </x:c>
      <x:c r="Q321" s="15" t="n">
        <x:v>3</x:v>
      </x:c>
      <x:c r="R321" s="14" t="str">
        <x:v>2026</x:v>
      </x:c>
      <x:c r="S321" s="14" t="n">
        <x:v>2026</x:v>
      </x:c>
      <x:c r="T321" s="14" t="n">
        <x:v>2026</x:v>
      </x:c>
      <x:c r="U321" s="14" t="str">
        <x:v>Explicit source first year retained</x:v>
      </x:c>
      <x:c r="V321" s="14" t="str">
        <x:v>Earliest supplied year is 2026.</x:v>
      </x:c>
      <x:c r="W321" s="14"/>
      <x:c r="X321" s="14" t="str">
        <x:v>Excluded: after 2025</x:v>
      </x:c>
      <x:c r="Y321" s="14"/>
      <x:c r="Z321" s="14" t="str">
        <x:v>Red Eye(1).docx</x:v>
      </x:c>
      <x:c r="AA321" s="14" t="str">
        <x:v>HYPERLINK is not implemented. linkLocation=https://www.imdb.com/title/tt23897504/fullcredits/, friendlyName=Open source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ITV / ITVX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7" t="e">
        <x:f>HYPERLINK("https://en.wikipedia.org/wiki/Red_eye","Open source")</x:f>
        <x:v>HYPERLINK is not implemented. linkLocation=https://en.wikipedia.org/wiki/Red_eye, friendlyName=Open source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 t="str">
        <x:v>No established-register match</x:v>
      </x:c>
      <x:c r="AT321" s="14"/>
      <x:c r="AU321" s="14"/>
      <x:c r="AV321" s="14" t="str">
        <x:v>No established apparent-disability match</x:v>
      </x:c>
      <x:c r="AW321" s="14"/>
      <x:c r="AX321" s="14" t="str">
        <x:v>No</x:v>
      </x:c>
      <x:c r="AY321" s="14" t="str">
        <x:v>Unmatched</x:v>
      </x:c>
      <x:c r="AZ321" s="14" t="str">
        <x:v>Final supplied register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3</x:v>
      </x:c>
      <x:c r="BS321" s="16" t="n">
        <x:v>0.25</x:v>
      </x:c>
      <x:c r="BT321" s="14" t="str">
        <x:v>Minority of episodes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4" t="str">
        <x:v>HYPERLINK is not implemented. linkLocation=https://www.imdb.com/title/tt23897504/fullcredits/, friendlyName=Open source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tt23897504|nm4469303|agent pete mcqueen</x:v>
      </x:c>
      <x:c r="B322" s="14" t="str">
        <x:v>04</x:v>
      </x:c>
      <x:c r="C322" s="14" t="str">
        <x:v>2024_IMDb_Cast_Lists_Batch_04(1).xlsx</x:v>
      </x:c>
      <x:c r="D322" s="14" t="str">
        <x:v>Red Eye</x:v>
      </x:c>
      <x:c r="E322" s="14" t="n">
        <x:v>51</x:v>
      </x:c>
      <x:c r="F322" s="14" t="str">
        <x:v>Red Eye</x:v>
      </x:c>
      <x:c r="G322" s="14" t="str">
        <x:v>tt23897504</x:v>
      </x:c>
      <x:c r="H322" s="14" t="n">
        <x:v>2024</x:v>
      </x:c>
      <x:c r="I322" s="14" t="n">
        <x:v>2025</x:v>
      </x:c>
      <x:c r="J322" s="14" t="str">
        <x:v>Post-study cohort</x:v>
      </x:c>
      <x:c r="K322" s="14" t="n">
        <x:v>2024</x:v>
      </x:c>
      <x:c r="L322" s="14" t="str">
        <x:v>Not inherited</x:v>
      </x:c>
      <x:c r="M322" s="15" t="n">
        <x:v>44</x:v>
      </x:c>
      <x:c r="N322" s="14" t="str">
        <x:v>Alex Michael Stoll</x:v>
      </x:c>
      <x:c r="O322" s="14" t="str">
        <x:v>nm4469303</x:v>
      </x:c>
      <x:c r="P322" s="14" t="str">
        <x:v>Agent Pete McQueen</x:v>
      </x:c>
      <x:c r="Q322" s="15" t="n">
        <x:v>2</x:v>
      </x:c>
      <x:c r="R322" s="14" t="str">
        <x:v>2026</x:v>
      </x:c>
      <x:c r="S322" s="14" t="n">
        <x:v>2026</x:v>
      </x:c>
      <x:c r="T322" s="14" t="n">
        <x:v>2026</x:v>
      </x:c>
      <x:c r="U322" s="14" t="str">
        <x:v>Explicit source first year retained</x:v>
      </x:c>
      <x:c r="V322" s="14" t="str">
        <x:v>Earliest supplied year is 2026.</x:v>
      </x:c>
      <x:c r="W322" s="14"/>
      <x:c r="X322" s="14" t="str">
        <x:v>Excluded: after 2025</x:v>
      </x:c>
      <x:c r="Y322" s="14" t="str">
        <x:v>(as Alex Stoll)</x:v>
      </x:c>
      <x:c r="Z322" s="14" t="str">
        <x:v>Red Eye(1).docx</x:v>
      </x:c>
      <x:c r="AA322" s="14" t="str">
        <x:v>HYPERLINK is not implemented. linkLocation=https://www.imdb.com/title/tt23897504/fullcredits/, friendlyName=Open source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ITV / ITVX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7" t="e">
        <x:f>HYPERLINK("https://en.wikipedia.org/wiki/Red_eye","Open source")</x:f>
        <x:v>HYPERLINK is not implemented. linkLocation=https://en.wikipedia.org/wiki/Red_eye, friendlyName=Open source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 t="str">
        <x:v>No established-register match</x:v>
      </x:c>
      <x:c r="AT322" s="14"/>
      <x:c r="AU322" s="14"/>
      <x:c r="AV322" s="14" t="str">
        <x:v>No established apparent-disability match</x:v>
      </x:c>
      <x:c r="AW322" s="14"/>
      <x:c r="AX322" s="14" t="str">
        <x:v>No</x:v>
      </x:c>
      <x:c r="AY322" s="14" t="str">
        <x:v>Unmatched</x:v>
      </x:c>
      <x:c r="AZ322" s="14" t="str">
        <x:v>Final supplied register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2</x:v>
      </x:c>
      <x:c r="BS322" s="16" t="n">
        <x:v>0.16666666666666666</x:v>
      </x:c>
      <x:c r="BT322" s="14" t="str">
        <x:v>Minority of episodes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4" t="str">
        <x:v>HYPERLINK is not implemented. linkLocation=https://www.imdb.com/title/tt23897504/fullcredits/, friendlyName=Open source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tt23897504|nm17192584|flying officer paul edney</x:v>
      </x:c>
      <x:c r="B323" s="14" t="str">
        <x:v>04</x:v>
      </x:c>
      <x:c r="C323" s="14" t="str">
        <x:v>2024_IMDb_Cast_Lists_Batch_04(1).xlsx</x:v>
      </x:c>
      <x:c r="D323" s="14" t="str">
        <x:v>Red Eye</x:v>
      </x:c>
      <x:c r="E323" s="14" t="n">
        <x:v>52</x:v>
      </x:c>
      <x:c r="F323" s="14" t="str">
        <x:v>Red Eye</x:v>
      </x:c>
      <x:c r="G323" s="14" t="str">
        <x:v>tt23897504</x:v>
      </x:c>
      <x:c r="H323" s="14" t="n">
        <x:v>2024</x:v>
      </x:c>
      <x:c r="I323" s="14" t="n">
        <x:v>2025</x:v>
      </x:c>
      <x:c r="J323" s="14" t="str">
        <x:v>Post-study cohort</x:v>
      </x:c>
      <x:c r="K323" s="14" t="n">
        <x:v>2024</x:v>
      </x:c>
      <x:c r="L323" s="14" t="str">
        <x:v>Not inherited</x:v>
      </x:c>
      <x:c r="M323" s="15" t="n">
        <x:v>45</x:v>
      </x:c>
      <x:c r="N323" s="14" t="str">
        <x:v>Tega Alexander</x:v>
      </x:c>
      <x:c r="O323" s="14" t="str">
        <x:v>nm17192584</x:v>
      </x:c>
      <x:c r="P323" s="14" t="str">
        <x:v>Flying Officer Paul Edney</x:v>
      </x:c>
      <x:c r="Q323" s="15" t="n">
        <x:v>2</x:v>
      </x:c>
      <x:c r="R323" s="14" t="str">
        <x:v>2026</x:v>
      </x:c>
      <x:c r="S323" s="14" t="n">
        <x:v>2026</x:v>
      </x:c>
      <x:c r="T323" s="14" t="n">
        <x:v>2026</x:v>
      </x:c>
      <x:c r="U323" s="14" t="str">
        <x:v>Explicit source first year retained</x:v>
      </x:c>
      <x:c r="V323" s="14" t="str">
        <x:v>Earliest supplied year is 2026.</x:v>
      </x:c>
      <x:c r="W323" s="14"/>
      <x:c r="X323" s="14" t="str">
        <x:v>Excluded: after 2025</x:v>
      </x:c>
      <x:c r="Y323" s="14"/>
      <x:c r="Z323" s="14" t="str">
        <x:v>Red Eye(1).docx</x:v>
      </x:c>
      <x:c r="AA323" s="14" t="str">
        <x:v>HYPERLINK is not implemented. linkLocation=https://www.imdb.com/title/tt23897504/fullcredits/, friendlyName=Open source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ITV / ITVX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7" t="e">
        <x:f>HYPERLINK("https://en.wikipedia.org/wiki/Red_eye","Open source")</x:f>
        <x:v>HYPERLINK is not implemented. linkLocation=https://en.wikipedia.org/wiki/Red_eye, friendlyName=Open source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 t="str">
        <x:v>No established-register match</x:v>
      </x:c>
      <x:c r="AT323" s="14"/>
      <x:c r="AU323" s="14"/>
      <x:c r="AV323" s="14" t="str">
        <x:v>No established apparent-disability match</x:v>
      </x:c>
      <x:c r="AW323" s="14"/>
      <x:c r="AX323" s="14" t="str">
        <x:v>No</x:v>
      </x:c>
      <x:c r="AY323" s="14" t="str">
        <x:v>Unmatched</x:v>
      </x:c>
      <x:c r="AZ323" s="14" t="str">
        <x:v>Final supplied register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2</x:v>
      </x:c>
      <x:c r="BS323" s="16" t="n">
        <x:v>0.16666666666666666</x:v>
      </x:c>
      <x:c r="BT323" s="14" t="str">
        <x:v>Minority of episodes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4" t="str">
        <x:v>HYPERLINK is not implemented. linkLocation=https://www.imdb.com/title/tt23897504/fullcredits/, friendlyName=Open source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tt23897504|nm5991300|david mills</x:v>
      </x:c>
      <x:c r="B324" s="14" t="str">
        <x:v>04</x:v>
      </x:c>
      <x:c r="C324" s="14" t="str">
        <x:v>2024_IMDb_Cast_Lists_Batch_04(1).xlsx</x:v>
      </x:c>
      <x:c r="D324" s="14" t="str">
        <x:v>Red Eye</x:v>
      </x:c>
      <x:c r="E324" s="14" t="n">
        <x:v>54</x:v>
      </x:c>
      <x:c r="F324" s="14" t="str">
        <x:v>Red Eye</x:v>
      </x:c>
      <x:c r="G324" s="14" t="str">
        <x:v>tt23897504</x:v>
      </x:c>
      <x:c r="H324" s="14" t="n">
        <x:v>2024</x:v>
      </x:c>
      <x:c r="I324" s="14" t="n">
        <x:v>2025</x:v>
      </x:c>
      <x:c r="J324" s="14" t="str">
        <x:v>Post-study cohort</x:v>
      </x:c>
      <x:c r="K324" s="14" t="n">
        <x:v>2024</x:v>
      </x:c>
      <x:c r="L324" s="14" t="str">
        <x:v>Not inherited</x:v>
      </x:c>
      <x:c r="M324" s="15" t="n">
        <x:v>47</x:v>
      </x:c>
      <x:c r="N324" s="14" t="str">
        <x:v>Edward Crook</x:v>
      </x:c>
      <x:c r="O324" s="14" t="str">
        <x:v>nm5991300</x:v>
      </x:c>
      <x:c r="P324" s="14" t="str">
        <x:v>David Mills</x:v>
      </x:c>
      <x:c r="Q324" s="15" t="n">
        <x:v>2</x:v>
      </x:c>
      <x:c r="R324" s="14" t="str">
        <x:v>2026</x:v>
      </x:c>
      <x:c r="S324" s="14" t="n">
        <x:v>2026</x:v>
      </x:c>
      <x:c r="T324" s="14" t="n">
        <x:v>2026</x:v>
      </x:c>
      <x:c r="U324" s="14" t="str">
        <x:v>Explicit source first year retained</x:v>
      </x:c>
      <x:c r="V324" s="14" t="str">
        <x:v>Earliest supplied year is 2026.</x:v>
      </x:c>
      <x:c r="W324" s="14"/>
      <x:c r="X324" s="14" t="str">
        <x:v>Excluded: after 2025</x:v>
      </x:c>
      <x:c r="Y324" s="14"/>
      <x:c r="Z324" s="14" t="str">
        <x:v>Red Eye(1).docx</x:v>
      </x:c>
      <x:c r="AA324" s="14" t="str">
        <x:v>HYPERLINK is not implemented. linkLocation=https://www.imdb.com/title/tt23897504/fullcredits/, friendlyName=Open source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ITV / ITVX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7" t="e">
        <x:f>HYPERLINK("https://en.wikipedia.org/wiki/Red_eye","Open source")</x:f>
        <x:v>HYPERLINK is not implemented. linkLocation=https://en.wikipedia.org/wiki/Red_eye, friendlyName=Open source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 t="str">
        <x:v>No established-register match</x:v>
      </x:c>
      <x:c r="AT324" s="14"/>
      <x:c r="AU324" s="14"/>
      <x:c r="AV324" s="14" t="str">
        <x:v>No established apparent-disability match</x:v>
      </x:c>
      <x:c r="AW324" s="14"/>
      <x:c r="AX324" s="14" t="str">
        <x:v>No</x:v>
      </x:c>
      <x:c r="AY324" s="14" t="str">
        <x:v>Unmatched</x:v>
      </x:c>
      <x:c r="AZ324" s="14" t="str">
        <x:v>Final supplied register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2</x:v>
      </x:c>
      <x:c r="BS324" s="16" t="n">
        <x:v>0.16666666666666666</x:v>
      </x:c>
      <x:c r="BT324" s="14" t="str">
        <x:v>Minority of episodes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4" t="str">
        <x:v>HYPERLINK is not implemented. linkLocation=https://www.imdb.com/title/tt23897504/fullcredits/, friendlyName=Open source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tt23897504|nm0090236|prime minister</x:v>
      </x:c>
      <x:c r="B325" s="14" t="str">
        <x:v>04</x:v>
      </x:c>
      <x:c r="C325" s="14" t="str">
        <x:v>2024_IMDb_Cast_Lists_Batch_04(1).xlsx</x:v>
      </x:c>
      <x:c r="D325" s="14" t="str">
        <x:v>Red Eye</x:v>
      </x:c>
      <x:c r="E325" s="14" t="n">
        <x:v>56</x:v>
      </x:c>
      <x:c r="F325" s="14" t="str">
        <x:v>Red Eye</x:v>
      </x:c>
      <x:c r="G325" s="14" t="str">
        <x:v>tt23897504</x:v>
      </x:c>
      <x:c r="H325" s="14" t="n">
        <x:v>2024</x:v>
      </x:c>
      <x:c r="I325" s="14" t="n">
        <x:v>2025</x:v>
      </x:c>
      <x:c r="J325" s="14" t="str">
        <x:v>Post-study cohort</x:v>
      </x:c>
      <x:c r="K325" s="14" t="n">
        <x:v>2024</x:v>
      </x:c>
      <x:c r="L325" s="14" t="str">
        <x:v>Not inherited</x:v>
      </x:c>
      <x:c r="M325" s="15" t="n">
        <x:v>49</x:v>
      </x:c>
      <x:c r="N325" s="14" t="str">
        <x:v>Jacqueline Boatswain</x:v>
      </x:c>
      <x:c r="O325" s="14" t="str">
        <x:v>nm0090236</x:v>
      </x:c>
      <x:c r="P325" s="14" t="str">
        <x:v>Prime Minister</x:v>
      </x:c>
      <x:c r="Q325" s="15" t="n">
        <x:v>2</x:v>
      </x:c>
      <x:c r="R325" s="14" t="str">
        <x:v>2026</x:v>
      </x:c>
      <x:c r="S325" s="14" t="n">
        <x:v>2026</x:v>
      </x:c>
      <x:c r="T325" s="14" t="n">
        <x:v>2026</x:v>
      </x:c>
      <x:c r="U325" s="14" t="str">
        <x:v>Explicit source first year retained</x:v>
      </x:c>
      <x:c r="V325" s="14" t="str">
        <x:v>Earliest supplied year is 2026.</x:v>
      </x:c>
      <x:c r="W325" s="14"/>
      <x:c r="X325" s="14" t="str">
        <x:v>Excluded: after 2025</x:v>
      </x:c>
      <x:c r="Y325" s="14" t="str">
        <x:v>(voice)</x:v>
      </x:c>
      <x:c r="Z325" s="14" t="str">
        <x:v>Red Eye(1).docx</x:v>
      </x:c>
      <x:c r="AA325" s="14" t="str">
        <x:v>HYPERLINK is not implemented. linkLocation=https://www.imdb.com/title/tt23897504/fullcredits/, friendlyName=Open source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ITV / ITVX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7" t="e">
        <x:f>HYPERLINK("https://en.wikipedia.org/wiki/Red_eye","Open source")</x:f>
        <x:v>HYPERLINK is not implemented. linkLocation=https://en.wikipedia.org/wiki/Red_eye, friendlyName=Open source</x:v>
      </x:c>
      <x:c r="AN325" s="14" t="str">
        <x:v>No qualifying BBC relationship</x:v>
      </x:c>
      <x:c r="AO325" s="14" t="str">
        <x:v>No</x:v>
      </x:c>
      <x:c r="AP325" s="14" t="str">
        <x:v>Out of scope</x:v>
      </x:c>
      <x:c r="AQ325" s="14" t="str">
        <x:v>No</x:v>
      </x:c>
      <x:c r="AR325" s="14" t="str">
        <x:v>Resolved from master register</x:v>
      </x:c>
      <x:c r="AS325" s="14" t="str">
        <x:v>No established-register match</x:v>
      </x:c>
      <x:c r="AT325" s="14"/>
      <x:c r="AU325" s="14"/>
      <x:c r="AV325" s="14" t="str">
        <x:v>No established apparent-disability match</x:v>
      </x:c>
      <x:c r="AW325" s="14"/>
      <x:c r="AX325" s="14" t="str">
        <x:v>No</x:v>
      </x:c>
      <x:c r="AY325" s="14" t="str">
        <x:v>Unmatched</x:v>
      </x:c>
      <x:c r="AZ325" s="14" t="str">
        <x:v>Final supplied register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2</x:v>
      </x:c>
      <x:c r="BS325" s="16" t="n">
        <x:v>0.16666666666666666</x:v>
      </x:c>
      <x:c r="BT325" s="14" t="str">
        <x:v>Minority of episodes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4" t="str">
        <x:v>HYPERLINK is not implemented. linkLocation=https://www.imdb.com/title/tt23897504/fullcredits/, friendlyName=Open source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tt23897504|nm1981574|sergei vostok</x:v>
      </x:c>
      <x:c r="B326" s="14" t="str">
        <x:v>04</x:v>
      </x:c>
      <x:c r="C326" s="14" t="str">
        <x:v>2024_IMDb_Cast_Lists_Batch_04(1).xlsx</x:v>
      </x:c>
      <x:c r="D326" s="14" t="str">
        <x:v>Red Eye</x:v>
      </x:c>
      <x:c r="E326" s="14" t="n">
        <x:v>59</x:v>
      </x:c>
      <x:c r="F326" s="14" t="str">
        <x:v>Red Eye</x:v>
      </x:c>
      <x:c r="G326" s="14" t="str">
        <x:v>tt23897504</x:v>
      </x:c>
      <x:c r="H326" s="14" t="n">
        <x:v>2024</x:v>
      </x:c>
      <x:c r="I326" s="14" t="n">
        <x:v>2025</x:v>
      </x:c>
      <x:c r="J326" s="14" t="str">
        <x:v>Post-study cohort</x:v>
      </x:c>
      <x:c r="K326" s="14" t="n">
        <x:v>2024</x:v>
      </x:c>
      <x:c r="L326" s="14" t="str">
        <x:v>Not inherited</x:v>
      </x:c>
      <x:c r="M326" s="15" t="n">
        <x:v>52</x:v>
      </x:c>
      <x:c r="N326" s="14" t="str">
        <x:v>Michael Epp</x:v>
      </x:c>
      <x:c r="O326" s="14" t="str">
        <x:v>nm1981574</x:v>
      </x:c>
      <x:c r="P326" s="14" t="str">
        <x:v>Sergei Vostok</x:v>
      </x:c>
      <x:c r="Q326" s="15" t="n">
        <x:v>2</x:v>
      </x:c>
      <x:c r="R326" s="14" t="str">
        <x:v>2026</x:v>
      </x:c>
      <x:c r="S326" s="14" t="n">
        <x:v>2026</x:v>
      </x:c>
      <x:c r="T326" s="14" t="n">
        <x:v>2026</x:v>
      </x:c>
      <x:c r="U326" s="14" t="str">
        <x:v>Explicit source first year retained</x:v>
      </x:c>
      <x:c r="V326" s="14" t="str">
        <x:v>Earliest supplied year is 2026.</x:v>
      </x:c>
      <x:c r="W326" s="14"/>
      <x:c r="X326" s="14" t="str">
        <x:v>Excluded: after 2025</x:v>
      </x:c>
      <x:c r="Y326" s="14"/>
      <x:c r="Z326" s="14" t="str">
        <x:v>Red Eye(1).docx</x:v>
      </x:c>
      <x:c r="AA326" s="14" t="str">
        <x:v>HYPERLINK is not implemented. linkLocation=https://www.imdb.com/title/tt23897504/fullcredits/, friendlyName=Open source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ITV / ITVX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7" t="e">
        <x:f>HYPERLINK("https://en.wikipedia.org/wiki/Red_eye","Open source")</x:f>
        <x:v>HYPERLINK is not implemented. linkLocation=https://en.wikipedia.org/wiki/Red_eye, friendlyName=Open source</x:v>
      </x:c>
      <x:c r="AN326" s="14" t="str">
        <x:v>No qualifying BBC relationship</x:v>
      </x:c>
      <x:c r="AO326" s="14" t="str">
        <x:v>No</x:v>
      </x:c>
      <x:c r="AP326" s="14" t="str">
        <x:v>Out of scope</x:v>
      </x:c>
      <x:c r="AQ326" s="14" t="str">
        <x:v>No</x:v>
      </x:c>
      <x:c r="AR326" s="14" t="str">
        <x:v>Resolved from master register</x:v>
      </x:c>
      <x:c r="AS326" s="14" t="str">
        <x:v>No established-register match</x:v>
      </x:c>
      <x:c r="AT326" s="14"/>
      <x:c r="AU326" s="14"/>
      <x:c r="AV326" s="14" t="str">
        <x:v>No established apparent-disability match</x:v>
      </x:c>
      <x:c r="AW326" s="14"/>
      <x:c r="AX326" s="14" t="str">
        <x:v>No</x:v>
      </x:c>
      <x:c r="AY326" s="14" t="str">
        <x:v>Unmatched</x:v>
      </x:c>
      <x:c r="AZ326" s="14" t="str">
        <x:v>Final supplied register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2</x:v>
      </x:c>
      <x:c r="BS326" s="16" t="n">
        <x:v>0.16666666666666666</x:v>
      </x:c>
      <x:c r="BT326" s="14" t="str">
        <x:v>Minority of episodes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4" t="str">
        <x:v>HYPERLINK is not implemented. linkLocation=https://www.imdb.com/title/tt23897504/fullcredits/, friendlyName=Open source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tt23897504|nm13594077|border officer</x:v>
      </x:c>
      <x:c r="B327" s="14" t="str">
        <x:v>04</x:v>
      </x:c>
      <x:c r="C327" s="14" t="str">
        <x:v>2024_IMDb_Cast_Lists_Batch_04(1).xlsx</x:v>
      </x:c>
      <x:c r="D327" s="14" t="str">
        <x:v>Red Eye</x:v>
      </x:c>
      <x:c r="E327" s="14" t="n">
        <x:v>60</x:v>
      </x:c>
      <x:c r="F327" s="14" t="str">
        <x:v>Red Eye</x:v>
      </x:c>
      <x:c r="G327" s="14" t="str">
        <x:v>tt23897504</x:v>
      </x:c>
      <x:c r="H327" s="14" t="n">
        <x:v>2024</x:v>
      </x:c>
      <x:c r="I327" s="14" t="n">
        <x:v>2025</x:v>
      </x:c>
      <x:c r="J327" s="14" t="str">
        <x:v>Post-study cohort</x:v>
      </x:c>
      <x:c r="K327" s="14" t="n">
        <x:v>2024</x:v>
      </x:c>
      <x:c r="L327" s="14" t="str">
        <x:v>Not inherited</x:v>
      </x:c>
      <x:c r="M327" s="15" t="n">
        <x:v>53</x:v>
      </x:c>
      <x:c r="N327" s="14" t="str">
        <x:v>Adam Woolley</x:v>
      </x:c>
      <x:c r="O327" s="14" t="str">
        <x:v>nm13594077</x:v>
      </x:c>
      <x:c r="P327" s="14" t="str">
        <x:v>Border Officer</x:v>
      </x:c>
      <x:c r="Q327" s="15" t="n">
        <x:v>2</x:v>
      </x:c>
      <x:c r="R327" s="14" t="str">
        <x:v>2026</x:v>
      </x:c>
      <x:c r="S327" s="14" t="n">
        <x:v>2026</x:v>
      </x:c>
      <x:c r="T327" s="14" t="n">
        <x:v>2026</x:v>
      </x:c>
      <x:c r="U327" s="14" t="str">
        <x:v>Explicit source first year retained</x:v>
      </x:c>
      <x:c r="V327" s="14" t="str">
        <x:v>Earliest supplied year is 2026.</x:v>
      </x:c>
      <x:c r="W327" s="14"/>
      <x:c r="X327" s="14" t="str">
        <x:v>Excluded: after 2025</x:v>
      </x:c>
      <x:c r="Y327" s="14"/>
      <x:c r="Z327" s="14" t="str">
        <x:v>Red Eye(1).docx</x:v>
      </x:c>
      <x:c r="AA327" s="14" t="str">
        <x:v>HYPERLINK is not implemented. linkLocation=https://www.imdb.com/title/tt23897504/fullcredits/, friendlyName=Open source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ITV / ITVX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7" t="e">
        <x:f>HYPERLINK("https://en.wikipedia.org/wiki/Red_eye","Open source")</x:f>
        <x:v>HYPERLINK is not implemented. linkLocation=https://en.wikipedia.org/wiki/Red_eye, friendlyName=Open source</x:v>
      </x:c>
      <x:c r="AN327" s="14" t="str">
        <x:v>No qualifying BBC relationship</x:v>
      </x:c>
      <x:c r="AO327" s="14" t="str">
        <x:v>No</x:v>
      </x:c>
      <x:c r="AP327" s="14" t="str">
        <x:v>Out of scope</x:v>
      </x:c>
      <x:c r="AQ327" s="14" t="str">
        <x:v>No</x:v>
      </x:c>
      <x:c r="AR327" s="14" t="str">
        <x:v>Resolved from master register</x:v>
      </x:c>
      <x:c r="AS327" s="14" t="str">
        <x:v>No established-register match</x:v>
      </x:c>
      <x:c r="AT327" s="14"/>
      <x:c r="AU327" s="14"/>
      <x:c r="AV327" s="14" t="str">
        <x:v>No established apparent-disability match</x:v>
      </x:c>
      <x:c r="AW327" s="14"/>
      <x:c r="AX327" s="14" t="str">
        <x:v>No</x:v>
      </x:c>
      <x:c r="AY327" s="14" t="str">
        <x:v>Unmatched</x:v>
      </x:c>
      <x:c r="AZ327" s="14" t="str">
        <x:v>Final supplied register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2</x:v>
      </x:c>
      <x:c r="BS327" s="16" t="n">
        <x:v>0.16666666666666666</x:v>
      </x:c>
      <x:c r="BT327" s="14" t="str">
        <x:v>Minority of episodes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4" t="str">
        <x:v>HYPERLINK is not implemented. linkLocation=https://www.imdb.com/title/tt23897504/fullcredits/, friendlyName=Open source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tt23897504|nm3791851|lauren martin</x:v>
      </x:c>
      <x:c r="B328" s="14" t="str">
        <x:v>04</x:v>
      </x:c>
      <x:c r="C328" s="14" t="str">
        <x:v>2024_IMDb_Cast_Lists_Batch_04(1).xlsx</x:v>
      </x:c>
      <x:c r="D328" s="14" t="str">
        <x:v>Red Eye</x:v>
      </x:c>
      <x:c r="E328" s="14" t="n">
        <x:v>63</x:v>
      </x:c>
      <x:c r="F328" s="14" t="str">
        <x:v>Red Eye</x:v>
      </x:c>
      <x:c r="G328" s="14" t="str">
        <x:v>tt23897504</x:v>
      </x:c>
      <x:c r="H328" s="14" t="n">
        <x:v>2024</x:v>
      </x:c>
      <x:c r="I328" s="14" t="n">
        <x:v>2025</x:v>
      </x:c>
      <x:c r="J328" s="14" t="str">
        <x:v>Post-study cohort</x:v>
      </x:c>
      <x:c r="K328" s="14" t="n">
        <x:v>2024</x:v>
      </x:c>
      <x:c r="L328" s="14" t="str">
        <x:v>Not inherited</x:v>
      </x:c>
      <x:c r="M328" s="15" t="n">
        <x:v>56</x:v>
      </x:c>
      <x:c r="N328" s="14" t="str">
        <x:v>Hannah Steele</x:v>
      </x:c>
      <x:c r="O328" s="14" t="str">
        <x:v>nm3791851</x:v>
      </x:c>
      <x:c r="P328" s="14" t="str">
        <x:v>Lauren Martin</x:v>
      </x:c>
      <x:c r="Q328" s="15" t="n">
        <x:v>1</x:v>
      </x:c>
      <x:c r="R328" s="14" t="str">
        <x:v>2026</x:v>
      </x:c>
      <x:c r="S328" s="14" t="n">
        <x:v>2026</x:v>
      </x:c>
      <x:c r="T328" s="14" t="n">
        <x:v>2026</x:v>
      </x:c>
      <x:c r="U328" s="14" t="str">
        <x:v>Explicit source first year retained</x:v>
      </x:c>
      <x:c r="V328" s="14" t="str">
        <x:v>Earliest supplied year is 2026.</x:v>
      </x:c>
      <x:c r="W328" s="14"/>
      <x:c r="X328" s="14" t="str">
        <x:v>Excluded: after 2025</x:v>
      </x:c>
      <x:c r="Y328" s="14"/>
      <x:c r="Z328" s="14" t="str">
        <x:v>Red Eye(1).docx</x:v>
      </x:c>
      <x:c r="AA328" s="14" t="str">
        <x:v>HYPERLINK is not implemented. linkLocation=https://www.imdb.com/title/tt23897504/fullcredits/, friendlyName=Open source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ITV / ITVX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7" t="e">
        <x:f>HYPERLINK("https://en.wikipedia.org/wiki/Red_eye","Open source")</x:f>
        <x:v>HYPERLINK is not implemented. linkLocation=https://en.wikipedia.org/wiki/Red_eye, friendlyName=Open source</x:v>
      </x:c>
      <x:c r="AN328" s="14" t="str">
        <x:v>No qualifying BBC relationship</x:v>
      </x:c>
      <x:c r="AO328" s="14" t="str">
        <x:v>No</x:v>
      </x:c>
      <x:c r="AP328" s="14" t="str">
        <x:v>Out of scope</x:v>
      </x:c>
      <x:c r="AQ328" s="14" t="str">
        <x:v>No</x:v>
      </x:c>
      <x:c r="AR328" s="14" t="str">
        <x:v>Resolved from master register</x:v>
      </x:c>
      <x:c r="AS328" s="14" t="str">
        <x:v>No established-register match</x:v>
      </x:c>
      <x:c r="AT328" s="14"/>
      <x:c r="AU328" s="14"/>
      <x:c r="AV328" s="14" t="str">
        <x:v>No established apparent-disability match</x:v>
      </x:c>
      <x:c r="AW328" s="14"/>
      <x:c r="AX328" s="14" t="str">
        <x:v>No</x:v>
      </x:c>
      <x:c r="AY328" s="14" t="str">
        <x:v>Unmatched</x:v>
      </x:c>
      <x:c r="AZ328" s="14" t="str">
        <x:v>Final supplied register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1</x:v>
      </x:c>
      <x:c r="BS328" s="16" t="n">
        <x:v>0.08333333333333333</x:v>
      </x:c>
      <x:c r="BT328" s="14" t="str">
        <x:v>One episode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4" t="str">
        <x:v>HYPERLINK is not implemented. linkLocation=https://www.imdb.com/title/tt23897504/fullcredits/, friendlyName=Open source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tt23897504|nm4095121|alexander bortnik</x:v>
      </x:c>
      <x:c r="B329" s="14" t="str">
        <x:v>04</x:v>
      </x:c>
      <x:c r="C329" s="14" t="str">
        <x:v>2024_IMDb_Cast_Lists_Batch_04(1).xlsx</x:v>
      </x:c>
      <x:c r="D329" s="14" t="str">
        <x:v>Red Eye</x:v>
      </x:c>
      <x:c r="E329" s="14" t="n">
        <x:v>66</x:v>
      </x:c>
      <x:c r="F329" s="14" t="str">
        <x:v>Red Eye</x:v>
      </x:c>
      <x:c r="G329" s="14" t="str">
        <x:v>tt23897504</x:v>
      </x:c>
      <x:c r="H329" s="14" t="n">
        <x:v>2024</x:v>
      </x:c>
      <x:c r="I329" s="14" t="n">
        <x:v>2025</x:v>
      </x:c>
      <x:c r="J329" s="14" t="str">
        <x:v>Post-study cohort</x:v>
      </x:c>
      <x:c r="K329" s="14" t="n">
        <x:v>2024</x:v>
      </x:c>
      <x:c r="L329" s="14" t="str">
        <x:v>Not inherited</x:v>
      </x:c>
      <x:c r="M329" s="15" t="n">
        <x:v>59</x:v>
      </x:c>
      <x:c r="N329" s="14" t="str">
        <x:v>Russell Balogh</x:v>
      </x:c>
      <x:c r="O329" s="14" t="str">
        <x:v>nm4095121</x:v>
      </x:c>
      <x:c r="P329" s="14" t="str">
        <x:v>Alexander Bortnik</x:v>
      </x:c>
      <x:c r="Q329" s="15" t="n">
        <x:v>1</x:v>
      </x:c>
      <x:c r="R329" s="14" t="str">
        <x:v>2026</x:v>
      </x:c>
      <x:c r="S329" s="14" t="n">
        <x:v>2026</x:v>
      </x:c>
      <x:c r="T329" s="14" t="n">
        <x:v>2026</x:v>
      </x:c>
      <x:c r="U329" s="14" t="str">
        <x:v>Explicit source first year retained</x:v>
      </x:c>
      <x:c r="V329" s="14" t="str">
        <x:v>Earliest supplied year is 2026.</x:v>
      </x:c>
      <x:c r="W329" s="14"/>
      <x:c r="X329" s="14" t="str">
        <x:v>Excluded: after 2025</x:v>
      </x:c>
      <x:c r="Y329" s="14"/>
      <x:c r="Z329" s="14" t="str">
        <x:v>Red Eye(1).docx</x:v>
      </x:c>
      <x:c r="AA329" s="14" t="str">
        <x:v>HYPERLINK is not implemented. linkLocation=https://www.imdb.com/title/tt23897504/fullcredits/, friendlyName=Open source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ITV / ITVX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7" t="e">
        <x:f>HYPERLINK("https://en.wikipedia.org/wiki/Red_eye","Open source")</x:f>
        <x:v>HYPERLINK is not implemented. linkLocation=https://en.wikipedia.org/wiki/Red_eye, friendlyName=Open source</x:v>
      </x:c>
      <x:c r="AN329" s="14" t="str">
        <x:v>No qualifying BBC relationship</x:v>
      </x:c>
      <x:c r="AO329" s="14" t="str">
        <x:v>No</x:v>
      </x:c>
      <x:c r="AP329" s="14" t="str">
        <x:v>Out of scope</x:v>
      </x:c>
      <x:c r="AQ329" s="14" t="str">
        <x:v>No</x:v>
      </x:c>
      <x:c r="AR329" s="14" t="str">
        <x:v>Resolved from master register</x:v>
      </x:c>
      <x:c r="AS329" s="14" t="str">
        <x:v>No established-register match</x:v>
      </x:c>
      <x:c r="AT329" s="14"/>
      <x:c r="AU329" s="14"/>
      <x:c r="AV329" s="14" t="str">
        <x:v>No established apparent-disability match</x:v>
      </x:c>
      <x:c r="AW329" s="14"/>
      <x:c r="AX329" s="14" t="str">
        <x:v>No</x:v>
      </x:c>
      <x:c r="AY329" s="14" t="str">
        <x:v>Unmatched</x:v>
      </x:c>
      <x:c r="AZ329" s="14" t="str">
        <x:v>Final supplied register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1</x:v>
      </x:c>
      <x:c r="BS329" s="16" t="n">
        <x:v>0.08333333333333333</x:v>
      </x:c>
      <x:c r="BT329" s="14" t="str">
        <x:v>One episode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4" t="str">
        <x:v>HYPERLINK is not implemented. linkLocation=https://www.imdb.com/title/tt23897504/fullcredits/, friendlyName=Open source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tt23897504|nm0539643|julie breslin</x:v>
      </x:c>
      <x:c r="B330" s="14" t="str">
        <x:v>04</x:v>
      </x:c>
      <x:c r="C330" s="14" t="str">
        <x:v>2024_IMDb_Cast_Lists_Batch_04(1).xlsx</x:v>
      </x:c>
      <x:c r="D330" s="14" t="str">
        <x:v>Red Eye</x:v>
      </x:c>
      <x:c r="E330" s="14" t="n">
        <x:v>67</x:v>
      </x:c>
      <x:c r="F330" s="14" t="str">
        <x:v>Red Eye</x:v>
      </x:c>
      <x:c r="G330" s="14" t="str">
        <x:v>tt23897504</x:v>
      </x:c>
      <x:c r="H330" s="14" t="n">
        <x:v>2024</x:v>
      </x:c>
      <x:c r="I330" s="14" t="n">
        <x:v>2025</x:v>
      </x:c>
      <x:c r="J330" s="14" t="str">
        <x:v>Post-study cohort</x:v>
      </x:c>
      <x:c r="K330" s="14" t="n">
        <x:v>2024</x:v>
      </x:c>
      <x:c r="L330" s="14" t="str">
        <x:v>Not inherited</x:v>
      </x:c>
      <x:c r="M330" s="15" t="n">
        <x:v>60</x:v>
      </x:c>
      <x:c r="N330" s="14" t="str">
        <x:v>Sarah Malin</x:v>
      </x:c>
      <x:c r="O330" s="14" t="str">
        <x:v>nm0539643</x:v>
      </x:c>
      <x:c r="P330" s="14" t="str">
        <x:v>Julie Breslin</x:v>
      </x:c>
      <x:c r="Q330" s="15" t="n">
        <x:v>1</x:v>
      </x:c>
      <x:c r="R330" s="14" t="str">
        <x:v>2026</x:v>
      </x:c>
      <x:c r="S330" s="14" t="n">
        <x:v>2026</x:v>
      </x:c>
      <x:c r="T330" s="14" t="n">
        <x:v>2026</x:v>
      </x:c>
      <x:c r="U330" s="14" t="str">
        <x:v>Explicit source first year retained</x:v>
      </x:c>
      <x:c r="V330" s="14" t="str">
        <x:v>Earliest supplied year is 2026.</x:v>
      </x:c>
      <x:c r="W330" s="14"/>
      <x:c r="X330" s="14" t="str">
        <x:v>Excluded: after 2025</x:v>
      </x:c>
      <x:c r="Y330" s="14"/>
      <x:c r="Z330" s="14" t="str">
        <x:v>Red Eye(1).docx</x:v>
      </x:c>
      <x:c r="AA330" s="14" t="str">
        <x:v>HYPERLINK is not implemented. linkLocation=https://www.imdb.com/title/tt23897504/fullcredits/, friendlyName=Open source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ITV / ITVX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7" t="e">
        <x:f>HYPERLINK("https://en.wikipedia.org/wiki/Red_eye","Open source")</x:f>
        <x:v>HYPERLINK is not implemented. linkLocation=https://en.wikipedia.org/wiki/Red_eye, friendlyName=Open source</x:v>
      </x:c>
      <x:c r="AN330" s="14" t="str">
        <x:v>No qualifying BBC relationship</x:v>
      </x:c>
      <x:c r="AO330" s="14" t="str">
        <x:v>No</x:v>
      </x:c>
      <x:c r="AP330" s="14" t="str">
        <x:v>Out of scope</x:v>
      </x:c>
      <x:c r="AQ330" s="14" t="str">
        <x:v>No</x:v>
      </x:c>
      <x:c r="AR330" s="14" t="str">
        <x:v>Resolved from master register</x:v>
      </x:c>
      <x:c r="AS330" s="14" t="str">
        <x:v>No established-register match</x:v>
      </x:c>
      <x:c r="AT330" s="14"/>
      <x:c r="AU330" s="14"/>
      <x:c r="AV330" s="14" t="str">
        <x:v>No established apparent-disability match</x:v>
      </x:c>
      <x:c r="AW330" s="14"/>
      <x:c r="AX330" s="14" t="str">
        <x:v>No</x:v>
      </x:c>
      <x:c r="AY330" s="14" t="str">
        <x:v>Unmatched</x:v>
      </x:c>
      <x:c r="AZ330" s="14" t="str">
        <x:v>Final supplied register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1</x:v>
      </x:c>
      <x:c r="BS330" s="16" t="n">
        <x:v>0.08333333333333333</x:v>
      </x:c>
      <x:c r="BT330" s="14" t="str">
        <x:v>One episode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4" t="str">
        <x:v>HYPERLINK is not implemented. linkLocation=https://www.imdb.com/title/tt23897504/fullcredits/, friendlyName=Open source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tt23897504|nm3065482|mp brown</x:v>
      </x:c>
      <x:c r="B331" s="14" t="str">
        <x:v>04</x:v>
      </x:c>
      <x:c r="C331" s="14" t="str">
        <x:v>2024_IMDb_Cast_Lists_Batch_04(1).xlsx</x:v>
      </x:c>
      <x:c r="D331" s="14" t="str">
        <x:v>Red Eye</x:v>
      </x:c>
      <x:c r="E331" s="14" t="n">
        <x:v>71</x:v>
      </x:c>
      <x:c r="F331" s="14" t="str">
        <x:v>Red Eye</x:v>
      </x:c>
      <x:c r="G331" s="14" t="str">
        <x:v>tt23897504</x:v>
      </x:c>
      <x:c r="H331" s="14" t="n">
        <x:v>2024</x:v>
      </x:c>
      <x:c r="I331" s="14" t="n">
        <x:v>2025</x:v>
      </x:c>
      <x:c r="J331" s="14" t="str">
        <x:v>Post-study cohort</x:v>
      </x:c>
      <x:c r="K331" s="14" t="n">
        <x:v>2024</x:v>
      </x:c>
      <x:c r="L331" s="14" t="str">
        <x:v>Not inherited</x:v>
      </x:c>
      <x:c r="M331" s="15" t="n">
        <x:v>64</x:v>
      </x:c>
      <x:c r="N331" s="14" t="str">
        <x:v>Mark Field</x:v>
      </x:c>
      <x:c r="O331" s="14" t="str">
        <x:v>nm3065482</x:v>
      </x:c>
      <x:c r="P331" s="14" t="str">
        <x:v>MP Brown</x:v>
      </x:c>
      <x:c r="Q331" s="15" t="n">
        <x:v>1</x:v>
      </x:c>
      <x:c r="R331" s="14" t="str">
        <x:v>2026</x:v>
      </x:c>
      <x:c r="S331" s="14" t="n">
        <x:v>2026</x:v>
      </x:c>
      <x:c r="T331" s="14" t="n">
        <x:v>2026</x:v>
      </x:c>
      <x:c r="U331" s="14" t="str">
        <x:v>Explicit source first year retained</x:v>
      </x:c>
      <x:c r="V331" s="14" t="str">
        <x:v>Earliest supplied year is 2026.</x:v>
      </x:c>
      <x:c r="W331" s="14"/>
      <x:c r="X331" s="14" t="str">
        <x:v>Excluded: after 2025</x:v>
      </x:c>
      <x:c r="Y331" s="14"/>
      <x:c r="Z331" s="14" t="str">
        <x:v>Red Eye(1).docx</x:v>
      </x:c>
      <x:c r="AA331" s="14" t="str">
        <x:v>HYPERLINK is not implemented. linkLocation=https://www.imdb.com/title/tt23897504/fullcredits/, friendlyName=Open source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ITV / ITVX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7" t="e">
        <x:f>HYPERLINK("https://en.wikipedia.org/wiki/Red_eye","Open source")</x:f>
        <x:v>HYPERLINK is not implemented. linkLocation=https://en.wikipedia.org/wiki/Red_eye, friendlyName=Open source</x:v>
      </x:c>
      <x:c r="AN331" s="14" t="str">
        <x:v>No qualifying BBC relationship</x:v>
      </x:c>
      <x:c r="AO331" s="14" t="str">
        <x:v>No</x:v>
      </x:c>
      <x:c r="AP331" s="14" t="str">
        <x:v>Out of scope</x:v>
      </x:c>
      <x:c r="AQ331" s="14" t="str">
        <x:v>No</x:v>
      </x:c>
      <x:c r="AR331" s="14" t="str">
        <x:v>Resolved from master register</x:v>
      </x:c>
      <x:c r="AS331" s="14" t="str">
        <x:v>No established-register match</x:v>
      </x:c>
      <x:c r="AT331" s="14"/>
      <x:c r="AU331" s="14"/>
      <x:c r="AV331" s="14" t="str">
        <x:v>No established apparent-disability match</x:v>
      </x:c>
      <x:c r="AW331" s="14"/>
      <x:c r="AX331" s="14" t="str">
        <x:v>No</x:v>
      </x:c>
      <x:c r="AY331" s="14" t="str">
        <x:v>Unmatched</x:v>
      </x:c>
      <x:c r="AZ331" s="14" t="str">
        <x:v>Final supplied register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1</x:v>
      </x:c>
      <x:c r="BS331" s="16" t="n">
        <x:v>0.08333333333333333</x:v>
      </x:c>
      <x:c r="BT331" s="14" t="str">
        <x:v>One episode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4" t="str">
        <x:v>HYPERLINK is not implemented. linkLocation=https://www.imdb.com/title/tt23897504/fullcredits/, friendlyName=Open source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tt23897504|nm13213309|mp darby</x:v>
      </x:c>
      <x:c r="B332" s="14" t="str">
        <x:v>04</x:v>
      </x:c>
      <x:c r="C332" s="14" t="str">
        <x:v>2024_IMDb_Cast_Lists_Batch_04(1).xlsx</x:v>
      </x:c>
      <x:c r="D332" s="14" t="str">
        <x:v>Red Eye</x:v>
      </x:c>
      <x:c r="E332" s="14" t="n">
        <x:v>72</x:v>
      </x:c>
      <x:c r="F332" s="14" t="str">
        <x:v>Red Eye</x:v>
      </x:c>
      <x:c r="G332" s="14" t="str">
        <x:v>tt23897504</x:v>
      </x:c>
      <x:c r="H332" s="14" t="n">
        <x:v>2024</x:v>
      </x:c>
      <x:c r="I332" s="14" t="n">
        <x:v>2025</x:v>
      </x:c>
      <x:c r="J332" s="14" t="str">
        <x:v>Post-study cohort</x:v>
      </x:c>
      <x:c r="K332" s="14" t="n">
        <x:v>2024</x:v>
      </x:c>
      <x:c r="L332" s="14" t="str">
        <x:v>Not inherited</x:v>
      </x:c>
      <x:c r="M332" s="15" t="n">
        <x:v>65</x:v>
      </x:c>
      <x:c r="N332" s="14" t="str">
        <x:v>Michael Oladele</x:v>
      </x:c>
      <x:c r="O332" s="14" t="str">
        <x:v>nm13213309</x:v>
      </x:c>
      <x:c r="P332" s="14" t="str">
        <x:v>MP Darby</x:v>
      </x:c>
      <x:c r="Q332" s="15" t="n">
        <x:v>1</x:v>
      </x:c>
      <x:c r="R332" s="14" t="str">
        <x:v>2026</x:v>
      </x:c>
      <x:c r="S332" s="14" t="n">
        <x:v>2026</x:v>
      </x:c>
      <x:c r="T332" s="14" t="n">
        <x:v>2026</x:v>
      </x:c>
      <x:c r="U332" s="14" t="str">
        <x:v>Explicit source first year retained</x:v>
      </x:c>
      <x:c r="V332" s="14" t="str">
        <x:v>Earliest supplied year is 2026.</x:v>
      </x:c>
      <x:c r="W332" s="14"/>
      <x:c r="X332" s="14" t="str">
        <x:v>Excluded: after 2025</x:v>
      </x:c>
      <x:c r="Y332" s="14"/>
      <x:c r="Z332" s="14" t="str">
        <x:v>Red Eye(1).docx</x:v>
      </x:c>
      <x:c r="AA332" s="14" t="str">
        <x:v>HYPERLINK is not implemented. linkLocation=https://www.imdb.com/title/tt23897504/fullcredits/, friendlyName=Open source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ITV / ITVX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7" t="e">
        <x:f>HYPERLINK("https://en.wikipedia.org/wiki/Red_eye","Open source")</x:f>
        <x:v>HYPERLINK is not implemented. linkLocation=https://en.wikipedia.org/wiki/Red_eye, friendlyName=Open source</x:v>
      </x:c>
      <x:c r="AN332" s="14" t="str">
        <x:v>No qualifying BBC relationship</x:v>
      </x:c>
      <x:c r="AO332" s="14" t="str">
        <x:v>No</x:v>
      </x:c>
      <x:c r="AP332" s="14" t="str">
        <x:v>Out of scope</x:v>
      </x:c>
      <x:c r="AQ332" s="14" t="str">
        <x:v>No</x:v>
      </x:c>
      <x:c r="AR332" s="14" t="str">
        <x:v>Resolved from master register</x:v>
      </x:c>
      <x:c r="AS332" s="14" t="str">
        <x:v>No established-register match</x:v>
      </x:c>
      <x:c r="AT332" s="14"/>
      <x:c r="AU332" s="14"/>
      <x:c r="AV332" s="14" t="str">
        <x:v>No established apparent-disability match</x:v>
      </x:c>
      <x:c r="AW332" s="14"/>
      <x:c r="AX332" s="14" t="str">
        <x:v>No</x:v>
      </x:c>
      <x:c r="AY332" s="14" t="str">
        <x:v>Unmatched</x:v>
      </x:c>
      <x:c r="AZ332" s="14" t="str">
        <x:v>Final supplied register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1</x:v>
      </x:c>
      <x:c r="BS332" s="16" t="n">
        <x:v>0.08333333333333333</x:v>
      </x:c>
      <x:c r="BT332" s="14" t="str">
        <x:v>One episode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4" t="str">
        <x:v>HYPERLINK is not implemented. linkLocation=https://www.imdb.com/title/tt23897504/fullcredits/, friendlyName=Open source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tt23897504|nm13520699|security officer</x:v>
      </x:c>
      <x:c r="B333" s="14" t="str">
        <x:v>04</x:v>
      </x:c>
      <x:c r="C333" s="14" t="str">
        <x:v>2024_IMDb_Cast_Lists_Batch_04(1).xlsx</x:v>
      </x:c>
      <x:c r="D333" s="14" t="str">
        <x:v>Red Eye</x:v>
      </x:c>
      <x:c r="E333" s="14" t="n">
        <x:v>74</x:v>
      </x:c>
      <x:c r="F333" s="14" t="str">
        <x:v>Red Eye</x:v>
      </x:c>
      <x:c r="G333" s="14" t="str">
        <x:v>tt23897504</x:v>
      </x:c>
      <x:c r="H333" s="14" t="n">
        <x:v>2024</x:v>
      </x:c>
      <x:c r="I333" s="14" t="n">
        <x:v>2025</x:v>
      </x:c>
      <x:c r="J333" s="14" t="str">
        <x:v>Post-study cohort</x:v>
      </x:c>
      <x:c r="K333" s="14" t="n">
        <x:v>2024</x:v>
      </x:c>
      <x:c r="L333" s="14" t="str">
        <x:v>Not inherited</x:v>
      </x:c>
      <x:c r="M333" s="15" t="n">
        <x:v>67</x:v>
      </x:c>
      <x:c r="N333" s="14" t="str">
        <x:v>Reggie McHale</x:v>
      </x:c>
      <x:c r="O333" s="14" t="str">
        <x:v>nm13520699</x:v>
      </x:c>
      <x:c r="P333" s="14" t="str">
        <x:v>Security Officer</x:v>
      </x:c>
      <x:c r="Q333" s="15" t="n">
        <x:v>1</x:v>
      </x:c>
      <x:c r="R333" s="14" t="str">
        <x:v>2026</x:v>
      </x:c>
      <x:c r="S333" s="14" t="n">
        <x:v>2026</x:v>
      </x:c>
      <x:c r="T333" s="14" t="n">
        <x:v>2026</x:v>
      </x:c>
      <x:c r="U333" s="14" t="str">
        <x:v>Explicit source first year retained</x:v>
      </x:c>
      <x:c r="V333" s="14" t="str">
        <x:v>Earliest supplied year is 2026.</x:v>
      </x:c>
      <x:c r="W333" s="14"/>
      <x:c r="X333" s="14" t="str">
        <x:v>Excluded: after 2025</x:v>
      </x:c>
      <x:c r="Y333" s="14"/>
      <x:c r="Z333" s="14" t="str">
        <x:v>Red Eye(1).docx</x:v>
      </x:c>
      <x:c r="AA333" s="14" t="str">
        <x:v>HYPERLINK is not implemented. linkLocation=https://www.imdb.com/title/tt23897504/fullcredits/, friendlyName=Open source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ITV / ITVX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7" t="e">
        <x:f>HYPERLINK("https://en.wikipedia.org/wiki/Red_eye","Open source")</x:f>
        <x:v>HYPERLINK is not implemented. linkLocation=https://en.wikipedia.org/wiki/Red_eye, friendlyName=Open source</x:v>
      </x:c>
      <x:c r="AN333" s="14" t="str">
        <x:v>No qualifying BBC relationship</x:v>
      </x:c>
      <x:c r="AO333" s="14" t="str">
        <x:v>No</x:v>
      </x:c>
      <x:c r="AP333" s="14" t="str">
        <x:v>Out of scope</x:v>
      </x:c>
      <x:c r="AQ333" s="14" t="str">
        <x:v>No</x:v>
      </x:c>
      <x:c r="AR333" s="14" t="str">
        <x:v>Resolved from master register</x:v>
      </x:c>
      <x:c r="AS333" s="14" t="str">
        <x:v>No established-register match</x:v>
      </x:c>
      <x:c r="AT333" s="14"/>
      <x:c r="AU333" s="14"/>
      <x:c r="AV333" s="14" t="str">
        <x:v>No established apparent-disability match</x:v>
      </x:c>
      <x:c r="AW333" s="14"/>
      <x:c r="AX333" s="14" t="str">
        <x:v>No</x:v>
      </x:c>
      <x:c r="AY333" s="14" t="str">
        <x:v>Unmatched</x:v>
      </x:c>
      <x:c r="AZ333" s="14" t="str">
        <x:v>Final supplied register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1</x:v>
      </x:c>
      <x:c r="BS333" s="16" t="n">
        <x:v>0.08333333333333333</x:v>
      </x:c>
      <x:c r="BT333" s="14" t="str">
        <x:v>One episode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4" t="str">
        <x:v>HYPERLINK is not implemented. linkLocation=https://www.imdb.com/title/tt23897504/fullcredits/, friendlyName=Open source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tt23897504|nm10951578|dss agent 11</x:v>
      </x:c>
      <x:c r="B334" s="14" t="str">
        <x:v>04</x:v>
      </x:c>
      <x:c r="C334" s="14" t="str">
        <x:v>2024_IMDb_Cast_Lists_Batch_04(1).xlsx</x:v>
      </x:c>
      <x:c r="D334" s="14" t="str">
        <x:v>Red Eye</x:v>
      </x:c>
      <x:c r="E334" s="14" t="n">
        <x:v>75</x:v>
      </x:c>
      <x:c r="F334" s="14" t="str">
        <x:v>Red Eye</x:v>
      </x:c>
      <x:c r="G334" s="14" t="str">
        <x:v>tt23897504</x:v>
      </x:c>
      <x:c r="H334" s="14" t="n">
        <x:v>2024</x:v>
      </x:c>
      <x:c r="I334" s="14" t="n">
        <x:v>2025</x:v>
      </x:c>
      <x:c r="J334" s="14" t="str">
        <x:v>Post-study cohort</x:v>
      </x:c>
      <x:c r="K334" s="14" t="n">
        <x:v>2024</x:v>
      </x:c>
      <x:c r="L334" s="14" t="str">
        <x:v>Not inherited</x:v>
      </x:c>
      <x:c r="M334" s="15" t="n">
        <x:v>68</x:v>
      </x:c>
      <x:c r="N334" s="14" t="str">
        <x:v>Katie Penn</x:v>
      </x:c>
      <x:c r="O334" s="14" t="str">
        <x:v>nm10951578</x:v>
      </x:c>
      <x:c r="P334" s="14" t="str">
        <x:v>DSS Agent 11</x:v>
      </x:c>
      <x:c r="Q334" s="15" t="n">
        <x:v>1</x:v>
      </x:c>
      <x:c r="R334" s="14" t="str">
        <x:v>2026</x:v>
      </x:c>
      <x:c r="S334" s="14" t="n">
        <x:v>2026</x:v>
      </x:c>
      <x:c r="T334" s="14" t="n">
        <x:v>2026</x:v>
      </x:c>
      <x:c r="U334" s="14" t="str">
        <x:v>Explicit source first year retained</x:v>
      </x:c>
      <x:c r="V334" s="14" t="str">
        <x:v>Earliest supplied year is 2026.</x:v>
      </x:c>
      <x:c r="W334" s="14"/>
      <x:c r="X334" s="14" t="str">
        <x:v>Excluded: after 2025</x:v>
      </x:c>
      <x:c r="Y334" s="14"/>
      <x:c r="Z334" s="14" t="str">
        <x:v>Red Eye(1).docx</x:v>
      </x:c>
      <x:c r="AA334" s="14" t="str">
        <x:v>HYPERLINK is not implemented. linkLocation=https://www.imdb.com/title/tt23897504/fullcredits/, friendlyName=Open source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ITV / ITVX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7" t="e">
        <x:f>HYPERLINK("https://en.wikipedia.org/wiki/Red_eye","Open source")</x:f>
        <x:v>HYPERLINK is not implemented. linkLocation=https://en.wikipedia.org/wiki/Red_eye, friendlyName=Open source</x:v>
      </x:c>
      <x:c r="AN334" s="14" t="str">
        <x:v>No qualifying BBC relationship</x:v>
      </x:c>
      <x:c r="AO334" s="14" t="str">
        <x:v>No</x:v>
      </x:c>
      <x:c r="AP334" s="14" t="str">
        <x:v>Out of scope</x:v>
      </x:c>
      <x:c r="AQ334" s="14" t="str">
        <x:v>No</x:v>
      </x:c>
      <x:c r="AR334" s="14" t="str">
        <x:v>Resolved from master register</x:v>
      </x:c>
      <x:c r="AS334" s="14" t="str">
        <x:v>No established-register match</x:v>
      </x:c>
      <x:c r="AT334" s="14"/>
      <x:c r="AU334" s="14"/>
      <x:c r="AV334" s="14" t="str">
        <x:v>No established apparent-disability match</x:v>
      </x:c>
      <x:c r="AW334" s="14"/>
      <x:c r="AX334" s="14" t="str">
        <x:v>No</x:v>
      </x:c>
      <x:c r="AY334" s="14" t="str">
        <x:v>Unmatched</x:v>
      </x:c>
      <x:c r="AZ334" s="14" t="str">
        <x:v>Final supplied register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1</x:v>
      </x:c>
      <x:c r="BS334" s="16" t="n">
        <x:v>0.08333333333333333</x:v>
      </x:c>
      <x:c r="BT334" s="14" t="str">
        <x:v>One episode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4" t="str">
        <x:v>HYPERLINK is not implemented. linkLocation=https://www.imdb.com/title/tt23897504/fullcredits/, friendlyName=Open source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tt24053860|nm1032567|role not listed</x:v>
      </x:c>
      <x:c r="B335" s="14" t="str">
        <x:v>04</x:v>
      </x:c>
      <x:c r="C335" s="14" t="str">
        <x:v>2024_IMDb_Cast_Lists_Batch_04(1).xlsx</x:v>
      </x:c>
      <x:c r="D335" s="14" t="str">
        <x:v>The Day of the Jackal</x:v>
      </x:c>
      <x:c r="E335" s="14" t="n">
        <x:v>114</x:v>
      </x:c>
      <x:c r="F335" s="14" t="str">
        <x:v>The Day of the Jackal</x:v>
      </x:c>
      <x:c r="G335" s="14" t="str">
        <x:v>tt24053860</x:v>
      </x:c>
      <x:c r="H335" s="14" t="n">
        <x:v>2024</x:v>
      </x:c>
      <x:c r="I335" s="14" t="n">
        <x:v>2025</x:v>
      </x:c>
      <x:c r="J335" s="14" t="str">
        <x:v>Post-study cohort</x:v>
      </x:c>
      <x:c r="K335" s="14" t="n">
        <x:v>2024</x:v>
      </x:c>
      <x:c r="L335" s="14" t="str">
        <x:v>Not inherited</x:v>
      </x:c>
      <x:c r="M335" s="15" t="n">
        <x:v>107</x:v>
      </x:c>
      <x:c r="N335" s="14" t="str">
        <x:v>Pablo Schreiber</x:v>
      </x:c>
      <x:c r="O335" s="14" t="str">
        <x:v>nm1032567</x:v>
      </x:c>
      <x:c r="P335" s="14" t="str">
        <x:v>Role not listed</x:v>
      </x:c>
      <x:c r="Q335" s="15" t="n">
        <x:v>1</x:v>
      </x:c>
      <x:c r="R335" s="14" t="str">
        <x:v>2027</x:v>
      </x:c>
      <x:c r="S335" s="14" t="n">
        <x:v>2027</x:v>
      </x:c>
      <x:c r="T335" s="14" t="n">
        <x:v>2027</x:v>
      </x:c>
      <x:c r="U335" s="14" t="str">
        <x:v>Explicit source first year retained</x:v>
      </x:c>
      <x:c r="V335" s="14" t="str">
        <x:v>Earliest supplied year is 2027.</x:v>
      </x:c>
      <x:c r="W335" s="14"/>
      <x:c r="X335" s="14" t="str">
        <x:v>Excluded: after 2025</x:v>
      </x:c>
      <x:c r="Y335" s="14"/>
      <x:c r="Z335" s="14" t="str">
        <x:v>The Day of the Jackal.docx</x:v>
      </x:c>
      <x:c r="AA335" s="14" t="str">
        <x:v>HYPERLINK is not implemented. linkLocation=https://www.imdb.com/title/tt24053860/fullcredits/, friendlyName=Open source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Sky / NOW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35" s="14" t="str">
        <x:v>No qualifying BBC relationship</x:v>
      </x:c>
      <x:c r="AO335" s="14" t="str">
        <x:v>No</x:v>
      </x:c>
      <x:c r="AP335" s="14" t="str">
        <x:v>Out of scope</x:v>
      </x:c>
      <x:c r="AQ335" s="14" t="str">
        <x:v>No</x:v>
      </x:c>
      <x:c r="AR335" s="14" t="str">
        <x:v>Resolved from master register</x:v>
      </x:c>
      <x:c r="AS335" s="14" t="str">
        <x:v>No established-register match</x:v>
      </x:c>
      <x:c r="AT335" s="14"/>
      <x:c r="AU335" s="14"/>
      <x:c r="AV335" s="14" t="str">
        <x:v>No established apparent-disability match</x:v>
      </x:c>
      <x:c r="AW335" s="14"/>
      <x:c r="AX335" s="14" t="str">
        <x:v>No</x:v>
      </x:c>
      <x:c r="AY335" s="14" t="str">
        <x:v>Unmatched</x:v>
      </x:c>
      <x:c r="AZ335" s="14" t="str">
        <x:v>Final supplied register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11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1</x:v>
      </x:c>
      <x:c r="BS335" s="16" t="n">
        <x:v>0.09090909090909091</x:v>
      </x:c>
      <x:c r="BT335" s="14" t="str">
        <x:v>One episode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4" t="str">
        <x:v>HYPERLINK is not implemented. linkLocation=https://www.imdb.com/title/tt24053860/fullcredits/, friendlyName=Open source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tt24053860|nm0093589|role not listed</x:v>
      </x:c>
      <x:c r="B336" s="14" t="str">
        <x:v>04</x:v>
      </x:c>
      <x:c r="C336" s="14" t="str">
        <x:v>2024_IMDb_Cast_Lists_Batch_04(1).xlsx</x:v>
      </x:c>
      <x:c r="D336" s="14" t="str">
        <x:v>The Day of the Jackal</x:v>
      </x:c>
      <x:c r="E336" s="14" t="n">
        <x:v>115</x:v>
      </x:c>
      <x:c r="F336" s="14" t="str">
        <x:v>The Day of the Jackal</x:v>
      </x:c>
      <x:c r="G336" s="14" t="str">
        <x:v>tt24053860</x:v>
      </x:c>
      <x:c r="H336" s="14" t="n">
        <x:v>2024</x:v>
      </x:c>
      <x:c r="I336" s="14" t="n">
        <x:v>2025</x:v>
      </x:c>
      <x:c r="J336" s="14" t="str">
        <x:v>Post-study cohort</x:v>
      </x:c>
      <x:c r="K336" s="14" t="n">
        <x:v>2024</x:v>
      </x:c>
      <x:c r="L336" s="14" t="str">
        <x:v>Not inherited</x:v>
      </x:c>
      <x:c r="M336" s="15" t="n">
        <x:v>108</x:v>
      </x:c>
      <x:c r="N336" s="14" t="str">
        <x:v>Matt Bomer</x:v>
      </x:c>
      <x:c r="O336" s="14" t="str">
        <x:v>nm0093589</x:v>
      </x:c>
      <x:c r="P336" s="14" t="str">
        <x:v>Role not listed</x:v>
      </x:c>
      <x:c r="Q336" s="15" t="n">
        <x:v>1</x:v>
      </x:c>
      <x:c r="R336" s="14" t="str">
        <x:v>2027</x:v>
      </x:c>
      <x:c r="S336" s="14" t="n">
        <x:v>2027</x:v>
      </x:c>
      <x:c r="T336" s="14" t="n">
        <x:v>2027</x:v>
      </x:c>
      <x:c r="U336" s="14" t="str">
        <x:v>Explicit source first year retained</x:v>
      </x:c>
      <x:c r="V336" s="14" t="str">
        <x:v>Earliest supplied year is 2027.</x:v>
      </x:c>
      <x:c r="W336" s="14"/>
      <x:c r="X336" s="14" t="str">
        <x:v>Excluded: after 2025</x:v>
      </x:c>
      <x:c r="Y336" s="14"/>
      <x:c r="Z336" s="14" t="str">
        <x:v>The Day of the Jackal.docx</x:v>
      </x:c>
      <x:c r="AA336" s="14" t="str">
        <x:v>HYPERLINK is not implemented. linkLocation=https://www.imdb.com/title/tt24053860/fullcredits/, friendlyName=Open source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Sky / NOW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36" s="14" t="str">
        <x:v>No qualifying BBC relationship</x:v>
      </x:c>
      <x:c r="AO336" s="14" t="str">
        <x:v>No</x:v>
      </x:c>
      <x:c r="AP336" s="14" t="str">
        <x:v>Out of scope</x:v>
      </x:c>
      <x:c r="AQ336" s="14" t="str">
        <x:v>No</x:v>
      </x:c>
      <x:c r="AR336" s="14" t="str">
        <x:v>Resolved from master register</x:v>
      </x:c>
      <x:c r="AS336" s="14" t="str">
        <x:v>No established-register match</x:v>
      </x:c>
      <x:c r="AT336" s="14"/>
      <x:c r="AU336" s="14"/>
      <x:c r="AV336" s="14" t="str">
        <x:v>No established apparent-disability match</x:v>
      </x:c>
      <x:c r="AW336" s="14"/>
      <x:c r="AX336" s="14" t="str">
        <x:v>No</x:v>
      </x:c>
      <x:c r="AY336" s="14" t="str">
        <x:v>Unmatched</x:v>
      </x:c>
      <x:c r="AZ336" s="14" t="str">
        <x:v>Final supplied register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11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1</x:v>
      </x:c>
      <x:c r="BS336" s="16" t="n">
        <x:v>0.09090909090909091</x:v>
      </x:c>
      <x:c r="BT336" s="14" t="str">
        <x:v>One episode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4" t="str">
        <x:v>HYPERLINK is not implemented. linkLocation=https://www.imdb.com/title/tt24053860/fullcredits/, friendlyName=Open source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tt24053860|nm4030255|role not listed</x:v>
      </x:c>
      <x:c r="B337" s="14" t="str">
        <x:v>04</x:v>
      </x:c>
      <x:c r="C337" s="14" t="str">
        <x:v>2024_IMDb_Cast_Lists_Batch_04(1).xlsx</x:v>
      </x:c>
      <x:c r="D337" s="14" t="str">
        <x:v>The Day of the Jackal</x:v>
      </x:c>
      <x:c r="E337" s="14" t="n">
        <x:v>116</x:v>
      </x:c>
      <x:c r="F337" s="14" t="str">
        <x:v>The Day of the Jackal</x:v>
      </x:c>
      <x:c r="G337" s="14" t="str">
        <x:v>tt24053860</x:v>
      </x:c>
      <x:c r="H337" s="14" t="n">
        <x:v>2024</x:v>
      </x:c>
      <x:c r="I337" s="14" t="n">
        <x:v>2025</x:v>
      </x:c>
      <x:c r="J337" s="14" t="str">
        <x:v>Post-study cohort</x:v>
      </x:c>
      <x:c r="K337" s="14" t="n">
        <x:v>2024</x:v>
      </x:c>
      <x:c r="L337" s="14" t="str">
        <x:v>Not inherited</x:v>
      </x:c>
      <x:c r="M337" s="15" t="n">
        <x:v>109</x:v>
      </x:c>
      <x:c r="N337" s="14" t="str">
        <x:v>Weruche Opia</x:v>
      </x:c>
      <x:c r="O337" s="14" t="str">
        <x:v>nm4030255</x:v>
      </x:c>
      <x:c r="P337" s="14" t="str">
        <x:v>Role not listed</x:v>
      </x:c>
      <x:c r="Q337" s="15" t="n">
        <x:v>1</x:v>
      </x:c>
      <x:c r="R337" s="14" t="str">
        <x:v>2027</x:v>
      </x:c>
      <x:c r="S337" s="14" t="n">
        <x:v>2027</x:v>
      </x:c>
      <x:c r="T337" s="14" t="n">
        <x:v>2027</x:v>
      </x:c>
      <x:c r="U337" s="14" t="str">
        <x:v>Explicit source first year retained</x:v>
      </x:c>
      <x:c r="V337" s="14" t="str">
        <x:v>Earliest supplied year is 2027.</x:v>
      </x:c>
      <x:c r="W337" s="14"/>
      <x:c r="X337" s="14" t="str">
        <x:v>Excluded: after 2025</x:v>
      </x:c>
      <x:c r="Y337" s="14"/>
      <x:c r="Z337" s="14" t="str">
        <x:v>The Day of the Jackal.docx</x:v>
      </x:c>
      <x:c r="AA337" s="14" t="str">
        <x:v>HYPERLINK is not implemented. linkLocation=https://www.imdb.com/title/tt24053860/fullcredits/, friendlyName=Open source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Sky / NOW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37" s="14" t="str">
        <x:v>No qualifying BBC relationship</x:v>
      </x:c>
      <x:c r="AO337" s="14" t="str">
        <x:v>No</x:v>
      </x:c>
      <x:c r="AP337" s="14" t="str">
        <x:v>Out of scope</x:v>
      </x:c>
      <x:c r="AQ337" s="14" t="str">
        <x:v>No</x:v>
      </x:c>
      <x:c r="AR337" s="14" t="str">
        <x:v>Resolved from master register</x:v>
      </x:c>
      <x:c r="AS337" s="14" t="str">
        <x:v>No established-register match</x:v>
      </x:c>
      <x:c r="AT337" s="14"/>
      <x:c r="AU337" s="14"/>
      <x:c r="AV337" s="14" t="str">
        <x:v>No established apparent-disability match</x:v>
      </x:c>
      <x:c r="AW337" s="14"/>
      <x:c r="AX337" s="14" t="str">
        <x:v>No</x:v>
      </x:c>
      <x:c r="AY337" s="14" t="str">
        <x:v>Unmatched</x:v>
      </x:c>
      <x:c r="AZ337" s="14" t="str">
        <x:v>Final supplied register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11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1</x:v>
      </x:c>
      <x:c r="BS337" s="16" t="n">
        <x:v>0.09090909090909091</x:v>
      </x:c>
      <x:c r="BT337" s="14" t="str">
        <x:v>One episode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4" t="str">
        <x:v>HYPERLINK is not implemented. linkLocation=https://www.imdb.com/title/tt24053860/fullcredits/, friendlyName=Open source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tt24053860|nm1600515|news anchor</x:v>
      </x:c>
      <x:c r="B338" s="14" t="str">
        <x:v>04</x:v>
      </x:c>
      <x:c r="C338" s="14" t="str">
        <x:v>2024_IMDb_Cast_Lists_Batch_04(1).xlsx</x:v>
      </x:c>
      <x:c r="D338" s="14" t="str">
        <x:v>The Day of the Jackal</x:v>
      </x:c>
      <x:c r="E338" s="14" t="n">
        <x:v>117</x:v>
      </x:c>
      <x:c r="F338" s="14" t="str">
        <x:v>The Day of the Jackal</x:v>
      </x:c>
      <x:c r="G338" s="14" t="str">
        <x:v>tt24053860</x:v>
      </x:c>
      <x:c r="H338" s="14" t="n">
        <x:v>2024</x:v>
      </x:c>
      <x:c r="I338" s="14" t="n">
        <x:v>2025</x:v>
      </x:c>
      <x:c r="J338" s="14" t="str">
        <x:v>Post-study cohort</x:v>
      </x:c>
      <x:c r="K338" s="14" t="n">
        <x:v>2024</x:v>
      </x:c>
      <x:c r="L338" s="14" t="str">
        <x:v>Not inherited</x:v>
      </x:c>
      <x:c r="M338" s="15" t="n">
        <x:v>110</x:v>
      </x:c>
      <x:c r="N338" s="14" t="str">
        <x:v>Dana Haqjoo</x:v>
      </x:c>
      <x:c r="O338" s="14" t="str">
        <x:v>nm1600515</x:v>
      </x:c>
      <x:c r="P338" s="14" t="str">
        <x:v>News Anchor</x:v>
      </x:c>
      <x:c r="Q338" s="15" t="n">
        <x:v>1</x:v>
      </x:c>
      <x:c r="R338" s="14" t="str">
        <x:v>2027</x:v>
      </x:c>
      <x:c r="S338" s="14" t="n">
        <x:v>2027</x:v>
      </x:c>
      <x:c r="T338" s="14" t="n">
        <x:v>2027</x:v>
      </x:c>
      <x:c r="U338" s="14" t="str">
        <x:v>Explicit source first year retained</x:v>
      </x:c>
      <x:c r="V338" s="14" t="str">
        <x:v>Earliest supplied year is 2027.</x:v>
      </x:c>
      <x:c r="W338" s="14"/>
      <x:c r="X338" s="14" t="str">
        <x:v>Excluded: after 2025</x:v>
      </x:c>
      <x:c r="Y338" s="14"/>
      <x:c r="Z338" s="14" t="str">
        <x:v>The Day of the Jackal.docx</x:v>
      </x:c>
      <x:c r="AA338" s="14" t="str">
        <x:v>HYPERLINK is not implemented. linkLocation=https://www.imdb.com/title/tt24053860/fullcredits/, friendlyName=Open source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Sky / NOW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38" s="14" t="str">
        <x:v>No qualifying BBC relationship</x:v>
      </x:c>
      <x:c r="AO338" s="14" t="str">
        <x:v>No</x:v>
      </x:c>
      <x:c r="AP338" s="14" t="str">
        <x:v>Out of scope</x:v>
      </x:c>
      <x:c r="AQ338" s="14" t="str">
        <x:v>No</x:v>
      </x:c>
      <x:c r="AR338" s="14" t="str">
        <x:v>Resolved from master register</x:v>
      </x:c>
      <x:c r="AS338" s="14" t="str">
        <x:v>No established-register match</x:v>
      </x:c>
      <x:c r="AT338" s="14"/>
      <x:c r="AU338" s="14"/>
      <x:c r="AV338" s="14" t="str">
        <x:v>No established apparent-disability match</x:v>
      </x:c>
      <x:c r="AW338" s="14"/>
      <x:c r="AX338" s="14" t="str">
        <x:v>No</x:v>
      </x:c>
      <x:c r="AY338" s="14" t="str">
        <x:v>Unmatched</x:v>
      </x:c>
      <x:c r="AZ338" s="14" t="str">
        <x:v>Final supplied register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11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1</x:v>
      </x:c>
      <x:c r="BS338" s="16" t="n">
        <x:v>0.09090909090909091</x:v>
      </x:c>
      <x:c r="BT338" s="14" t="str">
        <x:v>One episode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4" t="str">
        <x:v>HYPERLINK is not implemented. linkLocation=https://www.imdb.com/title/tt24053860/fullcredits/, friendlyName=Open source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tt24053860|nm11661255|maksim</x:v>
      </x:c>
      <x:c r="B339" s="14" t="str">
        <x:v>04</x:v>
      </x:c>
      <x:c r="C339" s="14" t="str">
        <x:v>2024_IMDb_Cast_Lists_Batch_04(1).xlsx</x:v>
      </x:c>
      <x:c r="D339" s="14" t="str">
        <x:v>The Day of the Jackal</x:v>
      </x:c>
      <x:c r="E339" s="14" t="n">
        <x:v>118</x:v>
      </x:c>
      <x:c r="F339" s="14" t="str">
        <x:v>The Day of the Jackal</x:v>
      </x:c>
      <x:c r="G339" s="14" t="str">
        <x:v>tt24053860</x:v>
      </x:c>
      <x:c r="H339" s="14" t="n">
        <x:v>2024</x:v>
      </x:c>
      <x:c r="I339" s="14" t="n">
        <x:v>2025</x:v>
      </x:c>
      <x:c r="J339" s="14" t="str">
        <x:v>Post-study cohort</x:v>
      </x:c>
      <x:c r="K339" s="14" t="n">
        <x:v>2024</x:v>
      </x:c>
      <x:c r="L339" s="14" t="str">
        <x:v>Not inherited</x:v>
      </x:c>
      <x:c r="M339" s="15" t="n">
        <x:v>111</x:v>
      </x:c>
      <x:c r="N339" s="14" t="str">
        <x:v>Joe Horn</x:v>
      </x:c>
      <x:c r="O339" s="14" t="str">
        <x:v>nm11661255</x:v>
      </x:c>
      <x:c r="P339" s="14" t="str">
        <x:v>Maksim</x:v>
      </x:c>
      <x:c r="Q339" s="15" t="n">
        <x:v>1</x:v>
      </x:c>
      <x:c r="R339" s="14" t="str">
        <x:v>2027</x:v>
      </x:c>
      <x:c r="S339" s="14" t="n">
        <x:v>2027</x:v>
      </x:c>
      <x:c r="T339" s="14" t="n">
        <x:v>2027</x:v>
      </x:c>
      <x:c r="U339" s="14" t="str">
        <x:v>Explicit source first year retained</x:v>
      </x:c>
      <x:c r="V339" s="14" t="str">
        <x:v>Earliest supplied year is 2027.</x:v>
      </x:c>
      <x:c r="W339" s="14"/>
      <x:c r="X339" s="14" t="str">
        <x:v>Excluded: after 2025</x:v>
      </x:c>
      <x:c r="Y339" s="14"/>
      <x:c r="Z339" s="14" t="str">
        <x:v>The Day of the Jackal.docx</x:v>
      </x:c>
      <x:c r="AA339" s="14" t="str">
        <x:v>HYPERLINK is not implemented. linkLocation=https://www.imdb.com/title/tt24053860/fullcredits/, friendlyName=Open source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Sky / NOW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39" s="14" t="str">
        <x:v>No qualifying BBC relationship</x:v>
      </x:c>
      <x:c r="AO339" s="14" t="str">
        <x:v>No</x:v>
      </x:c>
      <x:c r="AP339" s="14" t="str">
        <x:v>Out of scope</x:v>
      </x:c>
      <x:c r="AQ339" s="14" t="str">
        <x:v>No</x:v>
      </x:c>
      <x:c r="AR339" s="14" t="str">
        <x:v>Resolved from master register</x:v>
      </x:c>
      <x:c r="AS339" s="14" t="str">
        <x:v>No established-register match</x:v>
      </x:c>
      <x:c r="AT339" s="14"/>
      <x:c r="AU339" s="14"/>
      <x:c r="AV339" s="14" t="str">
        <x:v>No established apparent-disability match</x:v>
      </x:c>
      <x:c r="AW339" s="14"/>
      <x:c r="AX339" s="14" t="str">
        <x:v>No</x:v>
      </x:c>
      <x:c r="AY339" s="14" t="str">
        <x:v>Unmatched</x:v>
      </x:c>
      <x:c r="AZ339" s="14" t="str">
        <x:v>Final supplied register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11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1</x:v>
      </x:c>
      <x:c r="BS339" s="16" t="n">
        <x:v>0.09090909090909091</x:v>
      </x:c>
      <x:c r="BT339" s="14" t="str">
        <x:v>One episode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4" t="str">
        <x:v>HYPERLINK is not implemented. linkLocation=https://www.imdb.com/title/tt24053860/fullcredits/, friendlyName=Open source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tt24053860|nm7719324|ricci</x:v>
      </x:c>
      <x:c r="B340" s="14" t="str">
        <x:v>04</x:v>
      </x:c>
      <x:c r="C340" s="14" t="str">
        <x:v>2024_IMDb_Cast_Lists_Batch_04(1).xlsx</x:v>
      </x:c>
      <x:c r="D340" s="14" t="str">
        <x:v>The Day of the Jackal</x:v>
      </x:c>
      <x:c r="E340" s="14" t="n">
        <x:v>119</x:v>
      </x:c>
      <x:c r="F340" s="14" t="str">
        <x:v>The Day of the Jackal</x:v>
      </x:c>
      <x:c r="G340" s="14" t="str">
        <x:v>tt24053860</x:v>
      </x:c>
      <x:c r="H340" s="14" t="n">
        <x:v>2024</x:v>
      </x:c>
      <x:c r="I340" s="14" t="n">
        <x:v>2025</x:v>
      </x:c>
      <x:c r="J340" s="14" t="str">
        <x:v>Post-study cohort</x:v>
      </x:c>
      <x:c r="K340" s="14" t="n">
        <x:v>2024</x:v>
      </x:c>
      <x:c r="L340" s="14" t="str">
        <x:v>Not inherited</x:v>
      </x:c>
      <x:c r="M340" s="15" t="n">
        <x:v>112</x:v>
      </x:c>
      <x:c r="N340" s="14" t="str">
        <x:v>Manuel Soro</x:v>
      </x:c>
      <x:c r="O340" s="14" t="str">
        <x:v>nm7719324</x:v>
      </x:c>
      <x:c r="P340" s="14" t="str">
        <x:v>Ricci</x:v>
      </x:c>
      <x:c r="Q340" s="15" t="n">
        <x:v>1</x:v>
      </x:c>
      <x:c r="R340" s="14" t="str">
        <x:v>2027</x:v>
      </x:c>
      <x:c r="S340" s="14" t="n">
        <x:v>2027</x:v>
      </x:c>
      <x:c r="T340" s="14" t="n">
        <x:v>2027</x:v>
      </x:c>
      <x:c r="U340" s="14" t="str">
        <x:v>Explicit source first year retained</x:v>
      </x:c>
      <x:c r="V340" s="14" t="str">
        <x:v>Earliest supplied year is 2027.</x:v>
      </x:c>
      <x:c r="W340" s="14"/>
      <x:c r="X340" s="14" t="str">
        <x:v>Excluded: after 2025</x:v>
      </x:c>
      <x:c r="Y340" s="14"/>
      <x:c r="Z340" s="14" t="str">
        <x:v>The Day of the Jackal.docx</x:v>
      </x:c>
      <x:c r="AA340" s="14" t="str">
        <x:v>HYPERLINK is not implemented. linkLocation=https://www.imdb.com/title/tt24053860/fullcredits/, friendlyName=Open source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Sky / NOW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7" t="e">
        <x:f>HYPERLINK("https://en.wikipedia.org/wiki/The_Day_of_the_Jackal","Open source")</x:f>
        <x:v>HYPERLINK is not implemented. linkLocation=https://en.wikipedia.org/wiki/The_Day_of_the_Jackal, friendlyName=Open source</x:v>
      </x:c>
      <x:c r="AN340" s="14" t="str">
        <x:v>No qualifying BBC relationship</x:v>
      </x:c>
      <x:c r="AO340" s="14" t="str">
        <x:v>No</x:v>
      </x:c>
      <x:c r="AP340" s="14" t="str">
        <x:v>Out of scope</x:v>
      </x:c>
      <x:c r="AQ340" s="14" t="str">
        <x:v>No</x:v>
      </x:c>
      <x:c r="AR340" s="14" t="str">
        <x:v>Resolved from master register</x:v>
      </x:c>
      <x:c r="AS340" s="14" t="str">
        <x:v>No established-register match</x:v>
      </x:c>
      <x:c r="AT340" s="14"/>
      <x:c r="AU340" s="14"/>
      <x:c r="AV340" s="14" t="str">
        <x:v>No established apparent-disability match</x:v>
      </x:c>
      <x:c r="AW340" s="14"/>
      <x:c r="AX340" s="14" t="str">
        <x:v>No</x:v>
      </x:c>
      <x:c r="AY340" s="14" t="str">
        <x:v>Unmatched</x:v>
      </x:c>
      <x:c r="AZ340" s="14" t="str">
        <x:v>Final supplied register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11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1</x:v>
      </x:c>
      <x:c r="BS340" s="16" t="n">
        <x:v>0.09090909090909091</x:v>
      </x:c>
      <x:c r="BT340" s="14" t="str">
        <x:v>One episode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4" t="str">
        <x:v>HYPERLINK is not implemented. linkLocation=https://www.imdb.com/title/tt24053860/fullcredits/, friendlyName=Open source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tt28489780|nm0234540|lady imelda hansen</x:v>
      </x:c>
      <x:c r="B341" s="14" t="str">
        <x:v>04</x:v>
      </x:c>
      <x:c r="C341" s="14" t="str">
        <x:v>2024_IMDb_Cast_Lists_Batch_04(1).xlsx</x:v>
      </x:c>
      <x:c r="D341" s="14" t="str">
        <x:v>The Hardacres</x:v>
      </x:c>
      <x:c r="E341" s="14" t="n">
        <x:v>23</x:v>
      </x:c>
      <x:c r="F341" s="14" t="str">
        <x:v>The Hardacres</x:v>
      </x:c>
      <x:c r="G341" s="14" t="str">
        <x:v>tt28489780</x:v>
      </x:c>
      <x:c r="H341" s="14" t="n">
        <x:v>2024</x:v>
      </x:c>
      <x:c r="I341" s="14" t="n">
        <x:v>2025</x:v>
      </x:c>
      <x:c r="J341" s="14" t="str">
        <x:v>Post-study cohort</x:v>
      </x:c>
      <x:c r="K341" s="14" t="n">
        <x:v>2024</x:v>
      </x:c>
      <x:c r="L341" s="14" t="str">
        <x:v>Not inherited</x:v>
      </x:c>
      <x:c r="M341" s="15" t="n">
        <x:v>16</x:v>
      </x:c>
      <x:c r="N341" s="14" t="str">
        <x:v>Michele Dotrice</x:v>
      </x:c>
      <x:c r="O341" s="14" t="str">
        <x:v>nm0234540</x:v>
      </x:c>
      <x:c r="P341" s="14" t="str">
        <x:v>Lady Imelda Hansen</x:v>
      </x:c>
      <x:c r="Q341" s="15" t="n">
        <x:v>6</x:v>
      </x:c>
      <x:c r="R341" s="14" t="str">
        <x:v>2026</x:v>
      </x:c>
      <x:c r="S341" s="14" t="n">
        <x:v>2026</x:v>
      </x:c>
      <x:c r="T341" s="14" t="n">
        <x:v>2026</x:v>
      </x:c>
      <x:c r="U341" s="14" t="str">
        <x:v>Explicit source first year retained</x:v>
      </x:c>
      <x:c r="V341" s="14" t="str">
        <x:v>Earliest supplied year is 2026.</x:v>
      </x:c>
      <x:c r="W341" s="14"/>
      <x:c r="X341" s="14" t="str">
        <x:v>Excluded: after 2025</x:v>
      </x:c>
      <x:c r="Y341" s="14"/>
      <x:c r="Z341" s="14" t="str">
        <x:v>The Hardacres.docx</x:v>
      </x:c>
      <x:c r="AA341" s="14" t="str">
        <x:v>HYPERLINK is not implemented. linkLocation=https://www.imdb.com/title/tt28489780/fullcredits/, friendlyName=Open source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Channel 5 / 5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7" t="e">
        <x:f>HYPERLINK("https://en.wikipedia.org/wiki/The_Hardacres","Open source")</x:f>
        <x:v>HYPERLINK is not implemented. linkLocation=https://en.wikipedia.org/wiki/The_Hardacres, friendlyName=Open source</x:v>
      </x:c>
      <x:c r="AN341" s="14" t="str">
        <x:v>No qualifying BBC relationship</x:v>
      </x:c>
      <x:c r="AO341" s="14" t="str">
        <x:v>No</x:v>
      </x:c>
      <x:c r="AP341" s="14" t="str">
        <x:v>Out of scope</x:v>
      </x:c>
      <x:c r="AQ341" s="14" t="str">
        <x:v>No</x:v>
      </x:c>
      <x:c r="AR341" s="14" t="str">
        <x:v>Resolved from master register</x:v>
      </x:c>
      <x:c r="AS341" s="14" t="str">
        <x:v>No established-register match</x:v>
      </x:c>
      <x:c r="AT341" s="14"/>
      <x:c r="AU341" s="14"/>
      <x:c r="AV341" s="14" t="str">
        <x:v>No established apparent-disability match</x:v>
      </x:c>
      <x:c r="AW341" s="14"/>
      <x:c r="AX341" s="14" t="str">
        <x:v>No</x:v>
      </x:c>
      <x:c r="AY341" s="14" t="str">
        <x:v>Unmatched</x:v>
      </x:c>
      <x:c r="AZ341" s="14" t="str">
        <x:v>Final supplied register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12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6</x:v>
      </x:c>
      <x:c r="BS341" s="16" t="n">
        <x:v>0.5</x:v>
      </x:c>
      <x:c r="BT341" s="14" t="str">
        <x:v>Minority of episodes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4" t="str">
        <x:v>HYPERLINK is not implemented. linkLocation=https://www.imdb.com/title/tt28489780/fullcredits/, friendlyName=Open source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tt28489780|nm4510281|arthur lewis / arthur lewos</x:v>
      </x:c>
      <x:c r="B342" s="14" t="str">
        <x:v>04</x:v>
      </x:c>
      <x:c r="C342" s="14" t="str">
        <x:v>2024_IMDb_Cast_Lists_Batch_04(1).xlsx</x:v>
      </x:c>
      <x:c r="D342" s="14" t="str">
        <x:v>The Hardacres</x:v>
      </x:c>
      <x:c r="E342" s="14" t="n">
        <x:v>26</x:v>
      </x:c>
      <x:c r="F342" s="14" t="str">
        <x:v>The Hardacres</x:v>
      </x:c>
      <x:c r="G342" s="14" t="str">
        <x:v>tt28489780</x:v>
      </x:c>
      <x:c r="H342" s="14" t="n">
        <x:v>2024</x:v>
      </x:c>
      <x:c r="I342" s="14" t="n">
        <x:v>2025</x:v>
      </x:c>
      <x:c r="J342" s="14" t="str">
        <x:v>Post-study cohort</x:v>
      </x:c>
      <x:c r="K342" s="14" t="n">
        <x:v>2024</x:v>
      </x:c>
      <x:c r="L342" s="14" t="str">
        <x:v>Not inherited</x:v>
      </x:c>
      <x:c r="M342" s="15" t="n">
        <x:v>19</x:v>
      </x:c>
      <x:c r="N342" s="14" t="str">
        <x:v>Edward Mitchell</x:v>
      </x:c>
      <x:c r="O342" s="14" t="str">
        <x:v>nm4510281</x:v>
      </x:c>
      <x:c r="P342" s="14" t="str">
        <x:v>Arthur Lewis / Arthur Lewos</x:v>
      </x:c>
      <x:c r="Q342" s="15" t="n">
        <x:v>5</x:v>
      </x:c>
      <x:c r="R342" s="14" t="str">
        <x:v>2026</x:v>
      </x:c>
      <x:c r="S342" s="14" t="n">
        <x:v>2026</x:v>
      </x:c>
      <x:c r="T342" s="14" t="n">
        <x:v>2026</x:v>
      </x:c>
      <x:c r="U342" s="14" t="str">
        <x:v>Explicit source first year retained</x:v>
      </x:c>
      <x:c r="V342" s="14" t="str">
        <x:v>Earliest supplied year is 2026.</x:v>
      </x:c>
      <x:c r="W342" s="14"/>
      <x:c r="X342" s="14" t="str">
        <x:v>Excluded: after 2025</x:v>
      </x:c>
      <x:c r="Y342" s="14"/>
      <x:c r="Z342" s="14" t="str">
        <x:v>The Hardacres.docx</x:v>
      </x:c>
      <x:c r="AA342" s="14" t="str">
        <x:v>HYPERLINK is not implemented. linkLocation=https://www.imdb.com/title/tt28489780/fullcredits/, friendlyName=Open source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Channel 5 / 5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7" t="e">
        <x:f>HYPERLINK("https://en.wikipedia.org/wiki/The_Hardacres","Open source")</x:f>
        <x:v>HYPERLINK is not implemented. linkLocation=https://en.wikipedia.org/wiki/The_Hardacres, friendlyName=Open source</x:v>
      </x:c>
      <x:c r="AN342" s="14" t="str">
        <x:v>No qualifying BBC relationship</x:v>
      </x:c>
      <x:c r="AO342" s="14" t="str">
        <x:v>No</x:v>
      </x:c>
      <x:c r="AP342" s="14" t="str">
        <x:v>Out of scope</x:v>
      </x:c>
      <x:c r="AQ342" s="14" t="str">
        <x:v>No</x:v>
      </x:c>
      <x:c r="AR342" s="14" t="str">
        <x:v>Resolved from master register</x:v>
      </x:c>
      <x:c r="AS342" s="14" t="str">
        <x:v>No established-register match</x:v>
      </x:c>
      <x:c r="AT342" s="14"/>
      <x:c r="AU342" s="14"/>
      <x:c r="AV342" s="14" t="str">
        <x:v>No established apparent-disability match</x:v>
      </x:c>
      <x:c r="AW342" s="14"/>
      <x:c r="AX342" s="14" t="str">
        <x:v>No</x:v>
      </x:c>
      <x:c r="AY342" s="14" t="str">
        <x:v>Unmatched</x:v>
      </x:c>
      <x:c r="AZ342" s="14" t="str">
        <x:v>Final supplied register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12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5</x:v>
      </x:c>
      <x:c r="BS342" s="16" t="n">
        <x:v>0.4166666666666667</x:v>
      </x:c>
      <x:c r="BT342" s="14" t="str">
        <x:v>Minority of episodes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4" t="str">
        <x:v>HYPERLINK is not implemented. linkLocation=https://www.imdb.com/title/tt28489780/fullcredits/, friendlyName=Open source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tt28489780|nm6415305|captain edward blackwood</x:v>
      </x:c>
      <x:c r="B343" s="14" t="str">
        <x:v>04</x:v>
      </x:c>
      <x:c r="C343" s="14" t="str">
        <x:v>2024_IMDb_Cast_Lists_Batch_04(1).xlsx</x:v>
      </x:c>
      <x:c r="D343" s="14" t="str">
        <x:v>The Hardacres</x:v>
      </x:c>
      <x:c r="E343" s="14" t="n">
        <x:v>30</x:v>
      </x:c>
      <x:c r="F343" s="14" t="str">
        <x:v>The Hardacres</x:v>
      </x:c>
      <x:c r="G343" s="14" t="str">
        <x:v>tt28489780</x:v>
      </x:c>
      <x:c r="H343" s="14" t="n">
        <x:v>2024</x:v>
      </x:c>
      <x:c r="I343" s="14" t="n">
        <x:v>2025</x:v>
      </x:c>
      <x:c r="J343" s="14" t="str">
        <x:v>Post-study cohort</x:v>
      </x:c>
      <x:c r="K343" s="14" t="n">
        <x:v>2024</x:v>
      </x:c>
      <x:c r="L343" s="14" t="str">
        <x:v>Not inherited</x:v>
      </x:c>
      <x:c r="M343" s="15" t="n">
        <x:v>23</x:v>
      </x:c>
      <x:c r="N343" s="14" t="str">
        <x:v>Niall McNamee</x:v>
      </x:c>
      <x:c r="O343" s="14" t="str">
        <x:v>nm6415305</x:v>
      </x:c>
      <x:c r="P343" s="14" t="str">
        <x:v>Captain Edward Blackwood</x:v>
      </x:c>
      <x:c r="Q343" s="15" t="n">
        <x:v>4</x:v>
      </x:c>
      <x:c r="R343" s="14" t="str">
        <x:v>2026</x:v>
      </x:c>
      <x:c r="S343" s="14" t="n">
        <x:v>2026</x:v>
      </x:c>
      <x:c r="T343" s="14" t="n">
        <x:v>2026</x:v>
      </x:c>
      <x:c r="U343" s="14" t="str">
        <x:v>Explicit source first year retained</x:v>
      </x:c>
      <x:c r="V343" s="14" t="str">
        <x:v>Earliest supplied year is 2026.</x:v>
      </x:c>
      <x:c r="W343" s="14"/>
      <x:c r="X343" s="14" t="str">
        <x:v>Excluded: after 2025</x:v>
      </x:c>
      <x:c r="Y343" s="14"/>
      <x:c r="Z343" s="14" t="str">
        <x:v>The Hardacres.docx</x:v>
      </x:c>
      <x:c r="AA343" s="14" t="str">
        <x:v>HYPERLINK is not implemented. linkLocation=https://www.imdb.com/title/tt28489780/fullcredits/, friendlyName=Open source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Channel 5 / 5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7" t="e">
        <x:f>HYPERLINK("https://en.wikipedia.org/wiki/The_Hardacres","Open source")</x:f>
        <x:v>HYPERLINK is not implemented. linkLocation=https://en.wikipedia.org/wiki/The_Hardacres, friendlyName=Open source</x:v>
      </x:c>
      <x:c r="AN343" s="14" t="str">
        <x:v>No qualifying BBC relationship</x:v>
      </x:c>
      <x:c r="AO343" s="14" t="str">
        <x:v>No</x:v>
      </x:c>
      <x:c r="AP343" s="14" t="str">
        <x:v>Out of scope</x:v>
      </x:c>
      <x:c r="AQ343" s="14" t="str">
        <x:v>No</x:v>
      </x:c>
      <x:c r="AR343" s="14" t="str">
        <x:v>Resolved from master register</x:v>
      </x:c>
      <x:c r="AS343" s="14" t="str">
        <x:v>No established-register match</x:v>
      </x:c>
      <x:c r="AT343" s="14"/>
      <x:c r="AU343" s="14"/>
      <x:c r="AV343" s="14" t="str">
        <x:v>No established apparent-disability match</x:v>
      </x:c>
      <x:c r="AW343" s="14"/>
      <x:c r="AX343" s="14" t="str">
        <x:v>No</x:v>
      </x:c>
      <x:c r="AY343" s="14" t="str">
        <x:v>Unmatched</x:v>
      </x:c>
      <x:c r="AZ343" s="14" t="str">
        <x:v>Final supplied register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12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4</x:v>
      </x:c>
      <x:c r="BS343" s="16" t="n">
        <x:v>0.3333333333333333</x:v>
      </x:c>
      <x:c r="BT343" s="14" t="str">
        <x:v>Minority of episodes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4" t="str">
        <x:v>HYPERLINK is not implemented. linkLocation=https://www.imdb.com/title/tt28489780/fullcredits/, friendlyName=Open source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tt28489780|nm7828260|franny</x:v>
      </x:c>
      <x:c r="B344" s="14" t="str">
        <x:v>04</x:v>
      </x:c>
      <x:c r="C344" s="14" t="str">
        <x:v>2024_IMDb_Cast_Lists_Batch_04(1).xlsx</x:v>
      </x:c>
      <x:c r="D344" s="14" t="str">
        <x:v>The Hardacres</x:v>
      </x:c>
      <x:c r="E344" s="14" t="n">
        <x:v>32</x:v>
      </x:c>
      <x:c r="F344" s="14" t="str">
        <x:v>The Hardacres</x:v>
      </x:c>
      <x:c r="G344" s="14" t="str">
        <x:v>tt28489780</x:v>
      </x:c>
      <x:c r="H344" s="14" t="n">
        <x:v>2024</x:v>
      </x:c>
      <x:c r="I344" s="14" t="n">
        <x:v>2025</x:v>
      </x:c>
      <x:c r="J344" s="14" t="str">
        <x:v>Post-study cohort</x:v>
      </x:c>
      <x:c r="K344" s="14" t="n">
        <x:v>2024</x:v>
      </x:c>
      <x:c r="L344" s="14" t="str">
        <x:v>Not inherited</x:v>
      </x:c>
      <x:c r="M344" s="15" t="n">
        <x:v>25</x:v>
      </x:c>
      <x:c r="N344" s="14" t="str">
        <x:v>Charis Agbonlahor</x:v>
      </x:c>
      <x:c r="O344" s="14" t="str">
        <x:v>nm7828260</x:v>
      </x:c>
      <x:c r="P344" s="14" t="str">
        <x:v>Franny</x:v>
      </x:c>
      <x:c r="Q344" s="15" t="n">
        <x:v>3</x:v>
      </x:c>
      <x:c r="R344" s="14" t="str">
        <x:v>2026</x:v>
      </x:c>
      <x:c r="S344" s="14" t="n">
        <x:v>2026</x:v>
      </x:c>
      <x:c r="T344" s="14" t="n">
        <x:v>2026</x:v>
      </x:c>
      <x:c r="U344" s="14" t="str">
        <x:v>Explicit source first year retained</x:v>
      </x:c>
      <x:c r="V344" s="14" t="str">
        <x:v>Earliest supplied year is 2026.</x:v>
      </x:c>
      <x:c r="W344" s="14"/>
      <x:c r="X344" s="14" t="str">
        <x:v>Excluded: after 2025</x:v>
      </x:c>
      <x:c r="Y344" s="14"/>
      <x:c r="Z344" s="14" t="str">
        <x:v>The Hardacres.docx</x:v>
      </x:c>
      <x:c r="AA344" s="14" t="str">
        <x:v>HYPERLINK is not implemented. linkLocation=https://www.imdb.com/title/tt28489780/fullcredits/, friendlyName=Open source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Channel 5 / 5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7" t="e">
        <x:f>HYPERLINK("https://en.wikipedia.org/wiki/The_Hardacres","Open source")</x:f>
        <x:v>HYPERLINK is not implemented. linkLocation=https://en.wikipedia.org/wiki/The_Hardacres, friendlyName=Open source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 t="str">
        <x:v>No established-register match</x:v>
      </x:c>
      <x:c r="AT344" s="14"/>
      <x:c r="AU344" s="14"/>
      <x:c r="AV344" s="14" t="str">
        <x:v>No established apparent-disability match</x:v>
      </x:c>
      <x:c r="AW344" s="14"/>
      <x:c r="AX344" s="14" t="str">
        <x:v>No</x:v>
      </x:c>
      <x:c r="AY344" s="14" t="str">
        <x:v>Unmatched</x:v>
      </x:c>
      <x:c r="AZ344" s="14" t="str">
        <x:v>Final supplied register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12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3</x:v>
      </x:c>
      <x:c r="BS344" s="16" t="n">
        <x:v>0.25</x:v>
      </x:c>
      <x:c r="BT344" s="14" t="str">
        <x:v>Minority of episodes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4" t="str">
        <x:v>HYPERLINK is not implemented. linkLocation=https://www.imdb.com/title/tt28489780/fullcredits/, friendlyName=Open source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tt28489780|nm18507435|samuel hardacre</x:v>
      </x:c>
      <x:c r="B345" s="14" t="str">
        <x:v>04</x:v>
      </x:c>
      <x:c r="C345" s="14" t="str">
        <x:v>2024_IMDb_Cast_Lists_Batch_04(1).xlsx</x:v>
      </x:c>
      <x:c r="D345" s="14" t="str">
        <x:v>The Hardacres</x:v>
      </x:c>
      <x:c r="E345" s="14" t="n">
        <x:v>38</x:v>
      </x:c>
      <x:c r="F345" s="14" t="str">
        <x:v>The Hardacres</x:v>
      </x:c>
      <x:c r="G345" s="14" t="str">
        <x:v>tt28489780</x:v>
      </x:c>
      <x:c r="H345" s="14" t="n">
        <x:v>2024</x:v>
      </x:c>
      <x:c r="I345" s="14" t="n">
        <x:v>2025</x:v>
      </x:c>
      <x:c r="J345" s="14" t="str">
        <x:v>Post-study cohort</x:v>
      </x:c>
      <x:c r="K345" s="14" t="n">
        <x:v>2024</x:v>
      </x:c>
      <x:c r="L345" s="14" t="str">
        <x:v>Not inherited</x:v>
      </x:c>
      <x:c r="M345" s="15" t="n">
        <x:v>31</x:v>
      </x:c>
      <x:c r="N345" s="14" t="str">
        <x:v>Caelan Lynch</x:v>
      </x:c>
      <x:c r="O345" s="14" t="str">
        <x:v>nm18507435</x:v>
      </x:c>
      <x:c r="P345" s="14" t="str">
        <x:v>Samuel Hardacre</x:v>
      </x:c>
      <x:c r="Q345" s="15" t="n">
        <x:v>2</x:v>
      </x:c>
      <x:c r="R345" s="14" t="str">
        <x:v>2026</x:v>
      </x:c>
      <x:c r="S345" s="14" t="n">
        <x:v>2026</x:v>
      </x:c>
      <x:c r="T345" s="14" t="n">
        <x:v>2026</x:v>
      </x:c>
      <x:c r="U345" s="14" t="str">
        <x:v>Explicit source first year retained</x:v>
      </x:c>
      <x:c r="V345" s="14" t="str">
        <x:v>Earliest supplied year is 2026.</x:v>
      </x:c>
      <x:c r="W345" s="14"/>
      <x:c r="X345" s="14" t="str">
        <x:v>Excluded: after 2025</x:v>
      </x:c>
      <x:c r="Y345" s="14"/>
      <x:c r="Z345" s="14" t="str">
        <x:v>The Hardacres.docx</x:v>
      </x:c>
      <x:c r="AA345" s="14" t="str">
        <x:v>HYPERLINK is not implemented. linkLocation=https://www.imdb.com/title/tt28489780/fullcredits/, friendlyName=Open source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Channel 5 / 5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7" t="e">
        <x:f>HYPERLINK("https://en.wikipedia.org/wiki/The_Hardacres","Open source")</x:f>
        <x:v>HYPERLINK is not implemented. linkLocation=https://en.wikipedia.org/wiki/The_Hardacres, friendlyName=Open source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 t="str">
        <x:v>No established-register match</x:v>
      </x:c>
      <x:c r="AT345" s="14"/>
      <x:c r="AU345" s="14"/>
      <x:c r="AV345" s="14" t="str">
        <x:v>No established apparent-disability match</x:v>
      </x:c>
      <x:c r="AW345" s="14"/>
      <x:c r="AX345" s="14" t="str">
        <x:v>No</x:v>
      </x:c>
      <x:c r="AY345" s="14" t="str">
        <x:v>Unmatched</x:v>
      </x:c>
      <x:c r="AZ345" s="14" t="str">
        <x:v>Final supplied register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12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2</x:v>
      </x:c>
      <x:c r="BS345" s="16" t="n">
        <x:v>0.16666666666666666</x:v>
      </x:c>
      <x:c r="BT345" s="14" t="str">
        <x:v>Minority of episodes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4" t="str">
        <x:v>HYPERLINK is not implemented. linkLocation=https://www.imdb.com/title/tt28489780/fullcredits/, friendlyName=Open source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tt28489780|nm0878760|bartholomew balfour</x:v>
      </x:c>
      <x:c r="B346" s="14" t="str">
        <x:v>04</x:v>
      </x:c>
      <x:c r="C346" s="14" t="str">
        <x:v>2024_IMDb_Cast_Lists_Batch_04(1).xlsx</x:v>
      </x:c>
      <x:c r="D346" s="14" t="str">
        <x:v>The Hardacres</x:v>
      </x:c>
      <x:c r="E346" s="14" t="n">
        <x:v>39</x:v>
      </x:c>
      <x:c r="F346" s="14" t="str">
        <x:v>The Hardacres</x:v>
      </x:c>
      <x:c r="G346" s="14" t="str">
        <x:v>tt28489780</x:v>
      </x:c>
      <x:c r="H346" s="14" t="n">
        <x:v>2024</x:v>
      </x:c>
      <x:c r="I346" s="14" t="n">
        <x:v>2025</x:v>
      </x:c>
      <x:c r="J346" s="14" t="str">
        <x:v>Post-study cohort</x:v>
      </x:c>
      <x:c r="K346" s="14" t="n">
        <x:v>2024</x:v>
      </x:c>
      <x:c r="L346" s="14" t="str">
        <x:v>Not inherited</x:v>
      </x:c>
      <x:c r="M346" s="15" t="n">
        <x:v>32</x:v>
      </x:c>
      <x:c r="N346" s="14" t="str">
        <x:v>Paul Tylak</x:v>
      </x:c>
      <x:c r="O346" s="14" t="str">
        <x:v>nm0878760</x:v>
      </x:c>
      <x:c r="P346" s="14" t="str">
        <x:v>Bartholomew Balfour</x:v>
      </x:c>
      <x:c r="Q346" s="15" t="n">
        <x:v>2</x:v>
      </x:c>
      <x:c r="R346" s="14" t="str">
        <x:v>2026</x:v>
      </x:c>
      <x:c r="S346" s="14" t="n">
        <x:v>2026</x:v>
      </x:c>
      <x:c r="T346" s="14" t="n">
        <x:v>2026</x:v>
      </x:c>
      <x:c r="U346" s="14" t="str">
        <x:v>Explicit source first year retained</x:v>
      </x:c>
      <x:c r="V346" s="14" t="str">
        <x:v>Earliest supplied year is 2026.</x:v>
      </x:c>
      <x:c r="W346" s="14"/>
      <x:c r="X346" s="14" t="str">
        <x:v>Excluded: after 2025</x:v>
      </x:c>
      <x:c r="Y346" s="14"/>
      <x:c r="Z346" s="14" t="str">
        <x:v>The Hardacres.docx</x:v>
      </x:c>
      <x:c r="AA346" s="14" t="str">
        <x:v>HYPERLINK is not implemented. linkLocation=https://www.imdb.com/title/tt28489780/fullcredits/, friendlyName=Open source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Channel 5 / 5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7" t="e">
        <x:f>HYPERLINK("https://en.wikipedia.org/wiki/The_Hardacres","Open source")</x:f>
        <x:v>HYPERLINK is not implemented. linkLocation=https://en.wikipedia.org/wiki/The_Hardacres, friendlyName=Open source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 t="str">
        <x:v>No established-register match</x:v>
      </x:c>
      <x:c r="AT346" s="14"/>
      <x:c r="AU346" s="14"/>
      <x:c r="AV346" s="14" t="str">
        <x:v>No established apparent-disability match</x:v>
      </x:c>
      <x:c r="AW346" s="14"/>
      <x:c r="AX346" s="14" t="str">
        <x:v>No</x:v>
      </x:c>
      <x:c r="AY346" s="14" t="str">
        <x:v>Unmatched</x:v>
      </x:c>
      <x:c r="AZ346" s="14" t="str">
        <x:v>Final supplied register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12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2</x:v>
      </x:c>
      <x:c r="BS346" s="16" t="n">
        <x:v>0.16666666666666666</x:v>
      </x:c>
      <x:c r="BT346" s="14" t="str">
        <x:v>Minority of episodes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4" t="str">
        <x:v>HYPERLINK is not implemented. linkLocation=https://www.imdb.com/title/tt28489780/fullcredits/, friendlyName=Open source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tt28489780|nm15155958|joshua calder</x:v>
      </x:c>
      <x:c r="B347" s="14" t="str">
        <x:v>04</x:v>
      </x:c>
      <x:c r="C347" s="14" t="str">
        <x:v>2024_IMDb_Cast_Lists_Batch_04(1).xlsx</x:v>
      </x:c>
      <x:c r="D347" s="14" t="str">
        <x:v>The Hardacres</x:v>
      </x:c>
      <x:c r="E347" s="14" t="n">
        <x:v>42</x:v>
      </x:c>
      <x:c r="F347" s="14" t="str">
        <x:v>The Hardacres</x:v>
      </x:c>
      <x:c r="G347" s="14" t="str">
        <x:v>tt28489780</x:v>
      </x:c>
      <x:c r="H347" s="14" t="n">
        <x:v>2024</x:v>
      </x:c>
      <x:c r="I347" s="14" t="n">
        <x:v>2025</x:v>
      </x:c>
      <x:c r="J347" s="14" t="str">
        <x:v>Post-study cohort</x:v>
      </x:c>
      <x:c r="K347" s="14" t="n">
        <x:v>2024</x:v>
      </x:c>
      <x:c r="L347" s="14" t="str">
        <x:v>Not inherited</x:v>
      </x:c>
      <x:c r="M347" s="15" t="n">
        <x:v>35</x:v>
      </x:c>
      <x:c r="N347" s="14" t="str">
        <x:v>Conor Rowlett</x:v>
      </x:c>
      <x:c r="O347" s="14" t="str">
        <x:v>nm15155958</x:v>
      </x:c>
      <x:c r="P347" s="14" t="str">
        <x:v>Joshua Calder</x:v>
      </x:c>
      <x:c r="Q347" s="15" t="n">
        <x:v>2</x:v>
      </x:c>
      <x:c r="R347" s="14" t="str">
        <x:v>2026</x:v>
      </x:c>
      <x:c r="S347" s="14" t="n">
        <x:v>2026</x:v>
      </x:c>
      <x:c r="T347" s="14" t="n">
        <x:v>2026</x:v>
      </x:c>
      <x:c r="U347" s="14" t="str">
        <x:v>Explicit source first year retained</x:v>
      </x:c>
      <x:c r="V347" s="14" t="str">
        <x:v>Earliest supplied year is 2026.</x:v>
      </x:c>
      <x:c r="W347" s="14"/>
      <x:c r="X347" s="14" t="str">
        <x:v>Excluded: after 2025</x:v>
      </x:c>
      <x:c r="Y347" s="14"/>
      <x:c r="Z347" s="14" t="str">
        <x:v>The Hardacres.docx</x:v>
      </x:c>
      <x:c r="AA347" s="14" t="str">
        <x:v>HYPERLINK is not implemented. linkLocation=https://www.imdb.com/title/tt28489780/fullcredits/, friendlyName=Open source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Channel 5 / 5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7" t="e">
        <x:f>HYPERLINK("https://en.wikipedia.org/wiki/The_Hardacres","Open source")</x:f>
        <x:v>HYPERLINK is not implemented. linkLocation=https://en.wikipedia.org/wiki/The_Hardacres, friendlyName=Open source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 t="str">
        <x:v>No established-register match</x:v>
      </x:c>
      <x:c r="AT347" s="14"/>
      <x:c r="AU347" s="14"/>
      <x:c r="AV347" s="14" t="str">
        <x:v>No established apparent-disability match</x:v>
      </x:c>
      <x:c r="AW347" s="14"/>
      <x:c r="AX347" s="14" t="str">
        <x:v>No</x:v>
      </x:c>
      <x:c r="AY347" s="14" t="str">
        <x:v>Unmatched</x:v>
      </x:c>
      <x:c r="AZ347" s="14" t="str">
        <x:v>Final supplied register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12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2</x:v>
      </x:c>
      <x:c r="BS347" s="16" t="n">
        <x:v>0.16666666666666666</x:v>
      </x:c>
      <x:c r="BT347" s="14" t="str">
        <x:v>Minority of episodes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4" t="str">
        <x:v>HYPERLINK is not implemented. linkLocation=https://www.imdb.com/title/tt28489780/fullcredits/, friendlyName=Open source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tt28489780|nm1469010|mrs. harris</x:v>
      </x:c>
      <x:c r="B348" s="14" t="str">
        <x:v>04</x:v>
      </x:c>
      <x:c r="C348" s="14" t="str">
        <x:v>2024_IMDb_Cast_Lists_Batch_04(1).xlsx</x:v>
      </x:c>
      <x:c r="D348" s="14" t="str">
        <x:v>The Hardacres</x:v>
      </x:c>
      <x:c r="E348" s="14" t="n">
        <x:v>43</x:v>
      </x:c>
      <x:c r="F348" s="14" t="str">
        <x:v>The Hardacres</x:v>
      </x:c>
      <x:c r="G348" s="14" t="str">
        <x:v>tt28489780</x:v>
      </x:c>
      <x:c r="H348" s="14" t="n">
        <x:v>2024</x:v>
      </x:c>
      <x:c r="I348" s="14" t="n">
        <x:v>2025</x:v>
      </x:c>
      <x:c r="J348" s="14" t="str">
        <x:v>Post-study cohort</x:v>
      </x:c>
      <x:c r="K348" s="14" t="n">
        <x:v>2024</x:v>
      </x:c>
      <x:c r="L348" s="14" t="str">
        <x:v>Not inherited</x:v>
      </x:c>
      <x:c r="M348" s="15" t="n">
        <x:v>36</x:v>
      </x:c>
      <x:c r="N348" s="14" t="str">
        <x:v>Norma Sheahan</x:v>
      </x:c>
      <x:c r="O348" s="14" t="str">
        <x:v>nm1469010</x:v>
      </x:c>
      <x:c r="P348" s="14" t="str">
        <x:v>Mrs. Harris</x:v>
      </x:c>
      <x:c r="Q348" s="15" t="n">
        <x:v>1</x:v>
      </x:c>
      <x:c r="R348" s="14" t="str">
        <x:v>2026</x:v>
      </x:c>
      <x:c r="S348" s="14" t="n">
        <x:v>2026</x:v>
      </x:c>
      <x:c r="T348" s="14" t="n">
        <x:v>2026</x:v>
      </x:c>
      <x:c r="U348" s="14" t="str">
        <x:v>Explicit source first year retained</x:v>
      </x:c>
      <x:c r="V348" s="14" t="str">
        <x:v>Earliest supplied year is 2026.</x:v>
      </x:c>
      <x:c r="W348" s="14"/>
      <x:c r="X348" s="14" t="str">
        <x:v>Excluded: after 2025</x:v>
      </x:c>
      <x:c r="Y348" s="14"/>
      <x:c r="Z348" s="14" t="str">
        <x:v>The Hardacres.docx</x:v>
      </x:c>
      <x:c r="AA348" s="14" t="str">
        <x:v>HYPERLINK is not implemented. linkLocation=https://www.imdb.com/title/tt28489780/fullcredits/, friendlyName=Open source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Channel 5 / 5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7" t="e">
        <x:f>HYPERLINK("https://en.wikipedia.org/wiki/The_Hardacres","Open source")</x:f>
        <x:v>HYPERLINK is not implemented. linkLocation=https://en.wikipedia.org/wiki/The_Hardacres, friendlyName=Open source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 t="str">
        <x:v>No established-register match</x:v>
      </x:c>
      <x:c r="AT348" s="14"/>
      <x:c r="AU348" s="14"/>
      <x:c r="AV348" s="14" t="str">
        <x:v>No established apparent-disability match</x:v>
      </x:c>
      <x:c r="AW348" s="14"/>
      <x:c r="AX348" s="14" t="str">
        <x:v>No</x:v>
      </x:c>
      <x:c r="AY348" s="14" t="str">
        <x:v>Unmatched</x:v>
      </x:c>
      <x:c r="AZ348" s="14" t="str">
        <x:v>Final supplied register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12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1</x:v>
      </x:c>
      <x:c r="BS348" s="16" t="n">
        <x:v>0.08333333333333333</x:v>
      </x:c>
      <x:c r="BT348" s="14" t="str">
        <x:v>One episode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4" t="str">
        <x:v>HYPERLINK is not implemented. linkLocation=https://www.imdb.com/title/tt28489780/fullcredits/, friendlyName=Open source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tt28489780|nm0218712|mr. selby</x:v>
      </x:c>
      <x:c r="B349" s="14" t="str">
        <x:v>04</x:v>
      </x:c>
      <x:c r="C349" s="14" t="str">
        <x:v>2024_IMDb_Cast_Lists_Batch_04(1).xlsx</x:v>
      </x:c>
      <x:c r="D349" s="14" t="str">
        <x:v>The Hardacres</x:v>
      </x:c>
      <x:c r="E349" s="14" t="n">
        <x:v>49</x:v>
      </x:c>
      <x:c r="F349" s="14" t="str">
        <x:v>The Hardacres</x:v>
      </x:c>
      <x:c r="G349" s="14" t="str">
        <x:v>tt28489780</x:v>
      </x:c>
      <x:c r="H349" s="14" t="n">
        <x:v>2024</x:v>
      </x:c>
      <x:c r="I349" s="14" t="n">
        <x:v>2025</x:v>
      </x:c>
      <x:c r="J349" s="14" t="str">
        <x:v>Post-study cohort</x:v>
      </x:c>
      <x:c r="K349" s="14" t="n">
        <x:v>2024</x:v>
      </x:c>
      <x:c r="L349" s="14" t="str">
        <x:v>Not inherited</x:v>
      </x:c>
      <x:c r="M349" s="15" t="n">
        <x:v>42</x:v>
      </x:c>
      <x:c r="N349" s="14" t="str">
        <x:v>Brendan Dempsey</x:v>
      </x:c>
      <x:c r="O349" s="14" t="str">
        <x:v>nm0218712</x:v>
      </x:c>
      <x:c r="P349" s="14" t="str">
        <x:v>Mr. Selby</x:v>
      </x:c>
      <x:c r="Q349" s="15" t="n">
        <x:v>1</x:v>
      </x:c>
      <x:c r="R349" s="14" t="str">
        <x:v>2026</x:v>
      </x:c>
      <x:c r="S349" s="14" t="n">
        <x:v>2026</x:v>
      </x:c>
      <x:c r="T349" s="14" t="n">
        <x:v>2026</x:v>
      </x:c>
      <x:c r="U349" s="14" t="str">
        <x:v>Explicit source first year retained</x:v>
      </x:c>
      <x:c r="V349" s="14" t="str">
        <x:v>Earliest supplied year is 2026.</x:v>
      </x:c>
      <x:c r="W349" s="14"/>
      <x:c r="X349" s="14" t="str">
        <x:v>Excluded: after 2025</x:v>
      </x:c>
      <x:c r="Y349" s="14"/>
      <x:c r="Z349" s="14" t="str">
        <x:v>The Hardacres.docx</x:v>
      </x:c>
      <x:c r="AA349" s="14" t="str">
        <x:v>HYPERLINK is not implemented. linkLocation=https://www.imdb.com/title/tt28489780/fullcredits/, friendlyName=Open source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Channel 5 / 5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7" t="e">
        <x:f>HYPERLINK("https://en.wikipedia.org/wiki/The_Hardacres","Open source")</x:f>
        <x:v>HYPERLINK is not implemented. linkLocation=https://en.wikipedia.org/wiki/The_Hardacres, friendlyName=Open source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 t="str">
        <x:v>No established-register match</x:v>
      </x:c>
      <x:c r="AT349" s="14"/>
      <x:c r="AU349" s="14"/>
      <x:c r="AV349" s="14" t="str">
        <x:v>No established apparent-disability match</x:v>
      </x:c>
      <x:c r="AW349" s="14"/>
      <x:c r="AX349" s="14" t="str">
        <x:v>No</x:v>
      </x:c>
      <x:c r="AY349" s="14" t="str">
        <x:v>Unmatched</x:v>
      </x:c>
      <x:c r="AZ349" s="14" t="str">
        <x:v>Final supplied register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12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1</x:v>
      </x:c>
      <x:c r="BS349" s="16" t="n">
        <x:v>0.08333333333333333</x:v>
      </x:c>
      <x:c r="BT349" s="14" t="str">
        <x:v>One episode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4" t="str">
        <x:v>HYPERLINK is not implemented. linkLocation=https://www.imdb.com/title/tt28489780/fullcredits/, friendlyName=Open source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tt28489780|nm1063623|agatha devon</x:v>
      </x:c>
      <x:c r="B350" s="14" t="str">
        <x:v>04</x:v>
      </x:c>
      <x:c r="C350" s="14" t="str">
        <x:v>2024_IMDb_Cast_Lists_Batch_04(1).xlsx</x:v>
      </x:c>
      <x:c r="D350" s="14" t="str">
        <x:v>The Hardacres</x:v>
      </x:c>
      <x:c r="E350" s="14" t="n">
        <x:v>50</x:v>
      </x:c>
      <x:c r="F350" s="14" t="str">
        <x:v>The Hardacres</x:v>
      </x:c>
      <x:c r="G350" s="14" t="str">
        <x:v>tt28489780</x:v>
      </x:c>
      <x:c r="H350" s="14" t="n">
        <x:v>2024</x:v>
      </x:c>
      <x:c r="I350" s="14" t="n">
        <x:v>2025</x:v>
      </x:c>
      <x:c r="J350" s="14" t="str">
        <x:v>Post-study cohort</x:v>
      </x:c>
      <x:c r="K350" s="14" t="n">
        <x:v>2024</x:v>
      </x:c>
      <x:c r="L350" s="14" t="str">
        <x:v>Not inherited</x:v>
      </x:c>
      <x:c r="M350" s="15" t="n">
        <x:v>43</x:v>
      </x:c>
      <x:c r="N350" s="14" t="str">
        <x:v>Kathleen Warner Yeates</x:v>
      </x:c>
      <x:c r="O350" s="14" t="str">
        <x:v>nm1063623</x:v>
      </x:c>
      <x:c r="P350" s="14" t="str">
        <x:v>Agatha Devon</x:v>
      </x:c>
      <x:c r="Q350" s="15" t="n">
        <x:v>1</x:v>
      </x:c>
      <x:c r="R350" s="14" t="str">
        <x:v>2026</x:v>
      </x:c>
      <x:c r="S350" s="14" t="n">
        <x:v>2026</x:v>
      </x:c>
      <x:c r="T350" s="14" t="n">
        <x:v>2026</x:v>
      </x:c>
      <x:c r="U350" s="14" t="str">
        <x:v>Explicit source first year retained</x:v>
      </x:c>
      <x:c r="V350" s="14" t="str">
        <x:v>Earliest supplied year is 2026.</x:v>
      </x:c>
      <x:c r="W350" s="14"/>
      <x:c r="X350" s="14" t="str">
        <x:v>Excluded: after 2025</x:v>
      </x:c>
      <x:c r="Y350" s="14"/>
      <x:c r="Z350" s="14" t="str">
        <x:v>The Hardacres.docx</x:v>
      </x:c>
      <x:c r="AA350" s="14" t="str">
        <x:v>HYPERLINK is not implemented. linkLocation=https://www.imdb.com/title/tt28489780/fullcredits/, friendlyName=Open source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Channel 5 / 5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7" t="e">
        <x:f>HYPERLINK("https://en.wikipedia.org/wiki/The_Hardacres","Open source")</x:f>
        <x:v>HYPERLINK is not implemented. linkLocation=https://en.wikipedia.org/wiki/The_Hardacres, friendlyName=Open source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 t="str">
        <x:v>No established-register match</x:v>
      </x:c>
      <x:c r="AT350" s="14"/>
      <x:c r="AU350" s="14"/>
      <x:c r="AV350" s="14" t="str">
        <x:v>No established apparent-disability match</x:v>
      </x:c>
      <x:c r="AW350" s="14"/>
      <x:c r="AX350" s="14" t="str">
        <x:v>No</x:v>
      </x:c>
      <x:c r="AY350" s="14" t="str">
        <x:v>Unmatched</x:v>
      </x:c>
      <x:c r="AZ350" s="14" t="str">
        <x:v>Final supplied register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12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1</x:v>
      </x:c>
      <x:c r="BS350" s="16" t="n">
        <x:v>0.08333333333333333</x:v>
      </x:c>
      <x:c r="BT350" s="14" t="str">
        <x:v>One episode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4" t="str">
        <x:v>HYPERLINK is not implemented. linkLocation=https://www.imdb.com/title/tt28489780/fullcredits/, friendlyName=Open source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tt28489780|nm2481125|donald willis</x:v>
      </x:c>
      <x:c r="B351" s="14" t="str">
        <x:v>04</x:v>
      </x:c>
      <x:c r="C351" s="14" t="str">
        <x:v>2024_IMDb_Cast_Lists_Batch_04(1).xlsx</x:v>
      </x:c>
      <x:c r="D351" s="14" t="str">
        <x:v>The Hardacres</x:v>
      </x:c>
      <x:c r="E351" s="14" t="n">
        <x:v>53</x:v>
      </x:c>
      <x:c r="F351" s="14" t="str">
        <x:v>The Hardacres</x:v>
      </x:c>
      <x:c r="G351" s="14" t="str">
        <x:v>tt28489780</x:v>
      </x:c>
      <x:c r="H351" s="14" t="n">
        <x:v>2024</x:v>
      </x:c>
      <x:c r="I351" s="14" t="n">
        <x:v>2025</x:v>
      </x:c>
      <x:c r="J351" s="14" t="str">
        <x:v>Post-study cohort</x:v>
      </x:c>
      <x:c r="K351" s="14" t="n">
        <x:v>2024</x:v>
      </x:c>
      <x:c r="L351" s="14" t="str">
        <x:v>Not inherited</x:v>
      </x:c>
      <x:c r="M351" s="15" t="n">
        <x:v>46</x:v>
      </x:c>
      <x:c r="N351" s="14" t="str">
        <x:v>Peter Ormond</x:v>
      </x:c>
      <x:c r="O351" s="14" t="str">
        <x:v>nm2481125</x:v>
      </x:c>
      <x:c r="P351" s="14" t="str">
        <x:v>Donald Willis</x:v>
      </x:c>
      <x:c r="Q351" s="15" t="n">
        <x:v>1</x:v>
      </x:c>
      <x:c r="R351" s="14" t="str">
        <x:v>2026</x:v>
      </x:c>
      <x:c r="S351" s="14" t="n">
        <x:v>2026</x:v>
      </x:c>
      <x:c r="T351" s="14" t="n">
        <x:v>2026</x:v>
      </x:c>
      <x:c r="U351" s="14" t="str">
        <x:v>Explicit source first year retained</x:v>
      </x:c>
      <x:c r="V351" s="14" t="str">
        <x:v>Earliest supplied year is 2026.</x:v>
      </x:c>
      <x:c r="W351" s="14"/>
      <x:c r="X351" s="14" t="str">
        <x:v>Excluded: after 2025</x:v>
      </x:c>
      <x:c r="Y351" s="14"/>
      <x:c r="Z351" s="14" t="str">
        <x:v>The Hardacres.docx</x:v>
      </x:c>
      <x:c r="AA351" s="14" t="str">
        <x:v>HYPERLINK is not implemented. linkLocation=https://www.imdb.com/title/tt28489780/fullcredits/, friendlyName=Open source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Channel 5 / 5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7" t="e">
        <x:f>HYPERLINK("https://en.wikipedia.org/wiki/The_Hardacres","Open source")</x:f>
        <x:v>HYPERLINK is not implemented. linkLocation=https://en.wikipedia.org/wiki/The_Hardacres, friendlyName=Open source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 t="str">
        <x:v>No established-register match</x:v>
      </x:c>
      <x:c r="AT351" s="14"/>
      <x:c r="AU351" s="14"/>
      <x:c r="AV351" s="14" t="str">
        <x:v>No established apparent-disability match</x:v>
      </x:c>
      <x:c r="AW351" s="14"/>
      <x:c r="AX351" s="14" t="str">
        <x:v>No</x:v>
      </x:c>
      <x:c r="AY351" s="14" t="str">
        <x:v>Unmatched</x:v>
      </x:c>
      <x:c r="AZ351" s="14" t="str">
        <x:v>Final supplied register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12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1</x:v>
      </x:c>
      <x:c r="BS351" s="16" t="n">
        <x:v>0.08333333333333333</x:v>
      </x:c>
      <x:c r="BT351" s="14" t="str">
        <x:v>One episode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4" t="str">
        <x:v>HYPERLINK is not implemented. linkLocation=https://www.imdb.com/title/tt28489780/fullcredits/, friendlyName=Open source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tt28489780|nm9077513|caroline devon</x:v>
      </x:c>
      <x:c r="B352" s="14" t="str">
        <x:v>04</x:v>
      </x:c>
      <x:c r="C352" s="14" t="str">
        <x:v>2024_IMDb_Cast_Lists_Batch_04(1).xlsx</x:v>
      </x:c>
      <x:c r="D352" s="14" t="str">
        <x:v>The Hardacres</x:v>
      </x:c>
      <x:c r="E352" s="14" t="n">
        <x:v>54</x:v>
      </x:c>
      <x:c r="F352" s="14" t="str">
        <x:v>The Hardacres</x:v>
      </x:c>
      <x:c r="G352" s="14" t="str">
        <x:v>tt28489780</x:v>
      </x:c>
      <x:c r="H352" s="14" t="n">
        <x:v>2024</x:v>
      </x:c>
      <x:c r="I352" s="14" t="n">
        <x:v>2025</x:v>
      </x:c>
      <x:c r="J352" s="14" t="str">
        <x:v>Post-study cohort</x:v>
      </x:c>
      <x:c r="K352" s="14" t="n">
        <x:v>2024</x:v>
      </x:c>
      <x:c r="L352" s="14" t="str">
        <x:v>Not inherited</x:v>
      </x:c>
      <x:c r="M352" s="15" t="n">
        <x:v>47</x:v>
      </x:c>
      <x:c r="N352" s="14" t="str">
        <x:v>Claire O'Donovan</x:v>
      </x:c>
      <x:c r="O352" s="14" t="str">
        <x:v>nm9077513</x:v>
      </x:c>
      <x:c r="P352" s="14" t="str">
        <x:v>Caroline Devon</x:v>
      </x:c>
      <x:c r="Q352" s="15" t="n">
        <x:v>1</x:v>
      </x:c>
      <x:c r="R352" s="14" t="str">
        <x:v>2026</x:v>
      </x:c>
      <x:c r="S352" s="14" t="n">
        <x:v>2026</x:v>
      </x:c>
      <x:c r="T352" s="14" t="n">
        <x:v>2026</x:v>
      </x:c>
      <x:c r="U352" s="14" t="str">
        <x:v>Explicit source first year retained</x:v>
      </x:c>
      <x:c r="V352" s="14" t="str">
        <x:v>Earliest supplied year is 2026.</x:v>
      </x:c>
      <x:c r="W352" s="14"/>
      <x:c r="X352" s="14" t="str">
        <x:v>Excluded: after 2025</x:v>
      </x:c>
      <x:c r="Y352" s="14"/>
      <x:c r="Z352" s="14" t="str">
        <x:v>The Hardacres.docx</x:v>
      </x:c>
      <x:c r="AA352" s="14" t="str">
        <x:v>HYPERLINK is not implemented. linkLocation=https://www.imdb.com/title/tt28489780/fullcredits/, friendlyName=Open source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Channel 5 / 5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7" t="e">
        <x:f>HYPERLINK("https://en.wikipedia.org/wiki/The_Hardacres","Open source")</x:f>
        <x:v>HYPERLINK is not implemented. linkLocation=https://en.wikipedia.org/wiki/The_Hardacres, friendlyName=Open source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 t="str">
        <x:v>No established-register match</x:v>
      </x:c>
      <x:c r="AT352" s="14"/>
      <x:c r="AU352" s="14"/>
      <x:c r="AV352" s="14" t="str">
        <x:v>No established apparent-disability match</x:v>
      </x:c>
      <x:c r="AW352" s="14"/>
      <x:c r="AX352" s="14" t="str">
        <x:v>No</x:v>
      </x:c>
      <x:c r="AY352" s="14" t="str">
        <x:v>Unmatched</x:v>
      </x:c>
      <x:c r="AZ352" s="14" t="str">
        <x:v>Final supplied register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12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1</x:v>
      </x:c>
      <x:c r="BS352" s="16" t="n">
        <x:v>0.08333333333333333</x:v>
      </x:c>
      <x:c r="BT352" s="14" t="str">
        <x:v>One episode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4" t="str">
        <x:v>HYPERLINK is not implemented. linkLocation=https://www.imdb.com/title/tt28489780/fullcredits/, friendlyName=Open source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tt28489780|nm18505802|albert</x:v>
      </x:c>
      <x:c r="B353" s="14" t="str">
        <x:v>04</x:v>
      </x:c>
      <x:c r="C353" s="14" t="str">
        <x:v>2024_IMDb_Cast_Lists_Batch_04(1).xlsx</x:v>
      </x:c>
      <x:c r="D353" s="14" t="str">
        <x:v>The Hardacres</x:v>
      </x:c>
      <x:c r="E353" s="14" t="n">
        <x:v>55</x:v>
      </x:c>
      <x:c r="F353" s="14" t="str">
        <x:v>The Hardacres</x:v>
      </x:c>
      <x:c r="G353" s="14" t="str">
        <x:v>tt28489780</x:v>
      </x:c>
      <x:c r="H353" s="14" t="n">
        <x:v>2024</x:v>
      </x:c>
      <x:c r="I353" s="14" t="n">
        <x:v>2025</x:v>
      </x:c>
      <x:c r="J353" s="14" t="str">
        <x:v>Post-study cohort</x:v>
      </x:c>
      <x:c r="K353" s="14" t="n">
        <x:v>2024</x:v>
      </x:c>
      <x:c r="L353" s="14" t="str">
        <x:v>Not inherited</x:v>
      </x:c>
      <x:c r="M353" s="15" t="n">
        <x:v>48</x:v>
      </x:c>
      <x:c r="N353" s="14" t="str">
        <x:v>Jamie Yeats-O’Neill</x:v>
      </x:c>
      <x:c r="O353" s="14" t="str">
        <x:v>nm18505802</x:v>
      </x:c>
      <x:c r="P353" s="14" t="str">
        <x:v>Albert</x:v>
      </x:c>
      <x:c r="Q353" s="15" t="n">
        <x:v>1</x:v>
      </x:c>
      <x:c r="R353" s="14" t="str">
        <x:v>2026</x:v>
      </x:c>
      <x:c r="S353" s="14" t="n">
        <x:v>2026</x:v>
      </x:c>
      <x:c r="T353" s="14" t="n">
        <x:v>2026</x:v>
      </x:c>
      <x:c r="U353" s="14" t="str">
        <x:v>Explicit source first year retained</x:v>
      </x:c>
      <x:c r="V353" s="14" t="str">
        <x:v>Earliest supplied year is 2026.</x:v>
      </x:c>
      <x:c r="W353" s="14"/>
      <x:c r="X353" s="14" t="str">
        <x:v>Excluded: after 2025</x:v>
      </x:c>
      <x:c r="Y353" s="14" t="str">
        <x:v>(as Jaime O'Neill)</x:v>
      </x:c>
      <x:c r="Z353" s="14" t="str">
        <x:v>The Hardacres.docx</x:v>
      </x:c>
      <x:c r="AA353" s="14" t="str">
        <x:v>HYPERLINK is not implemented. linkLocation=https://www.imdb.com/title/tt28489780/fullcredits/, friendlyName=Open source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Channel 5 / 5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7" t="e">
        <x:f>HYPERLINK("https://en.wikipedia.org/wiki/The_Hardacres","Open source")</x:f>
        <x:v>HYPERLINK is not implemented. linkLocation=https://en.wikipedia.org/wiki/The_Hardacres, friendlyName=Open source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 t="str">
        <x:v>No established-register match</x:v>
      </x:c>
      <x:c r="AT353" s="14"/>
      <x:c r="AU353" s="14"/>
      <x:c r="AV353" s="14" t="str">
        <x:v>No established apparent-disability match</x:v>
      </x:c>
      <x:c r="AW353" s="14"/>
      <x:c r="AX353" s="14" t="str">
        <x:v>No</x:v>
      </x:c>
      <x:c r="AY353" s="14" t="str">
        <x:v>Unmatched</x:v>
      </x:c>
      <x:c r="AZ353" s="14" t="str">
        <x:v>Final supplied register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12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1</x:v>
      </x:c>
      <x:c r="BS353" s="16" t="n">
        <x:v>0.08333333333333333</x:v>
      </x:c>
      <x:c r="BT353" s="14" t="str">
        <x:v>One episode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4" t="str">
        <x:v>HYPERLINK is not implemented. linkLocation=https://www.imdb.com/title/tt28489780/fullcredits/, friendlyName=Open source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tt27950663|nm1154650|ryan</x:v>
      </x:c>
      <x:c r="B354" s="14" t="str">
        <x:v>05</x:v>
      </x:c>
      <x:c r="C354" s="14" t="str">
        <x:v>2024_IMDb_Cast_Lists_Batch_05(1).xlsx</x:v>
      </x:c>
      <x:c r="D354" s="14" t="str">
        <x:v>The Marlow Murder Club</x:v>
      </x:c>
      <x:c r="E354" s="14" t="n">
        <x:v>35</x:v>
      </x:c>
      <x:c r="F354" s="14" t="str">
        <x:v>The Marlow Murder Club</x:v>
      </x:c>
      <x:c r="G354" s="14" t="str">
        <x:v>tt27950663</x:v>
      </x:c>
      <x:c r="H354" s="14" t="n">
        <x:v>2024</x:v>
      </x:c>
      <x:c r="I354" s="14" t="n">
        <x:v>2025</x:v>
      </x:c>
      <x:c r="J354" s="14" t="str">
        <x:v>Post-study cohort</x:v>
      </x:c>
      <x:c r="K354" s="14" t="n">
        <x:v>2024</x:v>
      </x:c>
      <x:c r="L354" s="14" t="str">
        <x:v>Not inherited</x:v>
      </x:c>
      <x:c r="M354" s="15" t="n">
        <x:v>28</x:v>
      </x:c>
      <x:c r="N354" s="14" t="str">
        <x:v>Samuel Barnett</x:v>
      </x:c>
      <x:c r="O354" s="14" t="str">
        <x:v>nm1154650</x:v>
      </x:c>
      <x:c r="P354" s="14" t="str">
        <x:v>Ryan</x:v>
      </x:c>
      <x:c r="Q354" s="15" t="n">
        <x:v>2</x:v>
      </x:c>
      <x:c r="R354" s="14" t="str">
        <x:v>2026</x:v>
      </x:c>
      <x:c r="S354" s="14" t="n">
        <x:v>2026</x:v>
      </x:c>
      <x:c r="T354" s="14" t="n">
        <x:v>2026</x:v>
      </x:c>
      <x:c r="U354" s="14" t="str">
        <x:v>Explicit source first year retained</x:v>
      </x:c>
      <x:c r="V354" s="14" t="str">
        <x:v>Earliest supplied year is 2026.</x:v>
      </x:c>
      <x:c r="W354" s="14"/>
      <x:c r="X354" s="14" t="str">
        <x:v>Excluded: after 2025</x:v>
      </x:c>
      <x:c r="Y354" s="14"/>
      <x:c r="Z354" s="14" t="str">
        <x:v>The Marlow Murder Club.docx</x:v>
      </x:c>
      <x:c r="AA354" s="14" t="str">
        <x:v>HYPERLINK is not implemented. linkLocation=https://www.imdb.com/title/tt27950663/fullcredits/, friendlyName=Open source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Channel 5 / 5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7" t="e">
        <x:f>HYPERLINK("https://en.wikipedia.org/wiki/Robert_Thorogood","Open source")</x:f>
        <x:v>HYPERLINK is not implemented. linkLocation=https://en.wikipedia.org/wiki/Robert_Thorogood, friendlyName=Open source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 t="str">
        <x:v>No established-register match</x:v>
      </x:c>
      <x:c r="AT354" s="14"/>
      <x:c r="AU354" s="14"/>
      <x:c r="AV354" s="14" t="str">
        <x:v>No established apparent-disability match</x:v>
      </x:c>
      <x:c r="AW354" s="14"/>
      <x:c r="AX354" s="14" t="str">
        <x:v>No</x:v>
      </x:c>
      <x:c r="AY354" s="14" t="str">
        <x:v>Unmatched</x:v>
      </x:c>
      <x:c r="AZ354" s="14" t="str">
        <x:v>Final supplied register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22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2</x:v>
      </x:c>
      <x:c r="BS354" s="16" t="n">
        <x:v>0.09090909090909091</x:v>
      </x:c>
      <x:c r="BT354" s="14" t="str">
        <x:v>Minority of episodes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4" t="str">
        <x:v>HYPERLINK is not implemented. linkLocation=https://www.imdb.com/title/tt27950663/fullcredits/, friendlyName=Open source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tt27950663|nm0018729|sophia</x:v>
      </x:c>
      <x:c r="B355" s="14" t="str">
        <x:v>05</x:v>
      </x:c>
      <x:c r="C355" s="14" t="str">
        <x:v>2024_IMDb_Cast_Lists_Batch_05(1).xlsx</x:v>
      </x:c>
      <x:c r="D355" s="14" t="str">
        <x:v>The Marlow Murder Club</x:v>
      </x:c>
      <x:c r="E355" s="14" t="n">
        <x:v>37</x:v>
      </x:c>
      <x:c r="F355" s="14" t="str">
        <x:v>The Marlow Murder Club</x:v>
      </x:c>
      <x:c r="G355" s="14" t="str">
        <x:v>tt27950663</x:v>
      </x:c>
      <x:c r="H355" s="14" t="n">
        <x:v>2024</x:v>
      </x:c>
      <x:c r="I355" s="14" t="n">
        <x:v>2025</x:v>
      </x:c>
      <x:c r="J355" s="14" t="str">
        <x:v>Post-study cohort</x:v>
      </x:c>
      <x:c r="K355" s="14" t="n">
        <x:v>2024</x:v>
      </x:c>
      <x:c r="L355" s="14" t="str">
        <x:v>Not inherited</x:v>
      </x:c>
      <x:c r="M355" s="15" t="n">
        <x:v>30</x:v>
      </x:c>
      <x:c r="N355" s="14" t="str">
        <x:v>Sarah Alexander</x:v>
      </x:c>
      <x:c r="O355" s="14" t="str">
        <x:v>nm0018729</x:v>
      </x:c>
      <x:c r="P355" s="14" t="str">
        <x:v>Sophia</x:v>
      </x:c>
      <x:c r="Q355" s="15" t="n">
        <x:v>2</x:v>
      </x:c>
      <x:c r="R355" s="14" t="str">
        <x:v>2026</x:v>
      </x:c>
      <x:c r="S355" s="14" t="n">
        <x:v>2026</x:v>
      </x:c>
      <x:c r="T355" s="14" t="n">
        <x:v>2026</x:v>
      </x:c>
      <x:c r="U355" s="14" t="str">
        <x:v>Explicit source first year retained</x:v>
      </x:c>
      <x:c r="V355" s="14" t="str">
        <x:v>Earliest supplied year is 2026.</x:v>
      </x:c>
      <x:c r="W355" s="14"/>
      <x:c r="X355" s="14" t="str">
        <x:v>Excluded: after 2025</x:v>
      </x:c>
      <x:c r="Y355" s="14"/>
      <x:c r="Z355" s="14" t="str">
        <x:v>The Marlow Murder Club.docx</x:v>
      </x:c>
      <x:c r="AA355" s="14" t="str">
        <x:v>HYPERLINK is not implemented. linkLocation=https://www.imdb.com/title/tt27950663/fullcredits/, friendlyName=Open source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Channel 5 / 5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7" t="e">
        <x:f>HYPERLINK("https://en.wikipedia.org/wiki/Robert_Thorogood","Open source")</x:f>
        <x:v>HYPERLINK is not implemented. linkLocation=https://en.wikipedia.org/wiki/Robert_Thorogood, friendlyName=Open source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 t="str">
        <x:v>No established-register match</x:v>
      </x:c>
      <x:c r="AT355" s="14"/>
      <x:c r="AU355" s="14"/>
      <x:c r="AV355" s="14" t="str">
        <x:v>No established apparent-disability match</x:v>
      </x:c>
      <x:c r="AW355" s="14"/>
      <x:c r="AX355" s="14" t="str">
        <x:v>No</x:v>
      </x:c>
      <x:c r="AY355" s="14" t="str">
        <x:v>Unmatched</x:v>
      </x:c>
      <x:c r="AZ355" s="14" t="str">
        <x:v>Final supplied register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22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2</x:v>
      </x:c>
      <x:c r="BS355" s="16" t="n">
        <x:v>0.09090909090909091</x:v>
      </x:c>
      <x:c r="BT355" s="14" t="str">
        <x:v>Minority of episodes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4" t="str">
        <x:v>HYPERLINK is not implemented. linkLocation=https://www.imdb.com/title/tt27950663/fullcredits/, friendlyName=Open source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tt27950663|nm9809067|guy the builder</x:v>
      </x:c>
      <x:c r="B356" s="14" t="str">
        <x:v>05</x:v>
      </x:c>
      <x:c r="C356" s="14" t="str">
        <x:v>2024_IMDb_Cast_Lists_Batch_05(1).xlsx</x:v>
      </x:c>
      <x:c r="D356" s="14" t="str">
        <x:v>The Marlow Murder Club</x:v>
      </x:c>
      <x:c r="E356" s="14" t="n">
        <x:v>39</x:v>
      </x:c>
      <x:c r="F356" s="14" t="str">
        <x:v>The Marlow Murder Club</x:v>
      </x:c>
      <x:c r="G356" s="14" t="str">
        <x:v>tt27950663</x:v>
      </x:c>
      <x:c r="H356" s="14" t="n">
        <x:v>2024</x:v>
      </x:c>
      <x:c r="I356" s="14" t="n">
        <x:v>2025</x:v>
      </x:c>
      <x:c r="J356" s="14" t="str">
        <x:v>Post-study cohort</x:v>
      </x:c>
      <x:c r="K356" s="14" t="n">
        <x:v>2024</x:v>
      </x:c>
      <x:c r="L356" s="14" t="str">
        <x:v>Not inherited</x:v>
      </x:c>
      <x:c r="M356" s="15" t="n">
        <x:v>32</x:v>
      </x:c>
      <x:c r="N356" s="14" t="str">
        <x:v>Esmonde Cole</x:v>
      </x:c>
      <x:c r="O356" s="14" t="str">
        <x:v>nm9809067</x:v>
      </x:c>
      <x:c r="P356" s="14" t="str">
        <x:v>Guy the Builder</x:v>
      </x:c>
      <x:c r="Q356" s="15" t="n">
        <x:v>2</x:v>
      </x:c>
      <x:c r="R356" s="14" t="str">
        <x:v>2026</x:v>
      </x:c>
      <x:c r="S356" s="14" t="n">
        <x:v>2026</x:v>
      </x:c>
      <x:c r="T356" s="14" t="n">
        <x:v>2026</x:v>
      </x:c>
      <x:c r="U356" s="14" t="str">
        <x:v>Explicit source first year retained</x:v>
      </x:c>
      <x:c r="V356" s="14" t="str">
        <x:v>Earliest supplied year is 2026.</x:v>
      </x:c>
      <x:c r="W356" s="14"/>
      <x:c r="X356" s="14" t="str">
        <x:v>Excluded: after 2025</x:v>
      </x:c>
      <x:c r="Y356" s="14"/>
      <x:c r="Z356" s="14" t="str">
        <x:v>The Marlow Murder Club.docx</x:v>
      </x:c>
      <x:c r="AA356" s="14" t="str">
        <x:v>HYPERLINK is not implemented. linkLocation=https://www.imdb.com/title/tt27950663/fullcredits/, friendlyName=Open source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Channel 5 / 5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7" t="e">
        <x:f>HYPERLINK("https://en.wikipedia.org/wiki/Robert_Thorogood","Open source")</x:f>
        <x:v>HYPERLINK is not implemented. linkLocation=https://en.wikipedia.org/wiki/Robert_Thorogood, friendlyName=Open source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 t="str">
        <x:v>No established-register match</x:v>
      </x:c>
      <x:c r="AT356" s="14"/>
      <x:c r="AU356" s="14"/>
      <x:c r="AV356" s="14" t="str">
        <x:v>No established apparent-disability match</x:v>
      </x:c>
      <x:c r="AW356" s="14"/>
      <x:c r="AX356" s="14" t="str">
        <x:v>No</x:v>
      </x:c>
      <x:c r="AY356" s="14" t="str">
        <x:v>Unmatched</x:v>
      </x:c>
      <x:c r="AZ356" s="14" t="str">
        <x:v>Final supplied register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22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2</x:v>
      </x:c>
      <x:c r="BS356" s="16" t="n">
        <x:v>0.09090909090909091</x:v>
      </x:c>
      <x:c r="BT356" s="14" t="str">
        <x:v>Minority of episodes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4" t="str">
        <x:v>HYPERLINK is not implemented. linkLocation=https://www.imdb.com/title/tt27950663/fullcredits/, friendlyName=Open source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tt27950663|nm6514395|omari joseph</x:v>
      </x:c>
      <x:c r="B357" s="14" t="str">
        <x:v>05</x:v>
      </x:c>
      <x:c r="C357" s="14" t="str">
        <x:v>2024_IMDb_Cast_Lists_Batch_05(1).xlsx</x:v>
      </x:c>
      <x:c r="D357" s="14" t="str">
        <x:v>The Marlow Murder Club</x:v>
      </x:c>
      <x:c r="E357" s="14" t="n">
        <x:v>40</x:v>
      </x:c>
      <x:c r="F357" s="14" t="str">
        <x:v>The Marlow Murder Club</x:v>
      </x:c>
      <x:c r="G357" s="14" t="str">
        <x:v>tt27950663</x:v>
      </x:c>
      <x:c r="H357" s="14" t="n">
        <x:v>2024</x:v>
      </x:c>
      <x:c r="I357" s="14" t="n">
        <x:v>2025</x:v>
      </x:c>
      <x:c r="J357" s="14" t="str">
        <x:v>Post-study cohort</x:v>
      </x:c>
      <x:c r="K357" s="14" t="n">
        <x:v>2024</x:v>
      </x:c>
      <x:c r="L357" s="14" t="str">
        <x:v>Not inherited</x:v>
      </x:c>
      <x:c r="M357" s="15" t="n">
        <x:v>33</x:v>
      </x:c>
      <x:c r="N357" s="14" t="str">
        <x:v>Jason Forbes</x:v>
      </x:c>
      <x:c r="O357" s="14" t="str">
        <x:v>nm6514395</x:v>
      </x:c>
      <x:c r="P357" s="14" t="str">
        <x:v>Omari Joseph</x:v>
      </x:c>
      <x:c r="Q357" s="15" t="n">
        <x:v>2</x:v>
      </x:c>
      <x:c r="R357" s="14" t="str">
        <x:v>2026</x:v>
      </x:c>
      <x:c r="S357" s="14" t="n">
        <x:v>2026</x:v>
      </x:c>
      <x:c r="T357" s="14" t="n">
        <x:v>2026</x:v>
      </x:c>
      <x:c r="U357" s="14" t="str">
        <x:v>Explicit source first year retained</x:v>
      </x:c>
      <x:c r="V357" s="14" t="str">
        <x:v>Earliest supplied year is 2026.</x:v>
      </x:c>
      <x:c r="W357" s="14"/>
      <x:c r="X357" s="14" t="str">
        <x:v>Excluded: after 2025</x:v>
      </x:c>
      <x:c r="Y357" s="14"/>
      <x:c r="Z357" s="14" t="str">
        <x:v>The Marlow Murder Club.docx</x:v>
      </x:c>
      <x:c r="AA357" s="14" t="str">
        <x:v>HYPERLINK is not implemented. linkLocation=https://www.imdb.com/title/tt27950663/fullcredits/, friendlyName=Open source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Channel 5 / 5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7" t="e">
        <x:f>HYPERLINK("https://en.wikipedia.org/wiki/Robert_Thorogood","Open source")</x:f>
        <x:v>HYPERLINK is not implemented. linkLocation=https://en.wikipedia.org/wiki/Robert_Thorogood, friendlyName=Open source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 t="str">
        <x:v>No established-register match</x:v>
      </x:c>
      <x:c r="AT357" s="14"/>
      <x:c r="AU357" s="14"/>
      <x:c r="AV357" s="14" t="str">
        <x:v>No established apparent-disability match</x:v>
      </x:c>
      <x:c r="AW357" s="14"/>
      <x:c r="AX357" s="14" t="str">
        <x:v>No</x:v>
      </x:c>
      <x:c r="AY357" s="14" t="str">
        <x:v>Unmatched</x:v>
      </x:c>
      <x:c r="AZ357" s="14" t="str">
        <x:v>Final supplied register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22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2</x:v>
      </x:c>
      <x:c r="BS357" s="16" t="n">
        <x:v>0.09090909090909091</x:v>
      </x:c>
      <x:c r="BT357" s="14" t="str">
        <x:v>Minority of episodes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4" t="str">
        <x:v>HYPERLINK is not implemented. linkLocation=https://www.imdb.com/title/tt27950663/fullcredits/, friendlyName=Open source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tt27950663|nm0090236|debbie</x:v>
      </x:c>
      <x:c r="B358" s="14" t="str">
        <x:v>05</x:v>
      </x:c>
      <x:c r="C358" s="14" t="str">
        <x:v>2024_IMDb_Cast_Lists_Batch_05(1).xlsx</x:v>
      </x:c>
      <x:c r="D358" s="14" t="str">
        <x:v>The Marlow Murder Club</x:v>
      </x:c>
      <x:c r="E358" s="14" t="n">
        <x:v>42</x:v>
      </x:c>
      <x:c r="F358" s="14" t="str">
        <x:v>The Marlow Murder Club</x:v>
      </x:c>
      <x:c r="G358" s="14" t="str">
        <x:v>tt27950663</x:v>
      </x:c>
      <x:c r="H358" s="14" t="n">
        <x:v>2024</x:v>
      </x:c>
      <x:c r="I358" s="14" t="n">
        <x:v>2025</x:v>
      </x:c>
      <x:c r="J358" s="14" t="str">
        <x:v>Post-study cohort</x:v>
      </x:c>
      <x:c r="K358" s="14" t="n">
        <x:v>2024</x:v>
      </x:c>
      <x:c r="L358" s="14" t="str">
        <x:v>Not inherited</x:v>
      </x:c>
      <x:c r="M358" s="15" t="n">
        <x:v>35</x:v>
      </x:c>
      <x:c r="N358" s="14" t="str">
        <x:v>Jacqueline Boatswain</x:v>
      </x:c>
      <x:c r="O358" s="14" t="str">
        <x:v>nm0090236</x:v>
      </x:c>
      <x:c r="P358" s="14" t="str">
        <x:v>Debbie</x:v>
      </x:c>
      <x:c r="Q358" s="15" t="n">
        <x:v>2</x:v>
      </x:c>
      <x:c r="R358" s="14" t="str">
        <x:v>2026</x:v>
      </x:c>
      <x:c r="S358" s="14" t="n">
        <x:v>2026</x:v>
      </x:c>
      <x:c r="T358" s="14" t="n">
        <x:v>2026</x:v>
      </x:c>
      <x:c r="U358" s="14" t="str">
        <x:v>Explicit source first year retained</x:v>
      </x:c>
      <x:c r="V358" s="14" t="str">
        <x:v>Earliest supplied year is 2026.</x:v>
      </x:c>
      <x:c r="W358" s="14"/>
      <x:c r="X358" s="14" t="str">
        <x:v>Excluded: after 2025</x:v>
      </x:c>
      <x:c r="Y358" s="14"/>
      <x:c r="Z358" s="14" t="str">
        <x:v>The Marlow Murder Club.docx</x:v>
      </x:c>
      <x:c r="AA358" s="14" t="str">
        <x:v>HYPERLINK is not implemented. linkLocation=https://www.imdb.com/title/tt27950663/fullcredits/, friendlyName=Open source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Channel 5 / 5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7" t="e">
        <x:f>HYPERLINK("https://en.wikipedia.org/wiki/Robert_Thorogood","Open source")</x:f>
        <x:v>HYPERLINK is not implemented. linkLocation=https://en.wikipedia.org/wiki/Robert_Thorogood, friendlyName=Open source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 t="str">
        <x:v>No established-register match</x:v>
      </x:c>
      <x:c r="AT358" s="14"/>
      <x:c r="AU358" s="14"/>
      <x:c r="AV358" s="14" t="str">
        <x:v>No established apparent-disability match</x:v>
      </x:c>
      <x:c r="AW358" s="14"/>
      <x:c r="AX358" s="14" t="str">
        <x:v>No</x:v>
      </x:c>
      <x:c r="AY358" s="14" t="str">
        <x:v>Unmatched</x:v>
      </x:c>
      <x:c r="AZ358" s="14" t="str">
        <x:v>Final supplied register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22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2</x:v>
      </x:c>
      <x:c r="BS358" s="16" t="n">
        <x:v>0.09090909090909091</x:v>
      </x:c>
      <x:c r="BT358" s="14" t="str">
        <x:v>Minority of episodes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4" t="str">
        <x:v>HYPERLINK is not implemented. linkLocation=https://www.imdb.com/title/tt27950663/fullcredits/, friendlyName=Open source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tt27950663|nm1573210|cal merson</x:v>
      </x:c>
      <x:c r="B359" s="14" t="str">
        <x:v>05</x:v>
      </x:c>
      <x:c r="C359" s="14" t="str">
        <x:v>2024_IMDb_Cast_Lists_Batch_05(1).xlsx</x:v>
      </x:c>
      <x:c r="D359" s="14" t="str">
        <x:v>The Marlow Murder Club</x:v>
      </x:c>
      <x:c r="E359" s="14" t="n">
        <x:v>47</x:v>
      </x:c>
      <x:c r="F359" s="14" t="str">
        <x:v>The Marlow Murder Club</x:v>
      </x:c>
      <x:c r="G359" s="14" t="str">
        <x:v>tt27950663</x:v>
      </x:c>
      <x:c r="H359" s="14" t="n">
        <x:v>2024</x:v>
      </x:c>
      <x:c r="I359" s="14" t="n">
        <x:v>2025</x:v>
      </x:c>
      <x:c r="J359" s="14" t="str">
        <x:v>Post-study cohort</x:v>
      </x:c>
      <x:c r="K359" s="14" t="n">
        <x:v>2024</x:v>
      </x:c>
      <x:c r="L359" s="14" t="str">
        <x:v>Not inherited</x:v>
      </x:c>
      <x:c r="M359" s="15" t="n">
        <x:v>40</x:v>
      </x:c>
      <x:c r="N359" s="14" t="str">
        <x:v>Robert Lonsdale</x:v>
      </x:c>
      <x:c r="O359" s="14" t="str">
        <x:v>nm1573210</x:v>
      </x:c>
      <x:c r="P359" s="14" t="str">
        <x:v>Cal Merson</x:v>
      </x:c>
      <x:c r="Q359" s="15" t="n">
        <x:v>2</x:v>
      </x:c>
      <x:c r="R359" s="14" t="str">
        <x:v>2026</x:v>
      </x:c>
      <x:c r="S359" s="14" t="n">
        <x:v>2026</x:v>
      </x:c>
      <x:c r="T359" s="14" t="n">
        <x:v>2026</x:v>
      </x:c>
      <x:c r="U359" s="14" t="str">
        <x:v>Explicit source first year retained</x:v>
      </x:c>
      <x:c r="V359" s="14" t="str">
        <x:v>Earliest supplied year is 2026.</x:v>
      </x:c>
      <x:c r="W359" s="14"/>
      <x:c r="X359" s="14" t="str">
        <x:v>Excluded: after 2025</x:v>
      </x:c>
      <x:c r="Y359" s="14"/>
      <x:c r="Z359" s="14" t="str">
        <x:v>The Marlow Murder Club.docx</x:v>
      </x:c>
      <x:c r="AA359" s="14" t="str">
        <x:v>HYPERLINK is not implemented. linkLocation=https://www.imdb.com/title/tt27950663/fullcredits/, friendlyName=Open source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Channel 5 / 5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7" t="e">
        <x:f>HYPERLINK("https://en.wikipedia.org/wiki/Robert_Thorogood","Open source")</x:f>
        <x:v>HYPERLINK is not implemented. linkLocation=https://en.wikipedia.org/wiki/Robert_Thorogood, friendlyName=Open source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 t="str">
        <x:v>No established-register match</x:v>
      </x:c>
      <x:c r="AT359" s="14"/>
      <x:c r="AU359" s="14"/>
      <x:c r="AV359" s="14" t="str">
        <x:v>No established apparent-disability match</x:v>
      </x:c>
      <x:c r="AW359" s="14"/>
      <x:c r="AX359" s="14" t="str">
        <x:v>No</x:v>
      </x:c>
      <x:c r="AY359" s="14" t="str">
        <x:v>Unmatched</x:v>
      </x:c>
      <x:c r="AZ359" s="14" t="str">
        <x:v>Final supplied register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22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2</x:v>
      </x:c>
      <x:c r="BS359" s="16" t="n">
        <x:v>0.09090909090909091</x:v>
      </x:c>
      <x:c r="BT359" s="14" t="str">
        <x:v>Minority of episodes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4" t="str">
        <x:v>HYPERLINK is not implemented. linkLocation=https://www.imdb.com/title/tt27950663/fullcredits/, friendlyName=Open source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tt27950663|nm0256960|hector</x:v>
      </x:c>
      <x:c r="B360" s="14" t="str">
        <x:v>05</x:v>
      </x:c>
      <x:c r="C360" s="14" t="str">
        <x:v>2024_IMDb_Cast_Lists_Batch_05(1).xlsx</x:v>
      </x:c>
      <x:c r="D360" s="14" t="str">
        <x:v>The Marlow Murder Club</x:v>
      </x:c>
      <x:c r="E360" s="14" t="n">
        <x:v>48</x:v>
      </x:c>
      <x:c r="F360" s="14" t="str">
        <x:v>The Marlow Murder Club</x:v>
      </x:c>
      <x:c r="G360" s="14" t="str">
        <x:v>tt27950663</x:v>
      </x:c>
      <x:c r="H360" s="14" t="n">
        <x:v>2024</x:v>
      </x:c>
      <x:c r="I360" s="14" t="n">
        <x:v>2025</x:v>
      </x:c>
      <x:c r="J360" s="14" t="str">
        <x:v>Post-study cohort</x:v>
      </x:c>
      <x:c r="K360" s="14" t="n">
        <x:v>2024</x:v>
      </x:c>
      <x:c r="L360" s="14" t="str">
        <x:v>Not inherited</x:v>
      </x:c>
      <x:c r="M360" s="15" t="n">
        <x:v>41</x:v>
      </x:c>
      <x:c r="N360" s="14" t="str">
        <x:v>Harry Enfield</x:v>
      </x:c>
      <x:c r="O360" s="14" t="str">
        <x:v>nm0256960</x:v>
      </x:c>
      <x:c r="P360" s="14" t="str">
        <x:v>Hector</x:v>
      </x:c>
      <x:c r="Q360" s="15" t="n">
        <x:v>2</x:v>
      </x:c>
      <x:c r="R360" s="14" t="str">
        <x:v>2026</x:v>
      </x:c>
      <x:c r="S360" s="14" t="n">
        <x:v>2026</x:v>
      </x:c>
      <x:c r="T360" s="14" t="n">
        <x:v>2026</x:v>
      </x:c>
      <x:c r="U360" s="14" t="str">
        <x:v>Explicit source first year retained</x:v>
      </x:c>
      <x:c r="V360" s="14" t="str">
        <x:v>Earliest supplied year is 2026.</x:v>
      </x:c>
      <x:c r="W360" s="14"/>
      <x:c r="X360" s="14" t="str">
        <x:v>Excluded: after 2025</x:v>
      </x:c>
      <x:c r="Y360" s="14"/>
      <x:c r="Z360" s="14" t="str">
        <x:v>The Marlow Murder Club.docx</x:v>
      </x:c>
      <x:c r="AA360" s="14" t="str">
        <x:v>HYPERLINK is not implemented. linkLocation=https://www.imdb.com/title/tt27950663/fullcredits/, friendlyName=Open source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Channel 5 / 5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7" t="e">
        <x:f>HYPERLINK("https://en.wikipedia.org/wiki/Robert_Thorogood","Open source")</x:f>
        <x:v>HYPERLINK is not implemented. linkLocation=https://en.wikipedia.org/wiki/Robert_Thorogood, friendlyName=Open source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 t="str">
        <x:v>No established-register match</x:v>
      </x:c>
      <x:c r="AT360" s="14"/>
      <x:c r="AU360" s="14"/>
      <x:c r="AV360" s="14" t="str">
        <x:v>No established apparent-disability match</x:v>
      </x:c>
      <x:c r="AW360" s="14"/>
      <x:c r="AX360" s="14" t="str">
        <x:v>No</x:v>
      </x:c>
      <x:c r="AY360" s="14" t="str">
        <x:v>Unmatched</x:v>
      </x:c>
      <x:c r="AZ360" s="14" t="str">
        <x:v>Final supplied register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22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2</x:v>
      </x:c>
      <x:c r="BS360" s="16" t="n">
        <x:v>0.09090909090909091</x:v>
      </x:c>
      <x:c r="BT360" s="14" t="str">
        <x:v>Minority of episodes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4" t="str">
        <x:v>HYPERLINK is not implemented. linkLocation=https://www.imdb.com/title/tt27950663/fullcredits/, friendlyName=Open source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tt27950663|nm0205749|geoffrey</x:v>
      </x:c>
      <x:c r="B361" s="14" t="str">
        <x:v>05</x:v>
      </x:c>
      <x:c r="C361" s="14" t="str">
        <x:v>2024_IMDb_Cast_Lists_Batch_05(1).xlsx</x:v>
      </x:c>
      <x:c r="D361" s="14" t="str">
        <x:v>The Marlow Murder Club</x:v>
      </x:c>
      <x:c r="E361" s="14" t="n">
        <x:v>49</x:v>
      </x:c>
      <x:c r="F361" s="14" t="str">
        <x:v>The Marlow Murder Club</x:v>
      </x:c>
      <x:c r="G361" s="14" t="str">
        <x:v>tt27950663</x:v>
      </x:c>
      <x:c r="H361" s="14" t="n">
        <x:v>2024</x:v>
      </x:c>
      <x:c r="I361" s="14" t="n">
        <x:v>2025</x:v>
      </x:c>
      <x:c r="J361" s="14" t="str">
        <x:v>Post-study cohort</x:v>
      </x:c>
      <x:c r="K361" s="14" t="n">
        <x:v>2024</x:v>
      </x:c>
      <x:c r="L361" s="14" t="str">
        <x:v>Not inherited</x:v>
      </x:c>
      <x:c r="M361" s="15" t="n">
        <x:v>42</x:v>
      </x:c>
      <x:c r="N361" s="14" t="str">
        <x:v>Peter Davison</x:v>
      </x:c>
      <x:c r="O361" s="14" t="str">
        <x:v>nm0205749</x:v>
      </x:c>
      <x:c r="P361" s="14" t="str">
        <x:v>Geoffrey</x:v>
      </x:c>
      <x:c r="Q361" s="15" t="n">
        <x:v>2</x:v>
      </x:c>
      <x:c r="R361" s="14" t="str">
        <x:v>2026</x:v>
      </x:c>
      <x:c r="S361" s="14" t="n">
        <x:v>2026</x:v>
      </x:c>
      <x:c r="T361" s="14" t="n">
        <x:v>2026</x:v>
      </x:c>
      <x:c r="U361" s="14" t="str">
        <x:v>Explicit source first year retained</x:v>
      </x:c>
      <x:c r="V361" s="14" t="str">
        <x:v>Earliest supplied year is 2026.</x:v>
      </x:c>
      <x:c r="W361" s="14"/>
      <x:c r="X361" s="14" t="str">
        <x:v>Excluded: after 2025</x:v>
      </x:c>
      <x:c r="Y361" s="14"/>
      <x:c r="Z361" s="14" t="str">
        <x:v>The Marlow Murder Club.docx</x:v>
      </x:c>
      <x:c r="AA361" s="14" t="str">
        <x:v>HYPERLINK is not implemented. linkLocation=https://www.imdb.com/title/tt27950663/fullcredits/, friendlyName=Open source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Channel 5 / 5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7" t="e">
        <x:f>HYPERLINK("https://en.wikipedia.org/wiki/Robert_Thorogood","Open source")</x:f>
        <x:v>HYPERLINK is not implemented. linkLocation=https://en.wikipedia.org/wiki/Robert_Thorogood, friendlyName=Open source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 t="str">
        <x:v>No established-register match</x:v>
      </x:c>
      <x:c r="AT361" s="14"/>
      <x:c r="AU361" s="14"/>
      <x:c r="AV361" s="14" t="str">
        <x:v>No established apparent-disability match</x:v>
      </x:c>
      <x:c r="AW361" s="14"/>
      <x:c r="AX361" s="14" t="str">
        <x:v>No</x:v>
      </x:c>
      <x:c r="AY361" s="14" t="str">
        <x:v>Unmatched</x:v>
      </x:c>
      <x:c r="AZ361" s="14" t="str">
        <x:v>Final supplied register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22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2</x:v>
      </x:c>
      <x:c r="BS361" s="16" t="n">
        <x:v>0.09090909090909091</x:v>
      </x:c>
      <x:c r="BT361" s="14" t="str">
        <x:v>Minority of episodes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4" t="str">
        <x:v>HYPERLINK is not implemented. linkLocation=https://www.imdb.com/title/tt27950663/fullcredits/, friendlyName=Open source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tt27950663|nm0525702|matthew</x:v>
      </x:c>
      <x:c r="B362" s="14" t="str">
        <x:v>05</x:v>
      </x:c>
      <x:c r="C362" s="14" t="str">
        <x:v>2024_IMDb_Cast_Lists_Batch_05(1).xlsx</x:v>
      </x:c>
      <x:c r="D362" s="14" t="str">
        <x:v>The Marlow Murder Club</x:v>
      </x:c>
      <x:c r="E362" s="14" t="n">
        <x:v>51</x:v>
      </x:c>
      <x:c r="F362" s="14" t="str">
        <x:v>The Marlow Murder Club</x:v>
      </x:c>
      <x:c r="G362" s="14" t="str">
        <x:v>tt27950663</x:v>
      </x:c>
      <x:c r="H362" s="14" t="n">
        <x:v>2024</x:v>
      </x:c>
      <x:c r="I362" s="14" t="n">
        <x:v>2025</x:v>
      </x:c>
      <x:c r="J362" s="14" t="str">
        <x:v>Post-study cohort</x:v>
      </x:c>
      <x:c r="K362" s="14" t="n">
        <x:v>2024</x:v>
      </x:c>
      <x:c r="L362" s="14" t="str">
        <x:v>Not inherited</x:v>
      </x:c>
      <x:c r="M362" s="15" t="n">
        <x:v>44</x:v>
      </x:c>
      <x:c r="N362" s="14" t="str">
        <x:v>Adrian Lukis</x:v>
      </x:c>
      <x:c r="O362" s="14" t="str">
        <x:v>nm0525702</x:v>
      </x:c>
      <x:c r="P362" s="14" t="str">
        <x:v>Matthew</x:v>
      </x:c>
      <x:c r="Q362" s="15" t="n">
        <x:v>2</x:v>
      </x:c>
      <x:c r="R362" s="14" t="str">
        <x:v>2026</x:v>
      </x:c>
      <x:c r="S362" s="14" t="n">
        <x:v>2026</x:v>
      </x:c>
      <x:c r="T362" s="14" t="n">
        <x:v>2026</x:v>
      </x:c>
      <x:c r="U362" s="14" t="str">
        <x:v>Explicit source first year retained</x:v>
      </x:c>
      <x:c r="V362" s="14" t="str">
        <x:v>Earliest supplied year is 2026.</x:v>
      </x:c>
      <x:c r="W362" s="14"/>
      <x:c r="X362" s="14" t="str">
        <x:v>Excluded: after 2025</x:v>
      </x:c>
      <x:c r="Y362" s="14"/>
      <x:c r="Z362" s="14" t="str">
        <x:v>The Marlow Murder Club.docx</x:v>
      </x:c>
      <x:c r="AA362" s="14" t="str">
        <x:v>HYPERLINK is not implemented. linkLocation=https://www.imdb.com/title/tt27950663/fullcredits/, friendlyName=Open source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Channel 5 / 5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7" t="e">
        <x:f>HYPERLINK("https://en.wikipedia.org/wiki/Robert_Thorogood","Open source")</x:f>
        <x:v>HYPERLINK is not implemented. linkLocation=https://en.wikipedia.org/wiki/Robert_Thorogood, friendlyName=Open source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 t="str">
        <x:v>No established-register match</x:v>
      </x:c>
      <x:c r="AT362" s="14"/>
      <x:c r="AU362" s="14"/>
      <x:c r="AV362" s="14" t="str">
        <x:v>No established apparent-disability match</x:v>
      </x:c>
      <x:c r="AW362" s="14"/>
      <x:c r="AX362" s="14" t="str">
        <x:v>No</x:v>
      </x:c>
      <x:c r="AY362" s="14" t="str">
        <x:v>Unmatched</x:v>
      </x:c>
      <x:c r="AZ362" s="14" t="str">
        <x:v>Final supplied register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22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2</x:v>
      </x:c>
      <x:c r="BS362" s="16" t="n">
        <x:v>0.09090909090909091</x:v>
      </x:c>
      <x:c r="BT362" s="14" t="str">
        <x:v>Minority of episodes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4" t="str">
        <x:v>HYPERLINK is not implemented. linkLocation=https://www.imdb.com/title/tt27950663/fullcredits/, friendlyName=Open source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tt27950663|nm0526724|marian</x:v>
      </x:c>
      <x:c r="B363" s="14" t="str">
        <x:v>05</x:v>
      </x:c>
      <x:c r="C363" s="14" t="str">
        <x:v>2024_IMDb_Cast_Lists_Batch_05(1).xlsx</x:v>
      </x:c>
      <x:c r="D363" s="14" t="str">
        <x:v>The Marlow Murder Club</x:v>
      </x:c>
      <x:c r="E363" s="14" t="n">
        <x:v>52</x:v>
      </x:c>
      <x:c r="F363" s="14" t="str">
        <x:v>The Marlow Murder Club</x:v>
      </x:c>
      <x:c r="G363" s="14" t="str">
        <x:v>tt27950663</x:v>
      </x:c>
      <x:c r="H363" s="14" t="n">
        <x:v>2024</x:v>
      </x:c>
      <x:c r="I363" s="14" t="n">
        <x:v>2025</x:v>
      </x:c>
      <x:c r="J363" s="14" t="str">
        <x:v>Post-study cohort</x:v>
      </x:c>
      <x:c r="K363" s="14" t="n">
        <x:v>2024</x:v>
      </x:c>
      <x:c r="L363" s="14" t="str">
        <x:v>Not inherited</x:v>
      </x:c>
      <x:c r="M363" s="15" t="n">
        <x:v>45</x:v>
      </x:c>
      <x:c r="N363" s="14" t="str">
        <x:v>Cherie Lunghi</x:v>
      </x:c>
      <x:c r="O363" s="14" t="str">
        <x:v>nm0526724</x:v>
      </x:c>
      <x:c r="P363" s="14" t="str">
        <x:v>Marian</x:v>
      </x:c>
      <x:c r="Q363" s="15" t="n">
        <x:v>2</x:v>
      </x:c>
      <x:c r="R363" s="14" t="str">
        <x:v>2026</x:v>
      </x:c>
      <x:c r="S363" s="14" t="n">
        <x:v>2026</x:v>
      </x:c>
      <x:c r="T363" s="14" t="n">
        <x:v>2026</x:v>
      </x:c>
      <x:c r="U363" s="14" t="str">
        <x:v>Explicit source first year retained</x:v>
      </x:c>
      <x:c r="V363" s="14" t="str">
        <x:v>Earliest supplied year is 2026.</x:v>
      </x:c>
      <x:c r="W363" s="14"/>
      <x:c r="X363" s="14" t="str">
        <x:v>Excluded: after 2025</x:v>
      </x:c>
      <x:c r="Y363" s="14"/>
      <x:c r="Z363" s="14" t="str">
        <x:v>The Marlow Murder Club.docx</x:v>
      </x:c>
      <x:c r="AA363" s="14" t="str">
        <x:v>HYPERLINK is not implemented. linkLocation=https://www.imdb.com/title/tt27950663/fullcredits/, friendlyName=Open source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Channel 5 / 5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7" t="e">
        <x:f>HYPERLINK("https://en.wikipedia.org/wiki/Robert_Thorogood","Open source")</x:f>
        <x:v>HYPERLINK is not implemented. linkLocation=https://en.wikipedia.org/wiki/Robert_Thorogood, friendlyName=Open source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 t="str">
        <x:v>No established-register match</x:v>
      </x:c>
      <x:c r="AT363" s="14"/>
      <x:c r="AU363" s="14"/>
      <x:c r="AV363" s="14" t="str">
        <x:v>No established apparent-disability match</x:v>
      </x:c>
      <x:c r="AW363" s="14"/>
      <x:c r="AX363" s="14" t="str">
        <x:v>No</x:v>
      </x:c>
      <x:c r="AY363" s="14" t="str">
        <x:v>Unmatched</x:v>
      </x:c>
      <x:c r="AZ363" s="14" t="str">
        <x:v>Final supplied register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22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2</x:v>
      </x:c>
      <x:c r="BS363" s="16" t="n">
        <x:v>0.09090909090909091</x:v>
      </x:c>
      <x:c r="BT363" s="14" t="str">
        <x:v>Minority of episodes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4" t="str">
        <x:v>HYPERLINK is not implemented. linkLocation=https://www.imdb.com/title/tt27950663/fullcredits/, friendlyName=Open source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tt27950663|nm1402751|una</x:v>
      </x:c>
      <x:c r="B364" s="14" t="str">
        <x:v>05</x:v>
      </x:c>
      <x:c r="C364" s="14" t="str">
        <x:v>2024_IMDb_Cast_Lists_Batch_05(1).xlsx</x:v>
      </x:c>
      <x:c r="D364" s="14" t="str">
        <x:v>The Marlow Murder Club</x:v>
      </x:c>
      <x:c r="E364" s="14" t="n">
        <x:v>53</x:v>
      </x:c>
      <x:c r="F364" s="14" t="str">
        <x:v>The Marlow Murder Club</x:v>
      </x:c>
      <x:c r="G364" s="14" t="str">
        <x:v>tt27950663</x:v>
      </x:c>
      <x:c r="H364" s="14" t="n">
        <x:v>2024</x:v>
      </x:c>
      <x:c r="I364" s="14" t="n">
        <x:v>2025</x:v>
      </x:c>
      <x:c r="J364" s="14" t="str">
        <x:v>Post-study cohort</x:v>
      </x:c>
      <x:c r="K364" s="14" t="n">
        <x:v>2024</x:v>
      </x:c>
      <x:c r="L364" s="14" t="str">
        <x:v>Not inherited</x:v>
      </x:c>
      <x:c r="M364" s="15" t="n">
        <x:v>46</x:v>
      </x:c>
      <x:c r="N364" s="14" t="str">
        <x:v>Montserrat Lombard</x:v>
      </x:c>
      <x:c r="O364" s="14" t="str">
        <x:v>nm1402751</x:v>
      </x:c>
      <x:c r="P364" s="14" t="str">
        <x:v>Una</x:v>
      </x:c>
      <x:c r="Q364" s="15" t="n">
        <x:v>2</x:v>
      </x:c>
      <x:c r="R364" s="14" t="str">
        <x:v>2026</x:v>
      </x:c>
      <x:c r="S364" s="14" t="n">
        <x:v>2026</x:v>
      </x:c>
      <x:c r="T364" s="14" t="n">
        <x:v>2026</x:v>
      </x:c>
      <x:c r="U364" s="14" t="str">
        <x:v>Explicit source first year retained</x:v>
      </x:c>
      <x:c r="V364" s="14" t="str">
        <x:v>Earliest supplied year is 2026.</x:v>
      </x:c>
      <x:c r="W364" s="14"/>
      <x:c r="X364" s="14" t="str">
        <x:v>Excluded: after 2025</x:v>
      </x:c>
      <x:c r="Y364" s="14"/>
      <x:c r="Z364" s="14" t="str">
        <x:v>The Marlow Murder Club.docx</x:v>
      </x:c>
      <x:c r="AA364" s="14" t="str">
        <x:v>HYPERLINK is not implemented. linkLocation=https://www.imdb.com/title/tt27950663/fullcredits/, friendlyName=Open source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Channel 5 / 5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7" t="e">
        <x:f>HYPERLINK("https://en.wikipedia.org/wiki/Robert_Thorogood","Open source")</x:f>
        <x:v>HYPERLINK is not implemented. linkLocation=https://en.wikipedia.org/wiki/Robert_Thorogood, friendlyName=Open source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 t="str">
        <x:v>No established-register match</x:v>
      </x:c>
      <x:c r="AT364" s="14"/>
      <x:c r="AU364" s="14"/>
      <x:c r="AV364" s="14" t="str">
        <x:v>No established apparent-disability match</x:v>
      </x:c>
      <x:c r="AW364" s="14"/>
      <x:c r="AX364" s="14" t="str">
        <x:v>No</x:v>
      </x:c>
      <x:c r="AY364" s="14" t="str">
        <x:v>Unmatched</x:v>
      </x:c>
      <x:c r="AZ364" s="14" t="str">
        <x:v>Final supplied register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22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2</x:v>
      </x:c>
      <x:c r="BS364" s="16" t="n">
        <x:v>0.09090909090909091</x:v>
      </x:c>
      <x:c r="BT364" s="14" t="str">
        <x:v>Minority of episodes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4" t="str">
        <x:v>HYPERLINK is not implemented. linkLocation=https://www.imdb.com/title/tt27950663/fullcredits/, friendlyName=Open source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tt27950663|nm0307122|terrence</x:v>
      </x:c>
      <x:c r="B365" s="14" t="str">
        <x:v>05</x:v>
      </x:c>
      <x:c r="C365" s="14" t="str">
        <x:v>2024_IMDb_Cast_Lists_Batch_05(1).xlsx</x:v>
      </x:c>
      <x:c r="D365" s="14" t="str">
        <x:v>The Marlow Murder Club</x:v>
      </x:c>
      <x:c r="E365" s="14" t="n">
        <x:v>54</x:v>
      </x:c>
      <x:c r="F365" s="14" t="str">
        <x:v>The Marlow Murder Club</x:v>
      </x:c>
      <x:c r="G365" s="14" t="str">
        <x:v>tt27950663</x:v>
      </x:c>
      <x:c r="H365" s="14" t="n">
        <x:v>2024</x:v>
      </x:c>
      <x:c r="I365" s="14" t="n">
        <x:v>2025</x:v>
      </x:c>
      <x:c r="J365" s="14" t="str">
        <x:v>Post-study cohort</x:v>
      </x:c>
      <x:c r="K365" s="14" t="n">
        <x:v>2024</x:v>
      </x:c>
      <x:c r="L365" s="14" t="str">
        <x:v>Not inherited</x:v>
      </x:c>
      <x:c r="M365" s="15" t="n">
        <x:v>47</x:v>
      </x:c>
      <x:c r="N365" s="14" t="str">
        <x:v>Tony Gardner</x:v>
      </x:c>
      <x:c r="O365" s="14" t="str">
        <x:v>nm0307122</x:v>
      </x:c>
      <x:c r="P365" s="14" t="str">
        <x:v>Terrence</x:v>
      </x:c>
      <x:c r="Q365" s="15" t="n">
        <x:v>2</x:v>
      </x:c>
      <x:c r="R365" s="14" t="str">
        <x:v>2026</x:v>
      </x:c>
      <x:c r="S365" s="14" t="n">
        <x:v>2026</x:v>
      </x:c>
      <x:c r="T365" s="14" t="n">
        <x:v>2026</x:v>
      </x:c>
      <x:c r="U365" s="14" t="str">
        <x:v>Explicit source first year retained</x:v>
      </x:c>
      <x:c r="V365" s="14" t="str">
        <x:v>Earliest supplied year is 2026.</x:v>
      </x:c>
      <x:c r="W365" s="14"/>
      <x:c r="X365" s="14" t="str">
        <x:v>Excluded: after 2025</x:v>
      </x:c>
      <x:c r="Y365" s="14"/>
      <x:c r="Z365" s="14" t="str">
        <x:v>The Marlow Murder Club.docx</x:v>
      </x:c>
      <x:c r="AA365" s="14" t="str">
        <x:v>HYPERLINK is not implemented. linkLocation=https://www.imdb.com/title/tt27950663/fullcredits/, friendlyName=Open source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Channel 5 / 5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7" t="e">
        <x:f>HYPERLINK("https://en.wikipedia.org/wiki/Robert_Thorogood","Open source")</x:f>
        <x:v>HYPERLINK is not implemented. linkLocation=https://en.wikipedia.org/wiki/Robert_Thorogood, friendlyName=Open source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 t="str">
        <x:v>No established-register match</x:v>
      </x:c>
      <x:c r="AT365" s="14"/>
      <x:c r="AU365" s="14"/>
      <x:c r="AV365" s="14" t="str">
        <x:v>No established apparent-disability match</x:v>
      </x:c>
      <x:c r="AW365" s="14"/>
      <x:c r="AX365" s="14" t="str">
        <x:v>No</x:v>
      </x:c>
      <x:c r="AY365" s="14" t="str">
        <x:v>Unmatched</x:v>
      </x:c>
      <x:c r="AZ365" s="14" t="str">
        <x:v>Final supplied register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22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2</x:v>
      </x:c>
      <x:c r="BS365" s="16" t="n">
        <x:v>0.09090909090909091</x:v>
      </x:c>
      <x:c r="BT365" s="14" t="str">
        <x:v>Minority of episodes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4" t="str">
        <x:v>HYPERLINK is not implemented. linkLocation=https://www.imdb.com/title/tt27950663/fullcredits/, friendlyName=Open source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tt27950663|nm0528462|isla de souza</x:v>
      </x:c>
      <x:c r="B366" s="14" t="str">
        <x:v>05</x:v>
      </x:c>
      <x:c r="C366" s="14" t="str">
        <x:v>2024_IMDb_Cast_Lists_Batch_05(1).xlsx</x:v>
      </x:c>
      <x:c r="D366" s="14" t="str">
        <x:v>The Marlow Murder Club</x:v>
      </x:c>
      <x:c r="E366" s="14" t="n">
        <x:v>57</x:v>
      </x:c>
      <x:c r="F366" s="14" t="str">
        <x:v>The Marlow Murder Club</x:v>
      </x:c>
      <x:c r="G366" s="14" t="str">
        <x:v>tt27950663</x:v>
      </x:c>
      <x:c r="H366" s="14" t="n">
        <x:v>2024</x:v>
      </x:c>
      <x:c r="I366" s="14" t="n">
        <x:v>2025</x:v>
      </x:c>
      <x:c r="J366" s="14" t="str">
        <x:v>Post-study cohort</x:v>
      </x:c>
      <x:c r="K366" s="14" t="n">
        <x:v>2024</x:v>
      </x:c>
      <x:c r="L366" s="14" t="str">
        <x:v>Not inherited</x:v>
      </x:c>
      <x:c r="M366" s="15" t="n">
        <x:v>50</x:v>
      </x:c>
      <x:c r="N366" s="14" t="str">
        <x:v>Susan Lynch</x:v>
      </x:c>
      <x:c r="O366" s="14" t="str">
        <x:v>nm0528462</x:v>
      </x:c>
      <x:c r="P366" s="14" t="str">
        <x:v>Isla De Souza</x:v>
      </x:c>
      <x:c r="Q366" s="15" t="n">
        <x:v>2</x:v>
      </x:c>
      <x:c r="R366" s="14" t="str">
        <x:v>2026</x:v>
      </x:c>
      <x:c r="S366" s="14" t="n">
        <x:v>2026</x:v>
      </x:c>
      <x:c r="T366" s="14" t="n">
        <x:v>2026</x:v>
      </x:c>
      <x:c r="U366" s="14" t="str">
        <x:v>Explicit source first year retained</x:v>
      </x:c>
      <x:c r="V366" s="14" t="str">
        <x:v>Earliest supplied year is 2026.</x:v>
      </x:c>
      <x:c r="W366" s="14"/>
      <x:c r="X366" s="14" t="str">
        <x:v>Excluded: after 2025</x:v>
      </x:c>
      <x:c r="Y366" s="14"/>
      <x:c r="Z366" s="14" t="str">
        <x:v>The Marlow Murder Club.docx</x:v>
      </x:c>
      <x:c r="AA366" s="14" t="str">
        <x:v>HYPERLINK is not implemented. linkLocation=https://www.imdb.com/title/tt27950663/fullcredits/, friendlyName=Open source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Channel 5 / 5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7" t="e">
        <x:f>HYPERLINK("https://en.wikipedia.org/wiki/Robert_Thorogood","Open source")</x:f>
        <x:v>HYPERLINK is not implemented. linkLocation=https://en.wikipedia.org/wiki/Robert_Thorogood, friendlyName=Open source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 t="str">
        <x:v>No established-register match</x:v>
      </x:c>
      <x:c r="AT366" s="14"/>
      <x:c r="AU366" s="14"/>
      <x:c r="AV366" s="14" t="str">
        <x:v>No established apparent-disability match</x:v>
      </x:c>
      <x:c r="AW366" s="14"/>
      <x:c r="AX366" s="14" t="str">
        <x:v>No</x:v>
      </x:c>
      <x:c r="AY366" s="14" t="str">
        <x:v>Unmatched</x:v>
      </x:c>
      <x:c r="AZ366" s="14" t="str">
        <x:v>Final supplied register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22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2</x:v>
      </x:c>
      <x:c r="BS366" s="16" t="n">
        <x:v>0.09090909090909091</x:v>
      </x:c>
      <x:c r="BT366" s="14" t="str">
        <x:v>Minority of episodes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4" t="str">
        <x:v>HYPERLINK is not implemented. linkLocation=https://www.imdb.com/title/tt27950663/fullcredits/, friendlyName=Open source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tt27950663|nm2349295|jessica</x:v>
      </x:c>
      <x:c r="B367" s="14" t="str">
        <x:v>05</x:v>
      </x:c>
      <x:c r="C367" s="14" t="str">
        <x:v>2024_IMDb_Cast_Lists_Batch_05(1).xlsx</x:v>
      </x:c>
      <x:c r="D367" s="14" t="str">
        <x:v>The Marlow Murder Club</x:v>
      </x:c>
      <x:c r="E367" s="14" t="n">
        <x:v>58</x:v>
      </x:c>
      <x:c r="F367" s="14" t="str">
        <x:v>The Marlow Murder Club</x:v>
      </x:c>
      <x:c r="G367" s="14" t="str">
        <x:v>tt27950663</x:v>
      </x:c>
      <x:c r="H367" s="14" t="n">
        <x:v>2024</x:v>
      </x:c>
      <x:c r="I367" s="14" t="n">
        <x:v>2025</x:v>
      </x:c>
      <x:c r="J367" s="14" t="str">
        <x:v>Post-study cohort</x:v>
      </x:c>
      <x:c r="K367" s="14" t="n">
        <x:v>2024</x:v>
      </x:c>
      <x:c r="L367" s="14" t="str">
        <x:v>Not inherited</x:v>
      </x:c>
      <x:c r="M367" s="15" t="n">
        <x:v>51</x:v>
      </x:c>
      <x:c r="N367" s="14" t="str">
        <x:v>Endy McKay</x:v>
      </x:c>
      <x:c r="O367" s="14" t="str">
        <x:v>nm2349295</x:v>
      </x:c>
      <x:c r="P367" s="14" t="str">
        <x:v>Jessica</x:v>
      </x:c>
      <x:c r="Q367" s="15" t="n">
        <x:v>2</x:v>
      </x:c>
      <x:c r="R367" s="14" t="str">
        <x:v>2026</x:v>
      </x:c>
      <x:c r="S367" s="14" t="n">
        <x:v>2026</x:v>
      </x:c>
      <x:c r="T367" s="14" t="n">
        <x:v>2026</x:v>
      </x:c>
      <x:c r="U367" s="14" t="str">
        <x:v>Explicit source first year retained</x:v>
      </x:c>
      <x:c r="V367" s="14" t="str">
        <x:v>Earliest supplied year is 2026.</x:v>
      </x:c>
      <x:c r="W367" s="14"/>
      <x:c r="X367" s="14" t="str">
        <x:v>Excluded: after 2025</x:v>
      </x:c>
      <x:c r="Y367" s="14"/>
      <x:c r="Z367" s="14" t="str">
        <x:v>The Marlow Murder Club.docx</x:v>
      </x:c>
      <x:c r="AA367" s="14" t="str">
        <x:v>HYPERLINK is not implemented. linkLocation=https://www.imdb.com/title/tt27950663/fullcredits/, friendlyName=Open source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Channel 5 / 5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7" t="e">
        <x:f>HYPERLINK("https://en.wikipedia.org/wiki/Robert_Thorogood","Open source")</x:f>
        <x:v>HYPERLINK is not implemented. linkLocation=https://en.wikipedia.org/wiki/Robert_Thorogood, friendlyName=Open source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 t="str">
        <x:v>No established-register match</x:v>
      </x:c>
      <x:c r="AT367" s="14"/>
      <x:c r="AU367" s="14"/>
      <x:c r="AV367" s="14" t="str">
        <x:v>No established apparent-disability match</x:v>
      </x:c>
      <x:c r="AW367" s="14"/>
      <x:c r="AX367" s="14" t="str">
        <x:v>No</x:v>
      </x:c>
      <x:c r="AY367" s="14" t="str">
        <x:v>Unmatched</x:v>
      </x:c>
      <x:c r="AZ367" s="14" t="str">
        <x:v>Final supplied register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22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2</x:v>
      </x:c>
      <x:c r="BS367" s="16" t="n">
        <x:v>0.09090909090909091</x:v>
      </x:c>
      <x:c r="BT367" s="14" t="str">
        <x:v>Minority of episodes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4" t="str">
        <x:v>HYPERLINK is not implemented. linkLocation=https://www.imdb.com/title/tt27950663/fullcredits/, friendlyName=Open source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tt27950663|nm0363424|marcus</x:v>
      </x:c>
      <x:c r="B368" s="14" t="str">
        <x:v>05</x:v>
      </x:c>
      <x:c r="C368" s="14" t="str">
        <x:v>2024_IMDb_Cast_Lists_Batch_05(1).xlsx</x:v>
      </x:c>
      <x:c r="D368" s="14" t="str">
        <x:v>The Marlow Murder Club</x:v>
      </x:c>
      <x:c r="E368" s="14" t="n">
        <x:v>59</x:v>
      </x:c>
      <x:c r="F368" s="14" t="str">
        <x:v>The Marlow Murder Club</x:v>
      </x:c>
      <x:c r="G368" s="14" t="str">
        <x:v>tt27950663</x:v>
      </x:c>
      <x:c r="H368" s="14" t="n">
        <x:v>2024</x:v>
      </x:c>
      <x:c r="I368" s="14" t="n">
        <x:v>2025</x:v>
      </x:c>
      <x:c r="J368" s="14" t="str">
        <x:v>Post-study cohort</x:v>
      </x:c>
      <x:c r="K368" s="14" t="n">
        <x:v>2024</x:v>
      </x:c>
      <x:c r="L368" s="14" t="str">
        <x:v>Not inherited</x:v>
      </x:c>
      <x:c r="M368" s="15" t="n">
        <x:v>52</x:v>
      </x:c>
      <x:c r="N368" s="14" t="str">
        <x:v>Nigel Harman</x:v>
      </x:c>
      <x:c r="O368" s="14" t="str">
        <x:v>nm0363424</x:v>
      </x:c>
      <x:c r="P368" s="14" t="str">
        <x:v>Marcus</x:v>
      </x:c>
      <x:c r="Q368" s="15" t="n">
        <x:v>2</x:v>
      </x:c>
      <x:c r="R368" s="14" t="str">
        <x:v>2026</x:v>
      </x:c>
      <x:c r="S368" s="14" t="n">
        <x:v>2026</x:v>
      </x:c>
      <x:c r="T368" s="14" t="n">
        <x:v>2026</x:v>
      </x:c>
      <x:c r="U368" s="14" t="str">
        <x:v>Explicit source first year retained</x:v>
      </x:c>
      <x:c r="V368" s="14" t="str">
        <x:v>Earliest supplied year is 2026.</x:v>
      </x:c>
      <x:c r="W368" s="14"/>
      <x:c r="X368" s="14" t="str">
        <x:v>Excluded: after 2025</x:v>
      </x:c>
      <x:c r="Y368" s="14"/>
      <x:c r="Z368" s="14" t="str">
        <x:v>The Marlow Murder Club.docx</x:v>
      </x:c>
      <x:c r="AA368" s="14" t="str">
        <x:v>HYPERLINK is not implemented. linkLocation=https://www.imdb.com/title/tt27950663/fullcredits/, friendlyName=Open source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Channel 5 / 5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7" t="e">
        <x:f>HYPERLINK("https://en.wikipedia.org/wiki/Robert_Thorogood","Open source")</x:f>
        <x:v>HYPERLINK is not implemented. linkLocation=https://en.wikipedia.org/wiki/Robert_Thorogood, friendlyName=Open source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 t="str">
        <x:v>No established-register match</x:v>
      </x:c>
      <x:c r="AT368" s="14"/>
      <x:c r="AU368" s="14"/>
      <x:c r="AV368" s="14" t="str">
        <x:v>No established apparent-disability match</x:v>
      </x:c>
      <x:c r="AW368" s="14"/>
      <x:c r="AX368" s="14" t="str">
        <x:v>No</x:v>
      </x:c>
      <x:c r="AY368" s="14" t="str">
        <x:v>Unmatched</x:v>
      </x:c>
      <x:c r="AZ368" s="14" t="str">
        <x:v>Final supplied register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22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2</x:v>
      </x:c>
      <x:c r="BS368" s="16" t="n">
        <x:v>0.09090909090909091</x:v>
      </x:c>
      <x:c r="BT368" s="14" t="str">
        <x:v>Minority of episodes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4" t="str">
        <x:v>HYPERLINK is not implemented. linkLocation=https://www.imdb.com/title/tt27950663/fullcredits/, friendlyName=Open source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tt27950663|nm0533258|ferdy blake</x:v>
      </x:c>
      <x:c r="B369" s="14" t="str">
        <x:v>05</x:v>
      </x:c>
      <x:c r="C369" s="14" t="str">
        <x:v>2024_IMDb_Cast_Lists_Batch_05(1).xlsx</x:v>
      </x:c>
      <x:c r="D369" s="14" t="str">
        <x:v>The Marlow Murder Club</x:v>
      </x:c>
      <x:c r="E369" s="14" t="n">
        <x:v>62</x:v>
      </x:c>
      <x:c r="F369" s="14" t="str">
        <x:v>The Marlow Murder Club</x:v>
      </x:c>
      <x:c r="G369" s="14" t="str">
        <x:v>tt27950663</x:v>
      </x:c>
      <x:c r="H369" s="14" t="n">
        <x:v>2024</x:v>
      </x:c>
      <x:c r="I369" s="14" t="n">
        <x:v>2025</x:v>
      </x:c>
      <x:c r="J369" s="14" t="str">
        <x:v>Post-study cohort</x:v>
      </x:c>
      <x:c r="K369" s="14" t="n">
        <x:v>2024</x:v>
      </x:c>
      <x:c r="L369" s="14" t="str">
        <x:v>Not inherited</x:v>
      </x:c>
      <x:c r="M369" s="15" t="n">
        <x:v>55</x:v>
      </x:c>
      <x:c r="N369" s="14" t="str">
        <x:v>Alastair Mackenzie</x:v>
      </x:c>
      <x:c r="O369" s="14" t="str">
        <x:v>nm0533258</x:v>
      </x:c>
      <x:c r="P369" s="14" t="str">
        <x:v>Ferdy Blake</x:v>
      </x:c>
      <x:c r="Q369" s="15" t="n">
        <x:v>2</x:v>
      </x:c>
      <x:c r="R369" s="14" t="str">
        <x:v>2026</x:v>
      </x:c>
      <x:c r="S369" s="14" t="n">
        <x:v>2026</x:v>
      </x:c>
      <x:c r="T369" s="14" t="n">
        <x:v>2026</x:v>
      </x:c>
      <x:c r="U369" s="14" t="str">
        <x:v>Explicit source first year retained</x:v>
      </x:c>
      <x:c r="V369" s="14" t="str">
        <x:v>Earliest supplied year is 2026.</x:v>
      </x:c>
      <x:c r="W369" s="14"/>
      <x:c r="X369" s="14" t="str">
        <x:v>Excluded: after 2025</x:v>
      </x:c>
      <x:c r="Y369" s="14"/>
      <x:c r="Z369" s="14" t="str">
        <x:v>The Marlow Murder Club.docx</x:v>
      </x:c>
      <x:c r="AA369" s="14" t="str">
        <x:v>HYPERLINK is not implemented. linkLocation=https://www.imdb.com/title/tt27950663/fullcredits/, friendlyName=Open source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Channel 5 / 5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7" t="e">
        <x:f>HYPERLINK("https://en.wikipedia.org/wiki/Robert_Thorogood","Open source")</x:f>
        <x:v>HYPERLINK is not implemented. linkLocation=https://en.wikipedia.org/wiki/Robert_Thorogood, friendlyName=Open source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 t="str">
        <x:v>No established-register match</x:v>
      </x:c>
      <x:c r="AT369" s="14"/>
      <x:c r="AU369" s="14"/>
      <x:c r="AV369" s="14" t="str">
        <x:v>No established apparent-disability match</x:v>
      </x:c>
      <x:c r="AW369" s="14"/>
      <x:c r="AX369" s="14" t="str">
        <x:v>No</x:v>
      </x:c>
      <x:c r="AY369" s="14" t="str">
        <x:v>Unmatched</x:v>
      </x:c>
      <x:c r="AZ369" s="14" t="str">
        <x:v>Final supplied register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22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2</x:v>
      </x:c>
      <x:c r="BS369" s="16" t="n">
        <x:v>0.09090909090909091</x:v>
      </x:c>
      <x:c r="BT369" s="14" t="str">
        <x:v>Minority of episodes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4" t="str">
        <x:v>HYPERLINK is not implemented. linkLocation=https://www.imdb.com/title/tt27950663/fullcredits/, friendlyName=Open source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tt27950663|nm1030658|alec</x:v>
      </x:c>
      <x:c r="B370" s="14" t="str">
        <x:v>05</x:v>
      </x:c>
      <x:c r="C370" s="14" t="str">
        <x:v>2024_IMDb_Cast_Lists_Batch_05(1).xlsx</x:v>
      </x:c>
      <x:c r="D370" s="14" t="str">
        <x:v>The Marlow Murder Club</x:v>
      </x:c>
      <x:c r="E370" s="14" t="n">
        <x:v>64</x:v>
      </x:c>
      <x:c r="F370" s="14" t="str">
        <x:v>The Marlow Murder Club</x:v>
      </x:c>
      <x:c r="G370" s="14" t="str">
        <x:v>tt27950663</x:v>
      </x:c>
      <x:c r="H370" s="14" t="n">
        <x:v>2024</x:v>
      </x:c>
      <x:c r="I370" s="14" t="n">
        <x:v>2025</x:v>
      </x:c>
      <x:c r="J370" s="14" t="str">
        <x:v>Post-study cohort</x:v>
      </x:c>
      <x:c r="K370" s="14" t="n">
        <x:v>2024</x:v>
      </x:c>
      <x:c r="L370" s="14" t="str">
        <x:v>Not inherited</x:v>
      </x:c>
      <x:c r="M370" s="15" t="n">
        <x:v>57</x:v>
      </x:c>
      <x:c r="N370" s="14" t="str">
        <x:v>Ranjit Krishnamma</x:v>
      </x:c>
      <x:c r="O370" s="14" t="str">
        <x:v>nm1030658</x:v>
      </x:c>
      <x:c r="P370" s="14" t="str">
        <x:v>Alec</x:v>
      </x:c>
      <x:c r="Q370" s="15" t="n">
        <x:v>2</x:v>
      </x:c>
      <x:c r="R370" s="14" t="str">
        <x:v>2026</x:v>
      </x:c>
      <x:c r="S370" s="14" t="n">
        <x:v>2026</x:v>
      </x:c>
      <x:c r="T370" s="14" t="n">
        <x:v>2026</x:v>
      </x:c>
      <x:c r="U370" s="14" t="str">
        <x:v>Explicit source first year retained</x:v>
      </x:c>
      <x:c r="V370" s="14" t="str">
        <x:v>Earliest supplied year is 2026.</x:v>
      </x:c>
      <x:c r="W370" s="14"/>
      <x:c r="X370" s="14" t="str">
        <x:v>Excluded: after 2025</x:v>
      </x:c>
      <x:c r="Y370" s="14"/>
      <x:c r="Z370" s="14" t="str">
        <x:v>The Marlow Murder Club.docx</x:v>
      </x:c>
      <x:c r="AA370" s="14" t="str">
        <x:v>HYPERLINK is not implemented. linkLocation=https://www.imdb.com/title/tt27950663/fullcredits/, friendlyName=Open source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Channel 5 / 5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7" t="e">
        <x:f>HYPERLINK("https://en.wikipedia.org/wiki/Robert_Thorogood","Open source")</x:f>
        <x:v>HYPERLINK is not implemented. linkLocation=https://en.wikipedia.org/wiki/Robert_Thorogood, friendlyName=Open source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 t="str">
        <x:v>No established-register match</x:v>
      </x:c>
      <x:c r="AT370" s="14"/>
      <x:c r="AU370" s="14"/>
      <x:c r="AV370" s="14" t="str">
        <x:v>No established apparent-disability match</x:v>
      </x:c>
      <x:c r="AW370" s="14"/>
      <x:c r="AX370" s="14" t="str">
        <x:v>No</x:v>
      </x:c>
      <x:c r="AY370" s="14" t="str">
        <x:v>Unmatched</x:v>
      </x:c>
      <x:c r="AZ370" s="14" t="str">
        <x:v>Final supplied register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22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2</x:v>
      </x:c>
      <x:c r="BS370" s="16" t="n">
        <x:v>0.09090909090909091</x:v>
      </x:c>
      <x:c r="BT370" s="14" t="str">
        <x:v>Minority of episodes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4" t="str">
        <x:v>HYPERLINK is not implemented. linkLocation=https://www.imdb.com/title/tt27950663/fullcredits/, friendlyName=Open source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tt27950663|nm2878763|nicki merson</x:v>
      </x:c>
      <x:c r="B371" s="14" t="str">
        <x:v>05</x:v>
      </x:c>
      <x:c r="C371" s="14" t="str">
        <x:v>2024_IMDb_Cast_Lists_Batch_05(1).xlsx</x:v>
      </x:c>
      <x:c r="D371" s="14" t="str">
        <x:v>The Marlow Murder Club</x:v>
      </x:c>
      <x:c r="E371" s="14" t="n">
        <x:v>67</x:v>
      </x:c>
      <x:c r="F371" s="14" t="str">
        <x:v>The Marlow Murder Club</x:v>
      </x:c>
      <x:c r="G371" s="14" t="str">
        <x:v>tt27950663</x:v>
      </x:c>
      <x:c r="H371" s="14" t="n">
        <x:v>2024</x:v>
      </x:c>
      <x:c r="I371" s="14" t="n">
        <x:v>2025</x:v>
      </x:c>
      <x:c r="J371" s="14" t="str">
        <x:v>Post-study cohort</x:v>
      </x:c>
      <x:c r="K371" s="14" t="n">
        <x:v>2024</x:v>
      </x:c>
      <x:c r="L371" s="14" t="str">
        <x:v>Not inherited</x:v>
      </x:c>
      <x:c r="M371" s="15" t="n">
        <x:v>60</x:v>
      </x:c>
      <x:c r="N371" s="14" t="str">
        <x:v>Jodie McNee</x:v>
      </x:c>
      <x:c r="O371" s="14" t="str">
        <x:v>nm2878763</x:v>
      </x:c>
      <x:c r="P371" s="14" t="str">
        <x:v>Nicki Merson</x:v>
      </x:c>
      <x:c r="Q371" s="15" t="n">
        <x:v>2</x:v>
      </x:c>
      <x:c r="R371" s="14" t="str">
        <x:v>2026</x:v>
      </x:c>
      <x:c r="S371" s="14" t="n">
        <x:v>2026</x:v>
      </x:c>
      <x:c r="T371" s="14" t="n">
        <x:v>2026</x:v>
      </x:c>
      <x:c r="U371" s="14" t="str">
        <x:v>Explicit source first year retained</x:v>
      </x:c>
      <x:c r="V371" s="14" t="str">
        <x:v>Earliest supplied year is 2026.</x:v>
      </x:c>
      <x:c r="W371" s="14"/>
      <x:c r="X371" s="14" t="str">
        <x:v>Excluded: after 2025</x:v>
      </x:c>
      <x:c r="Y371" s="14"/>
      <x:c r="Z371" s="14" t="str">
        <x:v>The Marlow Murder Club.docx</x:v>
      </x:c>
      <x:c r="AA371" s="14" t="str">
        <x:v>HYPERLINK is not implemented. linkLocation=https://www.imdb.com/title/tt27950663/fullcredits/, friendlyName=Open source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Channel 5 / 5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7" t="e">
        <x:f>HYPERLINK("https://en.wikipedia.org/wiki/Robert_Thorogood","Open source")</x:f>
        <x:v>HYPERLINK is not implemented. linkLocation=https://en.wikipedia.org/wiki/Robert_Thorogood, friendlyName=Open source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 t="str">
        <x:v>No established-register match</x:v>
      </x:c>
      <x:c r="AT371" s="14"/>
      <x:c r="AU371" s="14"/>
      <x:c r="AV371" s="14" t="str">
        <x:v>No established apparent-disability match</x:v>
      </x:c>
      <x:c r="AW371" s="14"/>
      <x:c r="AX371" s="14" t="str">
        <x:v>No</x:v>
      </x:c>
      <x:c r="AY371" s="14" t="str">
        <x:v>Unmatched</x:v>
      </x:c>
      <x:c r="AZ371" s="14" t="str">
        <x:v>Final supplied register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22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2</x:v>
      </x:c>
      <x:c r="BS371" s="16" t="n">
        <x:v>0.09090909090909091</x:v>
      </x:c>
      <x:c r="BT371" s="14" t="str">
        <x:v>Minority of episodes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4" t="str">
        <x:v>HYPERLINK is not implemented. linkLocation=https://www.imdb.com/title/tt27950663/fullcredits/, friendlyName=Open source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tt27950663|nm1554995|oskar</x:v>
      </x:c>
      <x:c r="B372" s="14" t="str">
        <x:v>05</x:v>
      </x:c>
      <x:c r="C372" s="14" t="str">
        <x:v>2024_IMDb_Cast_Lists_Batch_05(1).xlsx</x:v>
      </x:c>
      <x:c r="D372" s="14" t="str">
        <x:v>The Marlow Murder Club</x:v>
      </x:c>
      <x:c r="E372" s="14" t="n">
        <x:v>68</x:v>
      </x:c>
      <x:c r="F372" s="14" t="str">
        <x:v>The Marlow Murder Club</x:v>
      </x:c>
      <x:c r="G372" s="14" t="str">
        <x:v>tt27950663</x:v>
      </x:c>
      <x:c r="H372" s="14" t="n">
        <x:v>2024</x:v>
      </x:c>
      <x:c r="I372" s="14" t="n">
        <x:v>2025</x:v>
      </x:c>
      <x:c r="J372" s="14" t="str">
        <x:v>Post-study cohort</x:v>
      </x:c>
      <x:c r="K372" s="14" t="n">
        <x:v>2024</x:v>
      </x:c>
      <x:c r="L372" s="14" t="str">
        <x:v>Not inherited</x:v>
      </x:c>
      <x:c r="M372" s="15" t="n">
        <x:v>61</x:v>
      </x:c>
      <x:c r="N372" s="14" t="str">
        <x:v>Christian Rubeck</x:v>
      </x:c>
      <x:c r="O372" s="14" t="str">
        <x:v>nm1554995</x:v>
      </x:c>
      <x:c r="P372" s="14" t="str">
        <x:v>Oskar</x:v>
      </x:c>
      <x:c r="Q372" s="15" t="n">
        <x:v>2</x:v>
      </x:c>
      <x:c r="R372" s="14" t="str">
        <x:v>2026</x:v>
      </x:c>
      <x:c r="S372" s="14" t="n">
        <x:v>2026</x:v>
      </x:c>
      <x:c r="T372" s="14" t="n">
        <x:v>2026</x:v>
      </x:c>
      <x:c r="U372" s="14" t="str">
        <x:v>Explicit source first year retained</x:v>
      </x:c>
      <x:c r="V372" s="14" t="str">
        <x:v>Earliest supplied year is 2026.</x:v>
      </x:c>
      <x:c r="W372" s="14"/>
      <x:c r="X372" s="14" t="str">
        <x:v>Excluded: after 2025</x:v>
      </x:c>
      <x:c r="Y372" s="14"/>
      <x:c r="Z372" s="14" t="str">
        <x:v>The Marlow Murder Club.docx</x:v>
      </x:c>
      <x:c r="AA372" s="14" t="str">
        <x:v>HYPERLINK is not implemented. linkLocation=https://www.imdb.com/title/tt27950663/fullcredits/, friendlyName=Open source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Channel 5 / 5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7" t="e">
        <x:f>HYPERLINK("https://en.wikipedia.org/wiki/Robert_Thorogood","Open source")</x:f>
        <x:v>HYPERLINK is not implemented. linkLocation=https://en.wikipedia.org/wiki/Robert_Thorogood, friendlyName=Open source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 t="str">
        <x:v>No established-register match</x:v>
      </x:c>
      <x:c r="AT372" s="14"/>
      <x:c r="AU372" s="14"/>
      <x:c r="AV372" s="14" t="str">
        <x:v>No established apparent-disability match</x:v>
      </x:c>
      <x:c r="AW372" s="14"/>
      <x:c r="AX372" s="14" t="str">
        <x:v>No</x:v>
      </x:c>
      <x:c r="AY372" s="14" t="str">
        <x:v>Unmatched</x:v>
      </x:c>
      <x:c r="AZ372" s="14" t="str">
        <x:v>Final supplied register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22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2</x:v>
      </x:c>
      <x:c r="BS372" s="16" t="n">
        <x:v>0.09090909090909091</x:v>
      </x:c>
      <x:c r="BT372" s="14" t="str">
        <x:v>Minority of episodes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4" t="str">
        <x:v>HYPERLINK is not implemented. linkLocation=https://www.imdb.com/title/tt27950663/fullcredits/, friendlyName=Open source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tt27950663|nm0581160|paul</x:v>
      </x:c>
      <x:c r="B373" s="14" t="str">
        <x:v>05</x:v>
      </x:c>
      <x:c r="C373" s="14" t="str">
        <x:v>2024_IMDb_Cast_Lists_Batch_05(1).xlsx</x:v>
      </x:c>
      <x:c r="D373" s="14" t="str">
        <x:v>The Marlow Murder Club</x:v>
      </x:c>
      <x:c r="E373" s="14" t="n">
        <x:v>71</x:v>
      </x:c>
      <x:c r="F373" s="14" t="str">
        <x:v>The Marlow Murder Club</x:v>
      </x:c>
      <x:c r="G373" s="14" t="str">
        <x:v>tt27950663</x:v>
      </x:c>
      <x:c r="H373" s="14" t="n">
        <x:v>2024</x:v>
      </x:c>
      <x:c r="I373" s="14" t="n">
        <x:v>2025</x:v>
      </x:c>
      <x:c r="J373" s="14" t="str">
        <x:v>Post-study cohort</x:v>
      </x:c>
      <x:c r="K373" s="14" t="n">
        <x:v>2024</x:v>
      </x:c>
      <x:c r="L373" s="14" t="str">
        <x:v>Not inherited</x:v>
      </x:c>
      <x:c r="M373" s="15" t="n">
        <x:v>64</x:v>
      </x:c>
      <x:c r="N373" s="14" t="str">
        <x:v>Jason Merrells</x:v>
      </x:c>
      <x:c r="O373" s="14" t="str">
        <x:v>nm0581160</x:v>
      </x:c>
      <x:c r="P373" s="14" t="str">
        <x:v>Paul</x:v>
      </x:c>
      <x:c r="Q373" s="15" t="n">
        <x:v>2</x:v>
      </x:c>
      <x:c r="R373" s="14" t="str">
        <x:v>2026</x:v>
      </x:c>
      <x:c r="S373" s="14" t="n">
        <x:v>2026</x:v>
      </x:c>
      <x:c r="T373" s="14" t="n">
        <x:v>2026</x:v>
      </x:c>
      <x:c r="U373" s="14" t="str">
        <x:v>Explicit source first year retained</x:v>
      </x:c>
      <x:c r="V373" s="14" t="str">
        <x:v>Earliest supplied year is 2026.</x:v>
      </x:c>
      <x:c r="W373" s="14"/>
      <x:c r="X373" s="14" t="str">
        <x:v>Excluded: after 2025</x:v>
      </x:c>
      <x:c r="Y373" s="14"/>
      <x:c r="Z373" s="14" t="str">
        <x:v>The Marlow Murder Club.docx</x:v>
      </x:c>
      <x:c r="AA373" s="14" t="str">
        <x:v>HYPERLINK is not implemented. linkLocation=https://www.imdb.com/title/tt27950663/fullcredits/, friendlyName=Open source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Channel 5 / 5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7" t="e">
        <x:f>HYPERLINK("https://en.wikipedia.org/wiki/Robert_Thorogood","Open source")</x:f>
        <x:v>HYPERLINK is not implemented. linkLocation=https://en.wikipedia.org/wiki/Robert_Thorogood, friendlyName=Open source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 t="str">
        <x:v>No established-register match</x:v>
      </x:c>
      <x:c r="AT373" s="14"/>
      <x:c r="AU373" s="14"/>
      <x:c r="AV373" s="14" t="str">
        <x:v>No established apparent-disability match</x:v>
      </x:c>
      <x:c r="AW373" s="14"/>
      <x:c r="AX373" s="14" t="str">
        <x:v>No</x:v>
      </x:c>
      <x:c r="AY373" s="14" t="str">
        <x:v>Unmatched</x:v>
      </x:c>
      <x:c r="AZ373" s="14" t="str">
        <x:v>Final supplied register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22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2</x:v>
      </x:c>
      <x:c r="BS373" s="16" t="n">
        <x:v>0.09090909090909091</x:v>
      </x:c>
      <x:c r="BT373" s="14" t="str">
        <x:v>Minority of episodes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4" t="str">
        <x:v>HYPERLINK is not implemented. linkLocation=https://www.imdb.com/title/tt27950663/fullcredits/, friendlyName=Open source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tt27950663|nm2357539|freddie</x:v>
      </x:c>
      <x:c r="B374" s="14" t="str">
        <x:v>05</x:v>
      </x:c>
      <x:c r="C374" s="14" t="str">
        <x:v>2024_IMDb_Cast_Lists_Batch_05(1).xlsx</x:v>
      </x:c>
      <x:c r="D374" s="14" t="str">
        <x:v>The Marlow Murder Club</x:v>
      </x:c>
      <x:c r="E374" s="14" t="n">
        <x:v>73</x:v>
      </x:c>
      <x:c r="F374" s="14" t="str">
        <x:v>The Marlow Murder Club</x:v>
      </x:c>
      <x:c r="G374" s="14" t="str">
        <x:v>tt27950663</x:v>
      </x:c>
      <x:c r="H374" s="14" t="n">
        <x:v>2024</x:v>
      </x:c>
      <x:c r="I374" s="14" t="n">
        <x:v>2025</x:v>
      </x:c>
      <x:c r="J374" s="14" t="str">
        <x:v>Post-study cohort</x:v>
      </x:c>
      <x:c r="K374" s="14" t="n">
        <x:v>2024</x:v>
      </x:c>
      <x:c r="L374" s="14" t="str">
        <x:v>Not inherited</x:v>
      </x:c>
      <x:c r="M374" s="15" t="n">
        <x:v>66</x:v>
      </x:c>
      <x:c r="N374" s="14" t="str">
        <x:v>Dominic Tighe</x:v>
      </x:c>
      <x:c r="O374" s="14" t="str">
        <x:v>nm2357539</x:v>
      </x:c>
      <x:c r="P374" s="14" t="str">
        <x:v>Freddie</x:v>
      </x:c>
      <x:c r="Q374" s="15" t="n">
        <x:v>2</x:v>
      </x:c>
      <x:c r="R374" s="14" t="str">
        <x:v>2026</x:v>
      </x:c>
      <x:c r="S374" s="14" t="n">
        <x:v>2026</x:v>
      </x:c>
      <x:c r="T374" s="14" t="n">
        <x:v>2026</x:v>
      </x:c>
      <x:c r="U374" s="14" t="str">
        <x:v>Explicit source first year retained</x:v>
      </x:c>
      <x:c r="V374" s="14" t="str">
        <x:v>Earliest supplied year is 2026.</x:v>
      </x:c>
      <x:c r="W374" s="14"/>
      <x:c r="X374" s="14" t="str">
        <x:v>Excluded: after 2025</x:v>
      </x:c>
      <x:c r="Y374" s="14"/>
      <x:c r="Z374" s="14" t="str">
        <x:v>The Marlow Murder Club.docx</x:v>
      </x:c>
      <x:c r="AA374" s="14" t="str">
        <x:v>HYPERLINK is not implemented. linkLocation=https://www.imdb.com/title/tt27950663/fullcredits/, friendlyName=Open source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Channel 5 / 5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7" t="e">
        <x:f>HYPERLINK("https://en.wikipedia.org/wiki/Robert_Thorogood","Open source")</x:f>
        <x:v>HYPERLINK is not implemented. linkLocation=https://en.wikipedia.org/wiki/Robert_Thorogood, friendlyName=Open source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 t="str">
        <x:v>No established-register match</x:v>
      </x:c>
      <x:c r="AT374" s="14"/>
      <x:c r="AU374" s="14"/>
      <x:c r="AV374" s="14" t="str">
        <x:v>No established apparent-disability match</x:v>
      </x:c>
      <x:c r="AW374" s="14"/>
      <x:c r="AX374" s="14" t="str">
        <x:v>No</x:v>
      </x:c>
      <x:c r="AY374" s="14" t="str">
        <x:v>Unmatched</x:v>
      </x:c>
      <x:c r="AZ374" s="14" t="str">
        <x:v>Final supplied register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22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2</x:v>
      </x:c>
      <x:c r="BS374" s="16" t="n">
        <x:v>0.09090909090909091</x:v>
      </x:c>
      <x:c r="BT374" s="14" t="str">
        <x:v>Minority of episodes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4" t="str">
        <x:v>HYPERLINK is not implemented. linkLocation=https://www.imdb.com/title/tt27950663/fullcredits/, friendlyName=Open source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tt27950663|nm1599985|dave</x:v>
      </x:c>
      <x:c r="B375" s="14" t="str">
        <x:v>05</x:v>
      </x:c>
      <x:c r="C375" s="14" t="str">
        <x:v>2024_IMDb_Cast_Lists_Batch_05(1).xlsx</x:v>
      </x:c>
      <x:c r="D375" s="14" t="str">
        <x:v>The Marlow Murder Club</x:v>
      </x:c>
      <x:c r="E375" s="14" t="n">
        <x:v>75</x:v>
      </x:c>
      <x:c r="F375" s="14" t="str">
        <x:v>The Marlow Murder Club</x:v>
      </x:c>
      <x:c r="G375" s="14" t="str">
        <x:v>tt27950663</x:v>
      </x:c>
      <x:c r="H375" s="14" t="n">
        <x:v>2024</x:v>
      </x:c>
      <x:c r="I375" s="14" t="n">
        <x:v>2025</x:v>
      </x:c>
      <x:c r="J375" s="14" t="str">
        <x:v>Post-study cohort</x:v>
      </x:c>
      <x:c r="K375" s="14" t="n">
        <x:v>2024</x:v>
      </x:c>
      <x:c r="L375" s="14" t="str">
        <x:v>Not inherited</x:v>
      </x:c>
      <x:c r="M375" s="15" t="n">
        <x:v>68</x:v>
      </x:c>
      <x:c r="N375" s="14" t="str">
        <x:v>Perry Millward</x:v>
      </x:c>
      <x:c r="O375" s="14" t="str">
        <x:v>nm1599985</x:v>
      </x:c>
      <x:c r="P375" s="14" t="str">
        <x:v>Dave</x:v>
      </x:c>
      <x:c r="Q375" s="15" t="n">
        <x:v>2</x:v>
      </x:c>
      <x:c r="R375" s="14" t="str">
        <x:v>2026</x:v>
      </x:c>
      <x:c r="S375" s="14" t="n">
        <x:v>2026</x:v>
      </x:c>
      <x:c r="T375" s="14" t="n">
        <x:v>2026</x:v>
      </x:c>
      <x:c r="U375" s="14" t="str">
        <x:v>Explicit source first year retained</x:v>
      </x:c>
      <x:c r="V375" s="14" t="str">
        <x:v>Earliest supplied year is 2026.</x:v>
      </x:c>
      <x:c r="W375" s="14"/>
      <x:c r="X375" s="14" t="str">
        <x:v>Excluded: after 2025</x:v>
      </x:c>
      <x:c r="Y375" s="14"/>
      <x:c r="Z375" s="14" t="str">
        <x:v>The Marlow Murder Club.docx</x:v>
      </x:c>
      <x:c r="AA375" s="14" t="str">
        <x:v>HYPERLINK is not implemented. linkLocation=https://www.imdb.com/title/tt27950663/fullcredits/, friendlyName=Open source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Channel 5 / 5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7" t="e">
        <x:f>HYPERLINK("https://en.wikipedia.org/wiki/Robert_Thorogood","Open source")</x:f>
        <x:v>HYPERLINK is not implemented. linkLocation=https://en.wikipedia.org/wiki/Robert_Thorogood, friendlyName=Open source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 t="str">
        <x:v>No established-register match</x:v>
      </x:c>
      <x:c r="AT375" s="14"/>
      <x:c r="AU375" s="14"/>
      <x:c r="AV375" s="14" t="str">
        <x:v>No established apparent-disability match</x:v>
      </x:c>
      <x:c r="AW375" s="14"/>
      <x:c r="AX375" s="14" t="str">
        <x:v>No</x:v>
      </x:c>
      <x:c r="AY375" s="14" t="str">
        <x:v>Unmatched</x:v>
      </x:c>
      <x:c r="AZ375" s="14" t="str">
        <x:v>Final supplied register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22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2</x:v>
      </x:c>
      <x:c r="BS375" s="16" t="n">
        <x:v>0.09090909090909091</x:v>
      </x:c>
      <x:c r="BT375" s="14" t="str">
        <x:v>Minority of episodes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4" t="str">
        <x:v>HYPERLINK is not implemented. linkLocation=https://www.imdb.com/title/tt27950663/fullcredits/, friendlyName=Open source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tt27950663|nm3025667|damon grady</x:v>
      </x:c>
      <x:c r="B376" s="14" t="str">
        <x:v>05</x:v>
      </x:c>
      <x:c r="C376" s="14" t="str">
        <x:v>2024_IMDb_Cast_Lists_Batch_05(1).xlsx</x:v>
      </x:c>
      <x:c r="D376" s="14" t="str">
        <x:v>The Marlow Murder Club</x:v>
      </x:c>
      <x:c r="E376" s="14" t="n">
        <x:v>77</x:v>
      </x:c>
      <x:c r="F376" s="14" t="str">
        <x:v>The Marlow Murder Club</x:v>
      </x:c>
      <x:c r="G376" s="14" t="str">
        <x:v>tt27950663</x:v>
      </x:c>
      <x:c r="H376" s="14" t="n">
        <x:v>2024</x:v>
      </x:c>
      <x:c r="I376" s="14" t="n">
        <x:v>2025</x:v>
      </x:c>
      <x:c r="J376" s="14" t="str">
        <x:v>Post-study cohort</x:v>
      </x:c>
      <x:c r="K376" s="14" t="n">
        <x:v>2024</x:v>
      </x:c>
      <x:c r="L376" s="14" t="str">
        <x:v>Not inherited</x:v>
      </x:c>
      <x:c r="M376" s="15" t="n">
        <x:v>70</x:v>
      </x:c>
      <x:c r="N376" s="14" t="str">
        <x:v>Jack Shalloo</x:v>
      </x:c>
      <x:c r="O376" s="14" t="str">
        <x:v>nm3025667</x:v>
      </x:c>
      <x:c r="P376" s="14" t="str">
        <x:v>Damon Grady</x:v>
      </x:c>
      <x:c r="Q376" s="15" t="n">
        <x:v>2</x:v>
      </x:c>
      <x:c r="R376" s="14" t="str">
        <x:v>2026</x:v>
      </x:c>
      <x:c r="S376" s="14" t="n">
        <x:v>2026</x:v>
      </x:c>
      <x:c r="T376" s="14" t="n">
        <x:v>2026</x:v>
      </x:c>
      <x:c r="U376" s="14" t="str">
        <x:v>Explicit source first year retained</x:v>
      </x:c>
      <x:c r="V376" s="14" t="str">
        <x:v>Earliest supplied year is 2026.</x:v>
      </x:c>
      <x:c r="W376" s="14"/>
      <x:c r="X376" s="14" t="str">
        <x:v>Excluded: after 2025</x:v>
      </x:c>
      <x:c r="Y376" s="14"/>
      <x:c r="Z376" s="14" t="str">
        <x:v>The Marlow Murder Club.docx</x:v>
      </x:c>
      <x:c r="AA376" s="14" t="str">
        <x:v>HYPERLINK is not implemented. linkLocation=https://www.imdb.com/title/tt27950663/fullcredits/, friendlyName=Open source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Channel 5 / 5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7" t="e">
        <x:f>HYPERLINK("https://en.wikipedia.org/wiki/Robert_Thorogood","Open source")</x:f>
        <x:v>HYPERLINK is not implemented. linkLocation=https://en.wikipedia.org/wiki/Robert_Thorogood, friendlyName=Open source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 t="str">
        <x:v>No established-register match</x:v>
      </x:c>
      <x:c r="AT376" s="14"/>
      <x:c r="AU376" s="14"/>
      <x:c r="AV376" s="14" t="str">
        <x:v>No established apparent-disability match</x:v>
      </x:c>
      <x:c r="AW376" s="14"/>
      <x:c r="AX376" s="14" t="str">
        <x:v>No</x:v>
      </x:c>
      <x:c r="AY376" s="14" t="str">
        <x:v>Unmatched</x:v>
      </x:c>
      <x:c r="AZ376" s="14" t="str">
        <x:v>Final supplied register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22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2</x:v>
      </x:c>
      <x:c r="BS376" s="16" t="n">
        <x:v>0.09090909090909091</x:v>
      </x:c>
      <x:c r="BT376" s="14" t="str">
        <x:v>Minority of episodes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4" t="str">
        <x:v>HYPERLINK is not implemented. linkLocation=https://www.imdb.com/title/tt27950663/fullcredits/, friendlyName=Open source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tt27950663|nm7069482|paul speed dater 2</x:v>
      </x:c>
      <x:c r="B377" s="14" t="str">
        <x:v>05</x:v>
      </x:c>
      <x:c r="C377" s="14" t="str">
        <x:v>2024_IMDb_Cast_Lists_Batch_05(1).xlsx</x:v>
      </x:c>
      <x:c r="D377" s="14" t="str">
        <x:v>The Marlow Murder Club</x:v>
      </x:c>
      <x:c r="E377" s="14" t="n">
        <x:v>88</x:v>
      </x:c>
      <x:c r="F377" s="14" t="str">
        <x:v>The Marlow Murder Club</x:v>
      </x:c>
      <x:c r="G377" s="14" t="str">
        <x:v>tt27950663</x:v>
      </x:c>
      <x:c r="H377" s="14" t="n">
        <x:v>2024</x:v>
      </x:c>
      <x:c r="I377" s="14" t="n">
        <x:v>2025</x:v>
      </x:c>
      <x:c r="J377" s="14" t="str">
        <x:v>Post-study cohort</x:v>
      </x:c>
      <x:c r="K377" s="14" t="n">
        <x:v>2024</x:v>
      </x:c>
      <x:c r="L377" s="14" t="str">
        <x:v>Not inherited</x:v>
      </x:c>
      <x:c r="M377" s="15" t="n">
        <x:v>81</x:v>
      </x:c>
      <x:c r="N377" s="14" t="str">
        <x:v>Stephan Boyce</x:v>
      </x:c>
      <x:c r="O377" s="14" t="str">
        <x:v>nm7069482</x:v>
      </x:c>
      <x:c r="P377" s="14" t="str">
        <x:v>Paul Speed Dater 2</x:v>
      </x:c>
      <x:c r="Q377" s="15" t="n">
        <x:v>1</x:v>
      </x:c>
      <x:c r="R377" s="14" t="str">
        <x:v>2026</x:v>
      </x:c>
      <x:c r="S377" s="14" t="n">
        <x:v>2026</x:v>
      </x:c>
      <x:c r="T377" s="14" t="n">
        <x:v>2026</x:v>
      </x:c>
      <x:c r="U377" s="14" t="str">
        <x:v>Explicit source first year retained</x:v>
      </x:c>
      <x:c r="V377" s="14" t="str">
        <x:v>Earliest supplied year is 2026.</x:v>
      </x:c>
      <x:c r="W377" s="14"/>
      <x:c r="X377" s="14" t="str">
        <x:v>Excluded: after 2025</x:v>
      </x:c>
      <x:c r="Y377" s="14"/>
      <x:c r="Z377" s="14" t="str">
        <x:v>The Marlow Murder Club.docx</x:v>
      </x:c>
      <x:c r="AA377" s="14" t="str">
        <x:v>HYPERLINK is not implemented. linkLocation=https://www.imdb.com/title/tt27950663/fullcredits/, friendlyName=Open source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Channel 5 / 5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7" t="e">
        <x:f>HYPERLINK("https://en.wikipedia.org/wiki/Robert_Thorogood","Open source")</x:f>
        <x:v>HYPERLINK is not implemented. linkLocation=https://en.wikipedia.org/wiki/Robert_Thorogood, friendlyName=Open source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 t="str">
        <x:v>No established-register match</x:v>
      </x:c>
      <x:c r="AT377" s="14"/>
      <x:c r="AU377" s="14"/>
      <x:c r="AV377" s="14" t="str">
        <x:v>No established apparent-disability match</x:v>
      </x:c>
      <x:c r="AW377" s="14"/>
      <x:c r="AX377" s="14" t="str">
        <x:v>No</x:v>
      </x:c>
      <x:c r="AY377" s="14" t="str">
        <x:v>Unmatched</x:v>
      </x:c>
      <x:c r="AZ377" s="14" t="str">
        <x:v>Final supplied register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22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1</x:v>
      </x:c>
      <x:c r="BS377" s="16" t="n">
        <x:v>0.045454545454545456</x:v>
      </x:c>
      <x:c r="BT377" s="14" t="str">
        <x:v>One episode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4" t="str">
        <x:v>HYPERLINK is not implemented. linkLocation=https://www.imdb.com/title/tt27950663/fullcredits/, friendlyName=Open source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tt27950663|nm7436155|eddie speed dating host</x:v>
      </x:c>
      <x:c r="B378" s="14" t="str">
        <x:v>05</x:v>
      </x:c>
      <x:c r="C378" s="14" t="str">
        <x:v>2024_IMDb_Cast_Lists_Batch_05(1).xlsx</x:v>
      </x:c>
      <x:c r="D378" s="14" t="str">
        <x:v>The Marlow Murder Club</x:v>
      </x:c>
      <x:c r="E378" s="14" t="n">
        <x:v>90</x:v>
      </x:c>
      <x:c r="F378" s="14" t="str">
        <x:v>The Marlow Murder Club</x:v>
      </x:c>
      <x:c r="G378" s="14" t="str">
        <x:v>tt27950663</x:v>
      </x:c>
      <x:c r="H378" s="14" t="n">
        <x:v>2024</x:v>
      </x:c>
      <x:c r="I378" s="14" t="n">
        <x:v>2025</x:v>
      </x:c>
      <x:c r="J378" s="14" t="str">
        <x:v>Post-study cohort</x:v>
      </x:c>
      <x:c r="K378" s="14" t="n">
        <x:v>2024</x:v>
      </x:c>
      <x:c r="L378" s="14" t="str">
        <x:v>Not inherited</x:v>
      </x:c>
      <x:c r="M378" s="15" t="n">
        <x:v>83</x:v>
      </x:c>
      <x:c r="N378" s="14" t="str">
        <x:v>Julian Capolei</x:v>
      </x:c>
      <x:c r="O378" s="14" t="str">
        <x:v>nm7436155</x:v>
      </x:c>
      <x:c r="P378" s="14" t="str">
        <x:v>Eddie Speed Dating Host</x:v>
      </x:c>
      <x:c r="Q378" s="15" t="n">
        <x:v>1</x:v>
      </x:c>
      <x:c r="R378" s="14" t="str">
        <x:v>2026</x:v>
      </x:c>
      <x:c r="S378" s="14" t="n">
        <x:v>2026</x:v>
      </x:c>
      <x:c r="T378" s="14" t="n">
        <x:v>2026</x:v>
      </x:c>
      <x:c r="U378" s="14" t="str">
        <x:v>Explicit source first year retained</x:v>
      </x:c>
      <x:c r="V378" s="14" t="str">
        <x:v>Earliest supplied year is 2026.</x:v>
      </x:c>
      <x:c r="W378" s="14"/>
      <x:c r="X378" s="14" t="str">
        <x:v>Excluded: after 2025</x:v>
      </x:c>
      <x:c r="Y378" s="14"/>
      <x:c r="Z378" s="14" t="str">
        <x:v>The Marlow Murder Club.docx</x:v>
      </x:c>
      <x:c r="AA378" s="14" t="str">
        <x:v>HYPERLINK is not implemented. linkLocation=https://www.imdb.com/title/tt27950663/fullcredits/, friendlyName=Open source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Channel 5 / 5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7" t="e">
        <x:f>HYPERLINK("https://en.wikipedia.org/wiki/Robert_Thorogood","Open source")</x:f>
        <x:v>HYPERLINK is not implemented. linkLocation=https://en.wikipedia.org/wiki/Robert_Thorogood, friendlyName=Open source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 t="str">
        <x:v>No established-register match</x:v>
      </x:c>
      <x:c r="AT378" s="14"/>
      <x:c r="AU378" s="14"/>
      <x:c r="AV378" s="14" t="str">
        <x:v>No established apparent-disability match</x:v>
      </x:c>
      <x:c r="AW378" s="14"/>
      <x:c r="AX378" s="14" t="str">
        <x:v>No</x:v>
      </x:c>
      <x:c r="AY378" s="14" t="str">
        <x:v>Unmatched</x:v>
      </x:c>
      <x:c r="AZ378" s="14" t="str">
        <x:v>Final supplied register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22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1</x:v>
      </x:c>
      <x:c r="BS378" s="16" t="n">
        <x:v>0.045454545454545456</x:v>
      </x:c>
      <x:c r="BT378" s="14" t="str">
        <x:v>One episode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4" t="str">
        <x:v>HYPERLINK is not implemented. linkLocation=https://www.imdb.com/title/tt27950663/fullcredits/, friendlyName=Open source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tt27950663|nm2383341|mia</x:v>
      </x:c>
      <x:c r="B379" s="14" t="str">
        <x:v>05</x:v>
      </x:c>
      <x:c r="C379" s="14" t="str">
        <x:v>2024_IMDb_Cast_Lists_Batch_05(1).xlsx</x:v>
      </x:c>
      <x:c r="D379" s="14" t="str">
        <x:v>The Marlow Murder Club</x:v>
      </x:c>
      <x:c r="E379" s="14" t="n">
        <x:v>93</x:v>
      </x:c>
      <x:c r="F379" s="14" t="str">
        <x:v>The Marlow Murder Club</x:v>
      </x:c>
      <x:c r="G379" s="14" t="str">
        <x:v>tt27950663</x:v>
      </x:c>
      <x:c r="H379" s="14" t="n">
        <x:v>2024</x:v>
      </x:c>
      <x:c r="I379" s="14" t="n">
        <x:v>2025</x:v>
      </x:c>
      <x:c r="J379" s="14" t="str">
        <x:v>Post-study cohort</x:v>
      </x:c>
      <x:c r="K379" s="14" t="n">
        <x:v>2024</x:v>
      </x:c>
      <x:c r="L379" s="14" t="str">
        <x:v>Not inherited</x:v>
      </x:c>
      <x:c r="M379" s="15" t="n">
        <x:v>86</x:v>
      </x:c>
      <x:c r="N379" s="14" t="str">
        <x:v>Emmanuella Cole</x:v>
      </x:c>
      <x:c r="O379" s="14" t="str">
        <x:v>nm2383341</x:v>
      </x:c>
      <x:c r="P379" s="14" t="str">
        <x:v>Mia</x:v>
      </x:c>
      <x:c r="Q379" s="15" t="n">
        <x:v>1</x:v>
      </x:c>
      <x:c r="R379" s="14" t="str">
        <x:v>2026</x:v>
      </x:c>
      <x:c r="S379" s="14" t="n">
        <x:v>2026</x:v>
      </x:c>
      <x:c r="T379" s="14" t="n">
        <x:v>2026</x:v>
      </x:c>
      <x:c r="U379" s="14" t="str">
        <x:v>Explicit source first year retained</x:v>
      </x:c>
      <x:c r="V379" s="14" t="str">
        <x:v>Earliest supplied year is 2026.</x:v>
      </x:c>
      <x:c r="W379" s="14"/>
      <x:c r="X379" s="14" t="str">
        <x:v>Excluded: after 2025</x:v>
      </x:c>
      <x:c r="Y379" s="14"/>
      <x:c r="Z379" s="14" t="str">
        <x:v>The Marlow Murder Club.docx</x:v>
      </x:c>
      <x:c r="AA379" s="14" t="str">
        <x:v>HYPERLINK is not implemented. linkLocation=https://www.imdb.com/title/tt27950663/fullcredits/, friendlyName=Open source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Channel 5 / 5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7" t="e">
        <x:f>HYPERLINK("https://en.wikipedia.org/wiki/Robert_Thorogood","Open source")</x:f>
        <x:v>HYPERLINK is not implemented. linkLocation=https://en.wikipedia.org/wiki/Robert_Thorogood, friendlyName=Open source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 t="str">
        <x:v>No established-register match</x:v>
      </x:c>
      <x:c r="AT379" s="14"/>
      <x:c r="AU379" s="14"/>
      <x:c r="AV379" s="14" t="str">
        <x:v>No established apparent-disability match</x:v>
      </x:c>
      <x:c r="AW379" s="14"/>
      <x:c r="AX379" s="14" t="str">
        <x:v>No</x:v>
      </x:c>
      <x:c r="AY379" s="14" t="str">
        <x:v>Unmatched</x:v>
      </x:c>
      <x:c r="AZ379" s="14" t="str">
        <x:v>Final supplied register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22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1</x:v>
      </x:c>
      <x:c r="BS379" s="16" t="n">
        <x:v>0.045454545454545456</x:v>
      </x:c>
      <x:c r="BT379" s="14" t="str">
        <x:v>One episode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4" t="str">
        <x:v>HYPERLINK is not implemented. linkLocation=https://www.imdb.com/title/tt27950663/fullcredits/, friendlyName=Open source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tt27950663|nm18318608|josh speed dater 1</x:v>
      </x:c>
      <x:c r="B380" s="14" t="str">
        <x:v>05</x:v>
      </x:c>
      <x:c r="C380" s="14" t="str">
        <x:v>2024_IMDb_Cast_Lists_Batch_05(1).xlsx</x:v>
      </x:c>
      <x:c r="D380" s="14" t="str">
        <x:v>The Marlow Murder Club</x:v>
      </x:c>
      <x:c r="E380" s="14" t="n">
        <x:v>99</x:v>
      </x:c>
      <x:c r="F380" s="14" t="str">
        <x:v>The Marlow Murder Club</x:v>
      </x:c>
      <x:c r="G380" s="14" t="str">
        <x:v>tt27950663</x:v>
      </x:c>
      <x:c r="H380" s="14" t="n">
        <x:v>2024</x:v>
      </x:c>
      <x:c r="I380" s="14" t="n">
        <x:v>2025</x:v>
      </x:c>
      <x:c r="J380" s="14" t="str">
        <x:v>Post-study cohort</x:v>
      </x:c>
      <x:c r="K380" s="14" t="n">
        <x:v>2024</x:v>
      </x:c>
      <x:c r="L380" s="14" t="str">
        <x:v>Not inherited</x:v>
      </x:c>
      <x:c r="M380" s="15" t="n">
        <x:v>92</x:v>
      </x:c>
      <x:c r="N380" s="14" t="str">
        <x:v>Richard Meek</x:v>
      </x:c>
      <x:c r="O380" s="14" t="str">
        <x:v>nm18318608</x:v>
      </x:c>
      <x:c r="P380" s="14" t="str">
        <x:v>Josh Speed Dater 1</x:v>
      </x:c>
      <x:c r="Q380" s="15" t="n">
        <x:v>1</x:v>
      </x:c>
      <x:c r="R380" s="14" t="str">
        <x:v>2026</x:v>
      </x:c>
      <x:c r="S380" s="14" t="n">
        <x:v>2026</x:v>
      </x:c>
      <x:c r="T380" s="14" t="n">
        <x:v>2026</x:v>
      </x:c>
      <x:c r="U380" s="14" t="str">
        <x:v>Explicit source first year retained</x:v>
      </x:c>
      <x:c r="V380" s="14" t="str">
        <x:v>Earliest supplied year is 2026.</x:v>
      </x:c>
      <x:c r="W380" s="14"/>
      <x:c r="X380" s="14" t="str">
        <x:v>Excluded: after 2025</x:v>
      </x:c>
      <x:c r="Y380" s="14"/>
      <x:c r="Z380" s="14" t="str">
        <x:v>The Marlow Murder Club.docx</x:v>
      </x:c>
      <x:c r="AA380" s="14" t="str">
        <x:v>HYPERLINK is not implemented. linkLocation=https://www.imdb.com/title/tt27950663/fullcredits/, friendlyName=Open source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Channel 5 / 5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7" t="e">
        <x:f>HYPERLINK("https://en.wikipedia.org/wiki/Robert_Thorogood","Open source")</x:f>
        <x:v>HYPERLINK is not implemented. linkLocation=https://en.wikipedia.org/wiki/Robert_Thorogood, friendlyName=Open source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 t="str">
        <x:v>No established-register match</x:v>
      </x:c>
      <x:c r="AT380" s="14"/>
      <x:c r="AU380" s="14"/>
      <x:c r="AV380" s="14" t="str">
        <x:v>No established apparent-disability match</x:v>
      </x:c>
      <x:c r="AW380" s="14"/>
      <x:c r="AX380" s="14" t="str">
        <x:v>No</x:v>
      </x:c>
      <x:c r="AY380" s="14" t="str">
        <x:v>Unmatched</x:v>
      </x:c>
      <x:c r="AZ380" s="14" t="str">
        <x:v>Final supplied register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22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1</x:v>
      </x:c>
      <x:c r="BS380" s="16" t="n">
        <x:v>0.045454545454545456</x:v>
      </x:c>
      <x:c r="BT380" s="14" t="str">
        <x:v>One episode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4" t="str">
        <x:v>HYPERLINK is not implemented. linkLocation=https://www.imdb.com/title/tt27950663/fullcredits/, friendlyName=Open source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tt27950663|nm11671563|greg speed dater 3</x:v>
      </x:c>
      <x:c r="B381" s="14" t="str">
        <x:v>05</x:v>
      </x:c>
      <x:c r="C381" s="14" t="str">
        <x:v>2024_IMDb_Cast_Lists_Batch_05(1).xlsx</x:v>
      </x:c>
      <x:c r="D381" s="14" t="str">
        <x:v>The Marlow Murder Club</x:v>
      </x:c>
      <x:c r="E381" s="14" t="n">
        <x:v>102</x:v>
      </x:c>
      <x:c r="F381" s="14" t="str">
        <x:v>The Marlow Murder Club</x:v>
      </x:c>
      <x:c r="G381" s="14" t="str">
        <x:v>tt27950663</x:v>
      </x:c>
      <x:c r="H381" s="14" t="n">
        <x:v>2024</x:v>
      </x:c>
      <x:c r="I381" s="14" t="n">
        <x:v>2025</x:v>
      </x:c>
      <x:c r="J381" s="14" t="str">
        <x:v>Post-study cohort</x:v>
      </x:c>
      <x:c r="K381" s="14" t="n">
        <x:v>2024</x:v>
      </x:c>
      <x:c r="L381" s="14" t="str">
        <x:v>Not inherited</x:v>
      </x:c>
      <x:c r="M381" s="15" t="n">
        <x:v>95</x:v>
      </x:c>
      <x:c r="N381" s="14" t="str">
        <x:v>George Ritchie</x:v>
      </x:c>
      <x:c r="O381" s="14" t="str">
        <x:v>nm11671563</x:v>
      </x:c>
      <x:c r="P381" s="14" t="str">
        <x:v>Greg Speed Dater 3</x:v>
      </x:c>
      <x:c r="Q381" s="15" t="n">
        <x:v>1</x:v>
      </x:c>
      <x:c r="R381" s="14" t="str">
        <x:v>2026</x:v>
      </x:c>
      <x:c r="S381" s="14" t="n">
        <x:v>2026</x:v>
      </x:c>
      <x:c r="T381" s="14" t="n">
        <x:v>2026</x:v>
      </x:c>
      <x:c r="U381" s="14" t="str">
        <x:v>Explicit source first year retained</x:v>
      </x:c>
      <x:c r="V381" s="14" t="str">
        <x:v>Earliest supplied year is 2026.</x:v>
      </x:c>
      <x:c r="W381" s="14"/>
      <x:c r="X381" s="14" t="str">
        <x:v>Excluded: after 2025</x:v>
      </x:c>
      <x:c r="Y381" s="14"/>
      <x:c r="Z381" s="14" t="str">
        <x:v>The Marlow Murder Club.docx</x:v>
      </x:c>
      <x:c r="AA381" s="14" t="str">
        <x:v>HYPERLINK is not implemented. linkLocation=https://www.imdb.com/title/tt27950663/fullcredits/, friendlyName=Open source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Channel 5 / 5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7" t="e">
        <x:f>HYPERLINK("https://en.wikipedia.org/wiki/Robert_Thorogood","Open source")</x:f>
        <x:v>HYPERLINK is not implemented. linkLocation=https://en.wikipedia.org/wiki/Robert_Thorogood, friendlyName=Open source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 t="str">
        <x:v>No established-register match</x:v>
      </x:c>
      <x:c r="AT381" s="14"/>
      <x:c r="AU381" s="14"/>
      <x:c r="AV381" s="14" t="str">
        <x:v>No established apparent-disability match</x:v>
      </x:c>
      <x:c r="AW381" s="14"/>
      <x:c r="AX381" s="14" t="str">
        <x:v>No</x:v>
      </x:c>
      <x:c r="AY381" s="14" t="str">
        <x:v>Unmatched</x:v>
      </x:c>
      <x:c r="AZ381" s="14" t="str">
        <x:v>Final supplied register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22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1</x:v>
      </x:c>
      <x:c r="BS381" s="16" t="n">
        <x:v>0.045454545454545456</x:v>
      </x:c>
      <x:c r="BT381" s="14" t="str">
        <x:v>One episode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4" t="str">
        <x:v>HYPERLINK is not implemented. linkLocation=https://www.imdb.com/title/tt27950663/fullcredits/, friendlyName=Open source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tt29427309|nm2593278|kabir</x:v>
      </x:c>
      <x:c r="B382" s="14" t="str">
        <x:v>06</x:v>
      </x:c>
      <x:c r="C382" s="14" t="str">
        <x:v>2024_IMDb_Cast_Lists_Batch_06(1).xlsx</x:v>
      </x:c>
      <x:c r="D382" s="14" t="str">
        <x:v>Things You Should Have Done</x:v>
      </x:c>
      <x:c r="E382" s="14" t="n">
        <x:v>35</x:v>
      </x:c>
      <x:c r="F382" s="14" t="str">
        <x:v>Things You Should Have Done</x:v>
      </x:c>
      <x:c r="G382" s="14" t="str">
        <x:v>tt29427309</x:v>
      </x:c>
      <x:c r="H382" s="14" t="n">
        <x:v>2024</x:v>
      </x:c>
      <x:c r="I382" s="14" t="n">
        <x:v>2025</x:v>
      </x:c>
      <x:c r="J382" s="14" t="str">
        <x:v>Post-study cohort</x:v>
      </x:c>
      <x:c r="K382" s="14" t="n">
        <x:v>2024</x:v>
      </x:c>
      <x:c r="L382" s="14" t="str">
        <x:v>Not inherited</x:v>
      </x:c>
      <x:c r="M382" s="15" t="n">
        <x:v>28</x:v>
      </x:c>
      <x:c r="N382" s="14" t="str">
        <x:v>Nish Nathwani</x:v>
      </x:c>
      <x:c r="O382" s="14" t="str">
        <x:v>nm2593278</x:v>
      </x:c>
      <x:c r="P382" s="14" t="str">
        <x:v>Kabir</x:v>
      </x:c>
      <x:c r="Q382" s="15" t="n">
        <x:v>1</x:v>
      </x:c>
      <x:c r="R382" s="14" t="str">
        <x:v>2026</x:v>
      </x:c>
      <x:c r="S382" s="14" t="n">
        <x:v>2026</x:v>
      </x:c>
      <x:c r="T382" s="14" t="n">
        <x:v>2026</x:v>
      </x:c>
      <x:c r="U382" s="14" t="str">
        <x:v>Explicit source first year retained</x:v>
      </x:c>
      <x:c r="V382" s="14" t="str">
        <x:v>Earliest supplied year is 2026.</x:v>
      </x:c>
      <x:c r="W382" s="14"/>
      <x:c r="X382" s="14" t="str">
        <x:v>Excluded: after 2025</x:v>
      </x:c>
      <x:c r="Y382" s="14"/>
      <x:c r="Z382" s="14" t="str">
        <x:v>Things You Should Have Done.docx</x:v>
      </x:c>
      <x:c r="AA382" s="14" t="str">
        <x:v>HYPERLINK is not implemented. linkLocation=https://www.imdb.com/title/tt29427309/fullcredits/, friendlyName=Open source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BBC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382" s="14" t="str">
        <x:v>BBC public-service commission</x:v>
      </x:c>
      <x:c r="AO382" s="14" t="str">
        <x:v>Yes</x:v>
      </x:c>
      <x:c r="AP382" s="14" t="str">
        <x:v>Direct BBC public-service scope</x:v>
      </x:c>
      <x:c r="AQ382" s="14" t="str">
        <x:v>Yes</x:v>
      </x:c>
      <x:c r="AR382" s="14" t="str">
        <x:v>Resolved from master register</x:v>
      </x:c>
      <x:c r="AS382" s="14" t="str">
        <x:v>No established-register match</x:v>
      </x:c>
      <x:c r="AT382" s="14"/>
      <x:c r="AU382" s="14"/>
      <x:c r="AV382" s="14" t="str">
        <x:v>No established apparent-disability match</x:v>
      </x:c>
      <x:c r="AW382" s="14"/>
      <x:c r="AX382" s="14" t="str">
        <x:v>No</x:v>
      </x:c>
      <x:c r="AY382" s="14" t="str">
        <x:v>Unmatched</x:v>
      </x:c>
      <x:c r="AZ382" s="14" t="str">
        <x:v>Final supplied register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12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1</x:v>
      </x:c>
      <x:c r="BS382" s="16" t="n">
        <x:v>0.08333333333333333</x:v>
      </x:c>
      <x:c r="BT382" s="14" t="str">
        <x:v>One episode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4" t="str">
        <x:v>HYPERLINK is not implemented. linkLocation=https://www.imdb.com/title/tt29427309/fullcredits/, friendlyName=Open source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tt29427309|nm9449444|nurse</x:v>
      </x:c>
      <x:c r="B383" s="14" t="str">
        <x:v>06</x:v>
      </x:c>
      <x:c r="C383" s="14" t="str">
        <x:v>2024_IMDb_Cast_Lists_Batch_06(1).xlsx</x:v>
      </x:c>
      <x:c r="D383" s="14" t="str">
        <x:v>Things You Should Have Done</x:v>
      </x:c>
      <x:c r="E383" s="14" t="n">
        <x:v>36</x:v>
      </x:c>
      <x:c r="F383" s="14" t="str">
        <x:v>Things You Should Have Done</x:v>
      </x:c>
      <x:c r="G383" s="14" t="str">
        <x:v>tt29427309</x:v>
      </x:c>
      <x:c r="H383" s="14" t="n">
        <x:v>2024</x:v>
      </x:c>
      <x:c r="I383" s="14" t="n">
        <x:v>2025</x:v>
      </x:c>
      <x:c r="J383" s="14" t="str">
        <x:v>Post-study cohort</x:v>
      </x:c>
      <x:c r="K383" s="14" t="n">
        <x:v>2024</x:v>
      </x:c>
      <x:c r="L383" s="14" t="str">
        <x:v>Not inherited</x:v>
      </x:c>
      <x:c r="M383" s="15" t="n">
        <x:v>29</x:v>
      </x:c>
      <x:c r="N383" s="14" t="str">
        <x:v>Emma Bakare</x:v>
      </x:c>
      <x:c r="O383" s="14" t="str">
        <x:v>nm9449444</x:v>
      </x:c>
      <x:c r="P383" s="14" t="str">
        <x:v>Nurse</x:v>
      </x:c>
      <x:c r="Q383" s="15" t="n">
        <x:v>1</x:v>
      </x:c>
      <x:c r="R383" s="14" t="str">
        <x:v>2026</x:v>
      </x:c>
      <x:c r="S383" s="14" t="n">
        <x:v>2026</x:v>
      </x:c>
      <x:c r="T383" s="14" t="n">
        <x:v>2026</x:v>
      </x:c>
      <x:c r="U383" s="14" t="str">
        <x:v>Explicit source first year retained</x:v>
      </x:c>
      <x:c r="V383" s="14" t="str">
        <x:v>Earliest supplied year is 2026.</x:v>
      </x:c>
      <x:c r="W383" s="14"/>
      <x:c r="X383" s="14" t="str">
        <x:v>Excluded: after 2025</x:v>
      </x:c>
      <x:c r="Y383" s="14"/>
      <x:c r="Z383" s="14" t="str">
        <x:v>Things You Should Have Done.docx</x:v>
      </x:c>
      <x:c r="AA383" s="14" t="str">
        <x:v>HYPERLINK is not implemented. linkLocation=https://www.imdb.com/title/tt29427309/fullcredits/, friendlyName=Open source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BBC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7" t="e">
        <x:f>HYPERLINK("https://en.wikipedia.org/wiki/Things_You_Should_Have_Done","Open source")</x:f>
        <x:v>HYPERLINK is not implemented. linkLocation=https://en.wikipedia.org/wiki/Things_You_Should_Have_Done, friendlyName=Open source</x:v>
      </x:c>
      <x:c r="AN383" s="14" t="str">
        <x:v>BBC public-service commission</x:v>
      </x:c>
      <x:c r="AO383" s="14" t="str">
        <x:v>Yes</x:v>
      </x:c>
      <x:c r="AP383" s="14" t="str">
        <x:v>Direct BBC public-service scope</x:v>
      </x:c>
      <x:c r="AQ383" s="14" t="str">
        <x:v>Yes</x:v>
      </x:c>
      <x:c r="AR383" s="14" t="str">
        <x:v>Resolved from master register</x:v>
      </x:c>
      <x:c r="AS383" s="14" t="str">
        <x:v>No established-register match</x:v>
      </x:c>
      <x:c r="AT383" s="14"/>
      <x:c r="AU383" s="14"/>
      <x:c r="AV383" s="14" t="str">
        <x:v>No established apparent-disability match</x:v>
      </x:c>
      <x:c r="AW383" s="14"/>
      <x:c r="AX383" s="14" t="str">
        <x:v>No</x:v>
      </x:c>
      <x:c r="AY383" s="14" t="str">
        <x:v>Unmatched</x:v>
      </x:c>
      <x:c r="AZ383" s="14" t="str">
        <x:v>Final supplied register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12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1</x:v>
      </x:c>
      <x:c r="BS383" s="16" t="n">
        <x:v>0.08333333333333333</x:v>
      </x:c>
      <x:c r="BT383" s="14" t="str">
        <x:v>One episode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4" t="str">
        <x:v>HYPERLINK is not implemented. linkLocation=https://www.imdb.com/title/tt29427309/fullcredits/, friendlyName=Open source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tt28184314|nm0860724|bean</x:v>
      </x:c>
      <x:c r="B384" s="14" t="str">
        <x:v>06</x:v>
      </x:c>
      <x:c r="C384" s="14" t="str">
        <x:v>2024_IMDb_Cast_Lists_Batch_06(1).xlsx</x:v>
      </x:c>
      <x:c r="D384" s="14" t="str">
        <x:v>We Might Regret This</x:v>
      </x:c>
      <x:c r="E384" s="14" t="n">
        <x:v>18</x:v>
      </x:c>
      <x:c r="F384" s="14" t="str">
        <x:v>We Might Regret This</x:v>
      </x:c>
      <x:c r="G384" s="14" t="str">
        <x:v>tt28184314</x:v>
      </x:c>
      <x:c r="H384" s="14" t="n">
        <x:v>2024</x:v>
      </x:c>
      <x:c r="I384" s="14" t="n">
        <x:v>2025</x:v>
      </x:c>
      <x:c r="J384" s="14" t="str">
        <x:v>Post-study cohort</x:v>
      </x:c>
      <x:c r="K384" s="14" t="n">
        <x:v>2024</x:v>
      </x:c>
      <x:c r="L384" s="14" t="str">
        <x:v>Not inherited</x:v>
      </x:c>
      <x:c r="M384" s="15" t="n">
        <x:v>11</x:v>
      </x:c>
      <x:c r="N384" s="14" t="str">
        <x:v>Sophie Thompson</x:v>
      </x:c>
      <x:c r="O384" s="14" t="str">
        <x:v>nm0860724</x:v>
      </x:c>
      <x:c r="P384" s="14" t="str">
        <x:v>Bean</x:v>
      </x:c>
      <x:c r="Q384" s="15" t="n">
        <x:v>2</x:v>
      </x:c>
      <x:c r="R384" s="14" t="str">
        <x:v>2026</x:v>
      </x:c>
      <x:c r="S384" s="14" t="n">
        <x:v>2026</x:v>
      </x:c>
      <x:c r="T384" s="14" t="n">
        <x:v>2026</x:v>
      </x:c>
      <x:c r="U384" s="14" t="str">
        <x:v>Explicit source first year retained</x:v>
      </x:c>
      <x:c r="V384" s="14" t="str">
        <x:v>Earliest supplied year is 2026.</x:v>
      </x:c>
      <x:c r="W384" s="14"/>
      <x:c r="X384" s="14" t="str">
        <x:v>Excluded: after 2025</x:v>
      </x:c>
      <x:c r="Y384" s="14"/>
      <x:c r="Z384" s="14" t="str">
        <x:v>We Might Regret This.docx</x:v>
      </x:c>
      <x:c r="AA384" s="14" t="str">
        <x:v>HYPERLINK is not implemented. linkLocation=https://www.imdb.com/title/tt28184314/fullcredits/, friendlyName=Open source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BBC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4" s="14" t="str">
        <x:v>BBC public-service commission</x:v>
      </x:c>
      <x:c r="AO384" s="14" t="str">
        <x:v>Yes</x:v>
      </x:c>
      <x:c r="AP384" s="14" t="str">
        <x:v>Direct BBC public-service scope</x:v>
      </x:c>
      <x:c r="AQ384" s="14" t="str">
        <x:v>Yes</x:v>
      </x:c>
      <x:c r="AR384" s="14" t="str">
        <x:v>Resolved from master register</x:v>
      </x:c>
      <x:c r="AS384" s="14" t="str">
        <x:v>No established-register match</x:v>
      </x:c>
      <x:c r="AT384" s="14"/>
      <x:c r="AU384" s="14"/>
      <x:c r="AV384" s="14" t="str">
        <x:v>No established apparent-disability match</x:v>
      </x:c>
      <x:c r="AW384" s="14"/>
      <x:c r="AX384" s="14" t="str">
        <x:v>No</x:v>
      </x:c>
      <x:c r="AY384" s="14" t="str">
        <x:v>Unmatched</x:v>
      </x:c>
      <x:c r="AZ384" s="14" t="str">
        <x:v>Final supplied register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10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2</x:v>
      </x:c>
      <x:c r="BS384" s="16" t="n">
        <x:v>0.2</x:v>
      </x:c>
      <x:c r="BT384" s="14" t="str">
        <x:v>Minority of episodes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4" t="str">
        <x:v>HYPERLINK is not implemented. linkLocation=https://www.imdb.com/title/tt28184314/fullcredits/, friendlyName=Open source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tt28184314|nm3391181|dani</x:v>
      </x:c>
      <x:c r="B385" s="14" t="str">
        <x:v>06</x:v>
      </x:c>
      <x:c r="C385" s="14" t="str">
        <x:v>2024_IMDb_Cast_Lists_Batch_06(1).xlsx</x:v>
      </x:c>
      <x:c r="D385" s="14" t="str">
        <x:v>We Might Regret This</x:v>
      </x:c>
      <x:c r="E385" s="14" t="n">
        <x:v>20</x:v>
      </x:c>
      <x:c r="F385" s="14" t="str">
        <x:v>We Might Regret This</x:v>
      </x:c>
      <x:c r="G385" s="14" t="str">
        <x:v>tt28184314</x:v>
      </x:c>
      <x:c r="H385" s="14" t="n">
        <x:v>2024</x:v>
      </x:c>
      <x:c r="I385" s="14" t="n">
        <x:v>2025</x:v>
      </x:c>
      <x:c r="J385" s="14" t="str">
        <x:v>Post-study cohort</x:v>
      </x:c>
      <x:c r="K385" s="14" t="n">
        <x:v>2024</x:v>
      </x:c>
      <x:c r="L385" s="14" t="str">
        <x:v>Not inherited</x:v>
      </x:c>
      <x:c r="M385" s="15" t="n">
        <x:v>13</x:v>
      </x:c>
      <x:c r="N385" s="14" t="str">
        <x:v>Jason Fernández</x:v>
      </x:c>
      <x:c r="O385" s="14" t="str">
        <x:v>nm3391181</x:v>
      </x:c>
      <x:c r="P385" s="14" t="str">
        <x:v>Dani</x:v>
      </x:c>
      <x:c r="Q385" s="15" t="n">
        <x:v>2</x:v>
      </x:c>
      <x:c r="R385" s="14" t="str">
        <x:v>2026</x:v>
      </x:c>
      <x:c r="S385" s="14" t="n">
        <x:v>2026</x:v>
      </x:c>
      <x:c r="T385" s="14" t="n">
        <x:v>2026</x:v>
      </x:c>
      <x:c r="U385" s="14" t="str">
        <x:v>Explicit source first year retained</x:v>
      </x:c>
      <x:c r="V385" s="14" t="str">
        <x:v>Earliest supplied year is 2026.</x:v>
      </x:c>
      <x:c r="W385" s="14"/>
      <x:c r="X385" s="14" t="str">
        <x:v>Excluded: after 2025</x:v>
      </x:c>
      <x:c r="Y385" s="14" t="str">
        <x:v>(as Jason Fernández Birchwood)</x:v>
      </x:c>
      <x:c r="Z385" s="14" t="str">
        <x:v>We Might Regret This.docx</x:v>
      </x:c>
      <x:c r="AA385" s="14" t="str">
        <x:v>HYPERLINK is not implemented. linkLocation=https://www.imdb.com/title/tt28184314/fullcredits/, friendlyName=Open source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BBC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5" s="14" t="str">
        <x:v>BBC public-service commission</x:v>
      </x:c>
      <x:c r="AO385" s="14" t="str">
        <x:v>Yes</x:v>
      </x:c>
      <x:c r="AP385" s="14" t="str">
        <x:v>Direct BBC public-service scope</x:v>
      </x:c>
      <x:c r="AQ385" s="14" t="str">
        <x:v>Yes</x:v>
      </x:c>
      <x:c r="AR385" s="14" t="str">
        <x:v>Resolved from master register</x:v>
      </x:c>
      <x:c r="AS385" s="14" t="str">
        <x:v>No established-register match</x:v>
      </x:c>
      <x:c r="AT385" s="14"/>
      <x:c r="AU385" s="14"/>
      <x:c r="AV385" s="14" t="str">
        <x:v>No established apparent-disability match</x:v>
      </x:c>
      <x:c r="AW385" s="14"/>
      <x:c r="AX385" s="14" t="str">
        <x:v>No</x:v>
      </x:c>
      <x:c r="AY385" s="14" t="str">
        <x:v>Unmatched</x:v>
      </x:c>
      <x:c r="AZ385" s="14" t="str">
        <x:v>Final supplied register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10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2</x:v>
      </x:c>
      <x:c r="BS385" s="16" t="n">
        <x:v>0.2</x:v>
      </x:c>
      <x:c r="BT385" s="14" t="str">
        <x:v>Minority of episodes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4" t="str">
        <x:v>HYPERLINK is not implemented. linkLocation=https://www.imdb.com/title/tt28184314/fullcredits/, friendlyName=Open source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tt28184314|nm0657794|barb</x:v>
      </x:c>
      <x:c r="B386" s="14" t="str">
        <x:v>06</x:v>
      </x:c>
      <x:c r="C386" s="14" t="str">
        <x:v>2024_IMDb_Cast_Lists_Batch_06(1).xlsx</x:v>
      </x:c>
      <x:c r="D386" s="14" t="str">
        <x:v>We Might Regret This</x:v>
      </x:c>
      <x:c r="E386" s="14" t="n">
        <x:v>30</x:v>
      </x:c>
      <x:c r="F386" s="14" t="str">
        <x:v>We Might Regret This</x:v>
      </x:c>
      <x:c r="G386" s="14" t="str">
        <x:v>tt28184314</x:v>
      </x:c>
      <x:c r="H386" s="14" t="n">
        <x:v>2024</x:v>
      </x:c>
      <x:c r="I386" s="14" t="n">
        <x:v>2025</x:v>
      </x:c>
      <x:c r="J386" s="14" t="str">
        <x:v>Post-study cohort</x:v>
      </x:c>
      <x:c r="K386" s="14" t="n">
        <x:v>2024</x:v>
      </x:c>
      <x:c r="L386" s="14" t="str">
        <x:v>Not inherited</x:v>
      </x:c>
      <x:c r="M386" s="15" t="n">
        <x:v>23</x:v>
      </x:c>
      <x:c r="N386" s="14" t="str">
        <x:v>Georgia Goodman</x:v>
      </x:c>
      <x:c r="O386" s="14" t="str">
        <x:v>nm0657794</x:v>
      </x:c>
      <x:c r="P386" s="14" t="str">
        <x:v>Barb</x:v>
      </x:c>
      <x:c r="Q386" s="15" t="n">
        <x:v>1</x:v>
      </x:c>
      <x:c r="R386" s="14" t="str">
        <x:v>2026</x:v>
      </x:c>
      <x:c r="S386" s="14" t="n">
        <x:v>2026</x:v>
      </x:c>
      <x:c r="T386" s="14" t="n">
        <x:v>2026</x:v>
      </x:c>
      <x:c r="U386" s="14" t="str">
        <x:v>Explicit source first year retained</x:v>
      </x:c>
      <x:c r="V386" s="14" t="str">
        <x:v>Earliest supplied year is 2026.</x:v>
      </x:c>
      <x:c r="W386" s="14"/>
      <x:c r="X386" s="14" t="str">
        <x:v>Excluded: after 2025</x:v>
      </x:c>
      <x:c r="Y386" s="14"/>
      <x:c r="Z386" s="14" t="str">
        <x:v>We Might Regret This.docx</x:v>
      </x:c>
      <x:c r="AA386" s="14" t="str">
        <x:v>HYPERLINK is not implemented. linkLocation=https://www.imdb.com/title/tt28184314/fullcredits/, friendlyName=Open source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BBC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6" s="14" t="str">
        <x:v>BBC public-service commission</x:v>
      </x:c>
      <x:c r="AO386" s="14" t="str">
        <x:v>Yes</x:v>
      </x:c>
      <x:c r="AP386" s="14" t="str">
        <x:v>Direct BBC public-service scope</x:v>
      </x:c>
      <x:c r="AQ386" s="14" t="str">
        <x:v>Yes</x:v>
      </x:c>
      <x:c r="AR386" s="14" t="str">
        <x:v>Resolved from master register</x:v>
      </x:c>
      <x:c r="AS386" s="14" t="str">
        <x:v>No established-register match</x:v>
      </x:c>
      <x:c r="AT386" s="14"/>
      <x:c r="AU386" s="14"/>
      <x:c r="AV386" s="14" t="str">
        <x:v>No established apparent-disability match</x:v>
      </x:c>
      <x:c r="AW386" s="14"/>
      <x:c r="AX386" s="14" t="str">
        <x:v>No</x:v>
      </x:c>
      <x:c r="AY386" s="14" t="str">
        <x:v>Unmatched</x:v>
      </x:c>
      <x:c r="AZ386" s="14" t="str">
        <x:v>Final supplied register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10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1</x:v>
      </x:c>
      <x:c r="BS386" s="16" t="n">
        <x:v>0.1</x:v>
      </x:c>
      <x:c r="BT386" s="14" t="str">
        <x:v>One episode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4" t="str">
        <x:v>HYPERLINK is not implemented. linkLocation=https://www.imdb.com/title/tt28184314/fullcredits/, friendlyName=Open source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tt28184314|nm9164001|david</x:v>
      </x:c>
      <x:c r="B387" s="14" t="str">
        <x:v>06</x:v>
      </x:c>
      <x:c r="C387" s="14" t="str">
        <x:v>2024_IMDb_Cast_Lists_Batch_06(1).xlsx</x:v>
      </x:c>
      <x:c r="D387" s="14" t="str">
        <x:v>We Might Regret This</x:v>
      </x:c>
      <x:c r="E387" s="14" t="n">
        <x:v>33</x:v>
      </x:c>
      <x:c r="F387" s="14" t="str">
        <x:v>We Might Regret This</x:v>
      </x:c>
      <x:c r="G387" s="14" t="str">
        <x:v>tt28184314</x:v>
      </x:c>
      <x:c r="H387" s="14" t="n">
        <x:v>2024</x:v>
      </x:c>
      <x:c r="I387" s="14" t="n">
        <x:v>2025</x:v>
      </x:c>
      <x:c r="J387" s="14" t="str">
        <x:v>Post-study cohort</x:v>
      </x:c>
      <x:c r="K387" s="14" t="n">
        <x:v>2024</x:v>
      </x:c>
      <x:c r="L387" s="14" t="str">
        <x:v>Not inherited</x:v>
      </x:c>
      <x:c r="M387" s="15" t="n">
        <x:v>26</x:v>
      </x:c>
      <x:c r="N387" s="14" t="str">
        <x:v>Ed MacArthur</x:v>
      </x:c>
      <x:c r="O387" s="14" t="str">
        <x:v>nm9164001</x:v>
      </x:c>
      <x:c r="P387" s="14" t="str">
        <x:v>David</x:v>
      </x:c>
      <x:c r="Q387" s="15" t="n">
        <x:v>1</x:v>
      </x:c>
      <x:c r="R387" s="14" t="str">
        <x:v>2026</x:v>
      </x:c>
      <x:c r="S387" s="14" t="n">
        <x:v>2026</x:v>
      </x:c>
      <x:c r="T387" s="14" t="n">
        <x:v>2026</x:v>
      </x:c>
      <x:c r="U387" s="14" t="str">
        <x:v>Explicit source first year retained</x:v>
      </x:c>
      <x:c r="V387" s="14" t="str">
        <x:v>Earliest supplied year is 2026.</x:v>
      </x:c>
      <x:c r="W387" s="14"/>
      <x:c r="X387" s="14" t="str">
        <x:v>Excluded: after 2025</x:v>
      </x:c>
      <x:c r="Y387" s="14"/>
      <x:c r="Z387" s="14" t="str">
        <x:v>We Might Regret This.docx</x:v>
      </x:c>
      <x:c r="AA387" s="14" t="str">
        <x:v>HYPERLINK is not implemented. linkLocation=https://www.imdb.com/title/tt28184314/fullcredits/, friendlyName=Open source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BBC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7" s="14" t="str">
        <x:v>BBC public-service commission</x:v>
      </x:c>
      <x:c r="AO387" s="14" t="str">
        <x:v>Yes</x:v>
      </x:c>
      <x:c r="AP387" s="14" t="str">
        <x:v>Direct BBC public-service scope</x:v>
      </x:c>
      <x:c r="AQ387" s="14" t="str">
        <x:v>Yes</x:v>
      </x:c>
      <x:c r="AR387" s="14" t="str">
        <x:v>Resolved from master register</x:v>
      </x:c>
      <x:c r="AS387" s="14" t="str">
        <x:v>No established-register match</x:v>
      </x:c>
      <x:c r="AT387" s="14"/>
      <x:c r="AU387" s="14"/>
      <x:c r="AV387" s="14" t="str">
        <x:v>No established apparent-disability match</x:v>
      </x:c>
      <x:c r="AW387" s="14"/>
      <x:c r="AX387" s="14" t="str">
        <x:v>No</x:v>
      </x:c>
      <x:c r="AY387" s="14" t="str">
        <x:v>Unmatched</x:v>
      </x:c>
      <x:c r="AZ387" s="14" t="str">
        <x:v>Final supplied register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10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1</x:v>
      </x:c>
      <x:c r="BS387" s="16" t="n">
        <x:v>0.1</x:v>
      </x:c>
      <x:c r="BT387" s="14" t="str">
        <x:v>One episode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4" t="str">
        <x:v>HYPERLINK is not implemented. linkLocation=https://www.imdb.com/title/tt28184314/fullcredits/, friendlyName=Open source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tt28184314|nm7919533|charlotte</x:v>
      </x:c>
      <x:c r="B388" s="14" t="str">
        <x:v>06</x:v>
      </x:c>
      <x:c r="C388" s="14" t="str">
        <x:v>2024_IMDb_Cast_Lists_Batch_06(1).xlsx</x:v>
      </x:c>
      <x:c r="D388" s="14" t="str">
        <x:v>We Might Regret This</x:v>
      </x:c>
      <x:c r="E388" s="14" t="n">
        <x:v>34</x:v>
      </x:c>
      <x:c r="F388" s="14" t="str">
        <x:v>We Might Regret This</x:v>
      </x:c>
      <x:c r="G388" s="14" t="str">
        <x:v>tt28184314</x:v>
      </x:c>
      <x:c r="H388" s="14" t="n">
        <x:v>2024</x:v>
      </x:c>
      <x:c r="I388" s="14" t="n">
        <x:v>2025</x:v>
      </x:c>
      <x:c r="J388" s="14" t="str">
        <x:v>Post-study cohort</x:v>
      </x:c>
      <x:c r="K388" s="14" t="n">
        <x:v>2024</x:v>
      </x:c>
      <x:c r="L388" s="14" t="str">
        <x:v>Not inherited</x:v>
      </x:c>
      <x:c r="M388" s="15" t="n">
        <x:v>27</x:v>
      </x:c>
      <x:c r="N388" s="14" t="str">
        <x:v>Lauren Douglin</x:v>
      </x:c>
      <x:c r="O388" s="14" t="str">
        <x:v>nm7919533</x:v>
      </x:c>
      <x:c r="P388" s="14" t="str">
        <x:v>Charlotte</x:v>
      </x:c>
      <x:c r="Q388" s="15" t="n">
        <x:v>1</x:v>
      </x:c>
      <x:c r="R388" s="14" t="str">
        <x:v>2026</x:v>
      </x:c>
      <x:c r="S388" s="14" t="n">
        <x:v>2026</x:v>
      </x:c>
      <x:c r="T388" s="14" t="n">
        <x:v>2026</x:v>
      </x:c>
      <x:c r="U388" s="14" t="str">
        <x:v>Explicit source first year retained</x:v>
      </x:c>
      <x:c r="V388" s="14" t="str">
        <x:v>Earliest supplied year is 2026.</x:v>
      </x:c>
      <x:c r="W388" s="14"/>
      <x:c r="X388" s="14" t="str">
        <x:v>Excluded: after 2025</x:v>
      </x:c>
      <x:c r="Y388" s="14"/>
      <x:c r="Z388" s="14" t="str">
        <x:v>We Might Regret This.docx</x:v>
      </x:c>
      <x:c r="AA388" s="14" t="str">
        <x:v>HYPERLINK is not implemented. linkLocation=https://www.imdb.com/title/tt28184314/fullcredits/, friendlyName=Open source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BBC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8" s="14" t="str">
        <x:v>BBC public-service commission</x:v>
      </x:c>
      <x:c r="AO388" s="14" t="str">
        <x:v>Yes</x:v>
      </x:c>
      <x:c r="AP388" s="14" t="str">
        <x:v>Direct BBC public-service scope</x:v>
      </x:c>
      <x:c r="AQ388" s="14" t="str">
        <x:v>Yes</x:v>
      </x:c>
      <x:c r="AR388" s="14" t="str">
        <x:v>Resolved from master register</x:v>
      </x:c>
      <x:c r="AS388" s="14" t="str">
        <x:v>No established-register match</x:v>
      </x:c>
      <x:c r="AT388" s="14"/>
      <x:c r="AU388" s="14"/>
      <x:c r="AV388" s="14" t="str">
        <x:v>No established apparent-disability match</x:v>
      </x:c>
      <x:c r="AW388" s="14"/>
      <x:c r="AX388" s="14" t="str">
        <x:v>No</x:v>
      </x:c>
      <x:c r="AY388" s="14" t="str">
        <x:v>Unmatched</x:v>
      </x:c>
      <x:c r="AZ388" s="14" t="str">
        <x:v>Final supplied register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10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1</x:v>
      </x:c>
      <x:c r="BS388" s="16" t="n">
        <x:v>0.1</x:v>
      </x:c>
      <x:c r="BT388" s="14" t="str">
        <x:v>One episode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4" t="str">
        <x:v>HYPERLINK is not implemented. linkLocation=https://www.imdb.com/title/tt28184314/fullcredits/, friendlyName=Open source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tt28184314|nm9944877|essex woman</x:v>
      </x:c>
      <x:c r="B389" s="14" t="str">
        <x:v>06</x:v>
      </x:c>
      <x:c r="C389" s="14" t="str">
        <x:v>2024_IMDb_Cast_Lists_Batch_06(1).xlsx</x:v>
      </x:c>
      <x:c r="D389" s="14" t="str">
        <x:v>We Might Regret This</x:v>
      </x:c>
      <x:c r="E389" s="14" t="n">
        <x:v>35</x:v>
      </x:c>
      <x:c r="F389" s="14" t="str">
        <x:v>We Might Regret This</x:v>
      </x:c>
      <x:c r="G389" s="14" t="str">
        <x:v>tt28184314</x:v>
      </x:c>
      <x:c r="H389" s="14" t="n">
        <x:v>2024</x:v>
      </x:c>
      <x:c r="I389" s="14" t="n">
        <x:v>2025</x:v>
      </x:c>
      <x:c r="J389" s="14" t="str">
        <x:v>Post-study cohort</x:v>
      </x:c>
      <x:c r="K389" s="14" t="n">
        <x:v>2024</x:v>
      </x:c>
      <x:c r="L389" s="14" t="str">
        <x:v>Not inherited</x:v>
      </x:c>
      <x:c r="M389" s="15" t="n">
        <x:v>28</x:v>
      </x:c>
      <x:c r="N389" s="14" t="str">
        <x:v>Alina Allison</x:v>
      </x:c>
      <x:c r="O389" s="14" t="str">
        <x:v>nm9944877</x:v>
      </x:c>
      <x:c r="P389" s="14" t="str">
        <x:v>Essex Woman</x:v>
      </x:c>
      <x:c r="Q389" s="15" t="n">
        <x:v>1</x:v>
      </x:c>
      <x:c r="R389" s="14" t="str">
        <x:v>2026</x:v>
      </x:c>
      <x:c r="S389" s="14" t="n">
        <x:v>2026</x:v>
      </x:c>
      <x:c r="T389" s="14" t="n">
        <x:v>2026</x:v>
      </x:c>
      <x:c r="U389" s="14" t="str">
        <x:v>Explicit source first year retained</x:v>
      </x:c>
      <x:c r="V389" s="14" t="str">
        <x:v>Earliest supplied year is 2026.</x:v>
      </x:c>
      <x:c r="W389" s="14"/>
      <x:c r="X389" s="14" t="str">
        <x:v>Excluded: after 2025</x:v>
      </x:c>
      <x:c r="Y389" s="14"/>
      <x:c r="Z389" s="14" t="str">
        <x:v>We Might Regret This.docx</x:v>
      </x:c>
      <x:c r="AA389" s="14" t="str">
        <x:v>HYPERLINK is not implemented. linkLocation=https://www.imdb.com/title/tt28184314/fullcredits/, friendlyName=Open source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BBC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89" s="14" t="str">
        <x:v>BBC public-service commission</x:v>
      </x:c>
      <x:c r="AO389" s="14" t="str">
        <x:v>Yes</x:v>
      </x:c>
      <x:c r="AP389" s="14" t="str">
        <x:v>Direct BBC public-service scope</x:v>
      </x:c>
      <x:c r="AQ389" s="14" t="str">
        <x:v>Yes</x:v>
      </x:c>
      <x:c r="AR389" s="14" t="str">
        <x:v>Resolved from master register</x:v>
      </x:c>
      <x:c r="AS389" s="14" t="str">
        <x:v>No established-register match</x:v>
      </x:c>
      <x:c r="AT389" s="14"/>
      <x:c r="AU389" s="14"/>
      <x:c r="AV389" s="14" t="str">
        <x:v>No established apparent-disability match</x:v>
      </x:c>
      <x:c r="AW389" s="14"/>
      <x:c r="AX389" s="14" t="str">
        <x:v>No</x:v>
      </x:c>
      <x:c r="AY389" s="14" t="str">
        <x:v>Unmatched</x:v>
      </x:c>
      <x:c r="AZ389" s="14" t="str">
        <x:v>Final supplied register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10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1</x:v>
      </x:c>
      <x:c r="BS389" s="16" t="n">
        <x:v>0.1</x:v>
      </x:c>
      <x:c r="BT389" s="14" t="str">
        <x:v>One episode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4" t="str">
        <x:v>HYPERLINK is not implemented. linkLocation=https://www.imdb.com/title/tt28184314/fullcredits/, friendlyName=Open source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tt28184314|nm11330810|young man on date</x:v>
      </x:c>
      <x:c r="B390" s="14" t="str">
        <x:v>06</x:v>
      </x:c>
      <x:c r="C390" s="14" t="str">
        <x:v>2024_IMDb_Cast_Lists_Batch_06(1).xlsx</x:v>
      </x:c>
      <x:c r="D390" s="14" t="str">
        <x:v>We Might Regret This</x:v>
      </x:c>
      <x:c r="E390" s="14" t="n">
        <x:v>36</x:v>
      </x:c>
      <x:c r="F390" s="14" t="str">
        <x:v>We Might Regret This</x:v>
      </x:c>
      <x:c r="G390" s="14" t="str">
        <x:v>tt28184314</x:v>
      </x:c>
      <x:c r="H390" s="14" t="n">
        <x:v>2024</x:v>
      </x:c>
      <x:c r="I390" s="14" t="n">
        <x:v>2025</x:v>
      </x:c>
      <x:c r="J390" s="14" t="str">
        <x:v>Post-study cohort</x:v>
      </x:c>
      <x:c r="K390" s="14" t="n">
        <x:v>2024</x:v>
      </x:c>
      <x:c r="L390" s="14" t="str">
        <x:v>Not inherited</x:v>
      </x:c>
      <x:c r="M390" s="15" t="n">
        <x:v>29</x:v>
      </x:c>
      <x:c r="N390" s="14" t="str">
        <x:v>Omari McQueen</x:v>
      </x:c>
      <x:c r="O390" s="14" t="str">
        <x:v>nm11330810</x:v>
      </x:c>
      <x:c r="P390" s="14" t="str">
        <x:v>Young Man on Date</x:v>
      </x:c>
      <x:c r="Q390" s="15" t="n">
        <x:v>1</x:v>
      </x:c>
      <x:c r="R390" s="14" t="str">
        <x:v>2026</x:v>
      </x:c>
      <x:c r="S390" s="14" t="n">
        <x:v>2026</x:v>
      </x:c>
      <x:c r="T390" s="14" t="n">
        <x:v>2026</x:v>
      </x:c>
      <x:c r="U390" s="14" t="str">
        <x:v>Explicit source first year retained</x:v>
      </x:c>
      <x:c r="V390" s="14" t="str">
        <x:v>Earliest supplied year is 2026.</x:v>
      </x:c>
      <x:c r="W390" s="14"/>
      <x:c r="X390" s="14" t="str">
        <x:v>Excluded: after 2025</x:v>
      </x:c>
      <x:c r="Y390" s="14"/>
      <x:c r="Z390" s="14" t="str">
        <x:v>We Might Regret This.docx</x:v>
      </x:c>
      <x:c r="AA390" s="14" t="str">
        <x:v>HYPERLINK is not implemented. linkLocation=https://www.imdb.com/title/tt28184314/fullcredits/, friendlyName=Open source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BBC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90" s="14" t="str">
        <x:v>BBC public-service commission</x:v>
      </x:c>
      <x:c r="AO390" s="14" t="str">
        <x:v>Yes</x:v>
      </x:c>
      <x:c r="AP390" s="14" t="str">
        <x:v>Direct BBC public-service scope</x:v>
      </x:c>
      <x:c r="AQ390" s="14" t="str">
        <x:v>Yes</x:v>
      </x:c>
      <x:c r="AR390" s="14" t="str">
        <x:v>Resolved from master register</x:v>
      </x:c>
      <x:c r="AS390" s="14" t="str">
        <x:v>No established-register match</x:v>
      </x:c>
      <x:c r="AT390" s="14"/>
      <x:c r="AU390" s="14"/>
      <x:c r="AV390" s="14" t="str">
        <x:v>No established apparent-disability match</x:v>
      </x:c>
      <x:c r="AW390" s="14"/>
      <x:c r="AX390" s="14" t="str">
        <x:v>No</x:v>
      </x:c>
      <x:c r="AY390" s="14" t="str">
        <x:v>Unmatched</x:v>
      </x:c>
      <x:c r="AZ390" s="14" t="str">
        <x:v>Final supplied register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10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1</x:v>
      </x:c>
      <x:c r="BS390" s="16" t="n">
        <x:v>0.1</x:v>
      </x:c>
      <x:c r="BT390" s="14" t="str">
        <x:v>One episode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4" t="str">
        <x:v>HYPERLINK is not implemented. linkLocation=https://www.imdb.com/title/tt28184314/fullcredits/, friendlyName=Open source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tt28184314|nm9791464|louis</x:v>
      </x:c>
      <x:c r="B391" s="14" t="str">
        <x:v>06</x:v>
      </x:c>
      <x:c r="C391" s="14" t="str">
        <x:v>2024_IMDb_Cast_Lists_Batch_06(1).xlsx</x:v>
      </x:c>
      <x:c r="D391" s="14" t="str">
        <x:v>We Might Regret This</x:v>
      </x:c>
      <x:c r="E391" s="14" t="n">
        <x:v>37</x:v>
      </x:c>
      <x:c r="F391" s="14" t="str">
        <x:v>We Might Regret This</x:v>
      </x:c>
      <x:c r="G391" s="14" t="str">
        <x:v>tt28184314</x:v>
      </x:c>
      <x:c r="H391" s="14" t="n">
        <x:v>2024</x:v>
      </x:c>
      <x:c r="I391" s="14" t="n">
        <x:v>2025</x:v>
      </x:c>
      <x:c r="J391" s="14" t="str">
        <x:v>Post-study cohort</x:v>
      </x:c>
      <x:c r="K391" s="14" t="n">
        <x:v>2024</x:v>
      </x:c>
      <x:c r="L391" s="14" t="str">
        <x:v>Not inherited</x:v>
      </x:c>
      <x:c r="M391" s="15" t="n">
        <x:v>30</x:v>
      </x:c>
      <x:c r="N391" s="14" t="str">
        <x:v>Ossian Perret</x:v>
      </x:c>
      <x:c r="O391" s="14" t="str">
        <x:v>nm9791464</x:v>
      </x:c>
      <x:c r="P391" s="14" t="str">
        <x:v>Louis</x:v>
      </x:c>
      <x:c r="Q391" s="15" t="n">
        <x:v>1</x:v>
      </x:c>
      <x:c r="R391" s="14" t="str">
        <x:v>2026</x:v>
      </x:c>
      <x:c r="S391" s="14" t="n">
        <x:v>2026</x:v>
      </x:c>
      <x:c r="T391" s="14" t="n">
        <x:v>2026</x:v>
      </x:c>
      <x:c r="U391" s="14" t="str">
        <x:v>Explicit source first year retained</x:v>
      </x:c>
      <x:c r="V391" s="14" t="str">
        <x:v>Earliest supplied year is 2026.</x:v>
      </x:c>
      <x:c r="W391" s="14"/>
      <x:c r="X391" s="14" t="str">
        <x:v>Excluded: after 2025</x:v>
      </x:c>
      <x:c r="Y391" s="14"/>
      <x:c r="Z391" s="14" t="str">
        <x:v>We Might Regret This.docx</x:v>
      </x:c>
      <x:c r="AA391" s="14" t="str">
        <x:v>HYPERLINK is not implemented. linkLocation=https://www.imdb.com/title/tt28184314/fullcredits/, friendlyName=Open source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BBC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91" s="14" t="str">
        <x:v>BBC public-service commission</x:v>
      </x:c>
      <x:c r="AO391" s="14" t="str">
        <x:v>Yes</x:v>
      </x:c>
      <x:c r="AP391" s="14" t="str">
        <x:v>Direct BBC public-service scope</x:v>
      </x:c>
      <x:c r="AQ391" s="14" t="str">
        <x:v>Yes</x:v>
      </x:c>
      <x:c r="AR391" s="14" t="str">
        <x:v>Resolved from master register</x:v>
      </x:c>
      <x:c r="AS391" s="14" t="str">
        <x:v>No established-register match</x:v>
      </x:c>
      <x:c r="AT391" s="14"/>
      <x:c r="AU391" s="14"/>
      <x:c r="AV391" s="14" t="str">
        <x:v>No established apparent-disability match</x:v>
      </x:c>
      <x:c r="AW391" s="14"/>
      <x:c r="AX391" s="14" t="str">
        <x:v>No</x:v>
      </x:c>
      <x:c r="AY391" s="14" t="str">
        <x:v>Unmatched</x:v>
      </x:c>
      <x:c r="AZ391" s="14" t="str">
        <x:v>Final supplied register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10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1</x:v>
      </x:c>
      <x:c r="BS391" s="16" t="n">
        <x:v>0.1</x:v>
      </x:c>
      <x:c r="BT391" s="14" t="str">
        <x:v>One episode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4" t="str">
        <x:v>HYPERLINK is not implemented. linkLocation=https://www.imdb.com/title/tt28184314/fullcredits/, friendlyName=Open source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tt28184314|nm12040946|role not listed</x:v>
      </x:c>
      <x:c r="B392" s="14" t="str">
        <x:v>06</x:v>
      </x:c>
      <x:c r="C392" s="14" t="str">
        <x:v>2024_IMDb_Cast_Lists_Batch_06(1).xlsx</x:v>
      </x:c>
      <x:c r="D392" s="14" t="str">
        <x:v>We Might Regret This</x:v>
      </x:c>
      <x:c r="E392" s="14" t="n">
        <x:v>38</x:v>
      </x:c>
      <x:c r="F392" s="14" t="str">
        <x:v>We Might Regret This</x:v>
      </x:c>
      <x:c r="G392" s="14" t="str">
        <x:v>tt28184314</x:v>
      </x:c>
      <x:c r="H392" s="14" t="n">
        <x:v>2024</x:v>
      </x:c>
      <x:c r="I392" s="14" t="n">
        <x:v>2025</x:v>
      </x:c>
      <x:c r="J392" s="14" t="str">
        <x:v>Post-study cohort</x:v>
      </x:c>
      <x:c r="K392" s="14" t="n">
        <x:v>2024</x:v>
      </x:c>
      <x:c r="L392" s="14" t="str">
        <x:v>Not inherited</x:v>
      </x:c>
      <x:c r="M392" s="15" t="n">
        <x:v>31</x:v>
      </x:c>
      <x:c r="N392" s="14" t="str">
        <x:v>Tai Benjemil</x:v>
      </x:c>
      <x:c r="O392" s="14" t="str">
        <x:v>nm12040946</x:v>
      </x:c>
      <x:c r="P392" s="14" t="str">
        <x:v>Role not listed</x:v>
      </x:c>
      <x:c r="Q392" s="15" t="n">
        <x:v>1</x:v>
      </x:c>
      <x:c r="R392" s="14" t="str">
        <x:v>2026</x:v>
      </x:c>
      <x:c r="S392" s="14" t="n">
        <x:v>2026</x:v>
      </x:c>
      <x:c r="T392" s="14" t="n">
        <x:v>2026</x:v>
      </x:c>
      <x:c r="U392" s="14" t="str">
        <x:v>Explicit source first year retained</x:v>
      </x:c>
      <x:c r="V392" s="14" t="str">
        <x:v>Earliest supplied year is 2026.</x:v>
      </x:c>
      <x:c r="W392" s="14"/>
      <x:c r="X392" s="14" t="str">
        <x:v>Excluded: after 2025</x:v>
      </x:c>
      <x:c r="Y392" s="14"/>
      <x:c r="Z392" s="14" t="str">
        <x:v>We Might Regret This.docx</x:v>
      </x:c>
      <x:c r="AA392" s="14" t="str">
        <x:v>HYPERLINK is not implemented. linkLocation=https://www.imdb.com/title/tt28184314/fullcredits/, friendlyName=Open source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BBC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7" t="e">
        <x:f>HYPERLINK("https://en.wikipedia.org/wiki/We_Might_Regret_This","Open source")</x:f>
        <x:v>HYPERLINK is not implemented. linkLocation=https://en.wikipedia.org/wiki/We_Might_Regret_This, friendlyName=Open source</x:v>
      </x:c>
      <x:c r="AN392" s="14" t="str">
        <x:v>BBC public-service commission</x:v>
      </x:c>
      <x:c r="AO392" s="14" t="str">
        <x:v>Yes</x:v>
      </x:c>
      <x:c r="AP392" s="14" t="str">
        <x:v>Direct BBC public-service scope</x:v>
      </x:c>
      <x:c r="AQ392" s="14" t="str">
        <x:v>Yes</x:v>
      </x:c>
      <x:c r="AR392" s="14" t="str">
        <x:v>Resolved from master register</x:v>
      </x:c>
      <x:c r="AS392" s="14" t="str">
        <x:v>No established-register match</x:v>
      </x:c>
      <x:c r="AT392" s="14"/>
      <x:c r="AU392" s="14"/>
      <x:c r="AV392" s="14" t="str">
        <x:v>No established apparent-disability match</x:v>
      </x:c>
      <x:c r="AW392" s="14"/>
      <x:c r="AX392" s="14" t="str">
        <x:v>No</x:v>
      </x:c>
      <x:c r="AY392" s="14" t="str">
        <x:v>Unmatched</x:v>
      </x:c>
      <x:c r="AZ392" s="14" t="str">
        <x:v>Final supplied register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10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1</x:v>
      </x:c>
      <x:c r="BS392" s="16" t="n">
        <x:v>0.1</x:v>
      </x:c>
      <x:c r="BT392" s="14" t="str">
        <x:v>One episode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4" t="str">
        <x:v>HYPERLINK is not implemented. linkLocation=https://www.imdb.com/title/tt28184314/fullcredits/, friendlyName=Open source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tt21161156|nm0291569|james smith</x:v>
      </x:c>
      <x:c r="B393" s="14" t="str">
        <x:v>01</x:v>
      </x:c>
      <x:c r="C393" s="14" t="str">
        <x:v>2023_IMDb_Cast_Lists_Batch_01(2).xlsx</x:v>
      </x:c>
      <x:c r="D393" s="14" t="str">
        <x:v>Beyond Paradise</x:v>
      </x:c>
      <x:c r="E393" s="14" t="n">
        <x:v>22</x:v>
      </x:c>
      <x:c r="F393" s="14" t="str">
        <x:v>Beyond Paradise</x:v>
      </x:c>
      <x:c r="G393" s="14" t="str">
        <x:v>tt21161156</x:v>
      </x:c>
      <x:c r="H393" s="14" t="n">
        <x:v>2023</x:v>
      </x:c>
      <x:c r="I393" s="14" t="n">
        <x:v>2025</x:v>
      </x:c>
      <x:c r="J393" s="14" t="str">
        <x:v>Post-study cohort</x:v>
      </x:c>
      <x:c r="K393" s="14" t="n">
        <x:v>2023</x:v>
      </x:c>
      <x:c r="L393" s="14" t="str">
        <x:v>Not inherited</x:v>
      </x:c>
      <x:c r="M393" s="15" t="n">
        <x:v>15</x:v>
      </x:c>
      <x:c r="N393" s="14" t="str">
        <x:v>Vincent Franklin</x:v>
      </x:c>
      <x:c r="O393" s="14" t="str">
        <x:v>nm0291569</x:v>
      </x:c>
      <x:c r="P393" s="14" t="str">
        <x:v>James Smith</x:v>
      </x:c>
      <x:c r="Q393" s="15" t="n">
        <x:v>4</x:v>
      </x:c>
      <x:c r="R393" s="14" t="str">
        <x:v>2026</x:v>
      </x:c>
      <x:c r="S393" s="14" t="n">
        <x:v>2026</x:v>
      </x:c>
      <x:c r="T393" s="14" t="n">
        <x:v>2026</x:v>
      </x:c>
      <x:c r="U393" s="14" t="str">
        <x:v>Explicit source first year retained</x:v>
      </x:c>
      <x:c r="V393" s="14" t="str">
        <x:v>Earliest supplied year is 2026.</x:v>
      </x:c>
      <x:c r="W393" s="14"/>
      <x:c r="X393" s="14" t="str">
        <x:v>Excluded: after 2025</x:v>
      </x:c>
      <x:c r="Y393" s="14"/>
      <x:c r="Z393" s="14" t="str">
        <x:v>Beyond Paradise.docx</x:v>
      </x:c>
      <x:c r="AA393" s="14" t="str">
        <x:v>HYPERLINK is not implemented. linkLocation=https://www.imdb.com/title/tt21161156/fullcredits/, friendlyName=Open source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BBC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7" t="e">
        <x:f>HYPERLINK("https://en.wikipedia.org/wiki/Beyond_Paradise","Open source")</x:f>
        <x:v>HYPERLINK is not implemented. linkLocation=https://en.wikipedia.org/wiki/Beyond_Paradise, friendlyName=Open source</x:v>
      </x:c>
      <x:c r="AN393" s="14" t="str">
        <x:v>BBC public-service commission</x:v>
      </x:c>
      <x:c r="AO393" s="14" t="str">
        <x:v>Yes</x:v>
      </x:c>
      <x:c r="AP393" s="14" t="str">
        <x:v>Direct BBC public-service scope</x:v>
      </x:c>
      <x:c r="AQ393" s="14" t="str">
        <x:v>Yes</x:v>
      </x:c>
      <x:c r="AR393" s="14" t="str">
        <x:v>Resolved from master register</x:v>
      </x:c>
      <x:c r="AS393" s="14" t="str">
        <x:v>No established-register match</x:v>
      </x:c>
      <x:c r="AT393" s="14"/>
      <x:c r="AU393" s="14"/>
      <x:c r="AV393" s="14" t="str">
        <x:v>No established apparent-disability match</x:v>
      </x:c>
      <x:c r="AW393" s="14"/>
      <x:c r="AX393" s="14" t="str">
        <x:v>No</x:v>
      </x:c>
      <x:c r="AY393" s="14" t="str">
        <x:v>Unmatched</x:v>
      </x:c>
      <x:c r="AZ393" s="14" t="str">
        <x:v>Final supplied register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27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4</x:v>
      </x:c>
      <x:c r="BS393" s="16" t="n">
        <x:v>0.14814814814814814</x:v>
      </x:c>
      <x:c r="BT393" s="14" t="str">
        <x:v>Minority of episodes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4" t="str">
        <x:v>HYPERLINK is not implemented. linkLocation=https://www.imdb.com/title/tt21161156/fullcredits/, friendlyName=Open source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tt21161156|nm3593022|amelia</x:v>
      </x:c>
      <x:c r="B394" s="14" t="str">
        <x:v>01</x:v>
      </x:c>
      <x:c r="C394" s="14" t="str">
        <x:v>2023_IMDb_Cast_Lists_Batch_01(2).xlsx</x:v>
      </x:c>
      <x:c r="D394" s="14" t="str">
        <x:v>Beyond Paradise</x:v>
      </x:c>
      <x:c r="E394" s="14" t="n">
        <x:v>25</x:v>
      </x:c>
      <x:c r="F394" s="14" t="str">
        <x:v>Beyond Paradise</x:v>
      </x:c>
      <x:c r="G394" s="14" t="str">
        <x:v>tt21161156</x:v>
      </x:c>
      <x:c r="H394" s="14" t="n">
        <x:v>2023</x:v>
      </x:c>
      <x:c r="I394" s="14" t="n">
        <x:v>2025</x:v>
      </x:c>
      <x:c r="J394" s="14" t="str">
        <x:v>Post-study cohort</x:v>
      </x:c>
      <x:c r="K394" s="14" t="n">
        <x:v>2023</x:v>
      </x:c>
      <x:c r="L394" s="14" t="str">
        <x:v>Not inherited</x:v>
      </x:c>
      <x:c r="M394" s="15" t="n">
        <x:v>18</x:v>
      </x:c>
      <x:c r="N394" s="14" t="str">
        <x:v>Gina Bramhill</x:v>
      </x:c>
      <x:c r="O394" s="14" t="str">
        <x:v>nm3593022</x:v>
      </x:c>
      <x:c r="P394" s="14" t="str">
        <x:v>Amelia</x:v>
      </x:c>
      <x:c r="Q394" s="15" t="n">
        <x:v>3</x:v>
      </x:c>
      <x:c r="R394" s="14" t="str">
        <x:v>2026</x:v>
      </x:c>
      <x:c r="S394" s="14" t="n">
        <x:v>2026</x:v>
      </x:c>
      <x:c r="T394" s="14" t="n">
        <x:v>2026</x:v>
      </x:c>
      <x:c r="U394" s="14" t="str">
        <x:v>Explicit source first year retained</x:v>
      </x:c>
      <x:c r="V394" s="14" t="str">
        <x:v>Earliest supplied year is 2026.</x:v>
      </x:c>
      <x:c r="W394" s="14"/>
      <x:c r="X394" s="14" t="str">
        <x:v>Excluded: after 2025</x:v>
      </x:c>
      <x:c r="Y394" s="14"/>
      <x:c r="Z394" s="14" t="str">
        <x:v>Beyond Paradise.docx</x:v>
      </x:c>
      <x:c r="AA394" s="14" t="str">
        <x:v>HYPERLINK is not implemented. linkLocation=https://www.imdb.com/title/tt21161156/fullcredits/, friendlyName=Open source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BBC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7" t="e">
        <x:f>HYPERLINK("https://en.wikipedia.org/wiki/Beyond_Paradise","Open source")</x:f>
        <x:v>HYPERLINK is not implemented. linkLocation=https://en.wikipedia.org/wiki/Beyond_Paradise, friendlyName=Open source</x:v>
      </x:c>
      <x:c r="AN394" s="14" t="str">
        <x:v>BBC public-service commission</x:v>
      </x:c>
      <x:c r="AO394" s="14" t="str">
        <x:v>Yes</x:v>
      </x:c>
      <x:c r="AP394" s="14" t="str">
        <x:v>Direct BBC public-service scope</x:v>
      </x:c>
      <x:c r="AQ394" s="14" t="str">
        <x:v>Yes</x:v>
      </x:c>
      <x:c r="AR394" s="14" t="str">
        <x:v>Resolved from master register</x:v>
      </x:c>
      <x:c r="AS394" s="14" t="str">
        <x:v>No established-register match</x:v>
      </x:c>
      <x:c r="AT394" s="14"/>
      <x:c r="AU394" s="14"/>
      <x:c r="AV394" s="14" t="str">
        <x:v>No established apparent-disability match</x:v>
      </x:c>
      <x:c r="AW394" s="14"/>
      <x:c r="AX394" s="14" t="str">
        <x:v>No</x:v>
      </x:c>
      <x:c r="AY394" s="14" t="str">
        <x:v>Unmatched</x:v>
      </x:c>
      <x:c r="AZ394" s="14" t="str">
        <x:v>Final supplied register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27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3</x:v>
      </x:c>
      <x:c r="BS394" s="16" t="n">
        <x:v>0.1111111111111111</x:v>
      </x:c>
      <x:c r="BT394" s="14" t="str">
        <x:v>Minority of episodes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4" t="str">
        <x:v>HYPERLINK is not implemented. linkLocation=https://www.imdb.com/title/tt21161156/fullcredits/, friendlyName=Open source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tt21161156|nm14860341|agnieszka</x:v>
      </x:c>
      <x:c r="B395" s="14" t="str">
        <x:v>01</x:v>
      </x:c>
      <x:c r="C395" s="14" t="str">
        <x:v>2023_IMDb_Cast_Lists_Batch_01(2).xlsx</x:v>
      </x:c>
      <x:c r="D395" s="14" t="str">
        <x:v>Beyond Paradise</x:v>
      </x:c>
      <x:c r="E395" s="14" t="n">
        <x:v>26</x:v>
      </x:c>
      <x:c r="F395" s="14" t="str">
        <x:v>Beyond Paradise</x:v>
      </x:c>
      <x:c r="G395" s="14" t="str">
        <x:v>tt21161156</x:v>
      </x:c>
      <x:c r="H395" s="14" t="n">
        <x:v>2023</x:v>
      </x:c>
      <x:c r="I395" s="14" t="n">
        <x:v>2025</x:v>
      </x:c>
      <x:c r="J395" s="14" t="str">
        <x:v>Post-study cohort</x:v>
      </x:c>
      <x:c r="K395" s="14" t="n">
        <x:v>2023</x:v>
      </x:c>
      <x:c r="L395" s="14" t="str">
        <x:v>Not inherited</x:v>
      </x:c>
      <x:c r="M395" s="15" t="n">
        <x:v>19</x:v>
      </x:c>
      <x:c r="N395" s="14" t="str">
        <x:v>Hazel Caulfield</x:v>
      </x:c>
      <x:c r="O395" s="14" t="str">
        <x:v>nm14860341</x:v>
      </x:c>
      <x:c r="P395" s="14" t="str">
        <x:v>Agnieszka</x:v>
      </x:c>
      <x:c r="Q395" s="15" t="n">
        <x:v>2</x:v>
      </x:c>
      <x:c r="R395" s="14" t="str">
        <x:v>2026</x:v>
      </x:c>
      <x:c r="S395" s="14" t="n">
        <x:v>2026</x:v>
      </x:c>
      <x:c r="T395" s="14" t="n">
        <x:v>2026</x:v>
      </x:c>
      <x:c r="U395" s="14" t="str">
        <x:v>Explicit source first year retained</x:v>
      </x:c>
      <x:c r="V395" s="14" t="str">
        <x:v>Earliest supplied year is 2026.</x:v>
      </x:c>
      <x:c r="W395" s="14"/>
      <x:c r="X395" s="14" t="str">
        <x:v>Excluded: after 2025</x:v>
      </x:c>
      <x:c r="Y395" s="14"/>
      <x:c r="Z395" s="14" t="str">
        <x:v>Beyond Paradise.docx</x:v>
      </x:c>
      <x:c r="AA395" s="14" t="str">
        <x:v>HYPERLINK is not implemented. linkLocation=https://www.imdb.com/title/tt21161156/fullcredits/, friendlyName=Open source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BBC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7" t="e">
        <x:f>HYPERLINK("https://en.wikipedia.org/wiki/Beyond_Paradise","Open source")</x:f>
        <x:v>HYPERLINK is not implemented. linkLocation=https://en.wikipedia.org/wiki/Beyond_Paradise, friendlyName=Open source</x:v>
      </x:c>
      <x:c r="AN395" s="14" t="str">
        <x:v>BBC public-service commission</x:v>
      </x:c>
      <x:c r="AO395" s="14" t="str">
        <x:v>Yes</x:v>
      </x:c>
      <x:c r="AP395" s="14" t="str">
        <x:v>Direct BBC public-service scope</x:v>
      </x:c>
      <x:c r="AQ395" s="14" t="str">
        <x:v>Yes</x:v>
      </x:c>
      <x:c r="AR395" s="14" t="str">
        <x:v>Resolved from master register</x:v>
      </x:c>
      <x:c r="AS395" s="14" t="str">
        <x:v>No established-register match</x:v>
      </x:c>
      <x:c r="AT395" s="14"/>
      <x:c r="AU395" s="14"/>
      <x:c r="AV395" s="14" t="str">
        <x:v>No established apparent-disability match</x:v>
      </x:c>
      <x:c r="AW395" s="14"/>
      <x:c r="AX395" s="14" t="str">
        <x:v>No</x:v>
      </x:c>
      <x:c r="AY395" s="14" t="str">
        <x:v>Unmatched</x:v>
      </x:c>
      <x:c r="AZ395" s="14" t="str">
        <x:v>Final supplied register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27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2</x:v>
      </x:c>
      <x:c r="BS395" s="16" t="n">
        <x:v>0.07407407407407407</x:v>
      </x:c>
      <x:c r="BT395" s="14" t="str">
        <x:v>Minority of episodes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4" t="str">
        <x:v>HYPERLINK is not implemented. linkLocation=https://www.imdb.com/title/tt21161156/fullcredits/, friendlyName=Open source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tt21161156|nm0144237|june harris</x:v>
      </x:c>
      <x:c r="B396" s="14" t="str">
        <x:v>01</x:v>
      </x:c>
      <x:c r="C396" s="14" t="str">
        <x:v>2023_IMDb_Cast_Lists_Batch_01(2).xlsx</x:v>
      </x:c>
      <x:c r="D396" s="14" t="str">
        <x:v>Beyond Paradise</x:v>
      </x:c>
      <x:c r="E396" s="14" t="n">
        <x:v>45</x:v>
      </x:c>
      <x:c r="F396" s="14" t="str">
        <x:v>Beyond Paradise</x:v>
      </x:c>
      <x:c r="G396" s="14" t="str">
        <x:v>tt21161156</x:v>
      </x:c>
      <x:c r="H396" s="14" t="n">
        <x:v>2023</x:v>
      </x:c>
      <x:c r="I396" s="14" t="n">
        <x:v>2025</x:v>
      </x:c>
      <x:c r="J396" s="14" t="str">
        <x:v>Post-study cohort</x:v>
      </x:c>
      <x:c r="K396" s="14" t="n">
        <x:v>2023</x:v>
      </x:c>
      <x:c r="L396" s="14" t="str">
        <x:v>Not inherited</x:v>
      </x:c>
      <x:c r="M396" s="15" t="n">
        <x:v>38</x:v>
      </x:c>
      <x:c r="N396" s="14" t="str">
        <x:v>Raquel Cassidy</x:v>
      </x:c>
      <x:c r="O396" s="14" t="str">
        <x:v>nm0144237</x:v>
      </x:c>
      <x:c r="P396" s="14" t="str">
        <x:v>June Harris</x:v>
      </x:c>
      <x:c r="Q396" s="15" t="n">
        <x:v>1</x:v>
      </x:c>
      <x:c r="R396" s="14" t="str">
        <x:v>2026</x:v>
      </x:c>
      <x:c r="S396" s="14" t="n">
        <x:v>2026</x:v>
      </x:c>
      <x:c r="T396" s="14" t="n">
        <x:v>2026</x:v>
      </x:c>
      <x:c r="U396" s="14" t="str">
        <x:v>Explicit source first year retained</x:v>
      </x:c>
      <x:c r="V396" s="14" t="str">
        <x:v>Earliest supplied year is 2026.</x:v>
      </x:c>
      <x:c r="W396" s="14"/>
      <x:c r="X396" s="14" t="str">
        <x:v>Excluded: after 2025</x:v>
      </x:c>
      <x:c r="Y396" s="14"/>
      <x:c r="Z396" s="14" t="str">
        <x:v>Beyond Paradise.docx</x:v>
      </x:c>
      <x:c r="AA396" s="14" t="str">
        <x:v>HYPERLINK is not implemented. linkLocation=https://www.imdb.com/title/tt21161156/fullcredits/, friendlyName=Open source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BBC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7" t="e">
        <x:f>HYPERLINK("https://en.wikipedia.org/wiki/Beyond_Paradise","Open source")</x:f>
        <x:v>HYPERLINK is not implemented. linkLocation=https://en.wikipedia.org/wiki/Beyond_Paradise, friendlyName=Open source</x:v>
      </x:c>
      <x:c r="AN396" s="14" t="str">
        <x:v>BBC public-service commission</x:v>
      </x:c>
      <x:c r="AO396" s="14" t="str">
        <x:v>Yes</x:v>
      </x:c>
      <x:c r="AP396" s="14" t="str">
        <x:v>Direct BBC public-service scope</x:v>
      </x:c>
      <x:c r="AQ396" s="14" t="str">
        <x:v>Yes</x:v>
      </x:c>
      <x:c r="AR396" s="14" t="str">
        <x:v>Resolved from master register</x:v>
      </x:c>
      <x:c r="AS396" s="14" t="str">
        <x:v>No established-register match</x:v>
      </x:c>
      <x:c r="AT396" s="14"/>
      <x:c r="AU396" s="14"/>
      <x:c r="AV396" s="14" t="str">
        <x:v>No established apparent-disability match</x:v>
      </x:c>
      <x:c r="AW396" s="14"/>
      <x:c r="AX396" s="14" t="str">
        <x:v>No</x:v>
      </x:c>
      <x:c r="AY396" s="14" t="str">
        <x:v>Unmatched</x:v>
      </x:c>
      <x:c r="AZ396" s="14" t="str">
        <x:v>Final supplied register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27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0.037037037037037035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4" t="str">
        <x:v>HYPERLINK is not implemented. linkLocation=https://www.imdb.com/title/tt21161156/fullcredits/, friendlyName=Open source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tt21161156|nm2390340|holly willis</x:v>
      </x:c>
      <x:c r="B397" s="14" t="str">
        <x:v>01</x:v>
      </x:c>
      <x:c r="C397" s="14" t="str">
        <x:v>2023_IMDb_Cast_Lists_Batch_01(2).xlsx</x:v>
      </x:c>
      <x:c r="D397" s="14" t="str">
        <x:v>Beyond Paradise</x:v>
      </x:c>
      <x:c r="E397" s="14" t="n">
        <x:v>46</x:v>
      </x:c>
      <x:c r="F397" s="14" t="str">
        <x:v>Beyond Paradise</x:v>
      </x:c>
      <x:c r="G397" s="14" t="str">
        <x:v>tt21161156</x:v>
      </x:c>
      <x:c r="H397" s="14" t="n">
        <x:v>2023</x:v>
      </x:c>
      <x:c r="I397" s="14" t="n">
        <x:v>2025</x:v>
      </x:c>
      <x:c r="J397" s="14" t="str">
        <x:v>Post-study cohort</x:v>
      </x:c>
      <x:c r="K397" s="14" t="n">
        <x:v>2023</x:v>
      </x:c>
      <x:c r="L397" s="14" t="str">
        <x:v>Not inherited</x:v>
      </x:c>
      <x:c r="M397" s="15" t="n">
        <x:v>39</x:v>
      </x:c>
      <x:c r="N397" s="14" t="str">
        <x:v>Rebecca Night</x:v>
      </x:c>
      <x:c r="O397" s="14" t="str">
        <x:v>nm2390340</x:v>
      </x:c>
      <x:c r="P397" s="14" t="str">
        <x:v>Holly Willis</x:v>
      </x:c>
      <x:c r="Q397" s="15" t="n">
        <x:v>1</x:v>
      </x:c>
      <x:c r="R397" s="14" t="str">
        <x:v>2026</x:v>
      </x:c>
      <x:c r="S397" s="14" t="n">
        <x:v>2026</x:v>
      </x:c>
      <x:c r="T397" s="14" t="n">
        <x:v>2026</x:v>
      </x:c>
      <x:c r="U397" s="14" t="str">
        <x:v>Explicit source first year retained</x:v>
      </x:c>
      <x:c r="V397" s="14" t="str">
        <x:v>Earliest supplied year is 2026.</x:v>
      </x:c>
      <x:c r="W397" s="14"/>
      <x:c r="X397" s="14" t="str">
        <x:v>Excluded: after 2025</x:v>
      </x:c>
      <x:c r="Y397" s="14"/>
      <x:c r="Z397" s="14" t="str">
        <x:v>Beyond Paradise.docx</x:v>
      </x:c>
      <x:c r="AA397" s="14" t="str">
        <x:v>HYPERLINK is not implemented. linkLocation=https://www.imdb.com/title/tt21161156/fullcredits/, friendlyName=Open source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BBC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7" t="e">
        <x:f>HYPERLINK("https://en.wikipedia.org/wiki/Beyond_Paradise","Open source")</x:f>
        <x:v>HYPERLINK is not implemented. linkLocation=https://en.wikipedia.org/wiki/Beyond_Paradise, friendlyName=Open source</x:v>
      </x:c>
      <x:c r="AN397" s="14" t="str">
        <x:v>BBC public-service commission</x:v>
      </x:c>
      <x:c r="AO397" s="14" t="str">
        <x:v>Yes</x:v>
      </x:c>
      <x:c r="AP397" s="14" t="str">
        <x:v>Direct BBC public-service scope</x:v>
      </x:c>
      <x:c r="AQ397" s="14" t="str">
        <x:v>Yes</x:v>
      </x:c>
      <x:c r="AR397" s="14" t="str">
        <x:v>Resolved from master register</x:v>
      </x:c>
      <x:c r="AS397" s="14" t="str">
        <x:v>No established-register match</x:v>
      </x:c>
      <x:c r="AT397" s="14"/>
      <x:c r="AU397" s="14"/>
      <x:c r="AV397" s="14" t="str">
        <x:v>No established apparent-disability match</x:v>
      </x:c>
      <x:c r="AW397" s="14"/>
      <x:c r="AX397" s="14" t="str">
        <x:v>No</x:v>
      </x:c>
      <x:c r="AY397" s="14" t="str">
        <x:v>Unmatched</x:v>
      </x:c>
      <x:c r="AZ397" s="14" t="str">
        <x:v>Final supplied register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27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0.037037037037037035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4" t="str">
        <x:v>HYPERLINK is not implemented. linkLocation=https://www.imdb.com/title/tt21161156/fullcredits/, friendlyName=Open source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tt21161156|nm1459494|jeff simmons</x:v>
      </x:c>
      <x:c r="B398" s="14" t="str">
        <x:v>01</x:v>
      </x:c>
      <x:c r="C398" s="14" t="str">
        <x:v>2023_IMDb_Cast_Lists_Batch_01(2).xlsx</x:v>
      </x:c>
      <x:c r="D398" s="14" t="str">
        <x:v>Beyond Paradise</x:v>
      </x:c>
      <x:c r="E398" s="14" t="n">
        <x:v>47</x:v>
      </x:c>
      <x:c r="F398" s="14" t="str">
        <x:v>Beyond Paradise</x:v>
      </x:c>
      <x:c r="G398" s="14" t="str">
        <x:v>tt21161156</x:v>
      </x:c>
      <x:c r="H398" s="14" t="n">
        <x:v>2023</x:v>
      </x:c>
      <x:c r="I398" s="14" t="n">
        <x:v>2025</x:v>
      </x:c>
      <x:c r="J398" s="14" t="str">
        <x:v>Post-study cohort</x:v>
      </x:c>
      <x:c r="K398" s="14" t="n">
        <x:v>2023</x:v>
      </x:c>
      <x:c r="L398" s="14" t="str">
        <x:v>Not inherited</x:v>
      </x:c>
      <x:c r="M398" s="15" t="n">
        <x:v>40</x:v>
      </x:c>
      <x:c r="N398" s="14" t="str">
        <x:v>Henry Miller</x:v>
      </x:c>
      <x:c r="O398" s="14" t="str">
        <x:v>nm1459494</x:v>
      </x:c>
      <x:c r="P398" s="14" t="str">
        <x:v>Jeff Simmons</x:v>
      </x:c>
      <x:c r="Q398" s="15" t="n">
        <x:v>1</x:v>
      </x:c>
      <x:c r="R398" s="14" t="str">
        <x:v>2026</x:v>
      </x:c>
      <x:c r="S398" s="14" t="n">
        <x:v>2026</x:v>
      </x:c>
      <x:c r="T398" s="14" t="n">
        <x:v>2026</x:v>
      </x:c>
      <x:c r="U398" s="14" t="str">
        <x:v>Explicit source first year retained</x:v>
      </x:c>
      <x:c r="V398" s="14" t="str">
        <x:v>Earliest supplied year is 2026.</x:v>
      </x:c>
      <x:c r="W398" s="14"/>
      <x:c r="X398" s="14" t="str">
        <x:v>Excluded: after 2025</x:v>
      </x:c>
      <x:c r="Y398" s="14"/>
      <x:c r="Z398" s="14" t="str">
        <x:v>Beyond Paradise.docx</x:v>
      </x:c>
      <x:c r="AA398" s="14" t="str">
        <x:v>HYPERLINK is not implemented. linkLocation=https://www.imdb.com/title/tt21161156/fullcredits/, friendlyName=Open source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BBC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7" t="e">
        <x:f>HYPERLINK("https://en.wikipedia.org/wiki/Beyond_Paradise","Open source")</x:f>
        <x:v>HYPERLINK is not implemented. linkLocation=https://en.wikipedia.org/wiki/Beyond_Paradise, friendlyName=Open source</x:v>
      </x:c>
      <x:c r="AN398" s="14" t="str">
        <x:v>BBC public-service commission</x:v>
      </x:c>
      <x:c r="AO398" s="14" t="str">
        <x:v>Yes</x:v>
      </x:c>
      <x:c r="AP398" s="14" t="str">
        <x:v>Direct BBC public-service scope</x:v>
      </x:c>
      <x:c r="AQ398" s="14" t="str">
        <x:v>Yes</x:v>
      </x:c>
      <x:c r="AR398" s="14" t="str">
        <x:v>Resolved from master register</x:v>
      </x:c>
      <x:c r="AS398" s="14" t="str">
        <x:v>No established-register match</x:v>
      </x:c>
      <x:c r="AT398" s="14"/>
      <x:c r="AU398" s="14"/>
      <x:c r="AV398" s="14" t="str">
        <x:v>No established apparent-disability match</x:v>
      </x:c>
      <x:c r="AW398" s="14"/>
      <x:c r="AX398" s="14" t="str">
        <x:v>No</x:v>
      </x:c>
      <x:c r="AY398" s="14" t="str">
        <x:v>Unmatched</x:v>
      </x:c>
      <x:c r="AZ398" s="14" t="str">
        <x:v>Final supplied register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27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0.037037037037037035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4" t="str">
        <x:v>HYPERLINK is not implemented. linkLocation=https://www.imdb.com/title/tt21161156/fullcredits/, friendlyName=Open source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tt21161156|nm4726104|craig fields</x:v>
      </x:c>
      <x:c r="B399" s="14" t="str">
        <x:v>01</x:v>
      </x:c>
      <x:c r="C399" s="14" t="str">
        <x:v>2023_IMDb_Cast_Lists_Batch_01(2).xlsx</x:v>
      </x:c>
      <x:c r="D399" s="14" t="str">
        <x:v>Beyond Paradise</x:v>
      </x:c>
      <x:c r="E399" s="14" t="n">
        <x:v>57</x:v>
      </x:c>
      <x:c r="F399" s="14" t="str">
        <x:v>Beyond Paradise</x:v>
      </x:c>
      <x:c r="G399" s="14" t="str">
        <x:v>tt21161156</x:v>
      </x:c>
      <x:c r="H399" s="14" t="n">
        <x:v>2023</x:v>
      </x:c>
      <x:c r="I399" s="14" t="n">
        <x:v>2025</x:v>
      </x:c>
      <x:c r="J399" s="14" t="str">
        <x:v>Post-study cohort</x:v>
      </x:c>
      <x:c r="K399" s="14" t="n">
        <x:v>2023</x:v>
      </x:c>
      <x:c r="L399" s="14" t="str">
        <x:v>Not inherited</x:v>
      </x:c>
      <x:c r="M399" s="15" t="n">
        <x:v>50</x:v>
      </x:c>
      <x:c r="N399" s="14" t="str">
        <x:v>Elliot Janks</x:v>
      </x:c>
      <x:c r="O399" s="14" t="str">
        <x:v>nm4726104</x:v>
      </x:c>
      <x:c r="P399" s="14" t="str">
        <x:v>Craig Fields</x:v>
      </x:c>
      <x:c r="Q399" s="15" t="n">
        <x:v>1</x:v>
      </x:c>
      <x:c r="R399" s="14" t="str">
        <x:v>2026</x:v>
      </x:c>
      <x:c r="S399" s="14" t="n">
        <x:v>2026</x:v>
      </x:c>
      <x:c r="T399" s="14" t="n">
        <x:v>2026</x:v>
      </x:c>
      <x:c r="U399" s="14" t="str">
        <x:v>Explicit source first year retained</x:v>
      </x:c>
      <x:c r="V399" s="14" t="str">
        <x:v>Earliest supplied year is 2026.</x:v>
      </x:c>
      <x:c r="W399" s="14"/>
      <x:c r="X399" s="14" t="str">
        <x:v>Excluded: after 2025</x:v>
      </x:c>
      <x:c r="Y399" s="14"/>
      <x:c r="Z399" s="14" t="str">
        <x:v>Beyond Paradise.docx</x:v>
      </x:c>
      <x:c r="AA399" s="14" t="str">
        <x:v>HYPERLINK is not implemented. linkLocation=https://www.imdb.com/title/tt21161156/fullcredits/, friendlyName=Open source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BBC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7" t="e">
        <x:f>HYPERLINK("https://en.wikipedia.org/wiki/Beyond_Paradise","Open source")</x:f>
        <x:v>HYPERLINK is not implemented. linkLocation=https://en.wikipedia.org/wiki/Beyond_Paradise, friendlyName=Open source</x:v>
      </x:c>
      <x:c r="AN399" s="14" t="str">
        <x:v>BBC public-service commission</x:v>
      </x:c>
      <x:c r="AO399" s="14" t="str">
        <x:v>Yes</x:v>
      </x:c>
      <x:c r="AP399" s="14" t="str">
        <x:v>Direct BBC public-service scope</x:v>
      </x:c>
      <x:c r="AQ399" s="14" t="str">
        <x:v>Yes</x:v>
      </x:c>
      <x:c r="AR399" s="14" t="str">
        <x:v>Resolved from master register</x:v>
      </x:c>
      <x:c r="AS399" s="14" t="str">
        <x:v>No established-register match</x:v>
      </x:c>
      <x:c r="AT399" s="14"/>
      <x:c r="AU399" s="14"/>
      <x:c r="AV399" s="14" t="str">
        <x:v>No established apparent-disability match</x:v>
      </x:c>
      <x:c r="AW399" s="14"/>
      <x:c r="AX399" s="14" t="str">
        <x:v>No</x:v>
      </x:c>
      <x:c r="AY399" s="14" t="str">
        <x:v>Unmatched</x:v>
      </x:c>
      <x:c r="AZ399" s="14" t="str">
        <x:v>Final supplied register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27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0.037037037037037035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4" t="str">
        <x:v>HYPERLINK is not implemented. linkLocation=https://www.imdb.com/title/tt21161156/fullcredits/, friendlyName=Open source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tt21161156|nm0522882|helen linder</x:v>
      </x:c>
      <x:c r="B400" s="14" t="str">
        <x:v>01</x:v>
      </x:c>
      <x:c r="C400" s="14" t="str">
        <x:v>2023_IMDb_Cast_Lists_Batch_01(2).xlsx</x:v>
      </x:c>
      <x:c r="D400" s="14" t="str">
        <x:v>Beyond Paradise</x:v>
      </x:c>
      <x:c r="E400" s="14" t="n">
        <x:v>64</x:v>
      </x:c>
      <x:c r="F400" s="14" t="str">
        <x:v>Beyond Paradise</x:v>
      </x:c>
      <x:c r="G400" s="14" t="str">
        <x:v>tt21161156</x:v>
      </x:c>
      <x:c r="H400" s="14" t="n">
        <x:v>2023</x:v>
      </x:c>
      <x:c r="I400" s="14" t="n">
        <x:v>2025</x:v>
      </x:c>
      <x:c r="J400" s="14" t="str">
        <x:v>Post-study cohort</x:v>
      </x:c>
      <x:c r="K400" s="14" t="n">
        <x:v>2023</x:v>
      </x:c>
      <x:c r="L400" s="14" t="str">
        <x:v>Not inherited</x:v>
      </x:c>
      <x:c r="M400" s="15" t="n">
        <x:v>57</x:v>
      </x:c>
      <x:c r="N400" s="14" t="str">
        <x:v>Andrea Lowe</x:v>
      </x:c>
      <x:c r="O400" s="14" t="str">
        <x:v>nm0522882</x:v>
      </x:c>
      <x:c r="P400" s="14" t="str">
        <x:v>Helen Linder</x:v>
      </x:c>
      <x:c r="Q400" s="15" t="n">
        <x:v>1</x:v>
      </x:c>
      <x:c r="R400" s="14" t="str">
        <x:v>2026</x:v>
      </x:c>
      <x:c r="S400" s="14" t="n">
        <x:v>2026</x:v>
      </x:c>
      <x:c r="T400" s="14" t="n">
        <x:v>2026</x:v>
      </x:c>
      <x:c r="U400" s="14" t="str">
        <x:v>Explicit source first year retained</x:v>
      </x:c>
      <x:c r="V400" s="14" t="str">
        <x:v>Earliest supplied year is 2026.</x:v>
      </x:c>
      <x:c r="W400" s="14"/>
      <x:c r="X400" s="14" t="str">
        <x:v>Excluded: after 2025</x:v>
      </x:c>
      <x:c r="Y400" s="14"/>
      <x:c r="Z400" s="14" t="str">
        <x:v>Beyond Paradise.docx</x:v>
      </x:c>
      <x:c r="AA400" s="14" t="str">
        <x:v>HYPERLINK is not implemented. linkLocation=https://www.imdb.com/title/tt21161156/fullcredits/, friendlyName=Open source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BBC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7" t="e">
        <x:f>HYPERLINK("https://en.wikipedia.org/wiki/Beyond_Paradise","Open source")</x:f>
        <x:v>HYPERLINK is not implemented. linkLocation=https://en.wikipedia.org/wiki/Beyond_Paradise, friendlyName=Open source</x:v>
      </x:c>
      <x:c r="AN400" s="14" t="str">
        <x:v>BBC public-service commission</x:v>
      </x:c>
      <x:c r="AO400" s="14" t="str">
        <x:v>Yes</x:v>
      </x:c>
      <x:c r="AP400" s="14" t="str">
        <x:v>Direct BBC public-service scope</x:v>
      </x:c>
      <x:c r="AQ400" s="14" t="str">
        <x:v>Yes</x:v>
      </x:c>
      <x:c r="AR400" s="14" t="str">
        <x:v>Resolved from master register</x:v>
      </x:c>
      <x:c r="AS400" s="14" t="str">
        <x:v>No established-register match</x:v>
      </x:c>
      <x:c r="AT400" s="14"/>
      <x:c r="AU400" s="14"/>
      <x:c r="AV400" s="14" t="str">
        <x:v>No established apparent-disability match</x:v>
      </x:c>
      <x:c r="AW400" s="14"/>
      <x:c r="AX400" s="14" t="str">
        <x:v>No</x:v>
      </x:c>
      <x:c r="AY400" s="14" t="str">
        <x:v>Unmatched</x:v>
      </x:c>
      <x:c r="AZ400" s="14" t="str">
        <x:v>Final supplied register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27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0.037037037037037035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4" t="str">
        <x:v>HYPERLINK is not implemented. linkLocation=https://www.imdb.com/title/tt21161156/fullcredits/, friendlyName=Open source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tt21161156|nm0568801|dr. roger franklin</x:v>
      </x:c>
      <x:c r="B401" s="14" t="str">
        <x:v>01</x:v>
      </x:c>
      <x:c r="C401" s="14" t="str">
        <x:v>2023_IMDb_Cast_Lists_Batch_01(2).xlsx</x:v>
      </x:c>
      <x:c r="D401" s="14" t="str">
        <x:v>Beyond Paradise</x:v>
      </x:c>
      <x:c r="E401" s="14" t="n">
        <x:v>65</x:v>
      </x:c>
      <x:c r="F401" s="14" t="str">
        <x:v>Beyond Paradise</x:v>
      </x:c>
      <x:c r="G401" s="14" t="str">
        <x:v>tt21161156</x:v>
      </x:c>
      <x:c r="H401" s="14" t="n">
        <x:v>2023</x:v>
      </x:c>
      <x:c r="I401" s="14" t="n">
        <x:v>2025</x:v>
      </x:c>
      <x:c r="J401" s="14" t="str">
        <x:v>Post-study cohort</x:v>
      </x:c>
      <x:c r="K401" s="14" t="n">
        <x:v>2023</x:v>
      </x:c>
      <x:c r="L401" s="14" t="str">
        <x:v>Not inherited</x:v>
      </x:c>
      <x:c r="M401" s="15" t="n">
        <x:v>58</x:v>
      </x:c>
      <x:c r="N401" s="14" t="str">
        <x:v>Colin McFarlane</x:v>
      </x:c>
      <x:c r="O401" s="14" t="str">
        <x:v>nm0568801</x:v>
      </x:c>
      <x:c r="P401" s="14" t="str">
        <x:v>Dr. Roger Franklin</x:v>
      </x:c>
      <x:c r="Q401" s="15" t="n">
        <x:v>1</x:v>
      </x:c>
      <x:c r="R401" s="14" t="str">
        <x:v>2026</x:v>
      </x:c>
      <x:c r="S401" s="14" t="n">
        <x:v>2026</x:v>
      </x:c>
      <x:c r="T401" s="14" t="n">
        <x:v>2026</x:v>
      </x:c>
      <x:c r="U401" s="14" t="str">
        <x:v>Explicit source first year retained</x:v>
      </x:c>
      <x:c r="V401" s="14" t="str">
        <x:v>Earliest supplied year is 2026.</x:v>
      </x:c>
      <x:c r="W401" s="14"/>
      <x:c r="X401" s="14" t="str">
        <x:v>Excluded: after 2025</x:v>
      </x:c>
      <x:c r="Y401" s="14"/>
      <x:c r="Z401" s="14" t="str">
        <x:v>Beyond Paradise.docx</x:v>
      </x:c>
      <x:c r="AA401" s="14" t="str">
        <x:v>HYPERLINK is not implemented. linkLocation=https://www.imdb.com/title/tt21161156/fullcredits/, friendlyName=Open source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BBC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7" t="e">
        <x:f>HYPERLINK("https://en.wikipedia.org/wiki/Beyond_Paradise","Open source")</x:f>
        <x:v>HYPERLINK is not implemented. linkLocation=https://en.wikipedia.org/wiki/Beyond_Paradise, friendlyName=Open source</x:v>
      </x:c>
      <x:c r="AN401" s="14" t="str">
        <x:v>BBC public-service commission</x:v>
      </x:c>
      <x:c r="AO401" s="14" t="str">
        <x:v>Yes</x:v>
      </x:c>
      <x:c r="AP401" s="14" t="str">
        <x:v>Direct BBC public-service scope</x:v>
      </x:c>
      <x:c r="AQ401" s="14" t="str">
        <x:v>Yes</x:v>
      </x:c>
      <x:c r="AR401" s="14" t="str">
        <x:v>Resolved from master register</x:v>
      </x:c>
      <x:c r="AS401" s="14" t="str">
        <x:v>No established-register match</x:v>
      </x:c>
      <x:c r="AT401" s="14"/>
      <x:c r="AU401" s="14"/>
      <x:c r="AV401" s="14" t="str">
        <x:v>No established apparent-disability match</x:v>
      </x:c>
      <x:c r="AW401" s="14"/>
      <x:c r="AX401" s="14" t="str">
        <x:v>No</x:v>
      </x:c>
      <x:c r="AY401" s="14" t="str">
        <x:v>Unmatched</x:v>
      </x:c>
      <x:c r="AZ401" s="14" t="str">
        <x:v>Final supplied register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27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0.037037037037037035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4" t="str">
        <x:v>HYPERLINK is not implemented. linkLocation=https://www.imdb.com/title/tt21161156/fullcredits/, friendlyName=Open source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tt21161156|nm0168253|kenneth linder</x:v>
      </x:c>
      <x:c r="B402" s="14" t="str">
        <x:v>01</x:v>
      </x:c>
      <x:c r="C402" s="14" t="str">
        <x:v>2023_IMDb_Cast_Lists_Batch_01(2).xlsx</x:v>
      </x:c>
      <x:c r="D402" s="14" t="str">
        <x:v>Beyond Paradise</x:v>
      </x:c>
      <x:c r="E402" s="14" t="n">
        <x:v>72</x:v>
      </x:c>
      <x:c r="F402" s="14" t="str">
        <x:v>Beyond Paradise</x:v>
      </x:c>
      <x:c r="G402" s="14" t="str">
        <x:v>tt21161156</x:v>
      </x:c>
      <x:c r="H402" s="14" t="n">
        <x:v>2023</x:v>
      </x:c>
      <x:c r="I402" s="14" t="n">
        <x:v>2025</x:v>
      </x:c>
      <x:c r="J402" s="14" t="str">
        <x:v>Post-study cohort</x:v>
      </x:c>
      <x:c r="K402" s="14" t="n">
        <x:v>2023</x:v>
      </x:c>
      <x:c r="L402" s="14" t="str">
        <x:v>Not inherited</x:v>
      </x:c>
      <x:c r="M402" s="15" t="n">
        <x:v>65</x:v>
      </x:c>
      <x:c r="N402" s="14" t="str">
        <x:v>Michael Cochrane</x:v>
      </x:c>
      <x:c r="O402" s="14" t="str">
        <x:v>nm0168253</x:v>
      </x:c>
      <x:c r="P402" s="14" t="str">
        <x:v>Kenneth Linder</x:v>
      </x:c>
      <x:c r="Q402" s="15" t="n">
        <x:v>1</x:v>
      </x:c>
      <x:c r="R402" s="14" t="str">
        <x:v>2026</x:v>
      </x:c>
      <x:c r="S402" s="14" t="n">
        <x:v>2026</x:v>
      </x:c>
      <x:c r="T402" s="14" t="n">
        <x:v>2026</x:v>
      </x:c>
      <x:c r="U402" s="14" t="str">
        <x:v>Explicit source first year retained</x:v>
      </x:c>
      <x:c r="V402" s="14" t="str">
        <x:v>Earliest supplied year is 2026.</x:v>
      </x:c>
      <x:c r="W402" s="14"/>
      <x:c r="X402" s="14" t="str">
        <x:v>Excluded: after 2025</x:v>
      </x:c>
      <x:c r="Y402" s="14"/>
      <x:c r="Z402" s="14" t="str">
        <x:v>Beyond Paradise.docx</x:v>
      </x:c>
      <x:c r="AA402" s="14" t="str">
        <x:v>HYPERLINK is not implemented. linkLocation=https://www.imdb.com/title/tt21161156/fullcredits/, friendlyName=Open source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BBC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7" t="e">
        <x:f>HYPERLINK("https://en.wikipedia.org/wiki/Beyond_Paradise","Open source")</x:f>
        <x:v>HYPERLINK is not implemented. linkLocation=https://en.wikipedia.org/wiki/Beyond_Paradise, friendlyName=Open source</x:v>
      </x:c>
      <x:c r="AN402" s="14" t="str">
        <x:v>BBC public-service commission</x:v>
      </x:c>
      <x:c r="AO402" s="14" t="str">
        <x:v>Yes</x:v>
      </x:c>
      <x:c r="AP402" s="14" t="str">
        <x:v>Direct BBC public-service scope</x:v>
      </x:c>
      <x:c r="AQ402" s="14" t="str">
        <x:v>Yes</x:v>
      </x:c>
      <x:c r="AR402" s="14" t="str">
        <x:v>Resolved from master register</x:v>
      </x:c>
      <x:c r="AS402" s="14" t="str">
        <x:v>No established-register match</x:v>
      </x:c>
      <x:c r="AT402" s="14"/>
      <x:c r="AU402" s="14"/>
      <x:c r="AV402" s="14" t="str">
        <x:v>No established apparent-disability match</x:v>
      </x:c>
      <x:c r="AW402" s="14"/>
      <x:c r="AX402" s="14" t="str">
        <x:v>No</x:v>
      </x:c>
      <x:c r="AY402" s="14" t="str">
        <x:v>Unmatched</x:v>
      </x:c>
      <x:c r="AZ402" s="14" t="str">
        <x:v>Final supplied register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27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0.037037037037037035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4" t="str">
        <x:v>HYPERLINK is not implemented. linkLocation=https://www.imdb.com/title/tt21161156/fullcredits/, friendlyName=Open source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tt21161156|nm0165481|mavis</x:v>
      </x:c>
      <x:c r="B403" s="14" t="str">
        <x:v>01</x:v>
      </x:c>
      <x:c r="C403" s="14" t="str">
        <x:v>2023_IMDb_Cast_Lists_Batch_01(2).xlsx</x:v>
      </x:c>
      <x:c r="D403" s="14" t="str">
        <x:v>Beyond Paradise</x:v>
      </x:c>
      <x:c r="E403" s="14" t="n">
        <x:v>73</x:v>
      </x:c>
      <x:c r="F403" s="14" t="str">
        <x:v>Beyond Paradise</x:v>
      </x:c>
      <x:c r="G403" s="14" t="str">
        <x:v>tt21161156</x:v>
      </x:c>
      <x:c r="H403" s="14" t="n">
        <x:v>2023</x:v>
      </x:c>
      <x:c r="I403" s="14" t="n">
        <x:v>2025</x:v>
      </x:c>
      <x:c r="J403" s="14" t="str">
        <x:v>Post-study cohort</x:v>
      </x:c>
      <x:c r="K403" s="14" t="n">
        <x:v>2023</x:v>
      </x:c>
      <x:c r="L403" s="14" t="str">
        <x:v>Not inherited</x:v>
      </x:c>
      <x:c r="M403" s="15" t="n">
        <x:v>66</x:v>
      </x:c>
      <x:c r="N403" s="14" t="str">
        <x:v>Elaine Claxton</x:v>
      </x:c>
      <x:c r="O403" s="14" t="str">
        <x:v>nm0165481</x:v>
      </x:c>
      <x:c r="P403" s="14" t="str">
        <x:v>Mavis</x:v>
      </x:c>
      <x:c r="Q403" s="15" t="n">
        <x:v>1</x:v>
      </x:c>
      <x:c r="R403" s="14" t="str">
        <x:v>2026</x:v>
      </x:c>
      <x:c r="S403" s="14" t="n">
        <x:v>2026</x:v>
      </x:c>
      <x:c r="T403" s="14" t="n">
        <x:v>2026</x:v>
      </x:c>
      <x:c r="U403" s="14" t="str">
        <x:v>Explicit source first year retained</x:v>
      </x:c>
      <x:c r="V403" s="14" t="str">
        <x:v>Earliest supplied year is 2026.</x:v>
      </x:c>
      <x:c r="W403" s="14"/>
      <x:c r="X403" s="14" t="str">
        <x:v>Excluded: after 2025</x:v>
      </x:c>
      <x:c r="Y403" s="14"/>
      <x:c r="Z403" s="14" t="str">
        <x:v>Beyond Paradise.docx</x:v>
      </x:c>
      <x:c r="AA403" s="14" t="str">
        <x:v>HYPERLINK is not implemented. linkLocation=https://www.imdb.com/title/tt21161156/fullcredits/, friendlyName=Open source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BBC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7" t="e">
        <x:f>HYPERLINK("https://en.wikipedia.org/wiki/Beyond_Paradise","Open source")</x:f>
        <x:v>HYPERLINK is not implemented. linkLocation=https://en.wikipedia.org/wiki/Beyond_Paradise, friendlyName=Open source</x:v>
      </x:c>
      <x:c r="AN403" s="14" t="str">
        <x:v>BBC public-service commission</x:v>
      </x:c>
      <x:c r="AO403" s="14" t="str">
        <x:v>Yes</x:v>
      </x:c>
      <x:c r="AP403" s="14" t="str">
        <x:v>Direct BBC public-service scope</x:v>
      </x:c>
      <x:c r="AQ403" s="14" t="str">
        <x:v>Yes</x:v>
      </x:c>
      <x:c r="AR403" s="14" t="str">
        <x:v>Resolved from master register</x:v>
      </x:c>
      <x:c r="AS403" s="14" t="str">
        <x:v>No established-register match</x:v>
      </x:c>
      <x:c r="AT403" s="14"/>
      <x:c r="AU403" s="14"/>
      <x:c r="AV403" s="14" t="str">
        <x:v>No established apparent-disability match</x:v>
      </x:c>
      <x:c r="AW403" s="14"/>
      <x:c r="AX403" s="14" t="str">
        <x:v>No</x:v>
      </x:c>
      <x:c r="AY403" s="14" t="str">
        <x:v>Unmatched</x:v>
      </x:c>
      <x:c r="AZ403" s="14" t="str">
        <x:v>Final supplied register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27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0.037037037037037035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4" t="str">
        <x:v>HYPERLINK is not implemented. linkLocation=https://www.imdb.com/title/tt21161156/fullcredits/, friendlyName=Open source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tt21161156|nm15340873|adam walsh</x:v>
      </x:c>
      <x:c r="B404" s="14" t="str">
        <x:v>01</x:v>
      </x:c>
      <x:c r="C404" s="14" t="str">
        <x:v>2023_IMDb_Cast_Lists_Batch_01(2).xlsx</x:v>
      </x:c>
      <x:c r="D404" s="14" t="str">
        <x:v>Beyond Paradise</x:v>
      </x:c>
      <x:c r="E404" s="14" t="n">
        <x:v>74</x:v>
      </x:c>
      <x:c r="F404" s="14" t="str">
        <x:v>Beyond Paradise</x:v>
      </x:c>
      <x:c r="G404" s="14" t="str">
        <x:v>tt21161156</x:v>
      </x:c>
      <x:c r="H404" s="14" t="n">
        <x:v>2023</x:v>
      </x:c>
      <x:c r="I404" s="14" t="n">
        <x:v>2025</x:v>
      </x:c>
      <x:c r="J404" s="14" t="str">
        <x:v>Post-study cohort</x:v>
      </x:c>
      <x:c r="K404" s="14" t="n">
        <x:v>2023</x:v>
      </x:c>
      <x:c r="L404" s="14" t="str">
        <x:v>Not inherited</x:v>
      </x:c>
      <x:c r="M404" s="15" t="n">
        <x:v>67</x:v>
      </x:c>
      <x:c r="N404" s="14" t="str">
        <x:v>Noah Thomas</x:v>
      </x:c>
      <x:c r="O404" s="14" t="str">
        <x:v>nm15340873</x:v>
      </x:c>
      <x:c r="P404" s="14" t="str">
        <x:v>Adam Walsh</x:v>
      </x:c>
      <x:c r="Q404" s="15" t="n">
        <x:v>1</x:v>
      </x:c>
      <x:c r="R404" s="14" t="str">
        <x:v>2026</x:v>
      </x:c>
      <x:c r="S404" s="14" t="n">
        <x:v>2026</x:v>
      </x:c>
      <x:c r="T404" s="14" t="n">
        <x:v>2026</x:v>
      </x:c>
      <x:c r="U404" s="14" t="str">
        <x:v>Explicit source first year retained</x:v>
      </x:c>
      <x:c r="V404" s="14" t="str">
        <x:v>Earliest supplied year is 2026.</x:v>
      </x:c>
      <x:c r="W404" s="14"/>
      <x:c r="X404" s="14" t="str">
        <x:v>Excluded: after 2025</x:v>
      </x:c>
      <x:c r="Y404" s="14"/>
      <x:c r="Z404" s="14" t="str">
        <x:v>Beyond Paradise.docx</x:v>
      </x:c>
      <x:c r="AA404" s="14" t="str">
        <x:v>HYPERLINK is not implemented. linkLocation=https://www.imdb.com/title/tt21161156/fullcredits/, friendlyName=Open source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BBC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7" t="e">
        <x:f>HYPERLINK("https://en.wikipedia.org/wiki/Beyond_Paradise","Open source")</x:f>
        <x:v>HYPERLINK is not implemented. linkLocation=https://en.wikipedia.org/wiki/Beyond_Paradise, friendlyName=Open source</x:v>
      </x:c>
      <x:c r="AN404" s="14" t="str">
        <x:v>BBC public-service commission</x:v>
      </x:c>
      <x:c r="AO404" s="14" t="str">
        <x:v>Yes</x:v>
      </x:c>
      <x:c r="AP404" s="14" t="str">
        <x:v>Direct BBC public-service scope</x:v>
      </x:c>
      <x:c r="AQ404" s="14" t="str">
        <x:v>Yes</x:v>
      </x:c>
      <x:c r="AR404" s="14" t="str">
        <x:v>Resolved from master register</x:v>
      </x:c>
      <x:c r="AS404" s="14" t="str">
        <x:v>No established-register match</x:v>
      </x:c>
      <x:c r="AT404" s="14"/>
      <x:c r="AU404" s="14"/>
      <x:c r="AV404" s="14" t="str">
        <x:v>No established apparent-disability match</x:v>
      </x:c>
      <x:c r="AW404" s="14"/>
      <x:c r="AX404" s="14" t="str">
        <x:v>No</x:v>
      </x:c>
      <x:c r="AY404" s="14" t="str">
        <x:v>Unmatched</x:v>
      </x:c>
      <x:c r="AZ404" s="14" t="str">
        <x:v>Final supplied register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27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0.037037037037037035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4" t="str">
        <x:v>HYPERLINK is not implemented. linkLocation=https://www.imdb.com/title/tt21161156/fullcredits/, friendlyName=Open source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tt21161156|nm1789930|evan cole</x:v>
      </x:c>
      <x:c r="B405" s="14" t="str">
        <x:v>01</x:v>
      </x:c>
      <x:c r="C405" s="14" t="str">
        <x:v>2023_IMDb_Cast_Lists_Batch_01(2).xlsx</x:v>
      </x:c>
      <x:c r="D405" s="14" t="str">
        <x:v>Beyond Paradise</x:v>
      </x:c>
      <x:c r="E405" s="14" t="n">
        <x:v>79</x:v>
      </x:c>
      <x:c r="F405" s="14" t="str">
        <x:v>Beyond Paradise</x:v>
      </x:c>
      <x:c r="G405" s="14" t="str">
        <x:v>tt21161156</x:v>
      </x:c>
      <x:c r="H405" s="14" t="n">
        <x:v>2023</x:v>
      </x:c>
      <x:c r="I405" s="14" t="n">
        <x:v>2025</x:v>
      </x:c>
      <x:c r="J405" s="14" t="str">
        <x:v>Post-study cohort</x:v>
      </x:c>
      <x:c r="K405" s="14" t="n">
        <x:v>2023</x:v>
      </x:c>
      <x:c r="L405" s="14" t="str">
        <x:v>Not inherited</x:v>
      </x:c>
      <x:c r="M405" s="15" t="n">
        <x:v>72</x:v>
      </x:c>
      <x:c r="N405" s="14" t="str">
        <x:v>Ian Hughes</x:v>
      </x:c>
      <x:c r="O405" s="14" t="str">
        <x:v>nm1789930</x:v>
      </x:c>
      <x:c r="P405" s="14" t="str">
        <x:v>Evan Cole</x:v>
      </x:c>
      <x:c r="Q405" s="15" t="n">
        <x:v>1</x:v>
      </x:c>
      <x:c r="R405" s="14" t="str">
        <x:v>2026</x:v>
      </x:c>
      <x:c r="S405" s="14" t="n">
        <x:v>2026</x:v>
      </x:c>
      <x:c r="T405" s="14" t="n">
        <x:v>2026</x:v>
      </x:c>
      <x:c r="U405" s="14" t="str">
        <x:v>Explicit source first year retained</x:v>
      </x:c>
      <x:c r="V405" s="14" t="str">
        <x:v>Earliest supplied year is 2026.</x:v>
      </x:c>
      <x:c r="W405" s="14"/>
      <x:c r="X405" s="14" t="str">
        <x:v>Excluded: after 2025</x:v>
      </x:c>
      <x:c r="Y405" s="14"/>
      <x:c r="Z405" s="14" t="str">
        <x:v>Beyond Paradise.docx</x:v>
      </x:c>
      <x:c r="AA405" s="14" t="str">
        <x:v>HYPERLINK is not implemented. linkLocation=https://www.imdb.com/title/tt21161156/fullcredits/, friendlyName=Open source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BBC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7" t="e">
        <x:f>HYPERLINK("https://en.wikipedia.org/wiki/Beyond_Paradise","Open source")</x:f>
        <x:v>HYPERLINK is not implemented. linkLocation=https://en.wikipedia.org/wiki/Beyond_Paradise, friendlyName=Open source</x:v>
      </x:c>
      <x:c r="AN405" s="14" t="str">
        <x:v>BBC public-service commission</x:v>
      </x:c>
      <x:c r="AO405" s="14" t="str">
        <x:v>Yes</x:v>
      </x:c>
      <x:c r="AP405" s="14" t="str">
        <x:v>Direct BBC public-service scope</x:v>
      </x:c>
      <x:c r="AQ405" s="14" t="str">
        <x:v>Yes</x:v>
      </x:c>
      <x:c r="AR405" s="14" t="str">
        <x:v>Resolved from master register</x:v>
      </x:c>
      <x:c r="AS405" s="14" t="str">
        <x:v>No established-register match</x:v>
      </x:c>
      <x:c r="AT405" s="14"/>
      <x:c r="AU405" s="14"/>
      <x:c r="AV405" s="14" t="str">
        <x:v>No established apparent-disability match</x:v>
      </x:c>
      <x:c r="AW405" s="14"/>
      <x:c r="AX405" s="14" t="str">
        <x:v>No</x:v>
      </x:c>
      <x:c r="AY405" s="14" t="str">
        <x:v>Unmatched</x:v>
      </x:c>
      <x:c r="AZ405" s="14" t="str">
        <x:v>Final supplied register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27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0.037037037037037035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4" t="str">
        <x:v>HYPERLINK is not implemented. linkLocation=https://www.imdb.com/title/tt21161156/fullcredits/, friendlyName=Open source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tt21161156|nm3864730|woody</x:v>
      </x:c>
      <x:c r="B406" s="14" t="str">
        <x:v>01</x:v>
      </x:c>
      <x:c r="C406" s="14" t="str">
        <x:v>2023_IMDb_Cast_Lists_Batch_01(2).xlsx</x:v>
      </x:c>
      <x:c r="D406" s="14" t="str">
        <x:v>Beyond Paradise</x:v>
      </x:c>
      <x:c r="E406" s="14" t="n">
        <x:v>83</x:v>
      </x:c>
      <x:c r="F406" s="14" t="str">
        <x:v>Beyond Paradise</x:v>
      </x:c>
      <x:c r="G406" s="14" t="str">
        <x:v>tt21161156</x:v>
      </x:c>
      <x:c r="H406" s="14" t="n">
        <x:v>2023</x:v>
      </x:c>
      <x:c r="I406" s="14" t="n">
        <x:v>2025</x:v>
      </x:c>
      <x:c r="J406" s="14" t="str">
        <x:v>Post-study cohort</x:v>
      </x:c>
      <x:c r="K406" s="14" t="n">
        <x:v>2023</x:v>
      </x:c>
      <x:c r="L406" s="14" t="str">
        <x:v>Not inherited</x:v>
      </x:c>
      <x:c r="M406" s="15" t="n">
        <x:v>76</x:v>
      </x:c>
      <x:c r="N406" s="14" t="str">
        <x:v>Nathan Dean Williams</x:v>
      </x:c>
      <x:c r="O406" s="14" t="str">
        <x:v>nm3864730</x:v>
      </x:c>
      <x:c r="P406" s="14" t="str">
        <x:v>Woody</x:v>
      </x:c>
      <x:c r="Q406" s="15" t="n">
        <x:v>1</x:v>
      </x:c>
      <x:c r="R406" s="14" t="str">
        <x:v>2026</x:v>
      </x:c>
      <x:c r="S406" s="14" t="n">
        <x:v>2026</x:v>
      </x:c>
      <x:c r="T406" s="14" t="n">
        <x:v>2026</x:v>
      </x:c>
      <x:c r="U406" s="14" t="str">
        <x:v>Explicit source first year retained</x:v>
      </x:c>
      <x:c r="V406" s="14" t="str">
        <x:v>Earliest supplied year is 2026.</x:v>
      </x:c>
      <x:c r="W406" s="14"/>
      <x:c r="X406" s="14" t="str">
        <x:v>Excluded: after 2025</x:v>
      </x:c>
      <x:c r="Y406" s="14"/>
      <x:c r="Z406" s="14" t="str">
        <x:v>Beyond Paradise.docx</x:v>
      </x:c>
      <x:c r="AA406" s="14" t="str">
        <x:v>HYPERLINK is not implemented. linkLocation=https://www.imdb.com/title/tt21161156/fullcredits/, friendlyName=Open source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BBC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7" t="e">
        <x:f>HYPERLINK("https://en.wikipedia.org/wiki/Beyond_Paradise","Open source")</x:f>
        <x:v>HYPERLINK is not implemented. linkLocation=https://en.wikipedia.org/wiki/Beyond_Paradise, friendlyName=Open source</x:v>
      </x:c>
      <x:c r="AN406" s="14" t="str">
        <x:v>BBC public-service commission</x:v>
      </x:c>
      <x:c r="AO406" s="14" t="str">
        <x:v>Yes</x:v>
      </x:c>
      <x:c r="AP406" s="14" t="str">
        <x:v>Direct BBC public-service scope</x:v>
      </x:c>
      <x:c r="AQ406" s="14" t="str">
        <x:v>Yes</x:v>
      </x:c>
      <x:c r="AR406" s="14" t="str">
        <x:v>Resolved from master register</x:v>
      </x:c>
      <x:c r="AS406" s="14" t="str">
        <x:v>No established-register match</x:v>
      </x:c>
      <x:c r="AT406" s="14"/>
      <x:c r="AU406" s="14"/>
      <x:c r="AV406" s="14" t="str">
        <x:v>No established apparent-disability match</x:v>
      </x:c>
      <x:c r="AW406" s="14"/>
      <x:c r="AX406" s="14" t="str">
        <x:v>No</x:v>
      </x:c>
      <x:c r="AY406" s="14" t="str">
        <x:v>Unmatched</x:v>
      </x:c>
      <x:c r="AZ406" s="14" t="str">
        <x:v>Final supplied register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27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0.037037037037037035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4" t="str">
        <x:v>HYPERLINK is not implemented. linkLocation=https://www.imdb.com/title/tt21161156/fullcredits/, friendlyName=Open source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tt21161156|nm0910312|geraldine desai</x:v>
      </x:c>
      <x:c r="B407" s="14" t="str">
        <x:v>01</x:v>
      </x:c>
      <x:c r="C407" s="14" t="str">
        <x:v>2023_IMDb_Cast_Lists_Batch_01(2).xlsx</x:v>
      </x:c>
      <x:c r="D407" s="14" t="str">
        <x:v>Beyond Paradise</x:v>
      </x:c>
      <x:c r="E407" s="14" t="n">
        <x:v>89</x:v>
      </x:c>
      <x:c r="F407" s="14" t="str">
        <x:v>Beyond Paradise</x:v>
      </x:c>
      <x:c r="G407" s="14" t="str">
        <x:v>tt21161156</x:v>
      </x:c>
      <x:c r="H407" s="14" t="n">
        <x:v>2023</x:v>
      </x:c>
      <x:c r="I407" s="14" t="n">
        <x:v>2025</x:v>
      </x:c>
      <x:c r="J407" s="14" t="str">
        <x:v>Post-study cohort</x:v>
      </x:c>
      <x:c r="K407" s="14" t="n">
        <x:v>2023</x:v>
      </x:c>
      <x:c r="L407" s="14" t="str">
        <x:v>Not inherited</x:v>
      </x:c>
      <x:c r="M407" s="15" t="n">
        <x:v>82</x:v>
      </x:c>
      <x:c r="N407" s="14" t="str">
        <x:v>Melanie Walters</x:v>
      </x:c>
      <x:c r="O407" s="14" t="str">
        <x:v>nm0910312</x:v>
      </x:c>
      <x:c r="P407" s="14" t="str">
        <x:v>Geraldine Desai</x:v>
      </x:c>
      <x:c r="Q407" s="15" t="n">
        <x:v>1</x:v>
      </x:c>
      <x:c r="R407" s="14" t="str">
        <x:v>2026</x:v>
      </x:c>
      <x:c r="S407" s="14" t="n">
        <x:v>2026</x:v>
      </x:c>
      <x:c r="T407" s="14" t="n">
        <x:v>2026</x:v>
      </x:c>
      <x:c r="U407" s="14" t="str">
        <x:v>Explicit source first year retained</x:v>
      </x:c>
      <x:c r="V407" s="14" t="str">
        <x:v>Earliest supplied year is 2026.</x:v>
      </x:c>
      <x:c r="W407" s="14"/>
      <x:c r="X407" s="14" t="str">
        <x:v>Excluded: after 2025</x:v>
      </x:c>
      <x:c r="Y407" s="14"/>
      <x:c r="Z407" s="14" t="str">
        <x:v>Beyond Paradise.docx</x:v>
      </x:c>
      <x:c r="AA407" s="14" t="str">
        <x:v>HYPERLINK is not implemented. linkLocation=https://www.imdb.com/title/tt21161156/fullcredits/, friendlyName=Open source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BBC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7" t="e">
        <x:f>HYPERLINK("https://en.wikipedia.org/wiki/Beyond_Paradise","Open source")</x:f>
        <x:v>HYPERLINK is not implemented. linkLocation=https://en.wikipedia.org/wiki/Beyond_Paradise, friendlyName=Open source</x:v>
      </x:c>
      <x:c r="AN407" s="14" t="str">
        <x:v>BBC public-service commission</x:v>
      </x:c>
      <x:c r="AO407" s="14" t="str">
        <x:v>Yes</x:v>
      </x:c>
      <x:c r="AP407" s="14" t="str">
        <x:v>Direct BBC public-service scope</x:v>
      </x:c>
      <x:c r="AQ407" s="14" t="str">
        <x:v>Yes</x:v>
      </x:c>
      <x:c r="AR407" s="14" t="str">
        <x:v>Resolved from master register</x:v>
      </x:c>
      <x:c r="AS407" s="14" t="str">
        <x:v>No established-register match</x:v>
      </x:c>
      <x:c r="AT407" s="14"/>
      <x:c r="AU407" s="14"/>
      <x:c r="AV407" s="14" t="str">
        <x:v>No established apparent-disability match</x:v>
      </x:c>
      <x:c r="AW407" s="14"/>
      <x:c r="AX407" s="14" t="str">
        <x:v>No</x:v>
      </x:c>
      <x:c r="AY407" s="14" t="str">
        <x:v>Unmatched</x:v>
      </x:c>
      <x:c r="AZ407" s="14" t="str">
        <x:v>Final supplied register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27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0.037037037037037035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4" t="str">
        <x:v>HYPERLINK is not implemented. linkLocation=https://www.imdb.com/title/tt21161156/fullcredits/, friendlyName=Open source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tt21161156|nm1694775|alex</x:v>
      </x:c>
      <x:c r="B408" s="14" t="str">
        <x:v>01</x:v>
      </x:c>
      <x:c r="C408" s="14" t="str">
        <x:v>2023_IMDb_Cast_Lists_Batch_01(2).xlsx</x:v>
      </x:c>
      <x:c r="D408" s="14" t="str">
        <x:v>Beyond Paradise</x:v>
      </x:c>
      <x:c r="E408" s="14" t="n">
        <x:v>90</x:v>
      </x:c>
      <x:c r="F408" s="14" t="str">
        <x:v>Beyond Paradise</x:v>
      </x:c>
      <x:c r="G408" s="14" t="str">
        <x:v>tt21161156</x:v>
      </x:c>
      <x:c r="H408" s="14" t="n">
        <x:v>2023</x:v>
      </x:c>
      <x:c r="I408" s="14" t="n">
        <x:v>2025</x:v>
      </x:c>
      <x:c r="J408" s="14" t="str">
        <x:v>Post-study cohort</x:v>
      </x:c>
      <x:c r="K408" s="14" t="n">
        <x:v>2023</x:v>
      </x:c>
      <x:c r="L408" s="14" t="str">
        <x:v>Not inherited</x:v>
      </x:c>
      <x:c r="M408" s="15" t="n">
        <x:v>83</x:v>
      </x:c>
      <x:c r="N408" s="14" t="str">
        <x:v>Avita Jay</x:v>
      </x:c>
      <x:c r="O408" s="14" t="str">
        <x:v>nm1694775</x:v>
      </x:c>
      <x:c r="P408" s="14" t="str">
        <x:v>Alex</x:v>
      </x:c>
      <x:c r="Q408" s="15" t="n">
        <x:v>1</x:v>
      </x:c>
      <x:c r="R408" s="14" t="str">
        <x:v>2026</x:v>
      </x:c>
      <x:c r="S408" s="14" t="n">
        <x:v>2026</x:v>
      </x:c>
      <x:c r="T408" s="14" t="n">
        <x:v>2026</x:v>
      </x:c>
      <x:c r="U408" s="14" t="str">
        <x:v>Explicit source first year retained</x:v>
      </x:c>
      <x:c r="V408" s="14" t="str">
        <x:v>Earliest supplied year is 2026.</x:v>
      </x:c>
      <x:c r="W408" s="14"/>
      <x:c r="X408" s="14" t="str">
        <x:v>Excluded: after 2025</x:v>
      </x:c>
      <x:c r="Y408" s="14"/>
      <x:c r="Z408" s="14" t="str">
        <x:v>Beyond Paradise.docx</x:v>
      </x:c>
      <x:c r="AA408" s="14" t="str">
        <x:v>HYPERLINK is not implemented. linkLocation=https://www.imdb.com/title/tt21161156/fullcredits/, friendlyName=Open source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BBC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7" t="e">
        <x:f>HYPERLINK("https://en.wikipedia.org/wiki/Beyond_Paradise","Open source")</x:f>
        <x:v>HYPERLINK is not implemented. linkLocation=https://en.wikipedia.org/wiki/Beyond_Paradise, friendlyName=Open source</x:v>
      </x:c>
      <x:c r="AN408" s="14" t="str">
        <x:v>BBC public-service commission</x:v>
      </x:c>
      <x:c r="AO408" s="14" t="str">
        <x:v>Yes</x:v>
      </x:c>
      <x:c r="AP408" s="14" t="str">
        <x:v>Direct BBC public-service scope</x:v>
      </x:c>
      <x:c r="AQ408" s="14" t="str">
        <x:v>Yes</x:v>
      </x:c>
      <x:c r="AR408" s="14" t="str">
        <x:v>Resolved from master register</x:v>
      </x:c>
      <x:c r="AS408" s="14" t="str">
        <x:v>No established-register match</x:v>
      </x:c>
      <x:c r="AT408" s="14"/>
      <x:c r="AU408" s="14"/>
      <x:c r="AV408" s="14" t="str">
        <x:v>No established apparent-disability match</x:v>
      </x:c>
      <x:c r="AW408" s="14"/>
      <x:c r="AX408" s="14" t="str">
        <x:v>No</x:v>
      </x:c>
      <x:c r="AY408" s="14" t="str">
        <x:v>Unmatched</x:v>
      </x:c>
      <x:c r="AZ408" s="14" t="str">
        <x:v>Final supplied register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27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0.037037037037037035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4" t="str">
        <x:v>HYPERLINK is not implemented. linkLocation=https://www.imdb.com/title/tt21161156/fullcredits/, friendlyName=Open source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tt21161156|nm1276507|anthony westley</x:v>
      </x:c>
      <x:c r="B409" s="14" t="str">
        <x:v>01</x:v>
      </x:c>
      <x:c r="C409" s="14" t="str">
        <x:v>2023_IMDb_Cast_Lists_Batch_01(2).xlsx</x:v>
      </x:c>
      <x:c r="D409" s="14" t="str">
        <x:v>Beyond Paradise</x:v>
      </x:c>
      <x:c r="E409" s="14" t="n">
        <x:v>96</x:v>
      </x:c>
      <x:c r="F409" s="14" t="str">
        <x:v>Beyond Paradise</x:v>
      </x:c>
      <x:c r="G409" s="14" t="str">
        <x:v>tt21161156</x:v>
      </x:c>
      <x:c r="H409" s="14" t="n">
        <x:v>2023</x:v>
      </x:c>
      <x:c r="I409" s="14" t="n">
        <x:v>2025</x:v>
      </x:c>
      <x:c r="J409" s="14" t="str">
        <x:v>Post-study cohort</x:v>
      </x:c>
      <x:c r="K409" s="14" t="n">
        <x:v>2023</x:v>
      </x:c>
      <x:c r="L409" s="14" t="str">
        <x:v>Not inherited</x:v>
      </x:c>
      <x:c r="M409" s="15" t="n">
        <x:v>89</x:v>
      </x:c>
      <x:c r="N409" s="14" t="str">
        <x:v>Alex Macqueen</x:v>
      </x:c>
      <x:c r="O409" s="14" t="str">
        <x:v>nm1276507</x:v>
      </x:c>
      <x:c r="P409" s="14" t="str">
        <x:v>Anthony Westley</x:v>
      </x:c>
      <x:c r="Q409" s="15" t="n">
        <x:v>1</x:v>
      </x:c>
      <x:c r="R409" s="14" t="str">
        <x:v>2026</x:v>
      </x:c>
      <x:c r="S409" s="14" t="n">
        <x:v>2026</x:v>
      </x:c>
      <x:c r="T409" s="14" t="n">
        <x:v>2026</x:v>
      </x:c>
      <x:c r="U409" s="14" t="str">
        <x:v>Explicit source first year retained</x:v>
      </x:c>
      <x:c r="V409" s="14" t="str">
        <x:v>Earliest supplied year is 2026.</x:v>
      </x:c>
      <x:c r="W409" s="14"/>
      <x:c r="X409" s="14" t="str">
        <x:v>Excluded: after 2025</x:v>
      </x:c>
      <x:c r="Y409" s="14"/>
      <x:c r="Z409" s="14" t="str">
        <x:v>Beyond Paradise.docx</x:v>
      </x:c>
      <x:c r="AA409" s="14" t="str">
        <x:v>HYPERLINK is not implemented. linkLocation=https://www.imdb.com/title/tt21161156/fullcredits/, friendlyName=Open source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BBC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7" t="e">
        <x:f>HYPERLINK("https://en.wikipedia.org/wiki/Beyond_Paradise","Open source")</x:f>
        <x:v>HYPERLINK is not implemented. linkLocation=https://en.wikipedia.org/wiki/Beyond_Paradise, friendlyName=Open source</x:v>
      </x:c>
      <x:c r="AN409" s="14" t="str">
        <x:v>BBC public-service commission</x:v>
      </x:c>
      <x:c r="AO409" s="14" t="str">
        <x:v>Yes</x:v>
      </x:c>
      <x:c r="AP409" s="14" t="str">
        <x:v>Direct BBC public-service scope</x:v>
      </x:c>
      <x:c r="AQ409" s="14" t="str">
        <x:v>Yes</x:v>
      </x:c>
      <x:c r="AR409" s="14" t="str">
        <x:v>Resolved from master register</x:v>
      </x:c>
      <x:c r="AS409" s="14" t="str">
        <x:v>No established-register match</x:v>
      </x:c>
      <x:c r="AT409" s="14"/>
      <x:c r="AU409" s="14"/>
      <x:c r="AV409" s="14" t="str">
        <x:v>No established apparent-disability match</x:v>
      </x:c>
      <x:c r="AW409" s="14"/>
      <x:c r="AX409" s="14" t="str">
        <x:v>No</x:v>
      </x:c>
      <x:c r="AY409" s="14" t="str">
        <x:v>Unmatched</x:v>
      </x:c>
      <x:c r="AZ409" s="14" t="str">
        <x:v>Final supplied register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27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0.037037037037037035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4" t="str">
        <x:v>HYPERLINK is not implemented. linkLocation=https://www.imdb.com/title/tt21161156/fullcredits/, friendlyName=Open source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tt21161156|nm1544411|diana cooper</x:v>
      </x:c>
      <x:c r="B410" s="14" t="str">
        <x:v>01</x:v>
      </x:c>
      <x:c r="C410" s="14" t="str">
        <x:v>2023_IMDb_Cast_Lists_Batch_01(2).xlsx</x:v>
      </x:c>
      <x:c r="D410" s="14" t="str">
        <x:v>Beyond Paradise</x:v>
      </x:c>
      <x:c r="E410" s="14" t="n">
        <x:v>97</x:v>
      </x:c>
      <x:c r="F410" s="14" t="str">
        <x:v>Beyond Paradise</x:v>
      </x:c>
      <x:c r="G410" s="14" t="str">
        <x:v>tt21161156</x:v>
      </x:c>
      <x:c r="H410" s="14" t="n">
        <x:v>2023</x:v>
      </x:c>
      <x:c r="I410" s="14" t="n">
        <x:v>2025</x:v>
      </x:c>
      <x:c r="J410" s="14" t="str">
        <x:v>Post-study cohort</x:v>
      </x:c>
      <x:c r="K410" s="14" t="n">
        <x:v>2023</x:v>
      </x:c>
      <x:c r="L410" s="14" t="str">
        <x:v>Not inherited</x:v>
      </x:c>
      <x:c r="M410" s="15" t="n">
        <x:v>90</x:v>
      </x:c>
      <x:c r="N410" s="14" t="str">
        <x:v>Rina Mahoney</x:v>
      </x:c>
      <x:c r="O410" s="14" t="str">
        <x:v>nm1544411</x:v>
      </x:c>
      <x:c r="P410" s="14" t="str">
        <x:v>Diana Cooper</x:v>
      </x:c>
      <x:c r="Q410" s="15" t="n">
        <x:v>1</x:v>
      </x:c>
      <x:c r="R410" s="14" t="str">
        <x:v>2026</x:v>
      </x:c>
      <x:c r="S410" s="14" t="n">
        <x:v>2026</x:v>
      </x:c>
      <x:c r="T410" s="14" t="n">
        <x:v>2026</x:v>
      </x:c>
      <x:c r="U410" s="14" t="str">
        <x:v>Explicit source first year retained</x:v>
      </x:c>
      <x:c r="V410" s="14" t="str">
        <x:v>Earliest supplied year is 2026.</x:v>
      </x:c>
      <x:c r="W410" s="14"/>
      <x:c r="X410" s="14" t="str">
        <x:v>Excluded: after 2025</x:v>
      </x:c>
      <x:c r="Y410" s="14"/>
      <x:c r="Z410" s="14" t="str">
        <x:v>Beyond Paradise.docx</x:v>
      </x:c>
      <x:c r="AA410" s="14" t="str">
        <x:v>HYPERLINK is not implemented. linkLocation=https://www.imdb.com/title/tt21161156/fullcredits/, friendlyName=Open source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BBC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7" t="e">
        <x:f>HYPERLINK("https://en.wikipedia.org/wiki/Beyond_Paradise","Open source")</x:f>
        <x:v>HYPERLINK is not implemented. linkLocation=https://en.wikipedia.org/wiki/Beyond_Paradise, friendlyName=Open source</x:v>
      </x:c>
      <x:c r="AN410" s="14" t="str">
        <x:v>BBC public-service commission</x:v>
      </x:c>
      <x:c r="AO410" s="14" t="str">
        <x:v>Yes</x:v>
      </x:c>
      <x:c r="AP410" s="14" t="str">
        <x:v>Direct BBC public-service scope</x:v>
      </x:c>
      <x:c r="AQ410" s="14" t="str">
        <x:v>Yes</x:v>
      </x:c>
      <x:c r="AR410" s="14" t="str">
        <x:v>Resolved from master register</x:v>
      </x:c>
      <x:c r="AS410" s="14" t="str">
        <x:v>No established-register match</x:v>
      </x:c>
      <x:c r="AT410" s="14"/>
      <x:c r="AU410" s="14"/>
      <x:c r="AV410" s="14" t="str">
        <x:v>No established apparent-disability match</x:v>
      </x:c>
      <x:c r="AW410" s="14"/>
      <x:c r="AX410" s="14" t="str">
        <x:v>No</x:v>
      </x:c>
      <x:c r="AY410" s="14" t="str">
        <x:v>Unmatched</x:v>
      </x:c>
      <x:c r="AZ410" s="14" t="str">
        <x:v>Final supplied register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27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0.037037037037037035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4" t="str">
        <x:v>HYPERLINK is not implemented. linkLocation=https://www.imdb.com/title/tt21161156/fullcredits/, friendlyName=Open source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tt21161156|nm1528713|janice</x:v>
      </x:c>
      <x:c r="B411" s="14" t="str">
        <x:v>01</x:v>
      </x:c>
      <x:c r="C411" s="14" t="str">
        <x:v>2023_IMDb_Cast_Lists_Batch_01(2).xlsx</x:v>
      </x:c>
      <x:c r="D411" s="14" t="str">
        <x:v>Beyond Paradise</x:v>
      </x:c>
      <x:c r="E411" s="14" t="n">
        <x:v>98</x:v>
      </x:c>
      <x:c r="F411" s="14" t="str">
        <x:v>Beyond Paradise</x:v>
      </x:c>
      <x:c r="G411" s="14" t="str">
        <x:v>tt21161156</x:v>
      </x:c>
      <x:c r="H411" s="14" t="n">
        <x:v>2023</x:v>
      </x:c>
      <x:c r="I411" s="14" t="n">
        <x:v>2025</x:v>
      </x:c>
      <x:c r="J411" s="14" t="str">
        <x:v>Post-study cohort</x:v>
      </x:c>
      <x:c r="K411" s="14" t="n">
        <x:v>2023</x:v>
      </x:c>
      <x:c r="L411" s="14" t="str">
        <x:v>Not inherited</x:v>
      </x:c>
      <x:c r="M411" s="15" t="n">
        <x:v>91</x:v>
      </x:c>
      <x:c r="N411" s="14" t="str">
        <x:v>Yasmin Wilde</x:v>
      </x:c>
      <x:c r="O411" s="14" t="str">
        <x:v>nm1528713</x:v>
      </x:c>
      <x:c r="P411" s="14" t="str">
        <x:v>Janice</x:v>
      </x:c>
      <x:c r="Q411" s="15" t="n">
        <x:v>1</x:v>
      </x:c>
      <x:c r="R411" s="14" t="str">
        <x:v>2026</x:v>
      </x:c>
      <x:c r="S411" s="14" t="n">
        <x:v>2026</x:v>
      </x:c>
      <x:c r="T411" s="14" t="n">
        <x:v>2026</x:v>
      </x:c>
      <x:c r="U411" s="14" t="str">
        <x:v>Explicit source first year retained</x:v>
      </x:c>
      <x:c r="V411" s="14" t="str">
        <x:v>Earliest supplied year is 2026.</x:v>
      </x:c>
      <x:c r="W411" s="14"/>
      <x:c r="X411" s="14" t="str">
        <x:v>Excluded: after 2025</x:v>
      </x:c>
      <x:c r="Y411" s="14"/>
      <x:c r="Z411" s="14" t="str">
        <x:v>Beyond Paradise.docx</x:v>
      </x:c>
      <x:c r="AA411" s="14" t="str">
        <x:v>HYPERLINK is not implemented. linkLocation=https://www.imdb.com/title/tt21161156/fullcredits/, friendlyName=Open source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BBC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7" t="e">
        <x:f>HYPERLINK("https://en.wikipedia.org/wiki/Beyond_Paradise","Open source")</x:f>
        <x:v>HYPERLINK is not implemented. linkLocation=https://en.wikipedia.org/wiki/Beyond_Paradise, friendlyName=Open source</x:v>
      </x:c>
      <x:c r="AN411" s="14" t="str">
        <x:v>BBC public-service commission</x:v>
      </x:c>
      <x:c r="AO411" s="14" t="str">
        <x:v>Yes</x:v>
      </x:c>
      <x:c r="AP411" s="14" t="str">
        <x:v>Direct BBC public-service scope</x:v>
      </x:c>
      <x:c r="AQ411" s="14" t="str">
        <x:v>Yes</x:v>
      </x:c>
      <x:c r="AR411" s="14" t="str">
        <x:v>Resolved from master register</x:v>
      </x:c>
      <x:c r="AS411" s="14" t="str">
        <x:v>No established-register match</x:v>
      </x:c>
      <x:c r="AT411" s="14"/>
      <x:c r="AU411" s="14"/>
      <x:c r="AV411" s="14" t="str">
        <x:v>No established apparent-disability match</x:v>
      </x:c>
      <x:c r="AW411" s="14"/>
      <x:c r="AX411" s="14" t="str">
        <x:v>No</x:v>
      </x:c>
      <x:c r="AY411" s="14" t="str">
        <x:v>Unmatched</x:v>
      </x:c>
      <x:c r="AZ411" s="14" t="str">
        <x:v>Final supplied register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27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0.037037037037037035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4" t="str">
        <x:v>HYPERLINK is not implemented. linkLocation=https://www.imdb.com/title/tt21161156/fullcredits/, friendlyName=Open source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tt21161156|nm0171674|edmund</x:v>
      </x:c>
      <x:c r="B412" s="14" t="str">
        <x:v>01</x:v>
      </x:c>
      <x:c r="C412" s="14" t="str">
        <x:v>2023_IMDb_Cast_Lists_Batch_01(2).xlsx</x:v>
      </x:c>
      <x:c r="D412" s="14" t="str">
        <x:v>Beyond Paradise</x:v>
      </x:c>
      <x:c r="E412" s="14" t="n">
        <x:v>108</x:v>
      </x:c>
      <x:c r="F412" s="14" t="str">
        <x:v>Beyond Paradise</x:v>
      </x:c>
      <x:c r="G412" s="14" t="str">
        <x:v>tt21161156</x:v>
      </x:c>
      <x:c r="H412" s="14" t="n">
        <x:v>2023</x:v>
      </x:c>
      <x:c r="I412" s="14" t="n">
        <x:v>2025</x:v>
      </x:c>
      <x:c r="J412" s="14" t="str">
        <x:v>Post-study cohort</x:v>
      </x:c>
      <x:c r="K412" s="14" t="n">
        <x:v>2023</x:v>
      </x:c>
      <x:c r="L412" s="14" t="str">
        <x:v>Not inherited</x:v>
      </x:c>
      <x:c r="M412" s="15" t="n">
        <x:v>101</x:v>
      </x:c>
      <x:c r="N412" s="14" t="str">
        <x:v>Kenneth Collard</x:v>
      </x:c>
      <x:c r="O412" s="14" t="str">
        <x:v>nm0171674</x:v>
      </x:c>
      <x:c r="P412" s="14" t="str">
        <x:v>Edmund</x:v>
      </x:c>
      <x:c r="Q412" s="15" t="n">
        <x:v>1</x:v>
      </x:c>
      <x:c r="R412" s="14" t="str">
        <x:v>2026</x:v>
      </x:c>
      <x:c r="S412" s="14" t="n">
        <x:v>2026</x:v>
      </x:c>
      <x:c r="T412" s="14" t="n">
        <x:v>2026</x:v>
      </x:c>
      <x:c r="U412" s="14" t="str">
        <x:v>Explicit source first year retained</x:v>
      </x:c>
      <x:c r="V412" s="14" t="str">
        <x:v>Earliest supplied year is 2026.</x:v>
      </x:c>
      <x:c r="W412" s="14"/>
      <x:c r="X412" s="14" t="str">
        <x:v>Excluded: after 2025</x:v>
      </x:c>
      <x:c r="Y412" s="14"/>
      <x:c r="Z412" s="14" t="str">
        <x:v>Beyond Paradise.docx</x:v>
      </x:c>
      <x:c r="AA412" s="14" t="str">
        <x:v>HYPERLINK is not implemented. linkLocation=https://www.imdb.com/title/tt21161156/fullcredits/, friendlyName=Open source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BBC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7" t="e">
        <x:f>HYPERLINK("https://en.wikipedia.org/wiki/Beyond_Paradise","Open source")</x:f>
        <x:v>HYPERLINK is not implemented. linkLocation=https://en.wikipedia.org/wiki/Beyond_Paradise, friendlyName=Open source</x:v>
      </x:c>
      <x:c r="AN412" s="14" t="str">
        <x:v>BBC public-service commission</x:v>
      </x:c>
      <x:c r="AO412" s="14" t="str">
        <x:v>Yes</x:v>
      </x:c>
      <x:c r="AP412" s="14" t="str">
        <x:v>Direct BBC public-service scope</x:v>
      </x:c>
      <x:c r="AQ412" s="14" t="str">
        <x:v>Yes</x:v>
      </x:c>
      <x:c r="AR412" s="14" t="str">
        <x:v>Resolved from master register</x:v>
      </x:c>
      <x:c r="AS412" s="14" t="str">
        <x:v>No established-register match</x:v>
      </x:c>
      <x:c r="AT412" s="14"/>
      <x:c r="AU412" s="14"/>
      <x:c r="AV412" s="14" t="str">
        <x:v>No established apparent-disability match</x:v>
      </x:c>
      <x:c r="AW412" s="14"/>
      <x:c r="AX412" s="14" t="str">
        <x:v>No</x:v>
      </x:c>
      <x:c r="AY412" s="14" t="str">
        <x:v>Unmatched</x:v>
      </x:c>
      <x:c r="AZ412" s="14" t="str">
        <x:v>Final supplied register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27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0.037037037037037035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4" t="str">
        <x:v>HYPERLINK is not implemented. linkLocation=https://www.imdb.com/title/tt21161156/fullcredits/, friendlyName=Open source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tt21161156|nm0836435|dr. clive harris</x:v>
      </x:c>
      <x:c r="B413" s="14" t="str">
        <x:v>01</x:v>
      </x:c>
      <x:c r="C413" s="14" t="str">
        <x:v>2023_IMDb_Cast_Lists_Batch_01(2).xlsx</x:v>
      </x:c>
      <x:c r="D413" s="14" t="str">
        <x:v>Beyond Paradise</x:v>
      </x:c>
      <x:c r="E413" s="14" t="n">
        <x:v>109</x:v>
      </x:c>
      <x:c r="F413" s="14" t="str">
        <x:v>Beyond Paradise</x:v>
      </x:c>
      <x:c r="G413" s="14" t="str">
        <x:v>tt21161156</x:v>
      </x:c>
      <x:c r="H413" s="14" t="n">
        <x:v>2023</x:v>
      </x:c>
      <x:c r="I413" s="14" t="n">
        <x:v>2025</x:v>
      </x:c>
      <x:c r="J413" s="14" t="str">
        <x:v>Post-study cohort</x:v>
      </x:c>
      <x:c r="K413" s="14" t="n">
        <x:v>2023</x:v>
      </x:c>
      <x:c r="L413" s="14" t="str">
        <x:v>Not inherited</x:v>
      </x:c>
      <x:c r="M413" s="15" t="n">
        <x:v>102</x:v>
      </x:c>
      <x:c r="N413" s="14" t="str">
        <x:v>Tristan Sturrock</x:v>
      </x:c>
      <x:c r="O413" s="14" t="str">
        <x:v>nm0836435</x:v>
      </x:c>
      <x:c r="P413" s="14" t="str">
        <x:v>Dr. Clive Harris</x:v>
      </x:c>
      <x:c r="Q413" s="15" t="n">
        <x:v>1</x:v>
      </x:c>
      <x:c r="R413" s="14" t="str">
        <x:v>2026</x:v>
      </x:c>
      <x:c r="S413" s="14" t="n">
        <x:v>2026</x:v>
      </x:c>
      <x:c r="T413" s="14" t="n">
        <x:v>2026</x:v>
      </x:c>
      <x:c r="U413" s="14" t="str">
        <x:v>Explicit source first year retained</x:v>
      </x:c>
      <x:c r="V413" s="14" t="str">
        <x:v>Earliest supplied year is 2026.</x:v>
      </x:c>
      <x:c r="W413" s="14"/>
      <x:c r="X413" s="14" t="str">
        <x:v>Excluded: after 2025</x:v>
      </x:c>
      <x:c r="Y413" s="14"/>
      <x:c r="Z413" s="14" t="str">
        <x:v>Beyond Paradise.docx</x:v>
      </x:c>
      <x:c r="AA413" s="14" t="str">
        <x:v>HYPERLINK is not implemented. linkLocation=https://www.imdb.com/title/tt21161156/fullcredits/, friendlyName=Open source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BBC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7" t="e">
        <x:f>HYPERLINK("https://en.wikipedia.org/wiki/Beyond_Paradise","Open source")</x:f>
        <x:v>HYPERLINK is not implemented. linkLocation=https://en.wikipedia.org/wiki/Beyond_Paradise, friendlyName=Open source</x:v>
      </x:c>
      <x:c r="AN413" s="14" t="str">
        <x:v>BBC public-service commission</x:v>
      </x:c>
      <x:c r="AO413" s="14" t="str">
        <x:v>Yes</x:v>
      </x:c>
      <x:c r="AP413" s="14" t="str">
        <x:v>Direct BBC public-service scope</x:v>
      </x:c>
      <x:c r="AQ413" s="14" t="str">
        <x:v>Yes</x:v>
      </x:c>
      <x:c r="AR413" s="14" t="str">
        <x:v>Resolved from master register</x:v>
      </x:c>
      <x:c r="AS413" s="14" t="str">
        <x:v>No established-register match</x:v>
      </x:c>
      <x:c r="AT413" s="14"/>
      <x:c r="AU413" s="14"/>
      <x:c r="AV413" s="14" t="str">
        <x:v>No established apparent-disability match</x:v>
      </x:c>
      <x:c r="AW413" s="14"/>
      <x:c r="AX413" s="14" t="str">
        <x:v>No</x:v>
      </x:c>
      <x:c r="AY413" s="14" t="str">
        <x:v>Unmatched</x:v>
      </x:c>
      <x:c r="AZ413" s="14" t="str">
        <x:v>Final supplied register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27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0.037037037037037035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4" t="str">
        <x:v>HYPERLINK is not implemented. linkLocation=https://www.imdb.com/title/tt21161156/fullcredits/, friendlyName=Open source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tt21161156|nm0545324|bethan hughes</x:v>
      </x:c>
      <x:c r="B414" s="14" t="str">
        <x:v>01</x:v>
      </x:c>
      <x:c r="C414" s="14" t="str">
        <x:v>2023_IMDb_Cast_Lists_Batch_01(2).xlsx</x:v>
      </x:c>
      <x:c r="D414" s="14" t="str">
        <x:v>Beyond Paradise</x:v>
      </x:c>
      <x:c r="E414" s="14" t="n">
        <x:v>110</x:v>
      </x:c>
      <x:c r="F414" s="14" t="str">
        <x:v>Beyond Paradise</x:v>
      </x:c>
      <x:c r="G414" s="14" t="str">
        <x:v>tt21161156</x:v>
      </x:c>
      <x:c r="H414" s="14" t="n">
        <x:v>2023</x:v>
      </x:c>
      <x:c r="I414" s="14" t="n">
        <x:v>2025</x:v>
      </x:c>
      <x:c r="J414" s="14" t="str">
        <x:v>Post-study cohort</x:v>
      </x:c>
      <x:c r="K414" s="14" t="n">
        <x:v>2023</x:v>
      </x:c>
      <x:c r="L414" s="14" t="str">
        <x:v>Not inherited</x:v>
      </x:c>
      <x:c r="M414" s="15" t="n">
        <x:v>103</x:v>
      </x:c>
      <x:c r="N414" s="14" t="str">
        <x:v>Nimmy March</x:v>
      </x:c>
      <x:c r="O414" s="14" t="str">
        <x:v>nm0545324</x:v>
      </x:c>
      <x:c r="P414" s="14" t="str">
        <x:v>Bethan Hughes</x:v>
      </x:c>
      <x:c r="Q414" s="15" t="n">
        <x:v>1</x:v>
      </x:c>
      <x:c r="R414" s="14" t="str">
        <x:v>2026</x:v>
      </x:c>
      <x:c r="S414" s="14" t="n">
        <x:v>2026</x:v>
      </x:c>
      <x:c r="T414" s="14" t="n">
        <x:v>2026</x:v>
      </x:c>
      <x:c r="U414" s="14" t="str">
        <x:v>Explicit source first year retained</x:v>
      </x:c>
      <x:c r="V414" s="14" t="str">
        <x:v>Earliest supplied year is 2026.</x:v>
      </x:c>
      <x:c r="W414" s="14"/>
      <x:c r="X414" s="14" t="str">
        <x:v>Excluded: after 2025</x:v>
      </x:c>
      <x:c r="Y414" s="14"/>
      <x:c r="Z414" s="14" t="str">
        <x:v>Beyond Paradise.docx</x:v>
      </x:c>
      <x:c r="AA414" s="14" t="str">
        <x:v>HYPERLINK is not implemented. linkLocation=https://www.imdb.com/title/tt21161156/fullcredits/, friendlyName=Open source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BBC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7" t="e">
        <x:f>HYPERLINK("https://en.wikipedia.org/wiki/Beyond_Paradise","Open source")</x:f>
        <x:v>HYPERLINK is not implemented. linkLocation=https://en.wikipedia.org/wiki/Beyond_Paradise, friendlyName=Open source</x:v>
      </x:c>
      <x:c r="AN414" s="14" t="str">
        <x:v>BBC public-service commission</x:v>
      </x:c>
      <x:c r="AO414" s="14" t="str">
        <x:v>Yes</x:v>
      </x:c>
      <x:c r="AP414" s="14" t="str">
        <x:v>Direct BBC public-service scope</x:v>
      </x:c>
      <x:c r="AQ414" s="14" t="str">
        <x:v>Yes</x:v>
      </x:c>
      <x:c r="AR414" s="14" t="str">
        <x:v>Resolved from master register</x:v>
      </x:c>
      <x:c r="AS414" s="14" t="str">
        <x:v>No established-register match</x:v>
      </x:c>
      <x:c r="AT414" s="14"/>
      <x:c r="AU414" s="14"/>
      <x:c r="AV414" s="14" t="str">
        <x:v>No established apparent-disability match</x:v>
      </x:c>
      <x:c r="AW414" s="14"/>
      <x:c r="AX414" s="14" t="str">
        <x:v>No</x:v>
      </x:c>
      <x:c r="AY414" s="14" t="str">
        <x:v>Unmatched</x:v>
      </x:c>
      <x:c r="AZ414" s="14" t="str">
        <x:v>Final supplied register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27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0.037037037037037035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4" t="str">
        <x:v>HYPERLINK is not implemented. linkLocation=https://www.imdb.com/title/tt21161156/fullcredits/, friendlyName=Open source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tt21161156|nm0760235|sanjeev &amp; dev desai</x:v>
      </x:c>
      <x:c r="B415" s="14" t="str">
        <x:v>01</x:v>
      </x:c>
      <x:c r="C415" s="14" t="str">
        <x:v>2023_IMDb_Cast_Lists_Batch_01(2).xlsx</x:v>
      </x:c>
      <x:c r="D415" s="14" t="str">
        <x:v>Beyond Paradise</x:v>
      </x:c>
      <x:c r="E415" s="14" t="n">
        <x:v>111</x:v>
      </x:c>
      <x:c r="F415" s="14" t="str">
        <x:v>Beyond Paradise</x:v>
      </x:c>
      <x:c r="G415" s="14" t="str">
        <x:v>tt21161156</x:v>
      </x:c>
      <x:c r="H415" s="14" t="n">
        <x:v>2023</x:v>
      </x:c>
      <x:c r="I415" s="14" t="n">
        <x:v>2025</x:v>
      </x:c>
      <x:c r="J415" s="14" t="str">
        <x:v>Post-study cohort</x:v>
      </x:c>
      <x:c r="K415" s="14" t="n">
        <x:v>2023</x:v>
      </x:c>
      <x:c r="L415" s="14" t="str">
        <x:v>Not inherited</x:v>
      </x:c>
      <x:c r="M415" s="15" t="n">
        <x:v>104</x:v>
      </x:c>
      <x:c r="N415" s="14" t="str">
        <x:v>Narinder Samra</x:v>
      </x:c>
      <x:c r="O415" s="14" t="str">
        <x:v>nm0760235</x:v>
      </x:c>
      <x:c r="P415" s="14" t="str">
        <x:v>Sanjeev &amp; Dev Desai</x:v>
      </x:c>
      <x:c r="Q415" s="15" t="n">
        <x:v>1</x:v>
      </x:c>
      <x:c r="R415" s="14" t="str">
        <x:v>2026</x:v>
      </x:c>
      <x:c r="S415" s="14" t="n">
        <x:v>2026</x:v>
      </x:c>
      <x:c r="T415" s="14" t="n">
        <x:v>2026</x:v>
      </x:c>
      <x:c r="U415" s="14" t="str">
        <x:v>Explicit source first year retained</x:v>
      </x:c>
      <x:c r="V415" s="14" t="str">
        <x:v>Earliest supplied year is 2026.</x:v>
      </x:c>
      <x:c r="W415" s="14"/>
      <x:c r="X415" s="14" t="str">
        <x:v>Excluded: after 2025</x:v>
      </x:c>
      <x:c r="Y415" s="14"/>
      <x:c r="Z415" s="14" t="str">
        <x:v>Beyond Paradise.docx</x:v>
      </x:c>
      <x:c r="AA415" s="14" t="str">
        <x:v>HYPERLINK is not implemented. linkLocation=https://www.imdb.com/title/tt21161156/fullcredits/, friendlyName=Open source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BBC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7" t="e">
        <x:f>HYPERLINK("https://en.wikipedia.org/wiki/Beyond_Paradise","Open source")</x:f>
        <x:v>HYPERLINK is not implemented. linkLocation=https://en.wikipedia.org/wiki/Beyond_Paradise, friendlyName=Open source</x:v>
      </x:c>
      <x:c r="AN415" s="14" t="str">
        <x:v>BBC public-service commission</x:v>
      </x:c>
      <x:c r="AO415" s="14" t="str">
        <x:v>Yes</x:v>
      </x:c>
      <x:c r="AP415" s="14" t="str">
        <x:v>Direct BBC public-service scope</x:v>
      </x:c>
      <x:c r="AQ415" s="14" t="str">
        <x:v>Yes</x:v>
      </x:c>
      <x:c r="AR415" s="14" t="str">
        <x:v>Resolved from master register</x:v>
      </x:c>
      <x:c r="AS415" s="14" t="str">
        <x:v>No established-register match</x:v>
      </x:c>
      <x:c r="AT415" s="14"/>
      <x:c r="AU415" s="14"/>
      <x:c r="AV415" s="14" t="str">
        <x:v>No established apparent-disability match</x:v>
      </x:c>
      <x:c r="AW415" s="14"/>
      <x:c r="AX415" s="14" t="str">
        <x:v>No</x:v>
      </x:c>
      <x:c r="AY415" s="14" t="str">
        <x:v>Unmatched</x:v>
      </x:c>
      <x:c r="AZ415" s="14" t="str">
        <x:v>Final supplied register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27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0.037037037037037035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4" t="str">
        <x:v>HYPERLINK is not implemented. linkLocation=https://www.imdb.com/title/tt21161156/fullcredits/, friendlyName=Open source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tt21161156|nm3921627|lee outram</x:v>
      </x:c>
      <x:c r="B416" s="14" t="str">
        <x:v>01</x:v>
      </x:c>
      <x:c r="C416" s="14" t="str">
        <x:v>2023_IMDb_Cast_Lists_Batch_01(2).xlsx</x:v>
      </x:c>
      <x:c r="D416" s="14" t="str">
        <x:v>Beyond Paradise</x:v>
      </x:c>
      <x:c r="E416" s="14" t="n">
        <x:v>123</x:v>
      </x:c>
      <x:c r="F416" s="14" t="str">
        <x:v>Beyond Paradise</x:v>
      </x:c>
      <x:c r="G416" s="14" t="str">
        <x:v>tt21161156</x:v>
      </x:c>
      <x:c r="H416" s="14" t="n">
        <x:v>2023</x:v>
      </x:c>
      <x:c r="I416" s="14" t="n">
        <x:v>2025</x:v>
      </x:c>
      <x:c r="J416" s="14" t="str">
        <x:v>Post-study cohort</x:v>
      </x:c>
      <x:c r="K416" s="14" t="n">
        <x:v>2023</x:v>
      </x:c>
      <x:c r="L416" s="14" t="str">
        <x:v>Not inherited</x:v>
      </x:c>
      <x:c r="M416" s="15" t="n">
        <x:v>116</x:v>
      </x:c>
      <x:c r="N416" s="14" t="str">
        <x:v>James Clay</x:v>
      </x:c>
      <x:c r="O416" s="14" t="str">
        <x:v>nm3921627</x:v>
      </x:c>
      <x:c r="P416" s="14" t="str">
        <x:v>Lee Outram</x:v>
      </x:c>
      <x:c r="Q416" s="15" t="n">
        <x:v>1</x:v>
      </x:c>
      <x:c r="R416" s="14" t="str">
        <x:v>2026</x:v>
      </x:c>
      <x:c r="S416" s="14" t="n">
        <x:v>2026</x:v>
      </x:c>
      <x:c r="T416" s="14" t="n">
        <x:v>2026</x:v>
      </x:c>
      <x:c r="U416" s="14" t="str">
        <x:v>Explicit source first year retained</x:v>
      </x:c>
      <x:c r="V416" s="14" t="str">
        <x:v>Earliest supplied year is 2026.</x:v>
      </x:c>
      <x:c r="W416" s="14"/>
      <x:c r="X416" s="14" t="str">
        <x:v>Excluded: after 2025</x:v>
      </x:c>
      <x:c r="Y416" s="14"/>
      <x:c r="Z416" s="14" t="str">
        <x:v>Beyond Paradise.docx</x:v>
      </x:c>
      <x:c r="AA416" s="14" t="str">
        <x:v>HYPERLINK is not implemented. linkLocation=https://www.imdb.com/title/tt21161156/fullcredits/, friendlyName=Open source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BBC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7" t="e">
        <x:f>HYPERLINK("https://en.wikipedia.org/wiki/Beyond_Paradise","Open source")</x:f>
        <x:v>HYPERLINK is not implemented. linkLocation=https://en.wikipedia.org/wiki/Beyond_Paradise, friendlyName=Open source</x:v>
      </x:c>
      <x:c r="AN416" s="14" t="str">
        <x:v>BBC public-service commission</x:v>
      </x:c>
      <x:c r="AO416" s="14" t="str">
        <x:v>Yes</x:v>
      </x:c>
      <x:c r="AP416" s="14" t="str">
        <x:v>Direct BBC public-service scope</x:v>
      </x:c>
      <x:c r="AQ416" s="14" t="str">
        <x:v>Yes</x:v>
      </x:c>
      <x:c r="AR416" s="14" t="str">
        <x:v>Resolved from master register</x:v>
      </x:c>
      <x:c r="AS416" s="14" t="str">
        <x:v>No established-register match</x:v>
      </x:c>
      <x:c r="AT416" s="14"/>
      <x:c r="AU416" s="14"/>
      <x:c r="AV416" s="14" t="str">
        <x:v>No established apparent-disability match</x:v>
      </x:c>
      <x:c r="AW416" s="14"/>
      <x:c r="AX416" s="14" t="str">
        <x:v>No</x:v>
      </x:c>
      <x:c r="AY416" s="14" t="str">
        <x:v>Unmatched</x:v>
      </x:c>
      <x:c r="AZ416" s="14" t="str">
        <x:v>Final supplied register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27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0.037037037037037035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4" t="str">
        <x:v>HYPERLINK is not implemented. linkLocation=https://www.imdb.com/title/tt21161156/fullcredits/, friendlyName=Open source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tt21161156|nm18377303|lacy dingleby</x:v>
      </x:c>
      <x:c r="B417" s="14" t="str">
        <x:v>01</x:v>
      </x:c>
      <x:c r="C417" s="14" t="str">
        <x:v>2023_IMDb_Cast_Lists_Batch_01(2).xlsx</x:v>
      </x:c>
      <x:c r="D417" s="14" t="str">
        <x:v>Beyond Paradise</x:v>
      </x:c>
      <x:c r="E417" s="14" t="n">
        <x:v>124</x:v>
      </x:c>
      <x:c r="F417" s="14" t="str">
        <x:v>Beyond Paradise</x:v>
      </x:c>
      <x:c r="G417" s="14" t="str">
        <x:v>tt21161156</x:v>
      </x:c>
      <x:c r="H417" s="14" t="n">
        <x:v>2023</x:v>
      </x:c>
      <x:c r="I417" s="14" t="n">
        <x:v>2025</x:v>
      </x:c>
      <x:c r="J417" s="14" t="str">
        <x:v>Post-study cohort</x:v>
      </x:c>
      <x:c r="K417" s="14" t="n">
        <x:v>2023</x:v>
      </x:c>
      <x:c r="L417" s="14" t="str">
        <x:v>Not inherited</x:v>
      </x:c>
      <x:c r="M417" s="15" t="n">
        <x:v>117</x:v>
      </x:c>
      <x:c r="N417" s="14" t="str">
        <x:v>Talia Robens</x:v>
      </x:c>
      <x:c r="O417" s="14" t="str">
        <x:v>nm18377303</x:v>
      </x:c>
      <x:c r="P417" s="14" t="str">
        <x:v>Lacy Dingleby</x:v>
      </x:c>
      <x:c r="Q417" s="15" t="n">
        <x:v>1</x:v>
      </x:c>
      <x:c r="R417" s="14" t="str">
        <x:v>2026</x:v>
      </x:c>
      <x:c r="S417" s="14" t="n">
        <x:v>2026</x:v>
      </x:c>
      <x:c r="T417" s="14" t="n">
        <x:v>2026</x:v>
      </x:c>
      <x:c r="U417" s="14" t="str">
        <x:v>Explicit source first year retained</x:v>
      </x:c>
      <x:c r="V417" s="14" t="str">
        <x:v>Earliest supplied year is 2026.</x:v>
      </x:c>
      <x:c r="W417" s="14"/>
      <x:c r="X417" s="14" t="str">
        <x:v>Excluded: after 2025</x:v>
      </x:c>
      <x:c r="Y417" s="14"/>
      <x:c r="Z417" s="14" t="str">
        <x:v>Beyond Paradise.docx</x:v>
      </x:c>
      <x:c r="AA417" s="14" t="str">
        <x:v>HYPERLINK is not implemented. linkLocation=https://www.imdb.com/title/tt21161156/fullcredits/, friendlyName=Open source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BBC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7" t="e">
        <x:f>HYPERLINK("https://en.wikipedia.org/wiki/Beyond_Paradise","Open source")</x:f>
        <x:v>HYPERLINK is not implemented. linkLocation=https://en.wikipedia.org/wiki/Beyond_Paradise, friendlyName=Open source</x:v>
      </x:c>
      <x:c r="AN417" s="14" t="str">
        <x:v>BBC public-service commission</x:v>
      </x:c>
      <x:c r="AO417" s="14" t="str">
        <x:v>Yes</x:v>
      </x:c>
      <x:c r="AP417" s="14" t="str">
        <x:v>Direct BBC public-service scope</x:v>
      </x:c>
      <x:c r="AQ417" s="14" t="str">
        <x:v>Yes</x:v>
      </x:c>
      <x:c r="AR417" s="14" t="str">
        <x:v>Resolved from master register</x:v>
      </x:c>
      <x:c r="AS417" s="14" t="str">
        <x:v>No established-register match</x:v>
      </x:c>
      <x:c r="AT417" s="14"/>
      <x:c r="AU417" s="14"/>
      <x:c r="AV417" s="14" t="str">
        <x:v>No established apparent-disability match</x:v>
      </x:c>
      <x:c r="AW417" s="14"/>
      <x:c r="AX417" s="14" t="str">
        <x:v>No</x:v>
      </x:c>
      <x:c r="AY417" s="14" t="str">
        <x:v>Unmatched</x:v>
      </x:c>
      <x:c r="AZ417" s="14" t="str">
        <x:v>Final supplied register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27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1</x:v>
      </x:c>
      <x:c r="BS417" s="16" t="n">
        <x:v>0.037037037037037035</x:v>
      </x:c>
      <x:c r="BT417" s="14" t="str">
        <x:v>One episode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4" t="str">
        <x:v>HYPERLINK is not implemented. linkLocation=https://www.imdb.com/title/tt21161156/fullcredits/, friendlyName=Open source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tt21161156|nm0001265|dr. mary rhodes</x:v>
      </x:c>
      <x:c r="B418" s="14" t="str">
        <x:v>01</x:v>
      </x:c>
      <x:c r="C418" s="14" t="str">
        <x:v>2023_IMDb_Cast_Lists_Batch_01(2).xlsx</x:v>
      </x:c>
      <x:c r="D418" s="14" t="str">
        <x:v>Beyond Paradise</x:v>
      </x:c>
      <x:c r="E418" s="14" t="n">
        <x:v>134</x:v>
      </x:c>
      <x:c r="F418" s="14" t="str">
        <x:v>Beyond Paradise</x:v>
      </x:c>
      <x:c r="G418" s="14" t="str">
        <x:v>tt21161156</x:v>
      </x:c>
      <x:c r="H418" s="14" t="n">
        <x:v>2023</x:v>
      </x:c>
      <x:c r="I418" s="14" t="n">
        <x:v>2025</x:v>
      </x:c>
      <x:c r="J418" s="14" t="str">
        <x:v>Post-study cohort</x:v>
      </x:c>
      <x:c r="K418" s="14" t="n">
        <x:v>2023</x:v>
      </x:c>
      <x:c r="L418" s="14" t="str">
        <x:v>Not inherited</x:v>
      </x:c>
      <x:c r="M418" s="15" t="n">
        <x:v>127</x:v>
      </x:c>
      <x:c r="N418" s="14" t="str">
        <x:v>Susan George</x:v>
      </x:c>
      <x:c r="O418" s="14" t="str">
        <x:v>nm0001265</x:v>
      </x:c>
      <x:c r="P418" s="14" t="str">
        <x:v>Dr. Mary Rhodes</x:v>
      </x:c>
      <x:c r="Q418" s="15" t="n">
        <x:v>1</x:v>
      </x:c>
      <x:c r="R418" s="14" t="str">
        <x:v>2026</x:v>
      </x:c>
      <x:c r="S418" s="14" t="n">
        <x:v>2026</x:v>
      </x:c>
      <x:c r="T418" s="14" t="n">
        <x:v>2026</x:v>
      </x:c>
      <x:c r="U418" s="14" t="str">
        <x:v>Explicit source first year retained</x:v>
      </x:c>
      <x:c r="V418" s="14" t="str">
        <x:v>Earliest supplied year is 2026.</x:v>
      </x:c>
      <x:c r="W418" s="14"/>
      <x:c r="X418" s="14" t="str">
        <x:v>Excluded: after 2025</x:v>
      </x:c>
      <x:c r="Y418" s="14"/>
      <x:c r="Z418" s="14" t="str">
        <x:v>Beyond Paradise.docx</x:v>
      </x:c>
      <x:c r="AA418" s="14" t="str">
        <x:v>HYPERLINK is not implemented. linkLocation=https://www.imdb.com/title/tt21161156/fullcredits/, friendlyName=Open source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BBC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7" t="e">
        <x:f>HYPERLINK("https://en.wikipedia.org/wiki/Beyond_Paradise","Open source")</x:f>
        <x:v>HYPERLINK is not implemented. linkLocation=https://en.wikipedia.org/wiki/Beyond_Paradise, friendlyName=Open source</x:v>
      </x:c>
      <x:c r="AN418" s="14" t="str">
        <x:v>BBC public-service commission</x:v>
      </x:c>
      <x:c r="AO418" s="14" t="str">
        <x:v>Yes</x:v>
      </x:c>
      <x:c r="AP418" s="14" t="str">
        <x:v>Direct BBC public-service scope</x:v>
      </x:c>
      <x:c r="AQ418" s="14" t="str">
        <x:v>Yes</x:v>
      </x:c>
      <x:c r="AR418" s="14" t="str">
        <x:v>Resolved from master register</x:v>
      </x:c>
      <x:c r="AS418" s="14" t="str">
        <x:v>No established-register match</x:v>
      </x:c>
      <x:c r="AT418" s="14"/>
      <x:c r="AU418" s="14"/>
      <x:c r="AV418" s="14" t="str">
        <x:v>No established apparent-disability match</x:v>
      </x:c>
      <x:c r="AW418" s="14"/>
      <x:c r="AX418" s="14" t="str">
        <x:v>No</x:v>
      </x:c>
      <x:c r="AY418" s="14" t="str">
        <x:v>Unmatched</x:v>
      </x:c>
      <x:c r="AZ418" s="14" t="str">
        <x:v>Final supplied register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27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1</x:v>
      </x:c>
      <x:c r="BS418" s="16" t="n">
        <x:v>0.037037037037037035</x:v>
      </x:c>
      <x:c r="BT418" s="14" t="str">
        <x:v>One episode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4" t="str">
        <x:v>HYPERLINK is not implemented. linkLocation=https://www.imdb.com/title/tt21161156/fullcredits/, friendlyName=Open source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tt21161156|nm2874099|tyler brigden</x:v>
      </x:c>
      <x:c r="B419" s="14" t="str">
        <x:v>01</x:v>
      </x:c>
      <x:c r="C419" s="14" t="str">
        <x:v>2023_IMDb_Cast_Lists_Batch_01(2).xlsx</x:v>
      </x:c>
      <x:c r="D419" s="14" t="str">
        <x:v>Beyond Paradise</x:v>
      </x:c>
      <x:c r="E419" s="14" t="n">
        <x:v>135</x:v>
      </x:c>
      <x:c r="F419" s="14" t="str">
        <x:v>Beyond Paradise</x:v>
      </x:c>
      <x:c r="G419" s="14" t="str">
        <x:v>tt21161156</x:v>
      </x:c>
      <x:c r="H419" s="14" t="n">
        <x:v>2023</x:v>
      </x:c>
      <x:c r="I419" s="14" t="n">
        <x:v>2025</x:v>
      </x:c>
      <x:c r="J419" s="14" t="str">
        <x:v>Post-study cohort</x:v>
      </x:c>
      <x:c r="K419" s="14" t="n">
        <x:v>2023</x:v>
      </x:c>
      <x:c r="L419" s="14" t="str">
        <x:v>Not inherited</x:v>
      </x:c>
      <x:c r="M419" s="15" t="n">
        <x:v>128</x:v>
      </x:c>
      <x:c r="N419" s="14" t="str">
        <x:v>Graham Dickson</x:v>
      </x:c>
      <x:c r="O419" s="14" t="str">
        <x:v>nm2874099</x:v>
      </x:c>
      <x:c r="P419" s="14" t="str">
        <x:v>Tyler Brigden</x:v>
      </x:c>
      <x:c r="Q419" s="15" t="n">
        <x:v>1</x:v>
      </x:c>
      <x:c r="R419" s="14" t="str">
        <x:v>2026</x:v>
      </x:c>
      <x:c r="S419" s="14" t="n">
        <x:v>2026</x:v>
      </x:c>
      <x:c r="T419" s="14" t="n">
        <x:v>2026</x:v>
      </x:c>
      <x:c r="U419" s="14" t="str">
        <x:v>Explicit source first year retained</x:v>
      </x:c>
      <x:c r="V419" s="14" t="str">
        <x:v>Earliest supplied year is 2026.</x:v>
      </x:c>
      <x:c r="W419" s="14"/>
      <x:c r="X419" s="14" t="str">
        <x:v>Excluded: after 2025</x:v>
      </x:c>
      <x:c r="Y419" s="14"/>
      <x:c r="Z419" s="14" t="str">
        <x:v>Beyond Paradise.docx</x:v>
      </x:c>
      <x:c r="AA419" s="14" t="str">
        <x:v>HYPERLINK is not implemented. linkLocation=https://www.imdb.com/title/tt21161156/fullcredits/, friendlyName=Open source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BBC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7" t="e">
        <x:f>HYPERLINK("https://en.wikipedia.org/wiki/Beyond_Paradise","Open source")</x:f>
        <x:v>HYPERLINK is not implemented. linkLocation=https://en.wikipedia.org/wiki/Beyond_Paradise, friendlyName=Open source</x:v>
      </x:c>
      <x:c r="AN419" s="14" t="str">
        <x:v>BBC public-service commission</x:v>
      </x:c>
      <x:c r="AO419" s="14" t="str">
        <x:v>Yes</x:v>
      </x:c>
      <x:c r="AP419" s="14" t="str">
        <x:v>Direct BBC public-service scope</x:v>
      </x:c>
      <x:c r="AQ419" s="14" t="str">
        <x:v>Yes</x:v>
      </x:c>
      <x:c r="AR419" s="14" t="str">
        <x:v>Resolved from master register</x:v>
      </x:c>
      <x:c r="AS419" s="14" t="str">
        <x:v>No established-register match</x:v>
      </x:c>
      <x:c r="AT419" s="14"/>
      <x:c r="AU419" s="14"/>
      <x:c r="AV419" s="14" t="str">
        <x:v>No established apparent-disability match</x:v>
      </x:c>
      <x:c r="AW419" s="14"/>
      <x:c r="AX419" s="14" t="str">
        <x:v>No</x:v>
      </x:c>
      <x:c r="AY419" s="14" t="str">
        <x:v>Unmatched</x:v>
      </x:c>
      <x:c r="AZ419" s="14" t="str">
        <x:v>Final supplied register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27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0.037037037037037035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4" t="str">
        <x:v>HYPERLINK is not implemented. linkLocation=https://www.imdb.com/title/tt21161156/fullcredits/, friendlyName=Open source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tt21161156|nm8427331|eddie</x:v>
      </x:c>
      <x:c r="B420" s="14" t="str">
        <x:v>01</x:v>
      </x:c>
      <x:c r="C420" s="14" t="str">
        <x:v>2023_IMDb_Cast_Lists_Batch_01(2).xlsx</x:v>
      </x:c>
      <x:c r="D420" s="14" t="str">
        <x:v>Beyond Paradise</x:v>
      </x:c>
      <x:c r="E420" s="14" t="n">
        <x:v>136</x:v>
      </x:c>
      <x:c r="F420" s="14" t="str">
        <x:v>Beyond Paradise</x:v>
      </x:c>
      <x:c r="G420" s="14" t="str">
        <x:v>tt21161156</x:v>
      </x:c>
      <x:c r="H420" s="14" t="n">
        <x:v>2023</x:v>
      </x:c>
      <x:c r="I420" s="14" t="n">
        <x:v>2025</x:v>
      </x:c>
      <x:c r="J420" s="14" t="str">
        <x:v>Post-study cohort</x:v>
      </x:c>
      <x:c r="K420" s="14" t="n">
        <x:v>2023</x:v>
      </x:c>
      <x:c r="L420" s="14" t="str">
        <x:v>Not inherited</x:v>
      </x:c>
      <x:c r="M420" s="15" t="n">
        <x:v>129</x:v>
      </x:c>
      <x:c r="N420" s="14" t="str">
        <x:v>Omar Ibrahim</x:v>
      </x:c>
      <x:c r="O420" s="14" t="str">
        <x:v>nm8427331</x:v>
      </x:c>
      <x:c r="P420" s="14" t="str">
        <x:v>Eddie</x:v>
      </x:c>
      <x:c r="Q420" s="15" t="n">
        <x:v>1</x:v>
      </x:c>
      <x:c r="R420" s="14" t="str">
        <x:v>2026</x:v>
      </x:c>
      <x:c r="S420" s="14" t="n">
        <x:v>2026</x:v>
      </x:c>
      <x:c r="T420" s="14" t="n">
        <x:v>2026</x:v>
      </x:c>
      <x:c r="U420" s="14" t="str">
        <x:v>Explicit source first year retained</x:v>
      </x:c>
      <x:c r="V420" s="14" t="str">
        <x:v>Earliest supplied year is 2026.</x:v>
      </x:c>
      <x:c r="W420" s="14"/>
      <x:c r="X420" s="14" t="str">
        <x:v>Excluded: after 2025</x:v>
      </x:c>
      <x:c r="Y420" s="14"/>
      <x:c r="Z420" s="14" t="str">
        <x:v>Beyond Paradise.docx</x:v>
      </x:c>
      <x:c r="AA420" s="14" t="str">
        <x:v>HYPERLINK is not implemented. linkLocation=https://www.imdb.com/title/tt21161156/fullcredits/, friendlyName=Open source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BBC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7" t="e">
        <x:f>HYPERLINK("https://en.wikipedia.org/wiki/Beyond_Paradise","Open source")</x:f>
        <x:v>HYPERLINK is not implemented. linkLocation=https://en.wikipedia.org/wiki/Beyond_Paradise, friendlyName=Open source</x:v>
      </x:c>
      <x:c r="AN420" s="14" t="str">
        <x:v>BBC public-service commission</x:v>
      </x:c>
      <x:c r="AO420" s="14" t="str">
        <x:v>Yes</x:v>
      </x:c>
      <x:c r="AP420" s="14" t="str">
        <x:v>Direct BBC public-service scope</x:v>
      </x:c>
      <x:c r="AQ420" s="14" t="str">
        <x:v>Yes</x:v>
      </x:c>
      <x:c r="AR420" s="14" t="str">
        <x:v>Resolved from master register</x:v>
      </x:c>
      <x:c r="AS420" s="14" t="str">
        <x:v>No established-register match</x:v>
      </x:c>
      <x:c r="AT420" s="14"/>
      <x:c r="AU420" s="14"/>
      <x:c r="AV420" s="14" t="str">
        <x:v>No established apparent-disability match</x:v>
      </x:c>
      <x:c r="AW420" s="14"/>
      <x:c r="AX420" s="14" t="str">
        <x:v>No</x:v>
      </x:c>
      <x:c r="AY420" s="14" t="str">
        <x:v>Unmatched</x:v>
      </x:c>
      <x:c r="AZ420" s="14" t="str">
        <x:v>Final supplied register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27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0.037037037037037035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4" t="str">
        <x:v>HYPERLINK is not implemented. linkLocation=https://www.imdb.com/title/tt21161156/fullcredits/, friendlyName=Open source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tt21161156|nm0671854|maud dingleby</x:v>
      </x:c>
      <x:c r="B421" s="14" t="str">
        <x:v>01</x:v>
      </x:c>
      <x:c r="C421" s="14" t="str">
        <x:v>2023_IMDb_Cast_Lists_Batch_01(2).xlsx</x:v>
      </x:c>
      <x:c r="D421" s="14" t="str">
        <x:v>Beyond Paradise</x:v>
      </x:c>
      <x:c r="E421" s="14" t="n">
        <x:v>144</x:v>
      </x:c>
      <x:c r="F421" s="14" t="str">
        <x:v>Beyond Paradise</x:v>
      </x:c>
      <x:c r="G421" s="14" t="str">
        <x:v>tt21161156</x:v>
      </x:c>
      <x:c r="H421" s="14" t="n">
        <x:v>2023</x:v>
      </x:c>
      <x:c r="I421" s="14" t="n">
        <x:v>2025</x:v>
      </x:c>
      <x:c r="J421" s="14" t="str">
        <x:v>Post-study cohort</x:v>
      </x:c>
      <x:c r="K421" s="14" t="n">
        <x:v>2023</x:v>
      </x:c>
      <x:c r="L421" s="14" t="str">
        <x:v>Not inherited</x:v>
      </x:c>
      <x:c r="M421" s="15" t="n">
        <x:v>137</x:v>
      </x:c>
      <x:c r="N421" s="14" t="str">
        <x:v>Susan Penhaligon</x:v>
      </x:c>
      <x:c r="O421" s="14" t="str">
        <x:v>nm0671854</x:v>
      </x:c>
      <x:c r="P421" s="14" t="str">
        <x:v>Maud Dingleby</x:v>
      </x:c>
      <x:c r="Q421" s="15" t="n">
        <x:v>1</x:v>
      </x:c>
      <x:c r="R421" s="14" t="str">
        <x:v>2026</x:v>
      </x:c>
      <x:c r="S421" s="14" t="n">
        <x:v>2026</x:v>
      </x:c>
      <x:c r="T421" s="14" t="n">
        <x:v>2026</x:v>
      </x:c>
      <x:c r="U421" s="14" t="str">
        <x:v>Explicit source first year retained</x:v>
      </x:c>
      <x:c r="V421" s="14" t="str">
        <x:v>Earliest supplied year is 2026.</x:v>
      </x:c>
      <x:c r="W421" s="14"/>
      <x:c r="X421" s="14" t="str">
        <x:v>Excluded: after 2025</x:v>
      </x:c>
      <x:c r="Y421" s="14"/>
      <x:c r="Z421" s="14" t="str">
        <x:v>Beyond Paradise.docx</x:v>
      </x:c>
      <x:c r="AA421" s="14" t="str">
        <x:v>HYPERLINK is not implemented. linkLocation=https://www.imdb.com/title/tt21161156/fullcredits/, friendlyName=Open source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BBC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7" t="e">
        <x:f>HYPERLINK("https://en.wikipedia.org/wiki/Beyond_Paradise","Open source")</x:f>
        <x:v>HYPERLINK is not implemented. linkLocation=https://en.wikipedia.org/wiki/Beyond_Paradise, friendlyName=Open source</x:v>
      </x:c>
      <x:c r="AN421" s="14" t="str">
        <x:v>BBC public-service commission</x:v>
      </x:c>
      <x:c r="AO421" s="14" t="str">
        <x:v>Yes</x:v>
      </x:c>
      <x:c r="AP421" s="14" t="str">
        <x:v>Direct BBC public-service scope</x:v>
      </x:c>
      <x:c r="AQ421" s="14" t="str">
        <x:v>Yes</x:v>
      </x:c>
      <x:c r="AR421" s="14" t="str">
        <x:v>Resolved from master register</x:v>
      </x:c>
      <x:c r="AS421" s="14" t="str">
        <x:v>No established-register match</x:v>
      </x:c>
      <x:c r="AT421" s="14"/>
      <x:c r="AU421" s="14"/>
      <x:c r="AV421" s="14" t="str">
        <x:v>No established apparent-disability match</x:v>
      </x:c>
      <x:c r="AW421" s="14"/>
      <x:c r="AX421" s="14" t="str">
        <x:v>No</x:v>
      </x:c>
      <x:c r="AY421" s="14" t="str">
        <x:v>Unmatched</x:v>
      </x:c>
      <x:c r="AZ421" s="14" t="str">
        <x:v>Final supplied register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27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0.037037037037037035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4" t="str">
        <x:v>HYPERLINK is not implemented. linkLocation=https://www.imdb.com/title/tt21161156/fullcredits/, friendlyName=Open source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tt21161156|nm8466316|amy riley</x:v>
      </x:c>
      <x:c r="B422" s="14" t="str">
        <x:v>01</x:v>
      </x:c>
      <x:c r="C422" s="14" t="str">
        <x:v>2023_IMDb_Cast_Lists_Batch_01(2).xlsx</x:v>
      </x:c>
      <x:c r="D422" s="14" t="str">
        <x:v>Beyond Paradise</x:v>
      </x:c>
      <x:c r="E422" s="14" t="n">
        <x:v>145</x:v>
      </x:c>
      <x:c r="F422" s="14" t="str">
        <x:v>Beyond Paradise</x:v>
      </x:c>
      <x:c r="G422" s="14" t="str">
        <x:v>tt21161156</x:v>
      </x:c>
      <x:c r="H422" s="14" t="n">
        <x:v>2023</x:v>
      </x:c>
      <x:c r="I422" s="14" t="n">
        <x:v>2025</x:v>
      </x:c>
      <x:c r="J422" s="14" t="str">
        <x:v>Post-study cohort</x:v>
      </x:c>
      <x:c r="K422" s="14" t="n">
        <x:v>2023</x:v>
      </x:c>
      <x:c r="L422" s="14" t="str">
        <x:v>Not inherited</x:v>
      </x:c>
      <x:c r="M422" s="15" t="n">
        <x:v>138</x:v>
      </x:c>
      <x:c r="N422" s="14" t="str">
        <x:v>Emily Stott</x:v>
      </x:c>
      <x:c r="O422" s="14" t="str">
        <x:v>nm8466316</x:v>
      </x:c>
      <x:c r="P422" s="14" t="str">
        <x:v>Amy Riley</x:v>
      </x:c>
      <x:c r="Q422" s="15" t="n">
        <x:v>1</x:v>
      </x:c>
      <x:c r="R422" s="14" t="str">
        <x:v>2026</x:v>
      </x:c>
      <x:c r="S422" s="14" t="n">
        <x:v>2026</x:v>
      </x:c>
      <x:c r="T422" s="14" t="n">
        <x:v>2026</x:v>
      </x:c>
      <x:c r="U422" s="14" t="str">
        <x:v>Explicit source first year retained</x:v>
      </x:c>
      <x:c r="V422" s="14" t="str">
        <x:v>Earliest supplied year is 2026.</x:v>
      </x:c>
      <x:c r="W422" s="14"/>
      <x:c r="X422" s="14" t="str">
        <x:v>Excluded: after 2025</x:v>
      </x:c>
      <x:c r="Y422" s="14"/>
      <x:c r="Z422" s="14" t="str">
        <x:v>Beyond Paradise.docx</x:v>
      </x:c>
      <x:c r="AA422" s="14" t="str">
        <x:v>HYPERLINK is not implemented. linkLocation=https://www.imdb.com/title/tt21161156/fullcredits/, friendlyName=Open source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BBC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7" t="e">
        <x:f>HYPERLINK("https://en.wikipedia.org/wiki/Beyond_Paradise","Open source")</x:f>
        <x:v>HYPERLINK is not implemented. linkLocation=https://en.wikipedia.org/wiki/Beyond_Paradise, friendlyName=Open source</x:v>
      </x:c>
      <x:c r="AN422" s="14" t="str">
        <x:v>BBC public-service commission</x:v>
      </x:c>
      <x:c r="AO422" s="14" t="str">
        <x:v>Yes</x:v>
      </x:c>
      <x:c r="AP422" s="14" t="str">
        <x:v>Direct BBC public-service scope</x:v>
      </x:c>
      <x:c r="AQ422" s="14" t="str">
        <x:v>Yes</x:v>
      </x:c>
      <x:c r="AR422" s="14" t="str">
        <x:v>Resolved from master register</x:v>
      </x:c>
      <x:c r="AS422" s="14" t="str">
        <x:v>No established-register match</x:v>
      </x:c>
      <x:c r="AT422" s="14"/>
      <x:c r="AU422" s="14"/>
      <x:c r="AV422" s="14" t="str">
        <x:v>No established apparent-disability match</x:v>
      </x:c>
      <x:c r="AW422" s="14"/>
      <x:c r="AX422" s="14" t="str">
        <x:v>No</x:v>
      </x:c>
      <x:c r="AY422" s="14" t="str">
        <x:v>Unmatched</x:v>
      </x:c>
      <x:c r="AZ422" s="14" t="str">
        <x:v>Final supplied register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27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0.037037037037037035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4" t="str">
        <x:v>HYPERLINK is not implemented. linkLocation=https://www.imdb.com/title/tt21161156/fullcredits/, friendlyName=Open source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tt21161156|nm0146039|dafydd bevan</x:v>
      </x:c>
      <x:c r="B423" s="14" t="str">
        <x:v>01</x:v>
      </x:c>
      <x:c r="C423" s="14" t="str">
        <x:v>2023_IMDb_Cast_Lists_Batch_01(2).xlsx</x:v>
      </x:c>
      <x:c r="D423" s="14" t="str">
        <x:v>Beyond Paradise</x:v>
      </x:c>
      <x:c r="E423" s="14" t="n">
        <x:v>146</x:v>
      </x:c>
      <x:c r="F423" s="14" t="str">
        <x:v>Beyond Paradise</x:v>
      </x:c>
      <x:c r="G423" s="14" t="str">
        <x:v>tt21161156</x:v>
      </x:c>
      <x:c r="H423" s="14" t="n">
        <x:v>2023</x:v>
      </x:c>
      <x:c r="I423" s="14" t="n">
        <x:v>2025</x:v>
      </x:c>
      <x:c r="J423" s="14" t="str">
        <x:v>Post-study cohort</x:v>
      </x:c>
      <x:c r="K423" s="14" t="n">
        <x:v>2023</x:v>
      </x:c>
      <x:c r="L423" s="14" t="str">
        <x:v>Not inherited</x:v>
      </x:c>
      <x:c r="M423" s="15" t="n">
        <x:v>139</x:v>
      </x:c>
      <x:c r="N423" s="14" t="str">
        <x:v>Wayne Cater</x:v>
      </x:c>
      <x:c r="O423" s="14" t="str">
        <x:v>nm0146039</x:v>
      </x:c>
      <x:c r="P423" s="14" t="str">
        <x:v>Dafydd Bevan</x:v>
      </x:c>
      <x:c r="Q423" s="15" t="n">
        <x:v>1</x:v>
      </x:c>
      <x:c r="R423" s="14" t="str">
        <x:v>2026</x:v>
      </x:c>
      <x:c r="S423" s="14" t="n">
        <x:v>2026</x:v>
      </x:c>
      <x:c r="T423" s="14" t="n">
        <x:v>2026</x:v>
      </x:c>
      <x:c r="U423" s="14" t="str">
        <x:v>Explicit source first year retained</x:v>
      </x:c>
      <x:c r="V423" s="14" t="str">
        <x:v>Earliest supplied year is 2026.</x:v>
      </x:c>
      <x:c r="W423" s="14"/>
      <x:c r="X423" s="14" t="str">
        <x:v>Excluded: after 2025</x:v>
      </x:c>
      <x:c r="Y423" s="14"/>
      <x:c r="Z423" s="14" t="str">
        <x:v>Beyond Paradise.docx</x:v>
      </x:c>
      <x:c r="AA423" s="14" t="str">
        <x:v>HYPERLINK is not implemented. linkLocation=https://www.imdb.com/title/tt21161156/fullcredits/, friendlyName=Open source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BBC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7" t="e">
        <x:f>HYPERLINK("https://en.wikipedia.org/wiki/Beyond_Paradise","Open source")</x:f>
        <x:v>HYPERLINK is not implemented. linkLocation=https://en.wikipedia.org/wiki/Beyond_Paradise, friendlyName=Open source</x:v>
      </x:c>
      <x:c r="AN423" s="14" t="str">
        <x:v>BBC public-service commission</x:v>
      </x:c>
      <x:c r="AO423" s="14" t="str">
        <x:v>Yes</x:v>
      </x:c>
      <x:c r="AP423" s="14" t="str">
        <x:v>Direct BBC public-service scope</x:v>
      </x:c>
      <x:c r="AQ423" s="14" t="str">
        <x:v>Yes</x:v>
      </x:c>
      <x:c r="AR423" s="14" t="str">
        <x:v>Resolved from master register</x:v>
      </x:c>
      <x:c r="AS423" s="14" t="str">
        <x:v>No established-register match</x:v>
      </x:c>
      <x:c r="AT423" s="14"/>
      <x:c r="AU423" s="14"/>
      <x:c r="AV423" s="14" t="str">
        <x:v>No established apparent-disability match</x:v>
      </x:c>
      <x:c r="AW423" s="14"/>
      <x:c r="AX423" s="14" t="str">
        <x:v>No</x:v>
      </x:c>
      <x:c r="AY423" s="14" t="str">
        <x:v>Unmatched</x:v>
      </x:c>
      <x:c r="AZ423" s="14" t="str">
        <x:v>Final supplied register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27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0.037037037037037035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4" t="str">
        <x:v>HYPERLINK is not implemented. linkLocation=https://www.imdb.com/title/tt21161156/fullcredits/, friendlyName=Open source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tt21161156|nm18377301|elijah moore</x:v>
      </x:c>
      <x:c r="B424" s="14" t="str">
        <x:v>01</x:v>
      </x:c>
      <x:c r="C424" s="14" t="str">
        <x:v>2023_IMDb_Cast_Lists_Batch_01(2).xlsx</x:v>
      </x:c>
      <x:c r="D424" s="14" t="str">
        <x:v>Beyond Paradise</x:v>
      </x:c>
      <x:c r="E424" s="14" t="n">
        <x:v>156</x:v>
      </x:c>
      <x:c r="F424" s="14" t="str">
        <x:v>Beyond Paradise</x:v>
      </x:c>
      <x:c r="G424" s="14" t="str">
        <x:v>tt21161156</x:v>
      </x:c>
      <x:c r="H424" s="14" t="n">
        <x:v>2023</x:v>
      </x:c>
      <x:c r="I424" s="14" t="n">
        <x:v>2025</x:v>
      </x:c>
      <x:c r="J424" s="14" t="str">
        <x:v>Post-study cohort</x:v>
      </x:c>
      <x:c r="K424" s="14" t="n">
        <x:v>2023</x:v>
      </x:c>
      <x:c r="L424" s="14" t="str">
        <x:v>Not inherited</x:v>
      </x:c>
      <x:c r="M424" s="15" t="n">
        <x:v>149</x:v>
      </x:c>
      <x:c r="N424" s="14" t="str">
        <x:v>Xander Pang</x:v>
      </x:c>
      <x:c r="O424" s="14" t="str">
        <x:v>nm18377301</x:v>
      </x:c>
      <x:c r="P424" s="14" t="str">
        <x:v>Elijah Moore</x:v>
      </x:c>
      <x:c r="Q424" s="15" t="n">
        <x:v>1</x:v>
      </x:c>
      <x:c r="R424" s="14" t="str">
        <x:v>2026</x:v>
      </x:c>
      <x:c r="S424" s="14" t="n">
        <x:v>2026</x:v>
      </x:c>
      <x:c r="T424" s="14" t="n">
        <x:v>2026</x:v>
      </x:c>
      <x:c r="U424" s="14" t="str">
        <x:v>Explicit source first year retained</x:v>
      </x:c>
      <x:c r="V424" s="14" t="str">
        <x:v>Earliest supplied year is 2026.</x:v>
      </x:c>
      <x:c r="W424" s="14"/>
      <x:c r="X424" s="14" t="str">
        <x:v>Excluded: after 2025</x:v>
      </x:c>
      <x:c r="Y424" s="14"/>
      <x:c r="Z424" s="14" t="str">
        <x:v>Beyond Paradise.docx</x:v>
      </x:c>
      <x:c r="AA424" s="14" t="str">
        <x:v>HYPERLINK is not implemented. linkLocation=https://www.imdb.com/title/tt21161156/fullcredits/, friendlyName=Open source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BBC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7" t="e">
        <x:f>HYPERLINK("https://en.wikipedia.org/wiki/Beyond_Paradise","Open source")</x:f>
        <x:v>HYPERLINK is not implemented. linkLocation=https://en.wikipedia.org/wiki/Beyond_Paradise, friendlyName=Open source</x:v>
      </x:c>
      <x:c r="AN424" s="14" t="str">
        <x:v>BBC public-service commission</x:v>
      </x:c>
      <x:c r="AO424" s="14" t="str">
        <x:v>Yes</x:v>
      </x:c>
      <x:c r="AP424" s="14" t="str">
        <x:v>Direct BBC public-service scope</x:v>
      </x:c>
      <x:c r="AQ424" s="14" t="str">
        <x:v>Yes</x:v>
      </x:c>
      <x:c r="AR424" s="14" t="str">
        <x:v>Resolved from master register</x:v>
      </x:c>
      <x:c r="AS424" s="14" t="str">
        <x:v>No established-register match</x:v>
      </x:c>
      <x:c r="AT424" s="14"/>
      <x:c r="AU424" s="14"/>
      <x:c r="AV424" s="14" t="str">
        <x:v>No established apparent-disability match</x:v>
      </x:c>
      <x:c r="AW424" s="14"/>
      <x:c r="AX424" s="14" t="str">
        <x:v>No</x:v>
      </x:c>
      <x:c r="AY424" s="14" t="str">
        <x:v>Unmatched</x:v>
      </x:c>
      <x:c r="AZ424" s="14" t="str">
        <x:v>Final supplied register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27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0.037037037037037035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4" t="str">
        <x:v>HYPERLINK is not implemented. linkLocation=https://www.imdb.com/title/tt21161156/fullcredits/, friendlyName=Open source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tt21161156|nm1528224|bob turner</x:v>
      </x:c>
      <x:c r="B425" s="14" t="str">
        <x:v>01</x:v>
      </x:c>
      <x:c r="C425" s="14" t="str">
        <x:v>2023_IMDb_Cast_Lists_Batch_01(2).xlsx</x:v>
      </x:c>
      <x:c r="D425" s="14" t="str">
        <x:v>Beyond Paradise</x:v>
      </x:c>
      <x:c r="E425" s="14" t="n">
        <x:v>157</x:v>
      </x:c>
      <x:c r="F425" s="14" t="str">
        <x:v>Beyond Paradise</x:v>
      </x:c>
      <x:c r="G425" s="14" t="str">
        <x:v>tt21161156</x:v>
      </x:c>
      <x:c r="H425" s="14" t="n">
        <x:v>2023</x:v>
      </x:c>
      <x:c r="I425" s="14" t="n">
        <x:v>2025</x:v>
      </x:c>
      <x:c r="J425" s="14" t="str">
        <x:v>Post-study cohort</x:v>
      </x:c>
      <x:c r="K425" s="14" t="n">
        <x:v>2023</x:v>
      </x:c>
      <x:c r="L425" s="14" t="str">
        <x:v>Not inherited</x:v>
      </x:c>
      <x:c r="M425" s="15" t="n">
        <x:v>150</x:v>
      </x:c>
      <x:c r="N425" s="14" t="str">
        <x:v>Alec Nicholls</x:v>
      </x:c>
      <x:c r="O425" s="14" t="str">
        <x:v>nm1528224</x:v>
      </x:c>
      <x:c r="P425" s="14" t="str">
        <x:v>Bob Turner</x:v>
      </x:c>
      <x:c r="Q425" s="15" t="n">
        <x:v>1</x:v>
      </x:c>
      <x:c r="R425" s="14" t="str">
        <x:v>2026</x:v>
      </x:c>
      <x:c r="S425" s="14" t="n">
        <x:v>2026</x:v>
      </x:c>
      <x:c r="T425" s="14" t="n">
        <x:v>2026</x:v>
      </x:c>
      <x:c r="U425" s="14" t="str">
        <x:v>Explicit source first year retained</x:v>
      </x:c>
      <x:c r="V425" s="14" t="str">
        <x:v>Earliest supplied year is 2026.</x:v>
      </x:c>
      <x:c r="W425" s="14"/>
      <x:c r="X425" s="14" t="str">
        <x:v>Excluded: after 2025</x:v>
      </x:c>
      <x:c r="Y425" s="14"/>
      <x:c r="Z425" s="14" t="str">
        <x:v>Beyond Paradise.docx</x:v>
      </x:c>
      <x:c r="AA425" s="14" t="str">
        <x:v>HYPERLINK is not implemented. linkLocation=https://www.imdb.com/title/tt21161156/fullcredits/, friendlyName=Open source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BBC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7" t="e">
        <x:f>HYPERLINK("https://en.wikipedia.org/wiki/Beyond_Paradise","Open source")</x:f>
        <x:v>HYPERLINK is not implemented. linkLocation=https://en.wikipedia.org/wiki/Beyond_Paradise, friendlyName=Open source</x:v>
      </x:c>
      <x:c r="AN425" s="14" t="str">
        <x:v>BBC public-service commission</x:v>
      </x:c>
      <x:c r="AO425" s="14" t="str">
        <x:v>Yes</x:v>
      </x:c>
      <x:c r="AP425" s="14" t="str">
        <x:v>Direct BBC public-service scope</x:v>
      </x:c>
      <x:c r="AQ425" s="14" t="str">
        <x:v>Yes</x:v>
      </x:c>
      <x:c r="AR425" s="14" t="str">
        <x:v>Resolved from master register</x:v>
      </x:c>
      <x:c r="AS425" s="14" t="str">
        <x:v>No established-register match</x:v>
      </x:c>
      <x:c r="AT425" s="14"/>
      <x:c r="AU425" s="14"/>
      <x:c r="AV425" s="14" t="str">
        <x:v>No established apparent-disability match</x:v>
      </x:c>
      <x:c r="AW425" s="14"/>
      <x:c r="AX425" s="14" t="str">
        <x:v>No</x:v>
      </x:c>
      <x:c r="AY425" s="14" t="str">
        <x:v>Unmatched</x:v>
      </x:c>
      <x:c r="AZ425" s="14" t="str">
        <x:v>Final supplied register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27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0.037037037037037035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4" t="str">
        <x:v>HYPERLINK is not implemented. linkLocation=https://www.imdb.com/title/tt21161156/fullcredits/, friendlyName=Open source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tt21161156|nm1020920|matthew willis</x:v>
      </x:c>
      <x:c r="B426" s="14" t="str">
        <x:v>01</x:v>
      </x:c>
      <x:c r="C426" s="14" t="str">
        <x:v>2023_IMDb_Cast_Lists_Batch_01(2).xlsx</x:v>
      </x:c>
      <x:c r="D426" s="14" t="str">
        <x:v>Beyond Paradise</x:v>
      </x:c>
      <x:c r="E426" s="14" t="n">
        <x:v>168</x:v>
      </x:c>
      <x:c r="F426" s="14" t="str">
        <x:v>Beyond Paradise</x:v>
      </x:c>
      <x:c r="G426" s="14" t="str">
        <x:v>tt21161156</x:v>
      </x:c>
      <x:c r="H426" s="14" t="n">
        <x:v>2023</x:v>
      </x:c>
      <x:c r="I426" s="14" t="n">
        <x:v>2025</x:v>
      </x:c>
      <x:c r="J426" s="14" t="str">
        <x:v>Post-study cohort</x:v>
      </x:c>
      <x:c r="K426" s="14" t="n">
        <x:v>2023</x:v>
      </x:c>
      <x:c r="L426" s="14" t="str">
        <x:v>Not inherited</x:v>
      </x:c>
      <x:c r="M426" s="15" t="n">
        <x:v>161</x:v>
      </x:c>
      <x:c r="N426" s="14" t="str">
        <x:v>Tom McCall</x:v>
      </x:c>
      <x:c r="O426" s="14" t="str">
        <x:v>nm1020920</x:v>
      </x:c>
      <x:c r="P426" s="14" t="str">
        <x:v>Matthew Willis</x:v>
      </x:c>
      <x:c r="Q426" s="15" t="n">
        <x:v>1</x:v>
      </x:c>
      <x:c r="R426" s="14" t="str">
        <x:v>2026</x:v>
      </x:c>
      <x:c r="S426" s="14" t="n">
        <x:v>2026</x:v>
      </x:c>
      <x:c r="T426" s="14" t="n">
        <x:v>2026</x:v>
      </x:c>
      <x:c r="U426" s="14" t="str">
        <x:v>Explicit source first year retained</x:v>
      </x:c>
      <x:c r="V426" s="14" t="str">
        <x:v>Earliest supplied year is 2026.</x:v>
      </x:c>
      <x:c r="W426" s="14"/>
      <x:c r="X426" s="14" t="str">
        <x:v>Excluded: after 2025</x:v>
      </x:c>
      <x:c r="Y426" s="14"/>
      <x:c r="Z426" s="14" t="str">
        <x:v>Beyond Paradise.docx</x:v>
      </x:c>
      <x:c r="AA426" s="14" t="str">
        <x:v>HYPERLINK is not implemented. linkLocation=https://www.imdb.com/title/tt21161156/fullcredits/, friendlyName=Open source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BBC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7" t="e">
        <x:f>HYPERLINK("https://en.wikipedia.org/wiki/Beyond_Paradise","Open source")</x:f>
        <x:v>HYPERLINK is not implemented. linkLocation=https://en.wikipedia.org/wiki/Beyond_Paradise, friendlyName=Open source</x:v>
      </x:c>
      <x:c r="AN426" s="14" t="str">
        <x:v>BBC public-service commission</x:v>
      </x:c>
      <x:c r="AO426" s="14" t="str">
        <x:v>Yes</x:v>
      </x:c>
      <x:c r="AP426" s="14" t="str">
        <x:v>Direct BBC public-service scope</x:v>
      </x:c>
      <x:c r="AQ426" s="14" t="str">
        <x:v>Yes</x:v>
      </x:c>
      <x:c r="AR426" s="14" t="str">
        <x:v>Resolved from master register</x:v>
      </x:c>
      <x:c r="AS426" s="14" t="str">
        <x:v>No established-register match</x:v>
      </x:c>
      <x:c r="AT426" s="14"/>
      <x:c r="AU426" s="14"/>
      <x:c r="AV426" s="14" t="str">
        <x:v>No established apparent-disability match</x:v>
      </x:c>
      <x:c r="AW426" s="14"/>
      <x:c r="AX426" s="14" t="str">
        <x:v>No</x:v>
      </x:c>
      <x:c r="AY426" s="14" t="str">
        <x:v>Unmatched</x:v>
      </x:c>
      <x:c r="AZ426" s="14" t="str">
        <x:v>Final supplied register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27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0.037037037037037035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4" t="str">
        <x:v>HYPERLINK is not implemented. linkLocation=https://www.imdb.com/title/tt21161156/fullcredits/, friendlyName=Open source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tt21161156|nm8315088|paul outram</x:v>
      </x:c>
      <x:c r="B427" s="14" t="str">
        <x:v>01</x:v>
      </x:c>
      <x:c r="C427" s="14" t="str">
        <x:v>2023_IMDb_Cast_Lists_Batch_01(2).xlsx</x:v>
      </x:c>
      <x:c r="D427" s="14" t="str">
        <x:v>Beyond Paradise</x:v>
      </x:c>
      <x:c r="E427" s="14" t="n">
        <x:v>169</x:v>
      </x:c>
      <x:c r="F427" s="14" t="str">
        <x:v>Beyond Paradise</x:v>
      </x:c>
      <x:c r="G427" s="14" t="str">
        <x:v>tt21161156</x:v>
      </x:c>
      <x:c r="H427" s="14" t="n">
        <x:v>2023</x:v>
      </x:c>
      <x:c r="I427" s="14" t="n">
        <x:v>2025</x:v>
      </x:c>
      <x:c r="J427" s="14" t="str">
        <x:v>Post-study cohort</x:v>
      </x:c>
      <x:c r="K427" s="14" t="n">
        <x:v>2023</x:v>
      </x:c>
      <x:c r="L427" s="14" t="str">
        <x:v>Not inherited</x:v>
      </x:c>
      <x:c r="M427" s="15" t="n">
        <x:v>162</x:v>
      </x:c>
      <x:c r="N427" s="14" t="str">
        <x:v>Ben Allen</x:v>
      </x:c>
      <x:c r="O427" s="14" t="str">
        <x:v>nm8315088</x:v>
      </x:c>
      <x:c r="P427" s="14" t="str">
        <x:v>Paul Outram</x:v>
      </x:c>
      <x:c r="Q427" s="15" t="n">
        <x:v>1</x:v>
      </x:c>
      <x:c r="R427" s="14" t="str">
        <x:v>2026</x:v>
      </x:c>
      <x:c r="S427" s="14" t="n">
        <x:v>2026</x:v>
      </x:c>
      <x:c r="T427" s="14" t="n">
        <x:v>2026</x:v>
      </x:c>
      <x:c r="U427" s="14" t="str">
        <x:v>Explicit source first year retained</x:v>
      </x:c>
      <x:c r="V427" s="14" t="str">
        <x:v>Earliest supplied year is 2026.</x:v>
      </x:c>
      <x:c r="W427" s="14"/>
      <x:c r="X427" s="14" t="str">
        <x:v>Excluded: after 2025</x:v>
      </x:c>
      <x:c r="Y427" s="14"/>
      <x:c r="Z427" s="14" t="str">
        <x:v>Beyond Paradise.docx</x:v>
      </x:c>
      <x:c r="AA427" s="14" t="str">
        <x:v>HYPERLINK is not implemented. linkLocation=https://www.imdb.com/title/tt21161156/fullcredits/, friendlyName=Open source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7" t="e">
        <x:f>HYPERLINK("https://en.wikipedia.org/wiki/Beyond_Paradise","Open source")</x:f>
        <x:v>HYPERLINK is not implemented. linkLocation=https://en.wikipedia.org/wiki/Beyond_Paradise, friendlyName=Open source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 t="str">
        <x:v>No established-register match</x:v>
      </x:c>
      <x:c r="AT427" s="14"/>
      <x:c r="AU427" s="14"/>
      <x:c r="AV427" s="14" t="str">
        <x:v>No established apparent-disability match</x:v>
      </x:c>
      <x:c r="AW427" s="14"/>
      <x:c r="AX427" s="14" t="str">
        <x:v>No</x:v>
      </x:c>
      <x:c r="AY427" s="14" t="str">
        <x:v>Unmatched</x:v>
      </x:c>
      <x:c r="AZ427" s="14" t="str">
        <x:v>Final supplied register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27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1</x:v>
      </x:c>
      <x:c r="BS427" s="16" t="n">
        <x:v>0.037037037037037035</x:v>
      </x:c>
      <x:c r="BT427" s="14" t="str">
        <x:v>One episode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4" t="str">
        <x:v>HYPERLINK is not implemented. linkLocation=https://www.imdb.com/title/tt21161156/fullcredits/, friendlyName=Open source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tt21161156|nm18416818|di janet wilson</x:v>
      </x:c>
      <x:c r="B428" s="14" t="str">
        <x:v>01</x:v>
      </x:c>
      <x:c r="C428" s="14" t="str">
        <x:v>2023_IMDb_Cast_Lists_Batch_01(2).xlsx</x:v>
      </x:c>
      <x:c r="D428" s="14" t="str">
        <x:v>Beyond Paradise</x:v>
      </x:c>
      <x:c r="E428" s="14" t="n">
        <x:v>170</x:v>
      </x:c>
      <x:c r="F428" s="14" t="str">
        <x:v>Beyond Paradise</x:v>
      </x:c>
      <x:c r="G428" s="14" t="str">
        <x:v>tt21161156</x:v>
      </x:c>
      <x:c r="H428" s="14" t="n">
        <x:v>2023</x:v>
      </x:c>
      <x:c r="I428" s="14" t="n">
        <x:v>2025</x:v>
      </x:c>
      <x:c r="J428" s="14" t="str">
        <x:v>Post-study cohort</x:v>
      </x:c>
      <x:c r="K428" s="14" t="n">
        <x:v>2023</x:v>
      </x:c>
      <x:c r="L428" s="14" t="str">
        <x:v>Not inherited</x:v>
      </x:c>
      <x:c r="M428" s="15" t="n">
        <x:v>163</x:v>
      </x:c>
      <x:c r="N428" s="14" t="str">
        <x:v>Cassandra Wilson</x:v>
      </x:c>
      <x:c r="O428" s="14" t="str">
        <x:v>nm18416818</x:v>
      </x:c>
      <x:c r="P428" s="14" t="str">
        <x:v>DI Janet Wilson</x:v>
      </x:c>
      <x:c r="Q428" s="15" t="n">
        <x:v>1</x:v>
      </x:c>
      <x:c r="R428" s="14" t="str">
        <x:v>2026</x:v>
      </x:c>
      <x:c r="S428" s="14" t="n">
        <x:v>2026</x:v>
      </x:c>
      <x:c r="T428" s="14" t="n">
        <x:v>2026</x:v>
      </x:c>
      <x:c r="U428" s="14" t="str">
        <x:v>Explicit source first year retained</x:v>
      </x:c>
      <x:c r="V428" s="14" t="str">
        <x:v>Earliest supplied year is 2026.</x:v>
      </x:c>
      <x:c r="W428" s="14"/>
      <x:c r="X428" s="14" t="str">
        <x:v>Excluded: after 2025</x:v>
      </x:c>
      <x:c r="Y428" s="14"/>
      <x:c r="Z428" s="14" t="str">
        <x:v>Beyond Paradise.docx</x:v>
      </x:c>
      <x:c r="AA428" s="14" t="str">
        <x:v>HYPERLINK is not implemented. linkLocation=https://www.imdb.com/title/tt21161156/fullcredits/, friendlyName=Open source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7" t="e">
        <x:f>HYPERLINK("https://en.wikipedia.org/wiki/Beyond_Paradise","Open source")</x:f>
        <x:v>HYPERLINK is not implemented. linkLocation=https://en.wikipedia.org/wiki/Beyond_Paradise, friendlyName=Open source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 t="str">
        <x:v>No established-register match</x:v>
      </x:c>
      <x:c r="AT428" s="14"/>
      <x:c r="AU428" s="14"/>
      <x:c r="AV428" s="14" t="str">
        <x:v>No established apparent-disability match</x:v>
      </x:c>
      <x:c r="AW428" s="14"/>
      <x:c r="AX428" s="14" t="str">
        <x:v>No</x:v>
      </x:c>
      <x:c r="AY428" s="14" t="str">
        <x:v>Unmatched</x:v>
      </x:c>
      <x:c r="AZ428" s="14" t="str">
        <x:v>Final supplied register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27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1</x:v>
      </x:c>
      <x:c r="BS428" s="16" t="n">
        <x:v>0.037037037037037035</x:v>
      </x:c>
      <x:c r="BT428" s="14" t="str">
        <x:v>One episode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4" t="str">
        <x:v>HYPERLINK is not implemented. linkLocation=https://www.imdb.com/title/tt21161156/fullcredits/, friendlyName=Open source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tt21161156|nm0355004|jill</x:v>
      </x:c>
      <x:c r="B429" s="14" t="str">
        <x:v>01</x:v>
      </x:c>
      <x:c r="C429" s="14" t="str">
        <x:v>2023_IMDb_Cast_Lists_Batch_01(2).xlsx</x:v>
      </x:c>
      <x:c r="D429" s="14" t="str">
        <x:v>Beyond Paradise</x:v>
      </x:c>
      <x:c r="E429" s="14" t="n">
        <x:v>176</x:v>
      </x:c>
      <x:c r="F429" s="14" t="str">
        <x:v>Beyond Paradise</x:v>
      </x:c>
      <x:c r="G429" s="14" t="str">
        <x:v>tt21161156</x:v>
      </x:c>
      <x:c r="H429" s="14" t="n">
        <x:v>2023</x:v>
      </x:c>
      <x:c r="I429" s="14" t="n">
        <x:v>2025</x:v>
      </x:c>
      <x:c r="J429" s="14" t="str">
        <x:v>Post-study cohort</x:v>
      </x:c>
      <x:c r="K429" s="14" t="n">
        <x:v>2023</x:v>
      </x:c>
      <x:c r="L429" s="14" t="str">
        <x:v>Not inherited</x:v>
      </x:c>
      <x:c r="M429" s="15" t="n">
        <x:v>169</x:v>
      </x:c>
      <x:c r="N429" s="14" t="str">
        <x:v>Sandra Hale</x:v>
      </x:c>
      <x:c r="O429" s="14" t="str">
        <x:v>nm0355004</x:v>
      </x:c>
      <x:c r="P429" s="14" t="str">
        <x:v>Jill</x:v>
      </x:c>
      <x:c r="Q429" s="15" t="n">
        <x:v>1</x:v>
      </x:c>
      <x:c r="R429" s="14" t="str">
        <x:v>2026</x:v>
      </x:c>
      <x:c r="S429" s="14" t="n">
        <x:v>2026</x:v>
      </x:c>
      <x:c r="T429" s="14" t="n">
        <x:v>2026</x:v>
      </x:c>
      <x:c r="U429" s="14" t="str">
        <x:v>Explicit source first year retained</x:v>
      </x:c>
      <x:c r="V429" s="14" t="str">
        <x:v>Earliest supplied year is 2026.</x:v>
      </x:c>
      <x:c r="W429" s="14"/>
      <x:c r="X429" s="14" t="str">
        <x:v>Excluded: after 2025</x:v>
      </x:c>
      <x:c r="Y429" s="14"/>
      <x:c r="Z429" s="14" t="str">
        <x:v>Beyond Paradise.docx</x:v>
      </x:c>
      <x:c r="AA429" s="14" t="str">
        <x:v>HYPERLINK is not implemented. linkLocation=https://www.imdb.com/title/tt21161156/fullcredits/, friendlyName=Open source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7" t="e">
        <x:f>HYPERLINK("https://en.wikipedia.org/wiki/Beyond_Paradise","Open source")</x:f>
        <x:v>HYPERLINK is not implemented. linkLocation=https://en.wikipedia.org/wiki/Beyond_Paradise, friendlyName=Open source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 t="str">
        <x:v>No established-register match</x:v>
      </x:c>
      <x:c r="AT429" s="14"/>
      <x:c r="AU429" s="14"/>
      <x:c r="AV429" s="14" t="str">
        <x:v>No established apparent-disability match</x:v>
      </x:c>
      <x:c r="AW429" s="14"/>
      <x:c r="AX429" s="14" t="str">
        <x:v>No</x:v>
      </x:c>
      <x:c r="AY429" s="14" t="str">
        <x:v>Unmatched</x:v>
      </x:c>
      <x:c r="AZ429" s="14" t="str">
        <x:v>Final supplied register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27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1</x:v>
      </x:c>
      <x:c r="BS429" s="16" t="n">
        <x:v>0.037037037037037035</x:v>
      </x:c>
      <x:c r="BT429" s="14" t="str">
        <x:v>One episode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4" t="str">
        <x:v>HYPERLINK is not implemented. linkLocation=https://www.imdb.com/title/tt21161156/fullcredits/, friendlyName=Open source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tt21161156|nm13263341|sam</x:v>
      </x:c>
      <x:c r="B430" s="14" t="str">
        <x:v>01</x:v>
      </x:c>
      <x:c r="C430" s="14" t="str">
        <x:v>2023_IMDb_Cast_Lists_Batch_01(2).xlsx</x:v>
      </x:c>
      <x:c r="D430" s="14" t="str">
        <x:v>Beyond Paradise</x:v>
      </x:c>
      <x:c r="E430" s="14" t="n">
        <x:v>177</x:v>
      </x:c>
      <x:c r="F430" s="14" t="str">
        <x:v>Beyond Paradise</x:v>
      </x:c>
      <x:c r="G430" s="14" t="str">
        <x:v>tt21161156</x:v>
      </x:c>
      <x:c r="H430" s="14" t="n">
        <x:v>2023</x:v>
      </x:c>
      <x:c r="I430" s="14" t="n">
        <x:v>2025</x:v>
      </x:c>
      <x:c r="J430" s="14" t="str">
        <x:v>Post-study cohort</x:v>
      </x:c>
      <x:c r="K430" s="14" t="n">
        <x:v>2023</x:v>
      </x:c>
      <x:c r="L430" s="14" t="str">
        <x:v>Not inherited</x:v>
      </x:c>
      <x:c r="M430" s="15" t="n">
        <x:v>170</x:v>
      </x:c>
      <x:c r="N430" s="14" t="str">
        <x:v>Teddy Jay</x:v>
      </x:c>
      <x:c r="O430" s="14" t="str">
        <x:v>nm13263341</x:v>
      </x:c>
      <x:c r="P430" s="14" t="str">
        <x:v>Sam</x:v>
      </x:c>
      <x:c r="Q430" s="15" t="n">
        <x:v>1</x:v>
      </x:c>
      <x:c r="R430" s="14" t="str">
        <x:v>2026</x:v>
      </x:c>
      <x:c r="S430" s="14" t="n">
        <x:v>2026</x:v>
      </x:c>
      <x:c r="T430" s="14" t="n">
        <x:v>2026</x:v>
      </x:c>
      <x:c r="U430" s="14" t="str">
        <x:v>Explicit source first year retained</x:v>
      </x:c>
      <x:c r="V430" s="14" t="str">
        <x:v>Earliest supplied year is 2026.</x:v>
      </x:c>
      <x:c r="W430" s="14"/>
      <x:c r="X430" s="14" t="str">
        <x:v>Excluded: after 2025</x:v>
      </x:c>
      <x:c r="Y430" s="14"/>
      <x:c r="Z430" s="14" t="str">
        <x:v>Beyond Paradise.docx</x:v>
      </x:c>
      <x:c r="AA430" s="14" t="str">
        <x:v>HYPERLINK is not implemented. linkLocation=https://www.imdb.com/title/tt21161156/fullcredits/, friendlyName=Open source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7" t="e">
        <x:f>HYPERLINK("https://en.wikipedia.org/wiki/Beyond_Paradise","Open source")</x:f>
        <x:v>HYPERLINK is not implemented. linkLocation=https://en.wikipedia.org/wiki/Beyond_Paradise, friendlyName=Open source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 t="str">
        <x:v>No established-register match</x:v>
      </x:c>
      <x:c r="AT430" s="14"/>
      <x:c r="AU430" s="14"/>
      <x:c r="AV430" s="14" t="str">
        <x:v>No established apparent-disability match</x:v>
      </x:c>
      <x:c r="AW430" s="14"/>
      <x:c r="AX430" s="14" t="str">
        <x:v>No</x:v>
      </x:c>
      <x:c r="AY430" s="14" t="str">
        <x:v>Unmatched</x:v>
      </x:c>
      <x:c r="AZ430" s="14" t="str">
        <x:v>Final supplied register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27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1</x:v>
      </x:c>
      <x:c r="BS430" s="16" t="n">
        <x:v>0.037037037037037035</x:v>
      </x:c>
      <x:c r="BT430" s="14" t="str">
        <x:v>One episode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4" t="str">
        <x:v>HYPERLINK is not implemented. linkLocation=https://www.imdb.com/title/tt21161156/fullcredits/, friendlyName=Open source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tt15296862|nm1968873|steve</x:v>
      </x:c>
      <x:c r="B431" s="14" t="str">
        <x:v>01</x:v>
      </x:c>
      <x:c r="C431" s="14" t="str">
        <x:v>2023_IMDb_Cast_Lists_Batch_01(2).xlsx</x:v>
      </x:c>
      <x:c r="D431" s="14" t="str">
        <x:v>Black Ops</x:v>
      </x:c>
      <x:c r="E431" s="14" t="n">
        <x:v>13</x:v>
      </x:c>
      <x:c r="F431" s="14" t="str">
        <x:v>Black Ops</x:v>
      </x:c>
      <x:c r="G431" s="14" t="str">
        <x:v>tt15296862</x:v>
      </x:c>
      <x:c r="H431" s="14" t="n">
        <x:v>2023</x:v>
      </x:c>
      <x:c r="I431" s="14" t="n">
        <x:v>2025</x:v>
      </x:c>
      <x:c r="J431" s="14" t="str">
        <x:v>Post-study cohort</x:v>
      </x:c>
      <x:c r="K431" s="14" t="n">
        <x:v>2023</x:v>
      </x:c>
      <x:c r="L431" s="14" t="str">
        <x:v>Not inherited</x:v>
      </x:c>
      <x:c r="M431" s="15" t="n">
        <x:v>6</x:v>
      </x:c>
      <x:c r="N431" s="14" t="str">
        <x:v>Ed Speleers</x:v>
      </x:c>
      <x:c r="O431" s="14" t="str">
        <x:v>nm1968873</x:v>
      </x:c>
      <x:c r="P431" s="14" t="str">
        <x:v>Steve</x:v>
      </x:c>
      <x:c r="Q431" s="15" t="n">
        <x:v>6</x:v>
      </x:c>
      <x:c r="R431" s="14" t="str">
        <x:v>2026</x:v>
      </x:c>
      <x:c r="S431" s="14" t="n">
        <x:v>2026</x:v>
      </x:c>
      <x:c r="T431" s="14" t="n">
        <x:v>2026</x:v>
      </x:c>
      <x:c r="U431" s="14" t="str">
        <x:v>Explicit source first year retained</x:v>
      </x:c>
      <x:c r="V431" s="14" t="str">
        <x:v>Earliest supplied year is 2026.</x:v>
      </x:c>
      <x:c r="W431" s="14"/>
      <x:c r="X431" s="14" t="str">
        <x:v>Excluded: after 2025</x:v>
      </x:c>
      <x:c r="Y431" s="14"/>
      <x:c r="Z431" s="14" t="str">
        <x:v>Black Ops.docx</x:v>
      </x:c>
      <x:c r="AA431" s="14" t="str">
        <x:v>HYPERLINK is not implemented. linkLocation=https://www.imdb.com/title/tt15296862/fullcredits/, friendlyName=Open source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7" t="e">
        <x:f>HYPERLINK("https://en.wikipedia.org/wiki/Black_Ops","Open source")</x:f>
        <x:v>HYPERLINK is not implemented. linkLocation=https://en.wikipedia.org/wiki/Black_Ops, friendlyName=Open source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 t="str">
        <x:v>No established-register match</x:v>
      </x:c>
      <x:c r="AT431" s="14"/>
      <x:c r="AU431" s="14"/>
      <x:c r="AV431" s="14" t="str">
        <x:v>No established apparent-disability match</x:v>
      </x:c>
      <x:c r="AW431" s="14"/>
      <x:c r="AX431" s="14" t="str">
        <x:v>No</x:v>
      </x:c>
      <x:c r="AY431" s="14" t="str">
        <x:v>Unmatched</x:v>
      </x:c>
      <x:c r="AZ431" s="14" t="str">
        <x:v>Final supplied register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12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6</x:v>
      </x:c>
      <x:c r="BS431" s="16" t="n">
        <x:v>0.5</x:v>
      </x:c>
      <x:c r="BT431" s="14" t="str">
        <x:v>Minority of episodes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4" t="str">
        <x:v>HYPERLINK is not implemented. linkLocation=https://www.imdb.com/title/tt15296862/fullcredits/, friendlyName=Open source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tt15296862|nm2703676|alasdair moss</x:v>
      </x:c>
      <x:c r="B432" s="14" t="str">
        <x:v>01</x:v>
      </x:c>
      <x:c r="C432" s="14" t="str">
        <x:v>2023_IMDb_Cast_Lists_Batch_01(2).xlsx</x:v>
      </x:c>
      <x:c r="D432" s="14" t="str">
        <x:v>Black Ops</x:v>
      </x:c>
      <x:c r="E432" s="14" t="n">
        <x:v>15</x:v>
      </x:c>
      <x:c r="F432" s="14" t="str">
        <x:v>Black Ops</x:v>
      </x:c>
      <x:c r="G432" s="14" t="str">
        <x:v>tt15296862</x:v>
      </x:c>
      <x:c r="H432" s="14" t="n">
        <x:v>2023</x:v>
      </x:c>
      <x:c r="I432" s="14" t="n">
        <x:v>2025</x:v>
      </x:c>
      <x:c r="J432" s="14" t="str">
        <x:v>Post-study cohort</x:v>
      </x:c>
      <x:c r="K432" s="14" t="n">
        <x:v>2023</x:v>
      </x:c>
      <x:c r="L432" s="14" t="str">
        <x:v>Not inherited</x:v>
      </x:c>
      <x:c r="M432" s="15" t="n">
        <x:v>8</x:v>
      </x:c>
      <x:c r="N432" s="14" t="str">
        <x:v>Tom Bell</x:v>
      </x:c>
      <x:c r="O432" s="14" t="str">
        <x:v>nm2703676</x:v>
      </x:c>
      <x:c r="P432" s="14" t="str">
        <x:v>Alasdair Moss</x:v>
      </x:c>
      <x:c r="Q432" s="15" t="n">
        <x:v>5</x:v>
      </x:c>
      <x:c r="R432" s="14" t="str">
        <x:v>2026</x:v>
      </x:c>
      <x:c r="S432" s="14" t="n">
        <x:v>2026</x:v>
      </x:c>
      <x:c r="T432" s="14" t="n">
        <x:v>2026</x:v>
      </x:c>
      <x:c r="U432" s="14" t="str">
        <x:v>Explicit source first year retained</x:v>
      </x:c>
      <x:c r="V432" s="14" t="str">
        <x:v>Earliest supplied year is 2026.</x:v>
      </x:c>
      <x:c r="W432" s="14"/>
      <x:c r="X432" s="14" t="str">
        <x:v>Excluded: after 2025</x:v>
      </x:c>
      <x:c r="Y432" s="14"/>
      <x:c r="Z432" s="14" t="str">
        <x:v>Black Ops.docx</x:v>
      </x:c>
      <x:c r="AA432" s="14" t="str">
        <x:v>HYPERLINK is not implemented. linkLocation=https://www.imdb.com/title/tt15296862/fullcredits/, friendlyName=Open source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7" t="e">
        <x:f>HYPERLINK("https://en.wikipedia.org/wiki/Black_Ops","Open source")</x:f>
        <x:v>HYPERLINK is not implemented. linkLocation=https://en.wikipedia.org/wiki/Black_Ops, friendlyName=Open source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 t="str">
        <x:v>No established-register match</x:v>
      </x:c>
      <x:c r="AT432" s="14"/>
      <x:c r="AU432" s="14"/>
      <x:c r="AV432" s="14" t="str">
        <x:v>No established apparent-disability match</x:v>
      </x:c>
      <x:c r="AW432" s="14"/>
      <x:c r="AX432" s="14" t="str">
        <x:v>No</x:v>
      </x:c>
      <x:c r="AY432" s="14" t="str">
        <x:v>Unmatched</x:v>
      </x:c>
      <x:c r="AZ432" s="14" t="str">
        <x:v>Final supplied register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12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5</x:v>
      </x:c>
      <x:c r="BS432" s="16" t="n">
        <x:v>0.4166666666666667</x:v>
      </x:c>
      <x:c r="BT432" s="14" t="str">
        <x:v>Minority of episodes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4" t="str">
        <x:v>HYPERLINK is not implemented. linkLocation=https://www.imdb.com/title/tt15296862/fullcredits/, friendlyName=Open source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tt15296862|nm0879154|joanna fisher</x:v>
      </x:c>
      <x:c r="B433" s="14" t="str">
        <x:v>01</x:v>
      </x:c>
      <x:c r="C433" s="14" t="str">
        <x:v>2023_IMDb_Cast_Lists_Batch_01(2).xlsx</x:v>
      </x:c>
      <x:c r="D433" s="14" t="str">
        <x:v>Black Ops</x:v>
      </x:c>
      <x:c r="E433" s="14" t="n">
        <x:v>18</x:v>
      </x:c>
      <x:c r="F433" s="14" t="str">
        <x:v>Black Ops</x:v>
      </x:c>
      <x:c r="G433" s="14" t="str">
        <x:v>tt15296862</x:v>
      </x:c>
      <x:c r="H433" s="14" t="n">
        <x:v>2023</x:v>
      </x:c>
      <x:c r="I433" s="14" t="n">
        <x:v>2025</x:v>
      </x:c>
      <x:c r="J433" s="14" t="str">
        <x:v>Post-study cohort</x:v>
      </x:c>
      <x:c r="K433" s="14" t="n">
        <x:v>2023</x:v>
      </x:c>
      <x:c r="L433" s="14" t="str">
        <x:v>Not inherited</x:v>
      </x:c>
      <x:c r="M433" s="15" t="n">
        <x:v>11</x:v>
      </x:c>
      <x:c r="N433" s="14" t="str">
        <x:v>Cathy Tyson</x:v>
      </x:c>
      <x:c r="O433" s="14" t="str">
        <x:v>nm0879154</x:v>
      </x:c>
      <x:c r="P433" s="14" t="str">
        <x:v>Joanna Fisher</x:v>
      </x:c>
      <x:c r="Q433" s="15" t="n">
        <x:v>4</x:v>
      </x:c>
      <x:c r="R433" s="14" t="str">
        <x:v>2026</x:v>
      </x:c>
      <x:c r="S433" s="14" t="n">
        <x:v>2026</x:v>
      </x:c>
      <x:c r="T433" s="14" t="n">
        <x:v>2026</x:v>
      </x:c>
      <x:c r="U433" s="14" t="str">
        <x:v>Explicit source first year retained</x:v>
      </x:c>
      <x:c r="V433" s="14" t="str">
        <x:v>Earliest supplied year is 2026.</x:v>
      </x:c>
      <x:c r="W433" s="14"/>
      <x:c r="X433" s="14" t="str">
        <x:v>Excluded: after 2025</x:v>
      </x:c>
      <x:c r="Y433" s="14"/>
      <x:c r="Z433" s="14" t="str">
        <x:v>Black Ops.docx</x:v>
      </x:c>
      <x:c r="AA433" s="14" t="str">
        <x:v>HYPERLINK is not implemented. linkLocation=https://www.imdb.com/title/tt15296862/fullcredits/, friendlyName=Open source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7" t="e">
        <x:f>HYPERLINK("https://en.wikipedia.org/wiki/Black_Ops","Open source")</x:f>
        <x:v>HYPERLINK is not implemented. linkLocation=https://en.wikipedia.org/wiki/Black_Ops, friendlyName=Open source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 t="str">
        <x:v>No established-register match</x:v>
      </x:c>
      <x:c r="AT433" s="14"/>
      <x:c r="AU433" s="14"/>
      <x:c r="AV433" s="14" t="str">
        <x:v>No established apparent-disability match</x:v>
      </x:c>
      <x:c r="AW433" s="14"/>
      <x:c r="AX433" s="14" t="str">
        <x:v>No</x:v>
      </x:c>
      <x:c r="AY433" s="14" t="str">
        <x:v>Unmatched</x:v>
      </x:c>
      <x:c r="AZ433" s="14" t="str">
        <x:v>Final supplied register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12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4</x:v>
      </x:c>
      <x:c r="BS433" s="16" t="n">
        <x:v>0.3333333333333333</x:v>
      </x:c>
      <x:c r="BT433" s="14" t="str">
        <x:v>Minority of episodes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4" t="str">
        <x:v>HYPERLINK is not implemented. linkLocation=https://www.imdb.com/title/tt15296862/fullcredits/, friendlyName=Open source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tt15296862|nm2591562|mo the security guard</x:v>
      </x:c>
      <x:c r="B434" s="14" t="str">
        <x:v>01</x:v>
      </x:c>
      <x:c r="C434" s="14" t="str">
        <x:v>2023_IMDb_Cast_Lists_Batch_01(2).xlsx</x:v>
      </x:c>
      <x:c r="D434" s="14" t="str">
        <x:v>Black Ops</x:v>
      </x:c>
      <x:c r="E434" s="14" t="n">
        <x:v>19</x:v>
      </x:c>
      <x:c r="F434" s="14" t="str">
        <x:v>Black Ops</x:v>
      </x:c>
      <x:c r="G434" s="14" t="str">
        <x:v>tt15296862</x:v>
      </x:c>
      <x:c r="H434" s="14" t="n">
        <x:v>2023</x:v>
      </x:c>
      <x:c r="I434" s="14" t="n">
        <x:v>2025</x:v>
      </x:c>
      <x:c r="J434" s="14" t="str">
        <x:v>Post-study cohort</x:v>
      </x:c>
      <x:c r="K434" s="14" t="n">
        <x:v>2023</x:v>
      </x:c>
      <x:c r="L434" s="14" t="str">
        <x:v>Not inherited</x:v>
      </x:c>
      <x:c r="M434" s="15" t="n">
        <x:v>12</x:v>
      </x:c>
      <x:c r="N434" s="14" t="str">
        <x:v>Divian Ladwa</x:v>
      </x:c>
      <x:c r="O434" s="14" t="str">
        <x:v>nm2591562</x:v>
      </x:c>
      <x:c r="P434" s="14" t="str">
        <x:v>Mo the Security Guard</x:v>
      </x:c>
      <x:c r="Q434" s="15" t="n">
        <x:v>4</x:v>
      </x:c>
      <x:c r="R434" s="14" t="str">
        <x:v>2026</x:v>
      </x:c>
      <x:c r="S434" s="14" t="n">
        <x:v>2026</x:v>
      </x:c>
      <x:c r="T434" s="14" t="n">
        <x:v>2026</x:v>
      </x:c>
      <x:c r="U434" s="14" t="str">
        <x:v>Explicit source first year retained</x:v>
      </x:c>
      <x:c r="V434" s="14" t="str">
        <x:v>Earliest supplied year is 2026.</x:v>
      </x:c>
      <x:c r="W434" s="14"/>
      <x:c r="X434" s="14" t="str">
        <x:v>Excluded: after 2025</x:v>
      </x:c>
      <x:c r="Y434" s="14"/>
      <x:c r="Z434" s="14" t="str">
        <x:v>Black Ops.docx</x:v>
      </x:c>
      <x:c r="AA434" s="14" t="str">
        <x:v>HYPERLINK is not implemented. linkLocation=https://www.imdb.com/title/tt15296862/fullcredits/, friendlyName=Open source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7" t="e">
        <x:f>HYPERLINK("https://en.wikipedia.org/wiki/Black_Ops","Open source")</x:f>
        <x:v>HYPERLINK is not implemented. linkLocation=https://en.wikipedia.org/wiki/Black_Ops, friendlyName=Open source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 t="str">
        <x:v>No established-register match</x:v>
      </x:c>
      <x:c r="AT434" s="14"/>
      <x:c r="AU434" s="14"/>
      <x:c r="AV434" s="14" t="str">
        <x:v>No established apparent-disability match</x:v>
      </x:c>
      <x:c r="AW434" s="14"/>
      <x:c r="AX434" s="14" t="str">
        <x:v>No</x:v>
      </x:c>
      <x:c r="AY434" s="14" t="str">
        <x:v>Unmatched</x:v>
      </x:c>
      <x:c r="AZ434" s="14" t="str">
        <x:v>Final supplied register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12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4</x:v>
      </x:c>
      <x:c r="BS434" s="16" t="n">
        <x:v>0.3333333333333333</x:v>
      </x:c>
      <x:c r="BT434" s="14" t="str">
        <x:v>Minority of episodes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4" t="str">
        <x:v>HYPERLINK is not implemented. linkLocation=https://www.imdb.com/title/tt15296862/fullcredits/, friendlyName=Open source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tt15296862|nm0369814|gerald</x:v>
      </x:c>
      <x:c r="B435" s="14" t="str">
        <x:v>01</x:v>
      </x:c>
      <x:c r="C435" s="14" t="str">
        <x:v>2023_IMDb_Cast_Lists_Batch_01(2).xlsx</x:v>
      </x:c>
      <x:c r="D435" s="14" t="str">
        <x:v>Black Ops</x:v>
      </x:c>
      <x:c r="E435" s="14" t="n">
        <x:v>22</x:v>
      </x:c>
      <x:c r="F435" s="14" t="str">
        <x:v>Black Ops</x:v>
      </x:c>
      <x:c r="G435" s="14" t="str">
        <x:v>tt15296862</x:v>
      </x:c>
      <x:c r="H435" s="14" t="n">
        <x:v>2023</x:v>
      </x:c>
      <x:c r="I435" s="14" t="n">
        <x:v>2025</x:v>
      </x:c>
      <x:c r="J435" s="14" t="str">
        <x:v>Post-study cohort</x:v>
      </x:c>
      <x:c r="K435" s="14" t="n">
        <x:v>2023</x:v>
      </x:c>
      <x:c r="L435" s="14" t="str">
        <x:v>Not inherited</x:v>
      </x:c>
      <x:c r="M435" s="15" t="n">
        <x:v>15</x:v>
      </x:c>
      <x:c r="N435" s="14" t="str">
        <x:v>Nigel Havers</x:v>
      </x:c>
      <x:c r="O435" s="14" t="str">
        <x:v>nm0369814</x:v>
      </x:c>
      <x:c r="P435" s="14" t="str">
        <x:v>Gerald</x:v>
      </x:c>
      <x:c r="Q435" s="15" t="n">
        <x:v>3</x:v>
      </x:c>
      <x:c r="R435" s="14" t="str">
        <x:v>2026</x:v>
      </x:c>
      <x:c r="S435" s="14" t="n">
        <x:v>2026</x:v>
      </x:c>
      <x:c r="T435" s="14" t="n">
        <x:v>2026</x:v>
      </x:c>
      <x:c r="U435" s="14" t="str">
        <x:v>Explicit source first year retained</x:v>
      </x:c>
      <x:c r="V435" s="14" t="str">
        <x:v>Earliest supplied year is 2026.</x:v>
      </x:c>
      <x:c r="W435" s="14"/>
      <x:c r="X435" s="14" t="str">
        <x:v>Excluded: after 2025</x:v>
      </x:c>
      <x:c r="Y435" s="14"/>
      <x:c r="Z435" s="14" t="str">
        <x:v>Black Ops.docx</x:v>
      </x:c>
      <x:c r="AA435" s="14" t="str">
        <x:v>HYPERLINK is not implemented. linkLocation=https://www.imdb.com/title/tt15296862/fullcredits/, friendlyName=Open source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7" t="e">
        <x:f>HYPERLINK("https://en.wikipedia.org/wiki/Black_Ops","Open source")</x:f>
        <x:v>HYPERLINK is not implemented. linkLocation=https://en.wikipedia.org/wiki/Black_Ops, friendlyName=Open source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 t="str">
        <x:v>No established-register match</x:v>
      </x:c>
      <x:c r="AT435" s="14"/>
      <x:c r="AU435" s="14"/>
      <x:c r="AV435" s="14" t="str">
        <x:v>No established apparent-disability match</x:v>
      </x:c>
      <x:c r="AW435" s="14"/>
      <x:c r="AX435" s="14" t="str">
        <x:v>No</x:v>
      </x:c>
      <x:c r="AY435" s="14" t="str">
        <x:v>Unmatched</x:v>
      </x:c>
      <x:c r="AZ435" s="14" t="str">
        <x:v>Final supplied register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12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3</x:v>
      </x:c>
      <x:c r="BS435" s="16" t="n">
        <x:v>0.25</x:v>
      </x:c>
      <x:c r="BT435" s="14" t="str">
        <x:v>Minority of episodes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4" t="str">
        <x:v>HYPERLINK is not implemented. linkLocation=https://www.imdb.com/title/tt15296862/fullcredits/, friendlyName=Open source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tt15296862|nm0166420|graham roberts</x:v>
      </x:c>
      <x:c r="B436" s="14" t="str">
        <x:v>01</x:v>
      </x:c>
      <x:c r="C436" s="14" t="str">
        <x:v>2023_IMDb_Cast_Lists_Batch_01(2).xlsx</x:v>
      </x:c>
      <x:c r="D436" s="14" t="str">
        <x:v>Black Ops</x:v>
      </x:c>
      <x:c r="E436" s="14" t="n">
        <x:v>23</x:v>
      </x:c>
      <x:c r="F436" s="14" t="str">
        <x:v>Black Ops</x:v>
      </x:c>
      <x:c r="G436" s="14" t="str">
        <x:v>tt15296862</x:v>
      </x:c>
      <x:c r="H436" s="14" t="n">
        <x:v>2023</x:v>
      </x:c>
      <x:c r="I436" s="14" t="n">
        <x:v>2025</x:v>
      </x:c>
      <x:c r="J436" s="14" t="str">
        <x:v>Post-study cohort</x:v>
      </x:c>
      <x:c r="K436" s="14" t="n">
        <x:v>2023</x:v>
      </x:c>
      <x:c r="L436" s="14" t="str">
        <x:v>Not inherited</x:v>
      </x:c>
      <x:c r="M436" s="15" t="n">
        <x:v>16</x:v>
      </x:c>
      <x:c r="N436" s="14" t="str">
        <x:v>Cavan Clerkin</x:v>
      </x:c>
      <x:c r="O436" s="14" t="str">
        <x:v>nm0166420</x:v>
      </x:c>
      <x:c r="P436" s="14" t="str">
        <x:v>Graham Roberts</x:v>
      </x:c>
      <x:c r="Q436" s="15" t="n">
        <x:v>3</x:v>
      </x:c>
      <x:c r="R436" s="14" t="str">
        <x:v>2026</x:v>
      </x:c>
      <x:c r="S436" s="14" t="n">
        <x:v>2026</x:v>
      </x:c>
      <x:c r="T436" s="14" t="n">
        <x:v>2026</x:v>
      </x:c>
      <x:c r="U436" s="14" t="str">
        <x:v>Explicit source first year retained</x:v>
      </x:c>
      <x:c r="V436" s="14" t="str">
        <x:v>Earliest supplied year is 2026.</x:v>
      </x:c>
      <x:c r="W436" s="14"/>
      <x:c r="X436" s="14" t="str">
        <x:v>Excluded: after 2025</x:v>
      </x:c>
      <x:c r="Y436" s="14"/>
      <x:c r="Z436" s="14" t="str">
        <x:v>Black Ops.docx</x:v>
      </x:c>
      <x:c r="AA436" s="14" t="str">
        <x:v>HYPERLINK is not implemented. linkLocation=https://www.imdb.com/title/tt15296862/fullcredits/, friendlyName=Open source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7" t="e">
        <x:f>HYPERLINK("https://en.wikipedia.org/wiki/Black_Ops","Open source")</x:f>
        <x:v>HYPERLINK is not implemented. linkLocation=https://en.wikipedia.org/wiki/Black_Ops, friendlyName=Open source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 t="str">
        <x:v>No established-register match</x:v>
      </x:c>
      <x:c r="AT436" s="14"/>
      <x:c r="AU436" s="14"/>
      <x:c r="AV436" s="14" t="str">
        <x:v>No established apparent-disability match</x:v>
      </x:c>
      <x:c r="AW436" s="14"/>
      <x:c r="AX436" s="14" t="str">
        <x:v>No</x:v>
      </x:c>
      <x:c r="AY436" s="14" t="str">
        <x:v>Unmatched</x:v>
      </x:c>
      <x:c r="AZ436" s="14" t="str">
        <x:v>Final supplied register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12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3</x:v>
      </x:c>
      <x:c r="BS436" s="16" t="n">
        <x:v>0.25</x:v>
      </x:c>
      <x:c r="BT436" s="14" t="str">
        <x:v>Minority of episodes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4" t="str">
        <x:v>HYPERLINK is not implemented. linkLocation=https://www.imdb.com/title/tt15296862/fullcredits/, friendlyName=Open source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tt15296862|nm1377178|dave</x:v>
      </x:c>
      <x:c r="B437" s="14" t="str">
        <x:v>01</x:v>
      </x:c>
      <x:c r="C437" s="14" t="str">
        <x:v>2023_IMDb_Cast_Lists_Batch_01(2).xlsx</x:v>
      </x:c>
      <x:c r="D437" s="14" t="str">
        <x:v>Black Ops</x:v>
      </x:c>
      <x:c r="E437" s="14" t="n">
        <x:v>24</x:v>
      </x:c>
      <x:c r="F437" s="14" t="str">
        <x:v>Black Ops</x:v>
      </x:c>
      <x:c r="G437" s="14" t="str">
        <x:v>tt15296862</x:v>
      </x:c>
      <x:c r="H437" s="14" t="n">
        <x:v>2023</x:v>
      </x:c>
      <x:c r="I437" s="14" t="n">
        <x:v>2025</x:v>
      </x:c>
      <x:c r="J437" s="14" t="str">
        <x:v>Post-study cohort</x:v>
      </x:c>
      <x:c r="K437" s="14" t="n">
        <x:v>2023</x:v>
      </x:c>
      <x:c r="L437" s="14" t="str">
        <x:v>Not inherited</x:v>
      </x:c>
      <x:c r="M437" s="15" t="n">
        <x:v>17</x:v>
      </x:c>
      <x:c r="N437" s="14" t="str">
        <x:v>Bruce Mackinnon</x:v>
      </x:c>
      <x:c r="O437" s="14" t="str">
        <x:v>nm1377178</x:v>
      </x:c>
      <x:c r="P437" s="14" t="str">
        <x:v>Dave</x:v>
      </x:c>
      <x:c r="Q437" s="15" t="n">
        <x:v>3</x:v>
      </x:c>
      <x:c r="R437" s="14" t="str">
        <x:v>2026</x:v>
      </x:c>
      <x:c r="S437" s="14" t="n">
        <x:v>2026</x:v>
      </x:c>
      <x:c r="T437" s="14" t="n">
        <x:v>2026</x:v>
      </x:c>
      <x:c r="U437" s="14" t="str">
        <x:v>Explicit source first year retained</x:v>
      </x:c>
      <x:c r="V437" s="14" t="str">
        <x:v>Earliest supplied year is 2026.</x:v>
      </x:c>
      <x:c r="W437" s="14"/>
      <x:c r="X437" s="14" t="str">
        <x:v>Excluded: after 2025</x:v>
      </x:c>
      <x:c r="Y437" s="14"/>
      <x:c r="Z437" s="14" t="str">
        <x:v>Black Ops.docx</x:v>
      </x:c>
      <x:c r="AA437" s="14" t="str">
        <x:v>HYPERLINK is not implemented. linkLocation=https://www.imdb.com/title/tt15296862/fullcredits/, friendlyName=Open source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7" t="e">
        <x:f>HYPERLINK("https://en.wikipedia.org/wiki/Black_Ops","Open source")</x:f>
        <x:v>HYPERLINK is not implemented. linkLocation=https://en.wikipedia.org/wiki/Black_Ops, friendlyName=Open source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 t="str">
        <x:v>No established-register match</x:v>
      </x:c>
      <x:c r="AT437" s="14"/>
      <x:c r="AU437" s="14"/>
      <x:c r="AV437" s="14" t="str">
        <x:v>No established apparent-disability match</x:v>
      </x:c>
      <x:c r="AW437" s="14"/>
      <x:c r="AX437" s="14" t="str">
        <x:v>No</x:v>
      </x:c>
      <x:c r="AY437" s="14" t="str">
        <x:v>Unmatched</x:v>
      </x:c>
      <x:c r="AZ437" s="14" t="str">
        <x:v>Final supplied register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12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3</x:v>
      </x:c>
      <x:c r="BS437" s="16" t="n">
        <x:v>0.25</x:v>
      </x:c>
      <x:c r="BT437" s="14" t="str">
        <x:v>Minority of episodes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4" t="str">
        <x:v>HYPERLINK is not implemented. linkLocation=https://www.imdb.com/title/tt15296862/fullcredits/, friendlyName=Open source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tt15296862|nm4494491|tom howell</x:v>
      </x:c>
      <x:c r="B438" s="14" t="str">
        <x:v>01</x:v>
      </x:c>
      <x:c r="C438" s="14" t="str">
        <x:v>2023_IMDb_Cast_Lists_Batch_01(2).xlsx</x:v>
      </x:c>
      <x:c r="D438" s="14" t="str">
        <x:v>Black Ops</x:v>
      </x:c>
      <x:c r="E438" s="14" t="n">
        <x:v>25</x:v>
      </x:c>
      <x:c r="F438" s="14" t="str">
        <x:v>Black Ops</x:v>
      </x:c>
      <x:c r="G438" s="14" t="str">
        <x:v>tt15296862</x:v>
      </x:c>
      <x:c r="H438" s="14" t="n">
        <x:v>2023</x:v>
      </x:c>
      <x:c r="I438" s="14" t="n">
        <x:v>2025</x:v>
      </x:c>
      <x:c r="J438" s="14" t="str">
        <x:v>Post-study cohort</x:v>
      </x:c>
      <x:c r="K438" s="14" t="n">
        <x:v>2023</x:v>
      </x:c>
      <x:c r="L438" s="14" t="str">
        <x:v>Not inherited</x:v>
      </x:c>
      <x:c r="M438" s="15" t="n">
        <x:v>18</x:v>
      </x:c>
      <x:c r="N438" s="14" t="str">
        <x:v>Tom Stourton</x:v>
      </x:c>
      <x:c r="O438" s="14" t="str">
        <x:v>nm4494491</x:v>
      </x:c>
      <x:c r="P438" s="14" t="str">
        <x:v>Tom Howell</x:v>
      </x:c>
      <x:c r="Q438" s="15" t="n">
        <x:v>3</x:v>
      </x:c>
      <x:c r="R438" s="14" t="str">
        <x:v>2026</x:v>
      </x:c>
      <x:c r="S438" s="14" t="n">
        <x:v>2026</x:v>
      </x:c>
      <x:c r="T438" s="14" t="n">
        <x:v>2026</x:v>
      </x:c>
      <x:c r="U438" s="14" t="str">
        <x:v>Explicit source first year retained</x:v>
      </x:c>
      <x:c r="V438" s="14" t="str">
        <x:v>Earliest supplied year is 2026.</x:v>
      </x:c>
      <x:c r="W438" s="14"/>
      <x:c r="X438" s="14" t="str">
        <x:v>Excluded: after 2025</x:v>
      </x:c>
      <x:c r="Y438" s="14"/>
      <x:c r="Z438" s="14" t="str">
        <x:v>Black Ops.docx</x:v>
      </x:c>
      <x:c r="AA438" s="14" t="str">
        <x:v>HYPERLINK is not implemented. linkLocation=https://www.imdb.com/title/tt15296862/fullcredits/, friendlyName=Open source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7" t="e">
        <x:f>HYPERLINK("https://en.wikipedia.org/wiki/Black_Ops","Open source")</x:f>
        <x:v>HYPERLINK is not implemented. linkLocation=https://en.wikipedia.org/wiki/Black_Ops, friendlyName=Open source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 t="str">
        <x:v>No established-register match</x:v>
      </x:c>
      <x:c r="AT438" s="14"/>
      <x:c r="AU438" s="14"/>
      <x:c r="AV438" s="14" t="str">
        <x:v>No established apparent-disability match</x:v>
      </x:c>
      <x:c r="AW438" s="14"/>
      <x:c r="AX438" s="14" t="str">
        <x:v>No</x:v>
      </x:c>
      <x:c r="AY438" s="14" t="str">
        <x:v>Unmatched</x:v>
      </x:c>
      <x:c r="AZ438" s="14" t="str">
        <x:v>Final supplied register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12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3</x:v>
      </x:c>
      <x:c r="BS438" s="16" t="n">
        <x:v>0.25</x:v>
      </x:c>
      <x:c r="BT438" s="14" t="str">
        <x:v>Minority of episodes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4" t="str">
        <x:v>HYPERLINK is not implemented. linkLocation=https://www.imdb.com/title/tt15296862/fullcredits/, friendlyName=Open source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tt15296862|nm3174284|bloke</x:v>
      </x:c>
      <x:c r="B439" s="14" t="str">
        <x:v>01</x:v>
      </x:c>
      <x:c r="C439" s="14" t="str">
        <x:v>2023_IMDb_Cast_Lists_Batch_01(2).xlsx</x:v>
      </x:c>
      <x:c r="D439" s="14" t="str">
        <x:v>Black Ops</x:v>
      </x:c>
      <x:c r="E439" s="14" t="n">
        <x:v>27</x:v>
      </x:c>
      <x:c r="F439" s="14" t="str">
        <x:v>Black Ops</x:v>
      </x:c>
      <x:c r="G439" s="14" t="str">
        <x:v>tt15296862</x:v>
      </x:c>
      <x:c r="H439" s="14" t="n">
        <x:v>2023</x:v>
      </x:c>
      <x:c r="I439" s="14" t="n">
        <x:v>2025</x:v>
      </x:c>
      <x:c r="J439" s="14" t="str">
        <x:v>Post-study cohort</x:v>
      </x:c>
      <x:c r="K439" s="14" t="n">
        <x:v>2023</x:v>
      </x:c>
      <x:c r="L439" s="14" t="str">
        <x:v>Not inherited</x:v>
      </x:c>
      <x:c r="M439" s="15" t="n">
        <x:v>20</x:v>
      </x:c>
      <x:c r="N439" s="14" t="str">
        <x:v>Dean Kilbey</x:v>
      </x:c>
      <x:c r="O439" s="14" t="str">
        <x:v>nm3174284</x:v>
      </x:c>
      <x:c r="P439" s="14" t="str">
        <x:v>Bloke</x:v>
      </x:c>
      <x:c r="Q439" s="15" t="n">
        <x:v>3</x:v>
      </x:c>
      <x:c r="R439" s="14" t="str">
        <x:v>2026</x:v>
      </x:c>
      <x:c r="S439" s="14" t="n">
        <x:v>2026</x:v>
      </x:c>
      <x:c r="T439" s="14" t="n">
        <x:v>2026</x:v>
      </x:c>
      <x:c r="U439" s="14" t="str">
        <x:v>Explicit source first year retained</x:v>
      </x:c>
      <x:c r="V439" s="14" t="str">
        <x:v>Earliest supplied year is 2026.</x:v>
      </x:c>
      <x:c r="W439" s="14"/>
      <x:c r="X439" s="14" t="str">
        <x:v>Excluded: after 2025</x:v>
      </x:c>
      <x:c r="Y439" s="14"/>
      <x:c r="Z439" s="14" t="str">
        <x:v>Black Ops.docx</x:v>
      </x:c>
      <x:c r="AA439" s="14" t="str">
        <x:v>HYPERLINK is not implemented. linkLocation=https://www.imdb.com/title/tt15296862/fullcredits/, friendlyName=Open source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7" t="e">
        <x:f>HYPERLINK("https://en.wikipedia.org/wiki/Black_Ops","Open source")</x:f>
        <x:v>HYPERLINK is not implemented. linkLocation=https://en.wikipedia.org/wiki/Black_Ops, friendlyName=Open source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 t="str">
        <x:v>No established-register match</x:v>
      </x:c>
      <x:c r="AT439" s="14"/>
      <x:c r="AU439" s="14"/>
      <x:c r="AV439" s="14" t="str">
        <x:v>No established apparent-disability match</x:v>
      </x:c>
      <x:c r="AW439" s="14"/>
      <x:c r="AX439" s="14" t="str">
        <x:v>No</x:v>
      </x:c>
      <x:c r="AY439" s="14" t="str">
        <x:v>Unmatched</x:v>
      </x:c>
      <x:c r="AZ439" s="14" t="str">
        <x:v>Final supplied register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12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3</x:v>
      </x:c>
      <x:c r="BS439" s="16" t="n">
        <x:v>0.25</x:v>
      </x:c>
      <x:c r="BT439" s="14" t="str">
        <x:v>Minority of episodes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4" t="str">
        <x:v>HYPERLINK is not implemented. linkLocation=https://www.imdb.com/title/tt15296862/fullcredits/, friendlyName=Open source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tt15296862|nm4424186|t'nisha</x:v>
      </x:c>
      <x:c r="B440" s="14" t="str">
        <x:v>01</x:v>
      </x:c>
      <x:c r="C440" s="14" t="str">
        <x:v>2023_IMDb_Cast_Lists_Batch_01(2).xlsx</x:v>
      </x:c>
      <x:c r="D440" s="14" t="str">
        <x:v>Black Ops</x:v>
      </x:c>
      <x:c r="E440" s="14" t="n">
        <x:v>31</x:v>
      </x:c>
      <x:c r="F440" s="14" t="str">
        <x:v>Black Ops</x:v>
      </x:c>
      <x:c r="G440" s="14" t="str">
        <x:v>tt15296862</x:v>
      </x:c>
      <x:c r="H440" s="14" t="n">
        <x:v>2023</x:v>
      </x:c>
      <x:c r="I440" s="14" t="n">
        <x:v>2025</x:v>
      </x:c>
      <x:c r="J440" s="14" t="str">
        <x:v>Post-study cohort</x:v>
      </x:c>
      <x:c r="K440" s="14" t="n">
        <x:v>2023</x:v>
      </x:c>
      <x:c r="L440" s="14" t="str">
        <x:v>Not inherited</x:v>
      </x:c>
      <x:c r="M440" s="15" t="n">
        <x:v>24</x:v>
      </x:c>
      <x:c r="N440" s="14" t="str">
        <x:v>Sapphire Joy</x:v>
      </x:c>
      <x:c r="O440" s="14" t="str">
        <x:v>nm4424186</x:v>
      </x:c>
      <x:c r="P440" s="14" t="str">
        <x:v>T'Nisha</x:v>
      </x:c>
      <x:c r="Q440" s="15" t="n">
        <x:v>2</x:v>
      </x:c>
      <x:c r="R440" s="14" t="str">
        <x:v>2026</x:v>
      </x:c>
      <x:c r="S440" s="14" t="n">
        <x:v>2026</x:v>
      </x:c>
      <x:c r="T440" s="14" t="n">
        <x:v>2026</x:v>
      </x:c>
      <x:c r="U440" s="14" t="str">
        <x:v>Explicit source first year retained</x:v>
      </x:c>
      <x:c r="V440" s="14" t="str">
        <x:v>Earliest supplied year is 2026.</x:v>
      </x:c>
      <x:c r="W440" s="14"/>
      <x:c r="X440" s="14" t="str">
        <x:v>Excluded: after 2025</x:v>
      </x:c>
      <x:c r="Y440" s="14"/>
      <x:c r="Z440" s="14" t="str">
        <x:v>Black Ops.docx</x:v>
      </x:c>
      <x:c r="AA440" s="14" t="str">
        <x:v>HYPERLINK is not implemented. linkLocation=https://www.imdb.com/title/tt15296862/fullcredits/, friendlyName=Open source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7" t="e">
        <x:f>HYPERLINK("https://en.wikipedia.org/wiki/Black_Ops","Open source")</x:f>
        <x:v>HYPERLINK is not implemented. linkLocation=https://en.wikipedia.org/wiki/Black_Ops, friendlyName=Open source</x:v>
      </x:c>
      <x:c r="AN440" s="14" t="str">
        <x:v>BBC public-service 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 t="str">
        <x:v>No established-register match</x:v>
      </x:c>
      <x:c r="AT440" s="14"/>
      <x:c r="AU440" s="14"/>
      <x:c r="AV440" s="14" t="str">
        <x:v>No established apparent-disability match</x:v>
      </x:c>
      <x:c r="AW440" s="14"/>
      <x:c r="AX440" s="14" t="str">
        <x:v>No</x:v>
      </x:c>
      <x:c r="AY440" s="14" t="str">
        <x:v>Unmatched</x:v>
      </x:c>
      <x:c r="AZ440" s="14" t="str">
        <x:v>Final supplied register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2</x:v>
      </x:c>
      <x:c r="BS440" s="16" t="n">
        <x:v>0.16666666666666666</x:v>
      </x:c>
      <x:c r="BT440" s="14" t="str">
        <x:v>Minority of episodes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4" t="str">
        <x:v>HYPERLINK is not implemented. linkLocation=https://www.imdb.com/title/tt15296862/fullcredits/, friendlyName=Open source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tt15296862|nm0912039|debra</x:v>
      </x:c>
      <x:c r="B441" s="14" t="str">
        <x:v>01</x:v>
      </x:c>
      <x:c r="C441" s="14" t="str">
        <x:v>2023_IMDb_Cast_Lists_Batch_01(2).xlsx</x:v>
      </x:c>
      <x:c r="D441" s="14" t="str">
        <x:v>Black Ops</x:v>
      </x:c>
      <x:c r="E441" s="14" t="n">
        <x:v>32</x:v>
      </x:c>
      <x:c r="F441" s="14" t="str">
        <x:v>Black Ops</x:v>
      </x:c>
      <x:c r="G441" s="14" t="str">
        <x:v>tt15296862</x:v>
      </x:c>
      <x:c r="H441" s="14" t="n">
        <x:v>2023</x:v>
      </x:c>
      <x:c r="I441" s="14" t="n">
        <x:v>2025</x:v>
      </x:c>
      <x:c r="J441" s="14" t="str">
        <x:v>Post-study cohort</x:v>
      </x:c>
      <x:c r="K441" s="14" t="n">
        <x:v>2023</x:v>
      </x:c>
      <x:c r="L441" s="14" t="str">
        <x:v>Not inherited</x:v>
      </x:c>
      <x:c r="M441" s="15" t="n">
        <x:v>25</x:v>
      </x:c>
      <x:c r="N441" s="14" t="str">
        <x:v>Gemma Wardle</x:v>
      </x:c>
      <x:c r="O441" s="14" t="str">
        <x:v>nm0912039</x:v>
      </x:c>
      <x:c r="P441" s="14" t="str">
        <x:v>Debra</x:v>
      </x:c>
      <x:c r="Q441" s="15" t="n">
        <x:v>2</x:v>
      </x:c>
      <x:c r="R441" s="14" t="str">
        <x:v>2026</x:v>
      </x:c>
      <x:c r="S441" s="14" t="n">
        <x:v>2026</x:v>
      </x:c>
      <x:c r="T441" s="14" t="n">
        <x:v>2026</x:v>
      </x:c>
      <x:c r="U441" s="14" t="str">
        <x:v>Explicit source first year retained</x:v>
      </x:c>
      <x:c r="V441" s="14" t="str">
        <x:v>Earliest supplied year is 2026.</x:v>
      </x:c>
      <x:c r="W441" s="14"/>
      <x:c r="X441" s="14" t="str">
        <x:v>Excluded: after 2025</x:v>
      </x:c>
      <x:c r="Y441" s="14"/>
      <x:c r="Z441" s="14" t="str">
        <x:v>Black Ops.docx</x:v>
      </x:c>
      <x:c r="AA441" s="14" t="str">
        <x:v>HYPERLINK is not implemented. linkLocation=https://www.imdb.com/title/tt15296862/fullcredits/, friendlyName=Open source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7" t="e">
        <x:f>HYPERLINK("https://en.wikipedia.org/wiki/Black_Ops","Open source")</x:f>
        <x:v>HYPERLINK is not implemented. linkLocation=https://en.wikipedia.org/wiki/Black_Ops, friendlyName=Open source</x:v>
      </x:c>
      <x:c r="AN441" s="14" t="str">
        <x:v>BBC public-service 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 t="str">
        <x:v>No established-register match</x:v>
      </x:c>
      <x:c r="AT441" s="14"/>
      <x:c r="AU441" s="14"/>
      <x:c r="AV441" s="14" t="str">
        <x:v>No established apparent-disability match</x:v>
      </x:c>
      <x:c r="AW441" s="14"/>
      <x:c r="AX441" s="14" t="str">
        <x:v>No</x:v>
      </x:c>
      <x:c r="AY441" s="14" t="str">
        <x:v>Unmatched</x:v>
      </x:c>
      <x:c r="AZ441" s="14" t="str">
        <x:v>Final supplied register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2</x:v>
      </x:c>
      <x:c r="BS441" s="16" t="n">
        <x:v>0.16666666666666666</x:v>
      </x:c>
      <x:c r="BT441" s="14" t="str">
        <x:v>Minority of episodes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4" t="str">
        <x:v>HYPERLINK is not implemented. linkLocation=https://www.imdb.com/title/tt15296862/fullcredits/, friendlyName=Open source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tt15296862|nm14959688|yas</x:v>
      </x:c>
      <x:c r="B442" s="14" t="str">
        <x:v>01</x:v>
      </x:c>
      <x:c r="C442" s="14" t="str">
        <x:v>2023_IMDb_Cast_Lists_Batch_01(2).xlsx</x:v>
      </x:c>
      <x:c r="D442" s="14" t="str">
        <x:v>Black Ops</x:v>
      </x:c>
      <x:c r="E442" s="14" t="n">
        <x:v>33</x:v>
      </x:c>
      <x:c r="F442" s="14" t="str">
        <x:v>Black Ops</x:v>
      </x:c>
      <x:c r="G442" s="14" t="str">
        <x:v>tt15296862</x:v>
      </x:c>
      <x:c r="H442" s="14" t="n">
        <x:v>2023</x:v>
      </x:c>
      <x:c r="I442" s="14" t="n">
        <x:v>2025</x:v>
      </x:c>
      <x:c r="J442" s="14" t="str">
        <x:v>Post-study cohort</x:v>
      </x:c>
      <x:c r="K442" s="14" t="n">
        <x:v>2023</x:v>
      </x:c>
      <x:c r="L442" s="14" t="str">
        <x:v>Not inherited</x:v>
      </x:c>
      <x:c r="M442" s="15" t="n">
        <x:v>26</x:v>
      </x:c>
      <x:c r="N442" s="14" t="str">
        <x:v>Tiwa Lade</x:v>
      </x:c>
      <x:c r="O442" s="14" t="str">
        <x:v>nm14959688</x:v>
      </x:c>
      <x:c r="P442" s="14" t="str">
        <x:v>Yas</x:v>
      </x:c>
      <x:c r="Q442" s="15" t="n">
        <x:v>2</x:v>
      </x:c>
      <x:c r="R442" s="14" t="str">
        <x:v>2026</x:v>
      </x:c>
      <x:c r="S442" s="14" t="n">
        <x:v>2026</x:v>
      </x:c>
      <x:c r="T442" s="14" t="n">
        <x:v>2026</x:v>
      </x:c>
      <x:c r="U442" s="14" t="str">
        <x:v>Explicit source first year retained</x:v>
      </x:c>
      <x:c r="V442" s="14" t="str">
        <x:v>Earliest supplied year is 2026.</x:v>
      </x:c>
      <x:c r="W442" s="14"/>
      <x:c r="X442" s="14" t="str">
        <x:v>Excluded: after 2025</x:v>
      </x:c>
      <x:c r="Y442" s="14"/>
      <x:c r="Z442" s="14" t="str">
        <x:v>Black Ops.docx</x:v>
      </x:c>
      <x:c r="AA442" s="14" t="str">
        <x:v>HYPERLINK is not implemented. linkLocation=https://www.imdb.com/title/tt15296862/fullcredits/, friendlyName=Open source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7" t="e">
        <x:f>HYPERLINK("https://en.wikipedia.org/wiki/Black_Ops","Open source")</x:f>
        <x:v>HYPERLINK is not implemented. linkLocation=https://en.wikipedia.org/wiki/Black_Ops, friendlyName=Open source</x:v>
      </x:c>
      <x:c r="AN442" s="14" t="str">
        <x:v>BBC public-service 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 t="str">
        <x:v>No established-register match</x:v>
      </x:c>
      <x:c r="AT442" s="14"/>
      <x:c r="AU442" s="14"/>
      <x:c r="AV442" s="14" t="str">
        <x:v>No established apparent-disability match</x:v>
      </x:c>
      <x:c r="AW442" s="14"/>
      <x:c r="AX442" s="14" t="str">
        <x:v>No</x:v>
      </x:c>
      <x:c r="AY442" s="14" t="str">
        <x:v>Unmatched</x:v>
      </x:c>
      <x:c r="AZ442" s="14" t="str">
        <x:v>Final supplied register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2</x:v>
      </x:c>
      <x:c r="BS442" s="16" t="n">
        <x:v>0.16666666666666666</x:v>
      </x:c>
      <x:c r="BT442" s="14" t="str">
        <x:v>Minority of episodes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4" t="str">
        <x:v>HYPERLINK is not implemented. linkLocation=https://www.imdb.com/title/tt15296862/fullcredits/, friendlyName=Open source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tt15296862|nm7987240|indigo</x:v>
      </x:c>
      <x:c r="B443" s="14" t="str">
        <x:v>01</x:v>
      </x:c>
      <x:c r="C443" s="14" t="str">
        <x:v>2023_IMDb_Cast_Lists_Batch_01(2).xlsx</x:v>
      </x:c>
      <x:c r="D443" s="14" t="str">
        <x:v>Black Ops</x:v>
      </x:c>
      <x:c r="E443" s="14" t="n">
        <x:v>47</x:v>
      </x:c>
      <x:c r="F443" s="14" t="str">
        <x:v>Black Ops</x:v>
      </x:c>
      <x:c r="G443" s="14" t="str">
        <x:v>tt15296862</x:v>
      </x:c>
      <x:c r="H443" s="14" t="n">
        <x:v>2023</x:v>
      </x:c>
      <x:c r="I443" s="14" t="n">
        <x:v>2025</x:v>
      </x:c>
      <x:c r="J443" s="14" t="str">
        <x:v>Post-study cohort</x:v>
      </x:c>
      <x:c r="K443" s="14" t="n">
        <x:v>2023</x:v>
      </x:c>
      <x:c r="L443" s="14" t="str">
        <x:v>Not inherited</x:v>
      </x:c>
      <x:c r="M443" s="15" t="n">
        <x:v>40</x:v>
      </x:c>
      <x:c r="N443" s="14" t="str">
        <x:v>Lee Comley</x:v>
      </x:c>
      <x:c r="O443" s="14" t="str">
        <x:v>nm7987240</x:v>
      </x:c>
      <x:c r="P443" s="14" t="str">
        <x:v>Indigo</x:v>
      </x:c>
      <x:c r="Q443" s="15" t="n">
        <x:v>1</x:v>
      </x:c>
      <x:c r="R443" s="14" t="str">
        <x:v>2026</x:v>
      </x:c>
      <x:c r="S443" s="14" t="n">
        <x:v>2026</x:v>
      </x:c>
      <x:c r="T443" s="14" t="n">
        <x:v>2026</x:v>
      </x:c>
      <x:c r="U443" s="14" t="str">
        <x:v>Explicit source first year retained</x:v>
      </x:c>
      <x:c r="V443" s="14" t="str">
        <x:v>Earliest supplied year is 2026.</x:v>
      </x:c>
      <x:c r="W443" s="14"/>
      <x:c r="X443" s="14" t="str">
        <x:v>Excluded: after 2025</x:v>
      </x:c>
      <x:c r="Y443" s="14"/>
      <x:c r="Z443" s="14" t="str">
        <x:v>Black Ops.docx</x:v>
      </x:c>
      <x:c r="AA443" s="14" t="str">
        <x:v>HYPERLINK is not implemented. linkLocation=https://www.imdb.com/title/tt15296862/fullcredits/, friendlyName=Open source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7" t="e">
        <x:f>HYPERLINK("https://en.wikipedia.org/wiki/Black_Ops","Open source")</x:f>
        <x:v>HYPERLINK is not implemented. linkLocation=https://en.wikipedia.org/wiki/Black_Ops, friendlyName=Open source</x:v>
      </x:c>
      <x:c r="AN443" s="14" t="str">
        <x:v>BBC public-service 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 t="str">
        <x:v>No established-register match</x:v>
      </x:c>
      <x:c r="AT443" s="14"/>
      <x:c r="AU443" s="14"/>
      <x:c r="AV443" s="14" t="str">
        <x:v>No established apparent-disability match</x:v>
      </x:c>
      <x:c r="AW443" s="14"/>
      <x:c r="AX443" s="14" t="str">
        <x:v>No</x:v>
      </x:c>
      <x:c r="AY443" s="14" t="str">
        <x:v>Unmatched</x:v>
      </x:c>
      <x:c r="AZ443" s="14" t="str">
        <x:v>Final supplied register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1</x:v>
      </x:c>
      <x:c r="BS443" s="16" t="n">
        <x:v>0.08333333333333333</x:v>
      </x:c>
      <x:c r="BT443" s="14" t="str">
        <x:v>One episode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4" t="str">
        <x:v>HYPERLINK is not implemented. linkLocation=https://www.imdb.com/title/tt15296862/fullcredits/, friendlyName=Open source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tt15296862|nm16217377|crabs</x:v>
      </x:c>
      <x:c r="B444" s="14" t="str">
        <x:v>01</x:v>
      </x:c>
      <x:c r="C444" s="14" t="str">
        <x:v>2023_IMDb_Cast_Lists_Batch_01(2).xlsx</x:v>
      </x:c>
      <x:c r="D444" s="14" t="str">
        <x:v>Black Ops</x:v>
      </x:c>
      <x:c r="E444" s="14" t="n">
        <x:v>48</x:v>
      </x:c>
      <x:c r="F444" s="14" t="str">
        <x:v>Black Ops</x:v>
      </x:c>
      <x:c r="G444" s="14" t="str">
        <x:v>tt15296862</x:v>
      </x:c>
      <x:c r="H444" s="14" t="n">
        <x:v>2023</x:v>
      </x:c>
      <x:c r="I444" s="14" t="n">
        <x:v>2025</x:v>
      </x:c>
      <x:c r="J444" s="14" t="str">
        <x:v>Post-study cohort</x:v>
      </x:c>
      <x:c r="K444" s="14" t="n">
        <x:v>2023</x:v>
      </x:c>
      <x:c r="L444" s="14" t="str">
        <x:v>Not inherited</x:v>
      </x:c>
      <x:c r="M444" s="15" t="n">
        <x:v>41</x:v>
      </x:c>
      <x:c r="N444" s="14" t="str">
        <x:v>Dane Juler</x:v>
      </x:c>
      <x:c r="O444" s="14" t="str">
        <x:v>nm16217377</x:v>
      </x:c>
      <x:c r="P444" s="14" t="str">
        <x:v>Crabs</x:v>
      </x:c>
      <x:c r="Q444" s="15" t="n">
        <x:v>1</x:v>
      </x:c>
      <x:c r="R444" s="14" t="str">
        <x:v>2026</x:v>
      </x:c>
      <x:c r="S444" s="14" t="n">
        <x:v>2026</x:v>
      </x:c>
      <x:c r="T444" s="14" t="n">
        <x:v>2026</x:v>
      </x:c>
      <x:c r="U444" s="14" t="str">
        <x:v>Explicit source first year retained</x:v>
      </x:c>
      <x:c r="V444" s="14" t="str">
        <x:v>Earliest supplied year is 2026.</x:v>
      </x:c>
      <x:c r="W444" s="14"/>
      <x:c r="X444" s="14" t="str">
        <x:v>Excluded: after 2025</x:v>
      </x:c>
      <x:c r="Y444" s="14"/>
      <x:c r="Z444" s="14" t="str">
        <x:v>Black Ops.docx</x:v>
      </x:c>
      <x:c r="AA444" s="14" t="str">
        <x:v>HYPERLINK is not implemented. linkLocation=https://www.imdb.com/title/tt15296862/fullcredits/, friendlyName=Open source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7" t="e">
        <x:f>HYPERLINK("https://en.wikipedia.org/wiki/Black_Ops","Open source")</x:f>
        <x:v>HYPERLINK is not implemented. linkLocation=https://en.wikipedia.org/wiki/Black_Ops, friendlyName=Open source</x:v>
      </x:c>
      <x:c r="AN444" s="14" t="str">
        <x:v>BBC public-service 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 t="str">
        <x:v>No established-register match</x:v>
      </x:c>
      <x:c r="AT444" s="14"/>
      <x:c r="AU444" s="14"/>
      <x:c r="AV444" s="14" t="str">
        <x:v>No established apparent-disability match</x:v>
      </x:c>
      <x:c r="AW444" s="14"/>
      <x:c r="AX444" s="14" t="str">
        <x:v>No</x:v>
      </x:c>
      <x:c r="AY444" s="14" t="str">
        <x:v>Unmatched</x:v>
      </x:c>
      <x:c r="AZ444" s="14" t="str">
        <x:v>Final supplied register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1</x:v>
      </x:c>
      <x:c r="BS444" s="16" t="n">
        <x:v>0.08333333333333333</x:v>
      </x:c>
      <x:c r="BT444" s="14" t="str">
        <x:v>One episode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4" t="str">
        <x:v>HYPERLINK is not implemented. linkLocation=https://www.imdb.com/title/tt15296862/fullcredits/, friendlyName=Open source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tt15296862|nm1665050|senior agent quantock</x:v>
      </x:c>
      <x:c r="B445" s="14" t="str">
        <x:v>01</x:v>
      </x:c>
      <x:c r="C445" s="14" t="str">
        <x:v>2023_IMDb_Cast_Lists_Batch_01(2).xlsx</x:v>
      </x:c>
      <x:c r="D445" s="14" t="str">
        <x:v>Black Ops</x:v>
      </x:c>
      <x:c r="E445" s="14" t="n">
        <x:v>49</x:v>
      </x:c>
      <x:c r="F445" s="14" t="str">
        <x:v>Black Ops</x:v>
      </x:c>
      <x:c r="G445" s="14" t="str">
        <x:v>tt15296862</x:v>
      </x:c>
      <x:c r="H445" s="14" t="n">
        <x:v>2023</x:v>
      </x:c>
      <x:c r="I445" s="14" t="n">
        <x:v>2025</x:v>
      </x:c>
      <x:c r="J445" s="14" t="str">
        <x:v>Post-study cohort</x:v>
      </x:c>
      <x:c r="K445" s="14" t="n">
        <x:v>2023</x:v>
      </x:c>
      <x:c r="L445" s="14" t="str">
        <x:v>Not inherited</x:v>
      </x:c>
      <x:c r="M445" s="15" t="n">
        <x:v>42</x:v>
      </x:c>
      <x:c r="N445" s="14" t="str">
        <x:v>Martin Bishop</x:v>
      </x:c>
      <x:c r="O445" s="14" t="str">
        <x:v>nm1665050</x:v>
      </x:c>
      <x:c r="P445" s="14" t="str">
        <x:v>Senior Agent Quantock</x:v>
      </x:c>
      <x:c r="Q445" s="15" t="n">
        <x:v>1</x:v>
      </x:c>
      <x:c r="R445" s="14" t="str">
        <x:v>2026</x:v>
      </x:c>
      <x:c r="S445" s="14" t="n">
        <x:v>2026</x:v>
      </x:c>
      <x:c r="T445" s="14" t="n">
        <x:v>2026</x:v>
      </x:c>
      <x:c r="U445" s="14" t="str">
        <x:v>Explicit source first year retained</x:v>
      </x:c>
      <x:c r="V445" s="14" t="str">
        <x:v>Earliest supplied year is 2026.</x:v>
      </x:c>
      <x:c r="W445" s="14"/>
      <x:c r="X445" s="14" t="str">
        <x:v>Excluded: after 2025</x:v>
      </x:c>
      <x:c r="Y445" s="14"/>
      <x:c r="Z445" s="14" t="str">
        <x:v>Black Ops.docx</x:v>
      </x:c>
      <x:c r="AA445" s="14" t="str">
        <x:v>HYPERLINK is not implemented. linkLocation=https://www.imdb.com/title/tt15296862/fullcredits/, friendlyName=Open source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7" t="e">
        <x:f>HYPERLINK("https://en.wikipedia.org/wiki/Black_Ops","Open source")</x:f>
        <x:v>HYPERLINK is not implemented. linkLocation=https://en.wikipedia.org/wiki/Black_Ops, friendlyName=Open source</x:v>
      </x:c>
      <x:c r="AN445" s="14" t="str">
        <x:v>BBC public-service 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 t="str">
        <x:v>No established-register match</x:v>
      </x:c>
      <x:c r="AT445" s="14"/>
      <x:c r="AU445" s="14"/>
      <x:c r="AV445" s="14" t="str">
        <x:v>No established apparent-disability match</x:v>
      </x:c>
      <x:c r="AW445" s="14"/>
      <x:c r="AX445" s="14" t="str">
        <x:v>No</x:v>
      </x:c>
      <x:c r="AY445" s="14" t="str">
        <x:v>Unmatched</x:v>
      </x:c>
      <x:c r="AZ445" s="14" t="str">
        <x:v>Final supplied register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1</x:v>
      </x:c>
      <x:c r="BS445" s="16" t="n">
        <x:v>0.08333333333333333</x:v>
      </x:c>
      <x:c r="BT445" s="14" t="str">
        <x:v>One episode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4" t="str">
        <x:v>HYPERLINK is not implemented. linkLocation=https://www.imdb.com/title/tt15296862/fullcredits/, friendlyName=Open source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tt15296862|nm1061038|clive</x:v>
      </x:c>
      <x:c r="B446" s="14" t="str">
        <x:v>01</x:v>
      </x:c>
      <x:c r="C446" s="14" t="str">
        <x:v>2023_IMDb_Cast_Lists_Batch_01(2).xlsx</x:v>
      </x:c>
      <x:c r="D446" s="14" t="str">
        <x:v>Black Ops</x:v>
      </x:c>
      <x:c r="E446" s="14" t="n">
        <x:v>50</x:v>
      </x:c>
      <x:c r="F446" s="14" t="str">
        <x:v>Black Ops</x:v>
      </x:c>
      <x:c r="G446" s="14" t="str">
        <x:v>tt15296862</x:v>
      </x:c>
      <x:c r="H446" s="14" t="n">
        <x:v>2023</x:v>
      </x:c>
      <x:c r="I446" s="14" t="n">
        <x:v>2025</x:v>
      </x:c>
      <x:c r="J446" s="14" t="str">
        <x:v>Post-study cohort</x:v>
      </x:c>
      <x:c r="K446" s="14" t="n">
        <x:v>2023</x:v>
      </x:c>
      <x:c r="L446" s="14" t="str">
        <x:v>Not inherited</x:v>
      </x:c>
      <x:c r="M446" s="15" t="n">
        <x:v>43</x:v>
      </x:c>
      <x:c r="N446" s="14" t="str">
        <x:v>Stephen K. Amos</x:v>
      </x:c>
      <x:c r="O446" s="14" t="str">
        <x:v>nm1061038</x:v>
      </x:c>
      <x:c r="P446" s="14" t="str">
        <x:v>Clive</x:v>
      </x:c>
      <x:c r="Q446" s="15" t="n">
        <x:v>1</x:v>
      </x:c>
      <x:c r="R446" s="14" t="str">
        <x:v>2026</x:v>
      </x:c>
      <x:c r="S446" s="14" t="n">
        <x:v>2026</x:v>
      </x:c>
      <x:c r="T446" s="14" t="n">
        <x:v>2026</x:v>
      </x:c>
      <x:c r="U446" s="14" t="str">
        <x:v>Explicit source first year retained</x:v>
      </x:c>
      <x:c r="V446" s="14" t="str">
        <x:v>Earliest supplied year is 2026.</x:v>
      </x:c>
      <x:c r="W446" s="14"/>
      <x:c r="X446" s="14" t="str">
        <x:v>Excluded: after 2025</x:v>
      </x:c>
      <x:c r="Y446" s="14"/>
      <x:c r="Z446" s="14" t="str">
        <x:v>Black Ops.docx</x:v>
      </x:c>
      <x:c r="AA446" s="14" t="str">
        <x:v>HYPERLINK is not implemented. linkLocation=https://www.imdb.com/title/tt15296862/fullcredits/, friendlyName=Open source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7" t="e">
        <x:f>HYPERLINK("https://en.wikipedia.org/wiki/Black_Ops","Open source")</x:f>
        <x:v>HYPERLINK is not implemented. linkLocation=https://en.wikipedia.org/wiki/Black_Ops, friendlyName=Open source</x:v>
      </x:c>
      <x:c r="AN446" s="14" t="str">
        <x:v>BBC public-service 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 t="str">
        <x:v>No established-register match</x:v>
      </x:c>
      <x:c r="AT446" s="14"/>
      <x:c r="AU446" s="14"/>
      <x:c r="AV446" s="14" t="str">
        <x:v>No established apparent-disability match</x:v>
      </x:c>
      <x:c r="AW446" s="14"/>
      <x:c r="AX446" s="14" t="str">
        <x:v>No</x:v>
      </x:c>
      <x:c r="AY446" s="14" t="str">
        <x:v>Unmatched</x:v>
      </x:c>
      <x:c r="AZ446" s="14" t="str">
        <x:v>Final supplied register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1</x:v>
      </x:c>
      <x:c r="BS446" s="16" t="n">
        <x:v>0.08333333333333333</x:v>
      </x:c>
      <x:c r="BT446" s="14" t="str">
        <x:v>One episode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4" t="str">
        <x:v>HYPERLINK is not implemented. linkLocation=https://www.imdb.com/title/tt15296862/fullcredits/, friendlyName=Open source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tt15296862|nm1533008|mi5 agent</x:v>
      </x:c>
      <x:c r="B447" s="14" t="str">
        <x:v>01</x:v>
      </x:c>
      <x:c r="C447" s="14" t="str">
        <x:v>2023_IMDb_Cast_Lists_Batch_01(2).xlsx</x:v>
      </x:c>
      <x:c r="D447" s="14" t="str">
        <x:v>Black Ops</x:v>
      </x:c>
      <x:c r="E447" s="14" t="n">
        <x:v>51</x:v>
      </x:c>
      <x:c r="F447" s="14" t="str">
        <x:v>Black Ops</x:v>
      </x:c>
      <x:c r="G447" s="14" t="str">
        <x:v>tt15296862</x:v>
      </x:c>
      <x:c r="H447" s="14" t="n">
        <x:v>2023</x:v>
      </x:c>
      <x:c r="I447" s="14" t="n">
        <x:v>2025</x:v>
      </x:c>
      <x:c r="J447" s="14" t="str">
        <x:v>Post-study cohort</x:v>
      </x:c>
      <x:c r="K447" s="14" t="n">
        <x:v>2023</x:v>
      </x:c>
      <x:c r="L447" s="14" t="str">
        <x:v>Not inherited</x:v>
      </x:c>
      <x:c r="M447" s="15" t="n">
        <x:v>44</x:v>
      </x:c>
      <x:c r="N447" s="14" t="str">
        <x:v>Simon Shorten</x:v>
      </x:c>
      <x:c r="O447" s="14" t="str">
        <x:v>nm1533008</x:v>
      </x:c>
      <x:c r="P447" s="14" t="str">
        <x:v>MI5 Agent</x:v>
      </x:c>
      <x:c r="Q447" s="15" t="n">
        <x:v>1</x:v>
      </x:c>
      <x:c r="R447" s="14" t="str">
        <x:v>2026</x:v>
      </x:c>
      <x:c r="S447" s="14" t="n">
        <x:v>2026</x:v>
      </x:c>
      <x:c r="T447" s="14" t="n">
        <x:v>2026</x:v>
      </x:c>
      <x:c r="U447" s="14" t="str">
        <x:v>Explicit source first year retained</x:v>
      </x:c>
      <x:c r="V447" s="14" t="str">
        <x:v>Earliest supplied year is 2026.</x:v>
      </x:c>
      <x:c r="W447" s="14"/>
      <x:c r="X447" s="14" t="str">
        <x:v>Excluded: after 2025</x:v>
      </x:c>
      <x:c r="Y447" s="14"/>
      <x:c r="Z447" s="14" t="str">
        <x:v>Black Ops.docx</x:v>
      </x:c>
      <x:c r="AA447" s="14" t="str">
        <x:v>HYPERLINK is not implemented. linkLocation=https://www.imdb.com/title/tt15296862/fullcredits/, friendlyName=Open source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7" t="e">
        <x:f>HYPERLINK("https://en.wikipedia.org/wiki/Black_Ops","Open source")</x:f>
        <x:v>HYPERLINK is not implemented. linkLocation=https://en.wikipedia.org/wiki/Black_Ops, friendlyName=Open source</x:v>
      </x:c>
      <x:c r="AN447" s="14" t="str">
        <x:v>BBC public-service 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 t="str">
        <x:v>No established-register match</x:v>
      </x:c>
      <x:c r="AT447" s="14"/>
      <x:c r="AU447" s="14"/>
      <x:c r="AV447" s="14" t="str">
        <x:v>No established apparent-disability match</x:v>
      </x:c>
      <x:c r="AW447" s="14"/>
      <x:c r="AX447" s="14" t="str">
        <x:v>No</x:v>
      </x:c>
      <x:c r="AY447" s="14" t="str">
        <x:v>Unmatched</x:v>
      </x:c>
      <x:c r="AZ447" s="14" t="str">
        <x:v>Final supplied register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1</x:v>
      </x:c>
      <x:c r="BS447" s="16" t="n">
        <x:v>0.08333333333333333</x:v>
      </x:c>
      <x:c r="BT447" s="14" t="str">
        <x:v>One episode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4" t="str">
        <x:v>HYPERLINK is not implemented. linkLocation=https://www.imdb.com/title/tt15296862/fullcredits/, friendlyName=Open source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tt15296862|nm0515758|aunty maureen</x:v>
      </x:c>
      <x:c r="B448" s="14" t="str">
        <x:v>01</x:v>
      </x:c>
      <x:c r="C448" s="14" t="str">
        <x:v>2023_IMDb_Cast_Lists_Batch_01(2).xlsx</x:v>
      </x:c>
      <x:c r="D448" s="14" t="str">
        <x:v>Black Ops</x:v>
      </x:c>
      <x:c r="E448" s="14" t="n">
        <x:v>52</x:v>
      </x:c>
      <x:c r="F448" s="14" t="str">
        <x:v>Black Ops</x:v>
      </x:c>
      <x:c r="G448" s="14" t="str">
        <x:v>tt15296862</x:v>
      </x:c>
      <x:c r="H448" s="14" t="n">
        <x:v>2023</x:v>
      </x:c>
      <x:c r="I448" s="14" t="n">
        <x:v>2025</x:v>
      </x:c>
      <x:c r="J448" s="14" t="str">
        <x:v>Post-study cohort</x:v>
      </x:c>
      <x:c r="K448" s="14" t="n">
        <x:v>2023</x:v>
      </x:c>
      <x:c r="L448" s="14" t="str">
        <x:v>Not inherited</x:v>
      </x:c>
      <x:c r="M448" s="15" t="n">
        <x:v>45</x:v>
      </x:c>
      <x:c r="N448" s="14" t="str">
        <x:v>Suzette Llewellyn</x:v>
      </x:c>
      <x:c r="O448" s="14" t="str">
        <x:v>nm0515758</x:v>
      </x:c>
      <x:c r="P448" s="14" t="str">
        <x:v>Aunty Maureen</x:v>
      </x:c>
      <x:c r="Q448" s="15" t="n">
        <x:v>1</x:v>
      </x:c>
      <x:c r="R448" s="14" t="str">
        <x:v>2026</x:v>
      </x:c>
      <x:c r="S448" s="14" t="n">
        <x:v>2026</x:v>
      </x:c>
      <x:c r="T448" s="14" t="n">
        <x:v>2026</x:v>
      </x:c>
      <x:c r="U448" s="14" t="str">
        <x:v>Explicit source first year retained</x:v>
      </x:c>
      <x:c r="V448" s="14" t="str">
        <x:v>Earliest supplied year is 2026.</x:v>
      </x:c>
      <x:c r="W448" s="14"/>
      <x:c r="X448" s="14" t="str">
        <x:v>Excluded: after 2025</x:v>
      </x:c>
      <x:c r="Y448" s="14"/>
      <x:c r="Z448" s="14" t="str">
        <x:v>Black Ops.docx</x:v>
      </x:c>
      <x:c r="AA448" s="14" t="str">
        <x:v>HYPERLINK is not implemented. linkLocation=https://www.imdb.com/title/tt15296862/fullcredits/, friendlyName=Open source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BBC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7" t="e">
        <x:f>HYPERLINK("https://en.wikipedia.org/wiki/Black_Ops","Open source")</x:f>
        <x:v>HYPERLINK is not implemented. linkLocation=https://en.wikipedia.org/wiki/Black_Ops, friendlyName=Open source</x:v>
      </x:c>
      <x:c r="AN448" s="14" t="str">
        <x:v>BBC public-service 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 t="str">
        <x:v>No established-register match</x:v>
      </x:c>
      <x:c r="AT448" s="14"/>
      <x:c r="AU448" s="14"/>
      <x:c r="AV448" s="14" t="str">
        <x:v>No established apparent-disability match</x:v>
      </x:c>
      <x:c r="AW448" s="14"/>
      <x:c r="AX448" s="14" t="str">
        <x:v>No</x:v>
      </x:c>
      <x:c r="AY448" s="14" t="str">
        <x:v>Unmatched</x:v>
      </x:c>
      <x:c r="AZ448" s="14" t="str">
        <x:v>Final supplied register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1</x:v>
      </x:c>
      <x:c r="BS448" s="16" t="n">
        <x:v>0.08333333333333333</x:v>
      </x:c>
      <x:c r="BT448" s="14" t="str">
        <x:v>One episode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4" t="str">
        <x:v>HYPERLINK is not implemented. linkLocation=https://www.imdb.com/title/tt15296862/fullcredits/, friendlyName=Open source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tt15296862|nm1499401|francesca</x:v>
      </x:c>
      <x:c r="B449" s="14" t="str">
        <x:v>01</x:v>
      </x:c>
      <x:c r="C449" s="14" t="str">
        <x:v>2023_IMDb_Cast_Lists_Batch_01(2).xlsx</x:v>
      </x:c>
      <x:c r="D449" s="14" t="str">
        <x:v>Black Ops</x:v>
      </x:c>
      <x:c r="E449" s="14" t="n">
        <x:v>53</x:v>
      </x:c>
      <x:c r="F449" s="14" t="str">
        <x:v>Black Ops</x:v>
      </x:c>
      <x:c r="G449" s="14" t="str">
        <x:v>tt15296862</x:v>
      </x:c>
      <x:c r="H449" s="14" t="n">
        <x:v>2023</x:v>
      </x:c>
      <x:c r="I449" s="14" t="n">
        <x:v>2025</x:v>
      </x:c>
      <x:c r="J449" s="14" t="str">
        <x:v>Post-study cohort</x:v>
      </x:c>
      <x:c r="K449" s="14" t="n">
        <x:v>2023</x:v>
      </x:c>
      <x:c r="L449" s="14" t="str">
        <x:v>Not inherited</x:v>
      </x:c>
      <x:c r="M449" s="15" t="n">
        <x:v>46</x:v>
      </x:c>
      <x:c r="N449" s="14" t="str">
        <x:v>Lucille Howe</x:v>
      </x:c>
      <x:c r="O449" s="14" t="str">
        <x:v>nm1499401</x:v>
      </x:c>
      <x:c r="P449" s="14" t="str">
        <x:v>Francesca</x:v>
      </x:c>
      <x:c r="Q449" s="15" t="n">
        <x:v>1</x:v>
      </x:c>
      <x:c r="R449" s="14" t="str">
        <x:v>2026</x:v>
      </x:c>
      <x:c r="S449" s="14" t="n">
        <x:v>2026</x:v>
      </x:c>
      <x:c r="T449" s="14" t="n">
        <x:v>2026</x:v>
      </x:c>
      <x:c r="U449" s="14" t="str">
        <x:v>Explicit source first year retained</x:v>
      </x:c>
      <x:c r="V449" s="14" t="str">
        <x:v>Earliest supplied year is 2026.</x:v>
      </x:c>
      <x:c r="W449" s="14"/>
      <x:c r="X449" s="14" t="str">
        <x:v>Excluded: after 2025</x:v>
      </x:c>
      <x:c r="Y449" s="14"/>
      <x:c r="Z449" s="14" t="str">
        <x:v>Black Ops.docx</x:v>
      </x:c>
      <x:c r="AA449" s="14" t="str">
        <x:v>HYPERLINK is not implemented. linkLocation=https://www.imdb.com/title/tt15296862/fullcredits/, friendlyName=Open source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7" t="e">
        <x:f>HYPERLINK("https://en.wikipedia.org/wiki/Black_Ops","Open source")</x:f>
        <x:v>HYPERLINK is not implemented. linkLocation=https://en.wikipedia.org/wiki/Black_Ops, friendlyName=Open source</x:v>
      </x:c>
      <x:c r="AN449" s="14" t="str">
        <x:v>BBC public-service 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 t="str">
        <x:v>No established-register match</x:v>
      </x:c>
      <x:c r="AT449" s="14"/>
      <x:c r="AU449" s="14"/>
      <x:c r="AV449" s="14" t="str">
        <x:v>No established apparent-disability match</x:v>
      </x:c>
      <x:c r="AW449" s="14"/>
      <x:c r="AX449" s="14" t="str">
        <x:v>No</x:v>
      </x:c>
      <x:c r="AY449" s="14" t="str">
        <x:v>Unmatched</x:v>
      </x:c>
      <x:c r="AZ449" s="14" t="str">
        <x:v>Final supplied register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1</x:v>
      </x:c>
      <x:c r="BS449" s="16" t="n">
        <x:v>0.08333333333333333</x:v>
      </x:c>
      <x:c r="BT449" s="14" t="str">
        <x:v>One episode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4" t="str">
        <x:v>HYPERLINK is not implemented. linkLocation=https://www.imdb.com/title/tt15296862/fullcredits/, friendlyName=Open source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tt15296862|nm0046183|cynthia</x:v>
      </x:c>
      <x:c r="B450" s="14" t="str">
        <x:v>01</x:v>
      </x:c>
      <x:c r="C450" s="14" t="str">
        <x:v>2023_IMDb_Cast_Lists_Batch_01(2).xlsx</x:v>
      </x:c>
      <x:c r="D450" s="14" t="str">
        <x:v>Black Ops</x:v>
      </x:c>
      <x:c r="E450" s="14" t="n">
        <x:v>54</x:v>
      </x:c>
      <x:c r="F450" s="14" t="str">
        <x:v>Black Ops</x:v>
      </x:c>
      <x:c r="G450" s="14" t="str">
        <x:v>tt15296862</x:v>
      </x:c>
      <x:c r="H450" s="14" t="n">
        <x:v>2023</x:v>
      </x:c>
      <x:c r="I450" s="14" t="n">
        <x:v>2025</x:v>
      </x:c>
      <x:c r="J450" s="14" t="str">
        <x:v>Post-study cohort</x:v>
      </x:c>
      <x:c r="K450" s="14" t="n">
        <x:v>2023</x:v>
      </x:c>
      <x:c r="L450" s="14" t="str">
        <x:v>Not inherited</x:v>
      </x:c>
      <x:c r="M450" s="15" t="n">
        <x:v>47</x:v>
      </x:c>
      <x:c r="N450" s="14" t="str">
        <x:v>Annette Badland</x:v>
      </x:c>
      <x:c r="O450" s="14" t="str">
        <x:v>nm0046183</x:v>
      </x:c>
      <x:c r="P450" s="14" t="str">
        <x:v>Cynthia</x:v>
      </x:c>
      <x:c r="Q450" s="15" t="n">
        <x:v>1</x:v>
      </x:c>
      <x:c r="R450" s="14" t="str">
        <x:v>2026</x:v>
      </x:c>
      <x:c r="S450" s="14" t="n">
        <x:v>2026</x:v>
      </x:c>
      <x:c r="T450" s="14" t="n">
        <x:v>2026</x:v>
      </x:c>
      <x:c r="U450" s="14" t="str">
        <x:v>Explicit source first year retained</x:v>
      </x:c>
      <x:c r="V450" s="14" t="str">
        <x:v>Earliest supplied year is 2026.</x:v>
      </x:c>
      <x:c r="W450" s="14"/>
      <x:c r="X450" s="14" t="str">
        <x:v>Excluded: after 2025</x:v>
      </x:c>
      <x:c r="Y450" s="14"/>
      <x:c r="Z450" s="14" t="str">
        <x:v>Black Ops.docx</x:v>
      </x:c>
      <x:c r="AA450" s="14" t="str">
        <x:v>HYPERLINK is not implemented. linkLocation=https://www.imdb.com/title/tt15296862/fullcredits/, friendlyName=Open source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7" t="e">
        <x:f>HYPERLINK("https://en.wikipedia.org/wiki/Black_Ops","Open source")</x:f>
        <x:v>HYPERLINK is not implemented. linkLocation=https://en.wikipedia.org/wiki/Black_Ops, friendlyName=Open source</x:v>
      </x:c>
      <x:c r="AN450" s="14" t="str">
        <x:v>BBC public-service 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 t="str">
        <x:v>No established-register match</x:v>
      </x:c>
      <x:c r="AT450" s="14"/>
      <x:c r="AU450" s="14"/>
      <x:c r="AV450" s="14" t="str">
        <x:v>No established apparent-disability match</x:v>
      </x:c>
      <x:c r="AW450" s="14"/>
      <x:c r="AX450" s="14" t="str">
        <x:v>No</x:v>
      </x:c>
      <x:c r="AY450" s="14" t="str">
        <x:v>Unmatched</x:v>
      </x:c>
      <x:c r="AZ450" s="14" t="str">
        <x:v>Final supplied register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1</x:v>
      </x:c>
      <x:c r="BS450" s="16" t="n">
        <x:v>0.08333333333333333</x:v>
      </x:c>
      <x:c r="BT450" s="14" t="str">
        <x:v>One episode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4" t="str">
        <x:v>HYPERLINK is not implemented. linkLocation=https://www.imdb.com/title/tt15296862/fullcredits/, friendlyName=Open source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tt15296862|nm5149069|benito</x:v>
      </x:c>
      <x:c r="B451" s="14" t="str">
        <x:v>01</x:v>
      </x:c>
      <x:c r="C451" s="14" t="str">
        <x:v>2023_IMDb_Cast_Lists_Batch_01(2).xlsx</x:v>
      </x:c>
      <x:c r="D451" s="14" t="str">
        <x:v>Black Ops</x:v>
      </x:c>
      <x:c r="E451" s="14" t="n">
        <x:v>55</x:v>
      </x:c>
      <x:c r="F451" s="14" t="str">
        <x:v>Black Ops</x:v>
      </x:c>
      <x:c r="G451" s="14" t="str">
        <x:v>tt15296862</x:v>
      </x:c>
      <x:c r="H451" s="14" t="n">
        <x:v>2023</x:v>
      </x:c>
      <x:c r="I451" s="14" t="n">
        <x:v>2025</x:v>
      </x:c>
      <x:c r="J451" s="14" t="str">
        <x:v>Post-study cohort</x:v>
      </x:c>
      <x:c r="K451" s="14" t="n">
        <x:v>2023</x:v>
      </x:c>
      <x:c r="L451" s="14" t="str">
        <x:v>Not inherited</x:v>
      </x:c>
      <x:c r="M451" s="15" t="n">
        <x:v>48</x:v>
      </x:c>
      <x:c r="N451" s="14" t="str">
        <x:v>Dinarte Gouveia</x:v>
      </x:c>
      <x:c r="O451" s="14" t="str">
        <x:v>nm5149069</x:v>
      </x:c>
      <x:c r="P451" s="14" t="str">
        <x:v>Benito</x:v>
      </x:c>
      <x:c r="Q451" s="15" t="n">
        <x:v>1</x:v>
      </x:c>
      <x:c r="R451" s="14" t="str">
        <x:v>2026</x:v>
      </x:c>
      <x:c r="S451" s="14" t="n">
        <x:v>2026</x:v>
      </x:c>
      <x:c r="T451" s="14" t="n">
        <x:v>2026</x:v>
      </x:c>
      <x:c r="U451" s="14" t="str">
        <x:v>Explicit source first year retained</x:v>
      </x:c>
      <x:c r="V451" s="14" t="str">
        <x:v>Earliest supplied year is 2026.</x:v>
      </x:c>
      <x:c r="W451" s="14"/>
      <x:c r="X451" s="14" t="str">
        <x:v>Excluded: after 2025</x:v>
      </x:c>
      <x:c r="Y451" s="14"/>
      <x:c r="Z451" s="14" t="str">
        <x:v>Black Ops.docx</x:v>
      </x:c>
      <x:c r="AA451" s="14" t="str">
        <x:v>HYPERLINK is not implemented. linkLocation=https://www.imdb.com/title/tt15296862/fullcredits/, friendlyName=Open source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7" t="e">
        <x:f>HYPERLINK("https://en.wikipedia.org/wiki/Black_Ops","Open source")</x:f>
        <x:v>HYPERLINK is not implemented. linkLocation=https://en.wikipedia.org/wiki/Black_Ops, friendlyName=Open source</x:v>
      </x:c>
      <x:c r="AN451" s="14" t="str">
        <x:v>BBC public-service 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 t="str">
        <x:v>No established-register match</x:v>
      </x:c>
      <x:c r="AT451" s="14"/>
      <x:c r="AU451" s="14"/>
      <x:c r="AV451" s="14" t="str">
        <x:v>No established apparent-disability match</x:v>
      </x:c>
      <x:c r="AW451" s="14"/>
      <x:c r="AX451" s="14" t="str">
        <x:v>No</x:v>
      </x:c>
      <x:c r="AY451" s="14" t="str">
        <x:v>Unmatched</x:v>
      </x:c>
      <x:c r="AZ451" s="14" t="str">
        <x:v>Final supplied register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1</x:v>
      </x:c>
      <x:c r="BS451" s="16" t="n">
        <x:v>0.08333333333333333</x:v>
      </x:c>
      <x:c r="BT451" s="14" t="str">
        <x:v>One episode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4" t="str">
        <x:v>HYPERLINK is not implemented. linkLocation=https://www.imdb.com/title/tt15296862/fullcredits/, friendlyName=Open source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tt15296862|nm1740417|cousin darren</x:v>
      </x:c>
      <x:c r="B452" s="14" t="str">
        <x:v>01</x:v>
      </x:c>
      <x:c r="C452" s="14" t="str">
        <x:v>2023_IMDb_Cast_Lists_Batch_01(2).xlsx</x:v>
      </x:c>
      <x:c r="D452" s="14" t="str">
        <x:v>Black Ops</x:v>
      </x:c>
      <x:c r="E452" s="14" t="n">
        <x:v>56</x:v>
      </x:c>
      <x:c r="F452" s="14" t="str">
        <x:v>Black Ops</x:v>
      </x:c>
      <x:c r="G452" s="14" t="str">
        <x:v>tt15296862</x:v>
      </x:c>
      <x:c r="H452" s="14" t="n">
        <x:v>2023</x:v>
      </x:c>
      <x:c r="I452" s="14" t="n">
        <x:v>2025</x:v>
      </x:c>
      <x:c r="J452" s="14" t="str">
        <x:v>Post-study cohort</x:v>
      </x:c>
      <x:c r="K452" s="14" t="n">
        <x:v>2023</x:v>
      </x:c>
      <x:c r="L452" s="14" t="str">
        <x:v>Not inherited</x:v>
      </x:c>
      <x:c r="M452" s="15" t="n">
        <x:v>49</x:v>
      </x:c>
      <x:c r="N452" s="14" t="str">
        <x:v>Andre Squire</x:v>
      </x:c>
      <x:c r="O452" s="14" t="str">
        <x:v>nm1740417</x:v>
      </x:c>
      <x:c r="P452" s="14" t="str">
        <x:v>Cousin Darren</x:v>
      </x:c>
      <x:c r="Q452" s="15" t="n">
        <x:v>1</x:v>
      </x:c>
      <x:c r="R452" s="14" t="str">
        <x:v>2026</x:v>
      </x:c>
      <x:c r="S452" s="14" t="n">
        <x:v>2026</x:v>
      </x:c>
      <x:c r="T452" s="14" t="n">
        <x:v>2026</x:v>
      </x:c>
      <x:c r="U452" s="14" t="str">
        <x:v>Explicit source first year retained</x:v>
      </x:c>
      <x:c r="V452" s="14" t="str">
        <x:v>Earliest supplied year is 2026.</x:v>
      </x:c>
      <x:c r="W452" s="14"/>
      <x:c r="X452" s="14" t="str">
        <x:v>Excluded: after 2025</x:v>
      </x:c>
      <x:c r="Y452" s="14"/>
      <x:c r="Z452" s="14" t="str">
        <x:v>Black Ops.docx</x:v>
      </x:c>
      <x:c r="AA452" s="14" t="str">
        <x:v>HYPERLINK is not implemented. linkLocation=https://www.imdb.com/title/tt15296862/fullcredits/, friendlyName=Open source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7" t="e">
        <x:f>HYPERLINK("https://en.wikipedia.org/wiki/Black_Ops","Open source")</x:f>
        <x:v>HYPERLINK is not implemented. linkLocation=https://en.wikipedia.org/wiki/Black_Ops, friendlyName=Open source</x:v>
      </x:c>
      <x:c r="AN452" s="14" t="str">
        <x:v>BBC public-service 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 t="str">
        <x:v>No established-register match</x:v>
      </x:c>
      <x:c r="AT452" s="14"/>
      <x:c r="AU452" s="14"/>
      <x:c r="AV452" s="14" t="str">
        <x:v>No established apparent-disability match</x:v>
      </x:c>
      <x:c r="AW452" s="14"/>
      <x:c r="AX452" s="14" t="str">
        <x:v>No</x:v>
      </x:c>
      <x:c r="AY452" s="14" t="str">
        <x:v>Unmatched</x:v>
      </x:c>
      <x:c r="AZ452" s="14" t="str">
        <x:v>Final supplied register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1</x:v>
      </x:c>
      <x:c r="BS452" s="16" t="n">
        <x:v>0.08333333333333333</x:v>
      </x:c>
      <x:c r="BT452" s="14" t="str">
        <x:v>One episode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4" t="str">
        <x:v>HYPERLINK is not implemented. linkLocation=https://www.imdb.com/title/tt15296862/fullcredits/, friendlyName=Open source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tt15296862|nm3585197|murray</x:v>
      </x:c>
      <x:c r="B453" s="14" t="str">
        <x:v>01</x:v>
      </x:c>
      <x:c r="C453" s="14" t="str">
        <x:v>2023_IMDb_Cast_Lists_Batch_01(2).xlsx</x:v>
      </x:c>
      <x:c r="D453" s="14" t="str">
        <x:v>Black Ops</x:v>
      </x:c>
      <x:c r="E453" s="14" t="n">
        <x:v>57</x:v>
      </x:c>
      <x:c r="F453" s="14" t="str">
        <x:v>Black Ops</x:v>
      </x:c>
      <x:c r="G453" s="14" t="str">
        <x:v>tt15296862</x:v>
      </x:c>
      <x:c r="H453" s="14" t="n">
        <x:v>2023</x:v>
      </x:c>
      <x:c r="I453" s="14" t="n">
        <x:v>2025</x:v>
      </x:c>
      <x:c r="J453" s="14" t="str">
        <x:v>Post-study cohort</x:v>
      </x:c>
      <x:c r="K453" s="14" t="n">
        <x:v>2023</x:v>
      </x:c>
      <x:c r="L453" s="14" t="str">
        <x:v>Not inherited</x:v>
      </x:c>
      <x:c r="M453" s="15" t="n">
        <x:v>50</x:v>
      </x:c>
      <x:c r="N453" s="14" t="str">
        <x:v>John Gaffney</x:v>
      </x:c>
      <x:c r="O453" s="14" t="str">
        <x:v>nm3585197</x:v>
      </x:c>
      <x:c r="P453" s="14" t="str">
        <x:v>Murray</x:v>
      </x:c>
      <x:c r="Q453" s="15" t="n">
        <x:v>1</x:v>
      </x:c>
      <x:c r="R453" s="14" t="str">
        <x:v>2026</x:v>
      </x:c>
      <x:c r="S453" s="14" t="n">
        <x:v>2026</x:v>
      </x:c>
      <x:c r="T453" s="14" t="n">
        <x:v>2026</x:v>
      </x:c>
      <x:c r="U453" s="14" t="str">
        <x:v>Explicit source first year retained</x:v>
      </x:c>
      <x:c r="V453" s="14" t="str">
        <x:v>Earliest supplied year is 2026.</x:v>
      </x:c>
      <x:c r="W453" s="14"/>
      <x:c r="X453" s="14" t="str">
        <x:v>Excluded: after 2025</x:v>
      </x:c>
      <x:c r="Y453" s="14"/>
      <x:c r="Z453" s="14" t="str">
        <x:v>Black Ops.docx</x:v>
      </x:c>
      <x:c r="AA453" s="14" t="str">
        <x:v>HYPERLINK is not implemented. linkLocation=https://www.imdb.com/title/tt15296862/fullcredits/, friendlyName=Open source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7" t="e">
        <x:f>HYPERLINK("https://en.wikipedia.org/wiki/Black_Ops","Open source")</x:f>
        <x:v>HYPERLINK is not implemented. linkLocation=https://en.wikipedia.org/wiki/Black_Ops, friendlyName=Open source</x:v>
      </x:c>
      <x:c r="AN453" s="14" t="str">
        <x:v>BBC public-service 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 t="str">
        <x:v>No established-register match</x:v>
      </x:c>
      <x:c r="AT453" s="14"/>
      <x:c r="AU453" s="14"/>
      <x:c r="AV453" s="14" t="str">
        <x:v>No established apparent-disability match</x:v>
      </x:c>
      <x:c r="AW453" s="14"/>
      <x:c r="AX453" s="14" t="str">
        <x:v>No</x:v>
      </x:c>
      <x:c r="AY453" s="14" t="str">
        <x:v>Unmatched</x:v>
      </x:c>
      <x:c r="AZ453" s="14" t="str">
        <x:v>Final supplied register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1</x:v>
      </x:c>
      <x:c r="BS453" s="16" t="n">
        <x:v>0.08333333333333333</x:v>
      </x:c>
      <x:c r="BT453" s="14" t="str">
        <x:v>One episode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4" t="str">
        <x:v>HYPERLINK is not implemented. linkLocation=https://www.imdb.com/title/tt15296862/fullcredits/, friendlyName=Open source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tt15296862|nm11515051|local news reporter</x:v>
      </x:c>
      <x:c r="B454" s="14" t="str">
        <x:v>01</x:v>
      </x:c>
      <x:c r="C454" s="14" t="str">
        <x:v>2023_IMDb_Cast_Lists_Batch_01(2).xlsx</x:v>
      </x:c>
      <x:c r="D454" s="14" t="str">
        <x:v>Black Ops</x:v>
      </x:c>
      <x:c r="E454" s="14" t="n">
        <x:v>58</x:v>
      </x:c>
      <x:c r="F454" s="14" t="str">
        <x:v>Black Ops</x:v>
      </x:c>
      <x:c r="G454" s="14" t="str">
        <x:v>tt15296862</x:v>
      </x:c>
      <x:c r="H454" s="14" t="n">
        <x:v>2023</x:v>
      </x:c>
      <x:c r="I454" s="14" t="n">
        <x:v>2025</x:v>
      </x:c>
      <x:c r="J454" s="14" t="str">
        <x:v>Post-study cohort</x:v>
      </x:c>
      <x:c r="K454" s="14" t="n">
        <x:v>2023</x:v>
      </x:c>
      <x:c r="L454" s="14" t="str">
        <x:v>Not inherited</x:v>
      </x:c>
      <x:c r="M454" s="15" t="n">
        <x:v>51</x:v>
      </x:c>
      <x:c r="N454" s="14" t="str">
        <x:v>Leah Marks</x:v>
      </x:c>
      <x:c r="O454" s="14" t="str">
        <x:v>nm11515051</x:v>
      </x:c>
      <x:c r="P454" s="14" t="str">
        <x:v>Local News Reporter</x:v>
      </x:c>
      <x:c r="Q454" s="15" t="n">
        <x:v>1</x:v>
      </x:c>
      <x:c r="R454" s="14" t="str">
        <x:v>2026</x:v>
      </x:c>
      <x:c r="S454" s="14" t="n">
        <x:v>2026</x:v>
      </x:c>
      <x:c r="T454" s="14" t="n">
        <x:v>2026</x:v>
      </x:c>
      <x:c r="U454" s="14" t="str">
        <x:v>Explicit source first year retained</x:v>
      </x:c>
      <x:c r="V454" s="14" t="str">
        <x:v>Earliest supplied year is 2026.</x:v>
      </x:c>
      <x:c r="W454" s="14"/>
      <x:c r="X454" s="14" t="str">
        <x:v>Excluded: after 2025</x:v>
      </x:c>
      <x:c r="Y454" s="14"/>
      <x:c r="Z454" s="14" t="str">
        <x:v>Black Ops.docx</x:v>
      </x:c>
      <x:c r="AA454" s="14" t="str">
        <x:v>HYPERLINK is not implemented. linkLocation=https://www.imdb.com/title/tt15296862/fullcredits/, friendlyName=Open source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7" t="e">
        <x:f>HYPERLINK("https://en.wikipedia.org/wiki/Black_Ops","Open source")</x:f>
        <x:v>HYPERLINK is not implemented. linkLocation=https://en.wikipedia.org/wiki/Black_Ops, friendlyName=Open source</x:v>
      </x:c>
      <x:c r="AN454" s="14" t="str">
        <x:v>BBC public-service 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 t="str">
        <x:v>No established-register match</x:v>
      </x:c>
      <x:c r="AT454" s="14"/>
      <x:c r="AU454" s="14"/>
      <x:c r="AV454" s="14" t="str">
        <x:v>No established apparent-disability match</x:v>
      </x:c>
      <x:c r="AW454" s="14"/>
      <x:c r="AX454" s="14" t="str">
        <x:v>No</x:v>
      </x:c>
      <x:c r="AY454" s="14" t="str">
        <x:v>Unmatched</x:v>
      </x:c>
      <x:c r="AZ454" s="14" t="str">
        <x:v>Final supplied register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1</x:v>
      </x:c>
      <x:c r="BS454" s="16" t="n">
        <x:v>0.08333333333333333</x:v>
      </x:c>
      <x:c r="BT454" s="14" t="str">
        <x:v>One episode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4" t="str">
        <x:v>HYPERLINK is not implemented. linkLocation=https://www.imdb.com/title/tt15296862/fullcredits/, friendlyName=Open source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tt15296862|nm15227178|ezekiel</x:v>
      </x:c>
      <x:c r="B455" s="14" t="str">
        <x:v>01</x:v>
      </x:c>
      <x:c r="C455" s="14" t="str">
        <x:v>2023_IMDb_Cast_Lists_Batch_01(2).xlsx</x:v>
      </x:c>
      <x:c r="D455" s="14" t="str">
        <x:v>Black Ops</x:v>
      </x:c>
      <x:c r="E455" s="14" t="n">
        <x:v>59</x:v>
      </x:c>
      <x:c r="F455" s="14" t="str">
        <x:v>Black Ops</x:v>
      </x:c>
      <x:c r="G455" s="14" t="str">
        <x:v>tt15296862</x:v>
      </x:c>
      <x:c r="H455" s="14" t="n">
        <x:v>2023</x:v>
      </x:c>
      <x:c r="I455" s="14" t="n">
        <x:v>2025</x:v>
      </x:c>
      <x:c r="J455" s="14" t="str">
        <x:v>Post-study cohort</x:v>
      </x:c>
      <x:c r="K455" s="14" t="n">
        <x:v>2023</x:v>
      </x:c>
      <x:c r="L455" s="14" t="str">
        <x:v>Not inherited</x:v>
      </x:c>
      <x:c r="M455" s="15" t="n">
        <x:v>52</x:v>
      </x:c>
      <x:c r="N455" s="14" t="str">
        <x:v>Tony McPherson</x:v>
      </x:c>
      <x:c r="O455" s="14" t="str">
        <x:v>nm15227178</x:v>
      </x:c>
      <x:c r="P455" s="14" t="str">
        <x:v>Ezekiel</x:v>
      </x:c>
      <x:c r="Q455" s="15" t="n">
        <x:v>1</x:v>
      </x:c>
      <x:c r="R455" s="14" t="str">
        <x:v>2026</x:v>
      </x:c>
      <x:c r="S455" s="14" t="n">
        <x:v>2026</x:v>
      </x:c>
      <x:c r="T455" s="14" t="n">
        <x:v>2026</x:v>
      </x:c>
      <x:c r="U455" s="14" t="str">
        <x:v>Explicit source first year retained</x:v>
      </x:c>
      <x:c r="V455" s="14" t="str">
        <x:v>Earliest supplied year is 2026.</x:v>
      </x:c>
      <x:c r="W455" s="14"/>
      <x:c r="X455" s="14" t="str">
        <x:v>Excluded: after 2025</x:v>
      </x:c>
      <x:c r="Y455" s="14"/>
      <x:c r="Z455" s="14" t="str">
        <x:v>Black Ops.docx</x:v>
      </x:c>
      <x:c r="AA455" s="14" t="str">
        <x:v>HYPERLINK is not implemented. linkLocation=https://www.imdb.com/title/tt15296862/fullcredits/, friendlyName=Open source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7" t="e">
        <x:f>HYPERLINK("https://en.wikipedia.org/wiki/Black_Ops","Open source")</x:f>
        <x:v>HYPERLINK is not implemented. linkLocation=https://en.wikipedia.org/wiki/Black_Ops, friendlyName=Open source</x:v>
      </x:c>
      <x:c r="AN455" s="14" t="str">
        <x:v>BBC public-service 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 t="str">
        <x:v>No established-register match</x:v>
      </x:c>
      <x:c r="AT455" s="14"/>
      <x:c r="AU455" s="14"/>
      <x:c r="AV455" s="14" t="str">
        <x:v>No established apparent-disability match</x:v>
      </x:c>
      <x:c r="AW455" s="14"/>
      <x:c r="AX455" s="14" t="str">
        <x:v>No</x:v>
      </x:c>
      <x:c r="AY455" s="14" t="str">
        <x:v>Unmatched</x:v>
      </x:c>
      <x:c r="AZ455" s="14" t="str">
        <x:v>Final supplied register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1</x:v>
      </x:c>
      <x:c r="BS455" s="16" t="n">
        <x:v>0.08333333333333333</x:v>
      </x:c>
      <x:c r="BT455" s="14" t="str">
        <x:v>One episode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4" t="str">
        <x:v>HYPERLINK is not implemented. linkLocation=https://www.imdb.com/title/tt15296862/fullcredits/, friendlyName=Open source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tt15296862|nm5878377|paula</x:v>
      </x:c>
      <x:c r="B456" s="14" t="str">
        <x:v>01</x:v>
      </x:c>
      <x:c r="C456" s="14" t="str">
        <x:v>2023_IMDb_Cast_Lists_Batch_01(2).xlsx</x:v>
      </x:c>
      <x:c r="D456" s="14" t="str">
        <x:v>Black Ops</x:v>
      </x:c>
      <x:c r="E456" s="14" t="n">
        <x:v>60</x:v>
      </x:c>
      <x:c r="F456" s="14" t="str">
        <x:v>Black Ops</x:v>
      </x:c>
      <x:c r="G456" s="14" t="str">
        <x:v>tt15296862</x:v>
      </x:c>
      <x:c r="H456" s="14" t="n">
        <x:v>2023</x:v>
      </x:c>
      <x:c r="I456" s="14" t="n">
        <x:v>2025</x:v>
      </x:c>
      <x:c r="J456" s="14" t="str">
        <x:v>Post-study cohort</x:v>
      </x:c>
      <x:c r="K456" s="14" t="n">
        <x:v>2023</x:v>
      </x:c>
      <x:c r="L456" s="14" t="str">
        <x:v>Not inherited</x:v>
      </x:c>
      <x:c r="M456" s="15" t="n">
        <x:v>53</x:v>
      </x:c>
      <x:c r="N456" s="14" t="str">
        <x:v>Melissa Johns</x:v>
      </x:c>
      <x:c r="O456" s="14" t="str">
        <x:v>nm5878377</x:v>
      </x:c>
      <x:c r="P456" s="14" t="str">
        <x:v>Paula</x:v>
      </x:c>
      <x:c r="Q456" s="15" t="n">
        <x:v>1</x:v>
      </x:c>
      <x:c r="R456" s="14" t="str">
        <x:v>2026</x:v>
      </x:c>
      <x:c r="S456" s="14" t="n">
        <x:v>2026</x:v>
      </x:c>
      <x:c r="T456" s="14" t="n">
        <x:v>2026</x:v>
      </x:c>
      <x:c r="U456" s="14" t="str">
        <x:v>Explicit source first year retained</x:v>
      </x:c>
      <x:c r="V456" s="14" t="str">
        <x:v>Earliest supplied year is 2026.</x:v>
      </x:c>
      <x:c r="W456" s="14"/>
      <x:c r="X456" s="14" t="str">
        <x:v>Excluded: after 2025</x:v>
      </x:c>
      <x:c r="Y456" s="14"/>
      <x:c r="Z456" s="14" t="str">
        <x:v>Black Ops.docx</x:v>
      </x:c>
      <x:c r="AA456" s="14" t="str">
        <x:v>HYPERLINK is not implemented. linkLocation=https://www.imdb.com/title/tt15296862/fullcredits/, friendlyName=Open source</x:v>
      </x:c>
      <x:c r="AB456" s="14" t="str">
        <x:v>Existing established-register match</x:v>
      </x:c>
      <x:c r="AC456" s="14" t="str">
        <x:v>Physical disability</x:v>
      </x:c>
      <x:c r="AD456" s="14" t="str">
        <x:v>Existing register classification: Physical disability</x:v>
      </x:c>
      <x:c r="AE456" s="14" t="str">
        <x:v>Established_Disability_Category_Register V1.2.xlsx</x:v>
      </x:c>
      <x:c r="AF456" s="14"/>
      <x:c r="AG456" s="14" t="str">
        <x:v>Established user-supplied classification retained for deduplication; evidence was not re-researched in this batch.</x:v>
      </x:c>
      <x:c r="AH456" s="14" t="str">
        <x:v>BBC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7" t="e">
        <x:f>HYPERLINK("https://en.wikipedia.org/wiki/Black_Ops","Open source")</x:f>
        <x:v>HYPERLINK is not implemented. linkLocation=https://en.wikipedia.org/wiki/Black_Ops, friendlyName=Open source</x:v>
      </x:c>
      <x:c r="AN456" s="14" t="str">
        <x:v>BBC public-service 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 t="str">
        <x:v>Exact IMDb performer ID match</x:v>
      </x:c>
      <x:c r="AT456" s="14" t="str">
        <x:v>nm5878377</x:v>
      </x:c>
      <x:c r="AU456" s="14" t="str">
        <x:v>Physical disability</x:v>
      </x:c>
      <x:c r="AV456" s="14" t="str">
        <x:v>Yes</x:v>
      </x:c>
      <x:c r="AW456" s="14" t="str">
        <x:v>Physical disability</x:v>
      </x:c>
      <x:c r="AX456" s="14" t="str">
        <x:v>No</x:v>
      </x:c>
      <x:c r="AY456" s="14" t="str">
        <x:v>Matched</x:v>
      </x:c>
      <x:c r="AZ456" s="14" t="str">
        <x:v>Final supplied register</x:v>
      </x:c>
      <x:c r="BA456" s="14"/>
      <x:c r="BB456" s="14" t="str">
        <x:v>Exact IMDb performer ID match</x:v>
      </x:c>
      <x:c r="BC456" s="14" t="str">
        <x:v>nm5878377</x:v>
      </x:c>
      <x:c r="BD456" s="14" t="str">
        <x:v>Melissa Johns</x:v>
      </x:c>
      <x:c r="BE456" s="14" t="str">
        <x:v>Physical disability</x:v>
      </x:c>
      <x:c r="BF456" s="14" t="str">
        <x:v>Yes</x:v>
      </x:c>
      <x:c r="BG456" s="14" t="str">
        <x:v>Physical disability</x:v>
      </x:c>
      <x:c r="BH456" s="14" t="str">
        <x:v>No</x:v>
      </x:c>
      <x:c r="BI456" s="14" t="str">
        <x:v>User-supplied established classification</x:v>
      </x:c>
      <x:c r="BJ456" s="14" t="str">
        <x:v>04_Physical_disability.csv</x:v>
      </x:c>
      <x:c r="BK456" s="14"/>
      <x:c r="BL456" s="14" t="str">
        <x:v>Matched</x:v>
      </x:c>
      <x:c r="BM456" s="14" t="str">
        <x:v>Final supplied register</x:v>
      </x:c>
      <x:c r="BN456" s="14"/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1</x:v>
      </x:c>
      <x:c r="BS456" s="16" t="n">
        <x:v>0.08333333333333333</x:v>
      </x:c>
      <x:c r="BT456" s="14" t="str">
        <x:v>One episode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4" t="str">
        <x:v>HYPERLINK is not implemented. linkLocation=https://www.imdb.com/title/tt15296862/fullcredits/, friendlyName=Open source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tt15296862|nm2558027|bossman</x:v>
      </x:c>
      <x:c r="B457" s="14" t="str">
        <x:v>01</x:v>
      </x:c>
      <x:c r="C457" s="14" t="str">
        <x:v>2023_IMDb_Cast_Lists_Batch_01(2).xlsx</x:v>
      </x:c>
      <x:c r="D457" s="14" t="str">
        <x:v>Black Ops</x:v>
      </x:c>
      <x:c r="E457" s="14" t="n">
        <x:v>61</x:v>
      </x:c>
      <x:c r="F457" s="14" t="str">
        <x:v>Black Ops</x:v>
      </x:c>
      <x:c r="G457" s="14" t="str">
        <x:v>tt15296862</x:v>
      </x:c>
      <x:c r="H457" s="14" t="n">
        <x:v>2023</x:v>
      </x:c>
      <x:c r="I457" s="14" t="n">
        <x:v>2025</x:v>
      </x:c>
      <x:c r="J457" s="14" t="str">
        <x:v>Post-study cohort</x:v>
      </x:c>
      <x:c r="K457" s="14" t="n">
        <x:v>2023</x:v>
      </x:c>
      <x:c r="L457" s="14" t="str">
        <x:v>Not inherited</x:v>
      </x:c>
      <x:c r="M457" s="15" t="n">
        <x:v>54</x:v>
      </x:c>
      <x:c r="N457" s="14" t="str">
        <x:v>Naveed Khan</x:v>
      </x:c>
      <x:c r="O457" s="14" t="str">
        <x:v>nm2558027</x:v>
      </x:c>
      <x:c r="P457" s="14" t="str">
        <x:v>Bossman</x:v>
      </x:c>
      <x:c r="Q457" s="15" t="n">
        <x:v>1</x:v>
      </x:c>
      <x:c r="R457" s="14" t="str">
        <x:v>2026</x:v>
      </x:c>
      <x:c r="S457" s="14" t="n">
        <x:v>2026</x:v>
      </x:c>
      <x:c r="T457" s="14" t="n">
        <x:v>2026</x:v>
      </x:c>
      <x:c r="U457" s="14" t="str">
        <x:v>Explicit source first year retained</x:v>
      </x:c>
      <x:c r="V457" s="14" t="str">
        <x:v>Earliest supplied year is 2026.</x:v>
      </x:c>
      <x:c r="W457" s="14"/>
      <x:c r="X457" s="14" t="str">
        <x:v>Excluded: after 2025</x:v>
      </x:c>
      <x:c r="Y457" s="14"/>
      <x:c r="Z457" s="14" t="str">
        <x:v>Black Ops.docx</x:v>
      </x:c>
      <x:c r="AA457" s="14" t="str">
        <x:v>HYPERLINK is not implemented. linkLocation=https://www.imdb.com/title/tt15296862/fullcredits/, friendlyName=Open source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7" t="e">
        <x:f>HYPERLINK("https://en.wikipedia.org/wiki/Black_Ops","Open source")</x:f>
        <x:v>HYPERLINK is not implemented. linkLocation=https://en.wikipedia.org/wiki/Black_Ops, friendlyName=Open source</x:v>
      </x:c>
      <x:c r="AN457" s="14" t="str">
        <x:v>BBC public-service 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 t="str">
        <x:v>No established-register match</x:v>
      </x:c>
      <x:c r="AT457" s="14"/>
      <x:c r="AU457" s="14"/>
      <x:c r="AV457" s="14" t="str">
        <x:v>No established apparent-disability match</x:v>
      </x:c>
      <x:c r="AW457" s="14"/>
      <x:c r="AX457" s="14" t="str">
        <x:v>No</x:v>
      </x:c>
      <x:c r="AY457" s="14" t="str">
        <x:v>Unmatched</x:v>
      </x:c>
      <x:c r="AZ457" s="14" t="str">
        <x:v>Final supplied register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1</x:v>
      </x:c>
      <x:c r="BS457" s="16" t="n">
        <x:v>0.08333333333333333</x:v>
      </x:c>
      <x:c r="BT457" s="14" t="str">
        <x:v>One episode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4" t="str">
        <x:v>HYPERLINK is not implemented. linkLocation=https://www.imdb.com/title/tt15296862/fullcredits/, friendlyName=Open source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tt15296862|nm11549809|robber</x:v>
      </x:c>
      <x:c r="B458" s="14" t="str">
        <x:v>01</x:v>
      </x:c>
      <x:c r="C458" s="14" t="str">
        <x:v>2023_IMDb_Cast_Lists_Batch_01(2).xlsx</x:v>
      </x:c>
      <x:c r="D458" s="14" t="str">
        <x:v>Black Ops</x:v>
      </x:c>
      <x:c r="E458" s="14" t="n">
        <x:v>62</x:v>
      </x:c>
      <x:c r="F458" s="14" t="str">
        <x:v>Black Ops</x:v>
      </x:c>
      <x:c r="G458" s="14" t="str">
        <x:v>tt15296862</x:v>
      </x:c>
      <x:c r="H458" s="14" t="n">
        <x:v>2023</x:v>
      </x:c>
      <x:c r="I458" s="14" t="n">
        <x:v>2025</x:v>
      </x:c>
      <x:c r="J458" s="14" t="str">
        <x:v>Post-study cohort</x:v>
      </x:c>
      <x:c r="K458" s="14" t="n">
        <x:v>2023</x:v>
      </x:c>
      <x:c r="L458" s="14" t="str">
        <x:v>Not inherited</x:v>
      </x:c>
      <x:c r="M458" s="15" t="n">
        <x:v>55</x:v>
      </x:c>
      <x:c r="N458" s="14" t="str">
        <x:v>Sordyl Jamie</x:v>
      </x:c>
      <x:c r="O458" s="14" t="str">
        <x:v>nm11549809</x:v>
      </x:c>
      <x:c r="P458" s="14" t="str">
        <x:v>Robber</x:v>
      </x:c>
      <x:c r="Q458" s="15" t="n">
        <x:v>1</x:v>
      </x:c>
      <x:c r="R458" s="14" t="str">
        <x:v>2026</x:v>
      </x:c>
      <x:c r="S458" s="14" t="n">
        <x:v>2026</x:v>
      </x:c>
      <x:c r="T458" s="14" t="n">
        <x:v>2026</x:v>
      </x:c>
      <x:c r="U458" s="14" t="str">
        <x:v>Explicit source first year retained</x:v>
      </x:c>
      <x:c r="V458" s="14" t="str">
        <x:v>Earliest supplied year is 2026.</x:v>
      </x:c>
      <x:c r="W458" s="14"/>
      <x:c r="X458" s="14" t="str">
        <x:v>Excluded: after 2025</x:v>
      </x:c>
      <x:c r="Y458" s="14" t="str">
        <x:v>(as Jamie Sordyl)</x:v>
      </x:c>
      <x:c r="Z458" s="14" t="str">
        <x:v>Black Ops.docx</x:v>
      </x:c>
      <x:c r="AA458" s="14" t="str">
        <x:v>HYPERLINK is not implemented. linkLocation=https://www.imdb.com/title/tt15296862/fullcredits/, friendlyName=Open source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BBC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7" t="e">
        <x:f>HYPERLINK("https://en.wikipedia.org/wiki/Black_Ops","Open source")</x:f>
        <x:v>HYPERLINK is not implemented. linkLocation=https://en.wikipedia.org/wiki/Black_Ops, friendlyName=Open source</x:v>
      </x:c>
      <x:c r="AN458" s="14" t="str">
        <x:v>BBC public-service commission</x:v>
      </x:c>
      <x:c r="AO458" s="14" t="str">
        <x:v>Yes</x:v>
      </x:c>
      <x:c r="AP458" s="14" t="str">
        <x:v>Direct BBC public-service scope</x:v>
      </x:c>
      <x:c r="AQ458" s="14" t="str">
        <x:v>Yes</x:v>
      </x:c>
      <x:c r="AR458" s="14" t="str">
        <x:v>Resolved from master register</x:v>
      </x:c>
      <x:c r="AS458" s="14" t="str">
        <x:v>No established-register match</x:v>
      </x:c>
      <x:c r="AT458" s="14"/>
      <x:c r="AU458" s="14"/>
      <x:c r="AV458" s="14" t="str">
        <x:v>No established apparent-disability match</x:v>
      </x:c>
      <x:c r="AW458" s="14"/>
      <x:c r="AX458" s="14" t="str">
        <x:v>No</x:v>
      </x:c>
      <x:c r="AY458" s="14" t="str">
        <x:v>Unmatched</x:v>
      </x:c>
      <x:c r="AZ458" s="14" t="str">
        <x:v>Final supplied register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4" t="str">
        <x:v>HYPERLINK is not implemented. linkLocation=https://www.imdb.com/title/tt15296862/fullcredits/, friendlyName=Open source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tt15296862|nm6160255|lil' shit</x:v>
      </x:c>
      <x:c r="B459" s="14" t="str">
        <x:v>01</x:v>
      </x:c>
      <x:c r="C459" s="14" t="str">
        <x:v>2023_IMDb_Cast_Lists_Batch_01(2).xlsx</x:v>
      </x:c>
      <x:c r="D459" s="14" t="str">
        <x:v>Black Ops</x:v>
      </x:c>
      <x:c r="E459" s="14" t="n">
        <x:v>63</x:v>
      </x:c>
      <x:c r="F459" s="14" t="str">
        <x:v>Black Ops</x:v>
      </x:c>
      <x:c r="G459" s="14" t="str">
        <x:v>tt15296862</x:v>
      </x:c>
      <x:c r="H459" s="14" t="n">
        <x:v>2023</x:v>
      </x:c>
      <x:c r="I459" s="14" t="n">
        <x:v>2025</x:v>
      </x:c>
      <x:c r="J459" s="14" t="str">
        <x:v>Post-study cohort</x:v>
      </x:c>
      <x:c r="K459" s="14" t="n">
        <x:v>2023</x:v>
      </x:c>
      <x:c r="L459" s="14" t="str">
        <x:v>Not inherited</x:v>
      </x:c>
      <x:c r="M459" s="15" t="n">
        <x:v>56</x:v>
      </x:c>
      <x:c r="N459" s="14" t="str">
        <x:v>Kadeem Ramsay</x:v>
      </x:c>
      <x:c r="O459" s="14" t="str">
        <x:v>nm6160255</x:v>
      </x:c>
      <x:c r="P459" s="14" t="str">
        <x:v>Lil' Shit</x:v>
      </x:c>
      <x:c r="Q459" s="15" t="n">
        <x:v>1</x:v>
      </x:c>
      <x:c r="R459" s="14" t="str">
        <x:v>2026</x:v>
      </x:c>
      <x:c r="S459" s="14" t="n">
        <x:v>2026</x:v>
      </x:c>
      <x:c r="T459" s="14" t="n">
        <x:v>2026</x:v>
      </x:c>
      <x:c r="U459" s="14" t="str">
        <x:v>Explicit source first year retained</x:v>
      </x:c>
      <x:c r="V459" s="14" t="str">
        <x:v>Earliest supplied year is 2026.</x:v>
      </x:c>
      <x:c r="W459" s="14"/>
      <x:c r="X459" s="14" t="str">
        <x:v>Excluded: after 2025</x:v>
      </x:c>
      <x:c r="Y459" s="14"/>
      <x:c r="Z459" s="14" t="str">
        <x:v>Black Ops.docx</x:v>
      </x:c>
      <x:c r="AA459" s="14" t="str">
        <x:v>HYPERLINK is not implemented. linkLocation=https://www.imdb.com/title/tt15296862/fullcredits/, friendlyName=Open source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BBC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7" t="e">
        <x:f>HYPERLINK("https://en.wikipedia.org/wiki/Black_Ops","Open source")</x:f>
        <x:v>HYPERLINK is not implemented. linkLocation=https://en.wikipedia.org/wiki/Black_Ops, friendlyName=Open source</x:v>
      </x:c>
      <x:c r="AN459" s="14" t="str">
        <x:v>BBC public-service commission</x:v>
      </x:c>
      <x:c r="AO459" s="14" t="str">
        <x:v>Yes</x:v>
      </x:c>
      <x:c r="AP459" s="14" t="str">
        <x:v>Direct BBC public-service scope</x:v>
      </x:c>
      <x:c r="AQ459" s="14" t="str">
        <x:v>Yes</x:v>
      </x:c>
      <x:c r="AR459" s="14" t="str">
        <x:v>Resolved from master register</x:v>
      </x:c>
      <x:c r="AS459" s="14" t="str">
        <x:v>No established-register match</x:v>
      </x:c>
      <x:c r="AT459" s="14"/>
      <x:c r="AU459" s="14"/>
      <x:c r="AV459" s="14" t="str">
        <x:v>No established apparent-disability match</x:v>
      </x:c>
      <x:c r="AW459" s="14"/>
      <x:c r="AX459" s="14" t="str">
        <x:v>No</x:v>
      </x:c>
      <x:c r="AY459" s="14" t="str">
        <x:v>Unmatched</x:v>
      </x:c>
      <x:c r="AZ459" s="14" t="str">
        <x:v>Final supplied register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12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1</x:v>
      </x:c>
      <x:c r="BS459" s="16" t="n">
        <x:v>0.08333333333333333</x:v>
      </x:c>
      <x:c r="BT459" s="14" t="str">
        <x:v>One episode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4" t="str">
        <x:v>HYPERLINK is not implemented. linkLocation=https://www.imdb.com/title/tt15296862/fullcredits/, friendlyName=Open source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tt15296862|nm2876088|ice cream seller</x:v>
      </x:c>
      <x:c r="B460" s="14" t="str">
        <x:v>01</x:v>
      </x:c>
      <x:c r="C460" s="14" t="str">
        <x:v>2023_IMDb_Cast_Lists_Batch_01(2).xlsx</x:v>
      </x:c>
      <x:c r="D460" s="14" t="str">
        <x:v>Black Ops</x:v>
      </x:c>
      <x:c r="E460" s="14" t="n">
        <x:v>64</x:v>
      </x:c>
      <x:c r="F460" s="14" t="str">
        <x:v>Black Ops</x:v>
      </x:c>
      <x:c r="G460" s="14" t="str">
        <x:v>tt15296862</x:v>
      </x:c>
      <x:c r="H460" s="14" t="n">
        <x:v>2023</x:v>
      </x:c>
      <x:c r="I460" s="14" t="n">
        <x:v>2025</x:v>
      </x:c>
      <x:c r="J460" s="14" t="str">
        <x:v>Post-study cohort</x:v>
      </x:c>
      <x:c r="K460" s="14" t="n">
        <x:v>2023</x:v>
      </x:c>
      <x:c r="L460" s="14" t="str">
        <x:v>Not inherited</x:v>
      </x:c>
      <x:c r="M460" s="15" t="n">
        <x:v>57</x:v>
      </x:c>
      <x:c r="N460" s="14" t="str">
        <x:v>Lloyd Woolf</x:v>
      </x:c>
      <x:c r="O460" s="14" t="str">
        <x:v>nm2876088</x:v>
      </x:c>
      <x:c r="P460" s="14" t="str">
        <x:v>Ice Cream Seller</x:v>
      </x:c>
      <x:c r="Q460" s="15" t="n">
        <x:v>1</x:v>
      </x:c>
      <x:c r="R460" s="14" t="str">
        <x:v>2026</x:v>
      </x:c>
      <x:c r="S460" s="14" t="n">
        <x:v>2026</x:v>
      </x:c>
      <x:c r="T460" s="14" t="n">
        <x:v>2026</x:v>
      </x:c>
      <x:c r="U460" s="14" t="str">
        <x:v>Explicit source first year retained</x:v>
      </x:c>
      <x:c r="V460" s="14" t="str">
        <x:v>Earliest supplied year is 2026.</x:v>
      </x:c>
      <x:c r="W460" s="14"/>
      <x:c r="X460" s="14" t="str">
        <x:v>Excluded: after 2025</x:v>
      </x:c>
      <x:c r="Y460" s="14"/>
      <x:c r="Z460" s="14" t="str">
        <x:v>Black Ops.docx</x:v>
      </x:c>
      <x:c r="AA460" s="14" t="str">
        <x:v>HYPERLINK is not implemented. linkLocation=https://www.imdb.com/title/tt15296862/fullcredits/, friendlyName=Open source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BBC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7" t="e">
        <x:f>HYPERLINK("https://en.wikipedia.org/wiki/Black_Ops","Open source")</x:f>
        <x:v>HYPERLINK is not implemented. linkLocation=https://en.wikipedia.org/wiki/Black_Ops, friendlyName=Open source</x:v>
      </x:c>
      <x:c r="AN460" s="14" t="str">
        <x:v>BBC public-service commission</x:v>
      </x:c>
      <x:c r="AO460" s="14" t="str">
        <x:v>Yes</x:v>
      </x:c>
      <x:c r="AP460" s="14" t="str">
        <x:v>Direct BBC public-service scope</x:v>
      </x:c>
      <x:c r="AQ460" s="14" t="str">
        <x:v>Yes</x:v>
      </x:c>
      <x:c r="AR460" s="14" t="str">
        <x:v>Resolved from master register</x:v>
      </x:c>
      <x:c r="AS460" s="14" t="str">
        <x:v>No established-register match</x:v>
      </x:c>
      <x:c r="AT460" s="14"/>
      <x:c r="AU460" s="14"/>
      <x:c r="AV460" s="14" t="str">
        <x:v>No established apparent-disability match</x:v>
      </x:c>
      <x:c r="AW460" s="14"/>
      <x:c r="AX460" s="14" t="str">
        <x:v>No</x:v>
      </x:c>
      <x:c r="AY460" s="14" t="str">
        <x:v>Unmatched</x:v>
      </x:c>
      <x:c r="AZ460" s="14" t="str">
        <x:v>Final supplied register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12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0.08333333333333333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4" t="str">
        <x:v>HYPERLINK is not implemented. linkLocation=https://www.imdb.com/title/tt15296862/fullcredits/, friendlyName=Open source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tt15296862|nm1140725|reception officer</x:v>
      </x:c>
      <x:c r="B461" s="14" t="str">
        <x:v>01</x:v>
      </x:c>
      <x:c r="C461" s="14" t="str">
        <x:v>2023_IMDb_Cast_Lists_Batch_01(2).xlsx</x:v>
      </x:c>
      <x:c r="D461" s="14" t="str">
        <x:v>Black Ops</x:v>
      </x:c>
      <x:c r="E461" s="14" t="n">
        <x:v>65</x:v>
      </x:c>
      <x:c r="F461" s="14" t="str">
        <x:v>Black Ops</x:v>
      </x:c>
      <x:c r="G461" s="14" t="str">
        <x:v>tt15296862</x:v>
      </x:c>
      <x:c r="H461" s="14" t="n">
        <x:v>2023</x:v>
      </x:c>
      <x:c r="I461" s="14" t="n">
        <x:v>2025</x:v>
      </x:c>
      <x:c r="J461" s="14" t="str">
        <x:v>Post-study cohort</x:v>
      </x:c>
      <x:c r="K461" s="14" t="n">
        <x:v>2023</x:v>
      </x:c>
      <x:c r="L461" s="14" t="str">
        <x:v>Not inherited</x:v>
      </x:c>
      <x:c r="M461" s="15" t="n">
        <x:v>58</x:v>
      </x:c>
      <x:c r="N461" s="14" t="str">
        <x:v>Callum Arnott</x:v>
      </x:c>
      <x:c r="O461" s="14" t="str">
        <x:v>nm1140725</x:v>
      </x:c>
      <x:c r="P461" s="14" t="str">
        <x:v>Reception Officer</x:v>
      </x:c>
      <x:c r="Q461" s="15" t="n">
        <x:v>1</x:v>
      </x:c>
      <x:c r="R461" s="14" t="str">
        <x:v>2026</x:v>
      </x:c>
      <x:c r="S461" s="14" t="n">
        <x:v>2026</x:v>
      </x:c>
      <x:c r="T461" s="14" t="n">
        <x:v>2026</x:v>
      </x:c>
      <x:c r="U461" s="14" t="str">
        <x:v>Explicit source first year retained</x:v>
      </x:c>
      <x:c r="V461" s="14" t="str">
        <x:v>Earliest supplied year is 2026.</x:v>
      </x:c>
      <x:c r="W461" s="14"/>
      <x:c r="X461" s="14" t="str">
        <x:v>Excluded: after 2025</x:v>
      </x:c>
      <x:c r="Y461" s="14"/>
      <x:c r="Z461" s="14" t="str">
        <x:v>Black Ops.docx</x:v>
      </x:c>
      <x:c r="AA461" s="14" t="str">
        <x:v>HYPERLINK is not implemented. linkLocation=https://www.imdb.com/title/tt15296862/fullcredits/, friendlyName=Open source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BBC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7" t="e">
        <x:f>HYPERLINK("https://en.wikipedia.org/wiki/Black_Ops","Open source")</x:f>
        <x:v>HYPERLINK is not implemented. linkLocation=https://en.wikipedia.org/wiki/Black_Ops, friendlyName=Open source</x:v>
      </x:c>
      <x:c r="AN461" s="14" t="str">
        <x:v>BBC public-service commission</x:v>
      </x:c>
      <x:c r="AO461" s="14" t="str">
        <x:v>Yes</x:v>
      </x:c>
      <x:c r="AP461" s="14" t="str">
        <x:v>Direct BBC public-service scope</x:v>
      </x:c>
      <x:c r="AQ461" s="14" t="str">
        <x:v>Yes</x:v>
      </x:c>
      <x:c r="AR461" s="14" t="str">
        <x:v>Resolved from master register</x:v>
      </x:c>
      <x:c r="AS461" s="14" t="str">
        <x:v>No established-register match</x:v>
      </x:c>
      <x:c r="AT461" s="14"/>
      <x:c r="AU461" s="14"/>
      <x:c r="AV461" s="14" t="str">
        <x:v>No established apparent-disability match</x:v>
      </x:c>
      <x:c r="AW461" s="14"/>
      <x:c r="AX461" s="14" t="str">
        <x:v>No</x:v>
      </x:c>
      <x:c r="AY461" s="14" t="str">
        <x:v>Unmatched</x:v>
      </x:c>
      <x:c r="AZ461" s="14" t="str">
        <x:v>Final supplied register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12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0.08333333333333333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4" t="str">
        <x:v>HYPERLINK is not implemented. linkLocation=https://www.imdb.com/title/tt15296862/fullcredits/, friendlyName=Open source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tt15296862|nm0011930|mrs. ajibola</x:v>
      </x:c>
      <x:c r="B462" s="14" t="str">
        <x:v>01</x:v>
      </x:c>
      <x:c r="C462" s="14" t="str">
        <x:v>2023_IMDb_Cast_Lists_Batch_01(2).xlsx</x:v>
      </x:c>
      <x:c r="D462" s="14" t="str">
        <x:v>Black Ops</x:v>
      </x:c>
      <x:c r="E462" s="14" t="n">
        <x:v>66</x:v>
      </x:c>
      <x:c r="F462" s="14" t="str">
        <x:v>Black Ops</x:v>
      </x:c>
      <x:c r="G462" s="14" t="str">
        <x:v>tt15296862</x:v>
      </x:c>
      <x:c r="H462" s="14" t="n">
        <x:v>2023</x:v>
      </x:c>
      <x:c r="I462" s="14" t="n">
        <x:v>2025</x:v>
      </x:c>
      <x:c r="J462" s="14" t="str">
        <x:v>Post-study cohort</x:v>
      </x:c>
      <x:c r="K462" s="14" t="n">
        <x:v>2023</x:v>
      </x:c>
      <x:c r="L462" s="14" t="str">
        <x:v>Not inherited</x:v>
      </x:c>
      <x:c r="M462" s="15" t="n">
        <x:v>59</x:v>
      </x:c>
      <x:c r="N462" s="14" t="str">
        <x:v>Susan Aderin</x:v>
      </x:c>
      <x:c r="O462" s="14" t="str">
        <x:v>nm0011930</x:v>
      </x:c>
      <x:c r="P462" s="14" t="str">
        <x:v>Mrs. Ajibola</x:v>
      </x:c>
      <x:c r="Q462" s="15" t="n">
        <x:v>1</x:v>
      </x:c>
      <x:c r="R462" s="14" t="str">
        <x:v>2026</x:v>
      </x:c>
      <x:c r="S462" s="14" t="n">
        <x:v>2026</x:v>
      </x:c>
      <x:c r="T462" s="14" t="n">
        <x:v>2026</x:v>
      </x:c>
      <x:c r="U462" s="14" t="str">
        <x:v>Explicit source first year retained</x:v>
      </x:c>
      <x:c r="V462" s="14" t="str">
        <x:v>Earliest supplied year is 2026.</x:v>
      </x:c>
      <x:c r="W462" s="14"/>
      <x:c r="X462" s="14" t="str">
        <x:v>Excluded: after 2025</x:v>
      </x:c>
      <x:c r="Y462" s="14"/>
      <x:c r="Z462" s="14" t="str">
        <x:v>Black Ops.docx</x:v>
      </x:c>
      <x:c r="AA462" s="14" t="str">
        <x:v>HYPERLINK is not implemented. linkLocation=https://www.imdb.com/title/tt15296862/fullcredits/, friendlyName=Open source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BBC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7" t="e">
        <x:f>HYPERLINK("https://en.wikipedia.org/wiki/Black_Ops","Open source")</x:f>
        <x:v>HYPERLINK is not implemented. linkLocation=https://en.wikipedia.org/wiki/Black_Ops, friendlyName=Open source</x:v>
      </x:c>
      <x:c r="AN462" s="14" t="str">
        <x:v>BBC public-service commission</x:v>
      </x:c>
      <x:c r="AO462" s="14" t="str">
        <x:v>Yes</x:v>
      </x:c>
      <x:c r="AP462" s="14" t="str">
        <x:v>Direct BBC public-service scope</x:v>
      </x:c>
      <x:c r="AQ462" s="14" t="str">
        <x:v>Yes</x:v>
      </x:c>
      <x:c r="AR462" s="14" t="str">
        <x:v>Resolved from master register</x:v>
      </x:c>
      <x:c r="AS462" s="14" t="str">
        <x:v>No established-register match</x:v>
      </x:c>
      <x:c r="AT462" s="14"/>
      <x:c r="AU462" s="14"/>
      <x:c r="AV462" s="14" t="str">
        <x:v>No established apparent-disability match</x:v>
      </x:c>
      <x:c r="AW462" s="14"/>
      <x:c r="AX462" s="14" t="str">
        <x:v>No</x:v>
      </x:c>
      <x:c r="AY462" s="14" t="str">
        <x:v>Unmatched</x:v>
      </x:c>
      <x:c r="AZ462" s="14" t="str">
        <x:v>Final supplied register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12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0.08333333333333333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4" t="str">
        <x:v>HYPERLINK is not implemented. linkLocation=https://www.imdb.com/title/tt15296862/fullcredits/, friendlyName=Open source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tt15296862|nm11627704|rudeboy</x:v>
      </x:c>
      <x:c r="B463" s="14" t="str">
        <x:v>01</x:v>
      </x:c>
      <x:c r="C463" s="14" t="str">
        <x:v>2023_IMDb_Cast_Lists_Batch_01(2).xlsx</x:v>
      </x:c>
      <x:c r="D463" s="14" t="str">
        <x:v>Black Ops</x:v>
      </x:c>
      <x:c r="E463" s="14" t="n">
        <x:v>67</x:v>
      </x:c>
      <x:c r="F463" s="14" t="str">
        <x:v>Black Ops</x:v>
      </x:c>
      <x:c r="G463" s="14" t="str">
        <x:v>tt15296862</x:v>
      </x:c>
      <x:c r="H463" s="14" t="n">
        <x:v>2023</x:v>
      </x:c>
      <x:c r="I463" s="14" t="n">
        <x:v>2025</x:v>
      </x:c>
      <x:c r="J463" s="14" t="str">
        <x:v>Post-study cohort</x:v>
      </x:c>
      <x:c r="K463" s="14" t="n">
        <x:v>2023</x:v>
      </x:c>
      <x:c r="L463" s="14" t="str">
        <x:v>Not inherited</x:v>
      </x:c>
      <x:c r="M463" s="15" t="n">
        <x:v>60</x:v>
      </x:c>
      <x:c r="N463" s="14" t="str">
        <x:v>Emmanuel Akinkuolie</x:v>
      </x:c>
      <x:c r="O463" s="14" t="str">
        <x:v>nm11627704</x:v>
      </x:c>
      <x:c r="P463" s="14" t="str">
        <x:v>Rudeboy</x:v>
      </x:c>
      <x:c r="Q463" s="15" t="n">
        <x:v>1</x:v>
      </x:c>
      <x:c r="R463" s="14" t="str">
        <x:v>2026</x:v>
      </x:c>
      <x:c r="S463" s="14" t="n">
        <x:v>2026</x:v>
      </x:c>
      <x:c r="T463" s="14" t="n">
        <x:v>2026</x:v>
      </x:c>
      <x:c r="U463" s="14" t="str">
        <x:v>Explicit source first year retained</x:v>
      </x:c>
      <x:c r="V463" s="14" t="str">
        <x:v>Earliest supplied year is 2026.</x:v>
      </x:c>
      <x:c r="W463" s="14"/>
      <x:c r="X463" s="14" t="str">
        <x:v>Excluded: after 2025</x:v>
      </x:c>
      <x:c r="Y463" s="14"/>
      <x:c r="Z463" s="14" t="str">
        <x:v>Black Ops.docx</x:v>
      </x:c>
      <x:c r="AA463" s="14" t="str">
        <x:v>HYPERLINK is not implemented. linkLocation=https://www.imdb.com/title/tt15296862/fullcredits/, friendlyName=Open source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BBC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7" t="e">
        <x:f>HYPERLINK("https://en.wikipedia.org/wiki/Black_Ops","Open source")</x:f>
        <x:v>HYPERLINK is not implemented. linkLocation=https://en.wikipedia.org/wiki/Black_Ops, friendlyName=Open source</x:v>
      </x:c>
      <x:c r="AN463" s="14" t="str">
        <x:v>BBC public-service commission</x:v>
      </x:c>
      <x:c r="AO463" s="14" t="str">
        <x:v>Yes</x:v>
      </x:c>
      <x:c r="AP463" s="14" t="str">
        <x:v>Direct BBC public-service scope</x:v>
      </x:c>
      <x:c r="AQ463" s="14" t="str">
        <x:v>Yes</x:v>
      </x:c>
      <x:c r="AR463" s="14" t="str">
        <x:v>Resolved from master register</x:v>
      </x:c>
      <x:c r="AS463" s="14" t="str">
        <x:v>No established-register match</x:v>
      </x:c>
      <x:c r="AT463" s="14"/>
      <x:c r="AU463" s="14"/>
      <x:c r="AV463" s="14" t="str">
        <x:v>No established apparent-disability match</x:v>
      </x:c>
      <x:c r="AW463" s="14"/>
      <x:c r="AX463" s="14" t="str">
        <x:v>No</x:v>
      </x:c>
      <x:c r="AY463" s="14" t="str">
        <x:v>Unmatched</x:v>
      </x:c>
      <x:c r="AZ463" s="14" t="str">
        <x:v>Final supplied register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12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0.08333333333333333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4" t="str">
        <x:v>HYPERLINK is not implemented. linkLocation=https://www.imdb.com/title/tt15296862/fullcredits/, friendlyName=Open source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tt15296862|nm3090338|agent cornwell</x:v>
      </x:c>
      <x:c r="B464" s="14" t="str">
        <x:v>01</x:v>
      </x:c>
      <x:c r="C464" s="14" t="str">
        <x:v>2023_IMDb_Cast_Lists_Batch_01(2).xlsx</x:v>
      </x:c>
      <x:c r="D464" s="14" t="str">
        <x:v>Black Ops</x:v>
      </x:c>
      <x:c r="E464" s="14" t="n">
        <x:v>68</x:v>
      </x:c>
      <x:c r="F464" s="14" t="str">
        <x:v>Black Ops</x:v>
      </x:c>
      <x:c r="G464" s="14" t="str">
        <x:v>tt15296862</x:v>
      </x:c>
      <x:c r="H464" s="14" t="n">
        <x:v>2023</x:v>
      </x:c>
      <x:c r="I464" s="14" t="n">
        <x:v>2025</x:v>
      </x:c>
      <x:c r="J464" s="14" t="str">
        <x:v>Post-study cohort</x:v>
      </x:c>
      <x:c r="K464" s="14" t="n">
        <x:v>2023</x:v>
      </x:c>
      <x:c r="L464" s="14" t="str">
        <x:v>Not inherited</x:v>
      </x:c>
      <x:c r="M464" s="15" t="n">
        <x:v>61</x:v>
      </x:c>
      <x:c r="N464" s="14" t="str">
        <x:v>Tom Bonington</x:v>
      </x:c>
      <x:c r="O464" s="14" t="str">
        <x:v>nm3090338</x:v>
      </x:c>
      <x:c r="P464" s="14" t="str">
        <x:v>Agent Cornwell</x:v>
      </x:c>
      <x:c r="Q464" s="15" t="n">
        <x:v>1</x:v>
      </x:c>
      <x:c r="R464" s="14" t="str">
        <x:v>2026</x:v>
      </x:c>
      <x:c r="S464" s="14" t="n">
        <x:v>2026</x:v>
      </x:c>
      <x:c r="T464" s="14" t="n">
        <x:v>2026</x:v>
      </x:c>
      <x:c r="U464" s="14" t="str">
        <x:v>Explicit source first year retained</x:v>
      </x:c>
      <x:c r="V464" s="14" t="str">
        <x:v>Earliest supplied year is 2026.</x:v>
      </x:c>
      <x:c r="W464" s="14"/>
      <x:c r="X464" s="14" t="str">
        <x:v>Excluded: after 2025</x:v>
      </x:c>
      <x:c r="Y464" s="14"/>
      <x:c r="Z464" s="14" t="str">
        <x:v>Black Ops.docx</x:v>
      </x:c>
      <x:c r="AA464" s="14" t="str">
        <x:v>HYPERLINK is not implemented. linkLocation=https://www.imdb.com/title/tt15296862/fullcredits/, friendlyName=Open source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BBC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7" t="e">
        <x:f>HYPERLINK("https://en.wikipedia.org/wiki/Black_Ops","Open source")</x:f>
        <x:v>HYPERLINK is not implemented. linkLocation=https://en.wikipedia.org/wiki/Black_Ops, friendlyName=Open source</x:v>
      </x:c>
      <x:c r="AN464" s="14" t="str">
        <x:v>BBC public-service commission</x:v>
      </x:c>
      <x:c r="AO464" s="14" t="str">
        <x:v>Yes</x:v>
      </x:c>
      <x:c r="AP464" s="14" t="str">
        <x:v>Direct BBC public-service scope</x:v>
      </x:c>
      <x:c r="AQ464" s="14" t="str">
        <x:v>Yes</x:v>
      </x:c>
      <x:c r="AR464" s="14" t="str">
        <x:v>Resolved from master register</x:v>
      </x:c>
      <x:c r="AS464" s="14" t="str">
        <x:v>No established-register match</x:v>
      </x:c>
      <x:c r="AT464" s="14"/>
      <x:c r="AU464" s="14"/>
      <x:c r="AV464" s="14" t="str">
        <x:v>No established apparent-disability match</x:v>
      </x:c>
      <x:c r="AW464" s="14"/>
      <x:c r="AX464" s="14" t="str">
        <x:v>No</x:v>
      </x:c>
      <x:c r="AY464" s="14" t="str">
        <x:v>Unmatched</x:v>
      </x:c>
      <x:c r="AZ464" s="14" t="str">
        <x:v>Final supplied register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12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0.08333333333333333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4" t="str">
        <x:v>HYPERLINK is not implemented. linkLocation=https://www.imdb.com/title/tt15296862/fullcredits/, friendlyName=Open source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tt15296862|nm6146187|carnival police officer</x:v>
      </x:c>
      <x:c r="B465" s="14" t="str">
        <x:v>01</x:v>
      </x:c>
      <x:c r="C465" s="14" t="str">
        <x:v>2023_IMDb_Cast_Lists_Batch_01(2).xlsx</x:v>
      </x:c>
      <x:c r="D465" s="14" t="str">
        <x:v>Black Ops</x:v>
      </x:c>
      <x:c r="E465" s="14" t="n">
        <x:v>69</x:v>
      </x:c>
      <x:c r="F465" s="14" t="str">
        <x:v>Black Ops</x:v>
      </x:c>
      <x:c r="G465" s="14" t="str">
        <x:v>tt15296862</x:v>
      </x:c>
      <x:c r="H465" s="14" t="n">
        <x:v>2023</x:v>
      </x:c>
      <x:c r="I465" s="14" t="n">
        <x:v>2025</x:v>
      </x:c>
      <x:c r="J465" s="14" t="str">
        <x:v>Post-study cohort</x:v>
      </x:c>
      <x:c r="K465" s="14" t="n">
        <x:v>2023</x:v>
      </x:c>
      <x:c r="L465" s="14" t="str">
        <x:v>Not inherited</x:v>
      </x:c>
      <x:c r="M465" s="15" t="n">
        <x:v>62</x:v>
      </x:c>
      <x:c r="N465" s="14" t="str">
        <x:v>Thomas Michaelson</x:v>
      </x:c>
      <x:c r="O465" s="14" t="str">
        <x:v>nm6146187</x:v>
      </x:c>
      <x:c r="P465" s="14" t="str">
        <x:v>Carnival Police Officer</x:v>
      </x:c>
      <x:c r="Q465" s="15" t="n">
        <x:v>1</x:v>
      </x:c>
      <x:c r="R465" s="14" t="str">
        <x:v>2026</x:v>
      </x:c>
      <x:c r="S465" s="14" t="n">
        <x:v>2026</x:v>
      </x:c>
      <x:c r="T465" s="14" t="n">
        <x:v>2026</x:v>
      </x:c>
      <x:c r="U465" s="14" t="str">
        <x:v>Explicit source first year retained</x:v>
      </x:c>
      <x:c r="V465" s="14" t="str">
        <x:v>Earliest supplied year is 2026.</x:v>
      </x:c>
      <x:c r="W465" s="14"/>
      <x:c r="X465" s="14" t="str">
        <x:v>Excluded: after 2025</x:v>
      </x:c>
      <x:c r="Y465" s="14"/>
      <x:c r="Z465" s="14" t="str">
        <x:v>Black Ops.docx</x:v>
      </x:c>
      <x:c r="AA465" s="14" t="str">
        <x:v>HYPERLINK is not implemented. linkLocation=https://www.imdb.com/title/tt15296862/fullcredits/, friendlyName=Open source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BBC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7" t="e">
        <x:f>HYPERLINK("https://en.wikipedia.org/wiki/Black_Ops","Open source")</x:f>
        <x:v>HYPERLINK is not implemented. linkLocation=https://en.wikipedia.org/wiki/Black_Ops, friendlyName=Open source</x:v>
      </x:c>
      <x:c r="AN465" s="14" t="str">
        <x:v>BBC public-service commission</x:v>
      </x:c>
      <x:c r="AO465" s="14" t="str">
        <x:v>Yes</x:v>
      </x:c>
      <x:c r="AP465" s="14" t="str">
        <x:v>Direct BBC public-service scope</x:v>
      </x:c>
      <x:c r="AQ465" s="14" t="str">
        <x:v>Yes</x:v>
      </x:c>
      <x:c r="AR465" s="14" t="str">
        <x:v>Resolved from master register</x:v>
      </x:c>
      <x:c r="AS465" s="14" t="str">
        <x:v>No established-register match</x:v>
      </x:c>
      <x:c r="AT465" s="14"/>
      <x:c r="AU465" s="14"/>
      <x:c r="AV465" s="14" t="str">
        <x:v>No established apparent-disability match</x:v>
      </x:c>
      <x:c r="AW465" s="14"/>
      <x:c r="AX465" s="14" t="str">
        <x:v>No</x:v>
      </x:c>
      <x:c r="AY465" s="14" t="str">
        <x:v>Unmatched</x:v>
      </x:c>
      <x:c r="AZ465" s="14" t="str">
        <x:v>Final supplied register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12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0.08333333333333333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4" t="str">
        <x:v>HYPERLINK is not implemented. linkLocation=https://www.imdb.com/title/tt15296862/fullcredits/, friendlyName=Open source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tt15296862|nm3820574|officer quentin</x:v>
      </x:c>
      <x:c r="B466" s="14" t="str">
        <x:v>01</x:v>
      </x:c>
      <x:c r="C466" s="14" t="str">
        <x:v>2023_IMDb_Cast_Lists_Batch_01(2).xlsx</x:v>
      </x:c>
      <x:c r="D466" s="14" t="str">
        <x:v>Black Ops</x:v>
      </x:c>
      <x:c r="E466" s="14" t="n">
        <x:v>70</x:v>
      </x:c>
      <x:c r="F466" s="14" t="str">
        <x:v>Black Ops</x:v>
      </x:c>
      <x:c r="G466" s="14" t="str">
        <x:v>tt15296862</x:v>
      </x:c>
      <x:c r="H466" s="14" t="n">
        <x:v>2023</x:v>
      </x:c>
      <x:c r="I466" s="14" t="n">
        <x:v>2025</x:v>
      </x:c>
      <x:c r="J466" s="14" t="str">
        <x:v>Post-study cohort</x:v>
      </x:c>
      <x:c r="K466" s="14" t="n">
        <x:v>2023</x:v>
      </x:c>
      <x:c r="L466" s="14" t="str">
        <x:v>Not inherited</x:v>
      </x:c>
      <x:c r="M466" s="15" t="n">
        <x:v>63</x:v>
      </x:c>
      <x:c r="N466" s="14" t="str">
        <x:v>Owyn Stephens</x:v>
      </x:c>
      <x:c r="O466" s="14" t="str">
        <x:v>nm3820574</x:v>
      </x:c>
      <x:c r="P466" s="14" t="str">
        <x:v>Officer Quentin</x:v>
      </x:c>
      <x:c r="Q466" s="15" t="n">
        <x:v>1</x:v>
      </x:c>
      <x:c r="R466" s="14" t="str">
        <x:v>2026</x:v>
      </x:c>
      <x:c r="S466" s="14" t="n">
        <x:v>2026</x:v>
      </x:c>
      <x:c r="T466" s="14" t="n">
        <x:v>2026</x:v>
      </x:c>
      <x:c r="U466" s="14" t="str">
        <x:v>Explicit source first year retained</x:v>
      </x:c>
      <x:c r="V466" s="14" t="str">
        <x:v>Earliest supplied year is 2026.</x:v>
      </x:c>
      <x:c r="W466" s="14"/>
      <x:c r="X466" s="14" t="str">
        <x:v>Excluded: after 2025</x:v>
      </x:c>
      <x:c r="Y466" s="14"/>
      <x:c r="Z466" s="14" t="str">
        <x:v>Black Ops.docx</x:v>
      </x:c>
      <x:c r="AA466" s="14" t="str">
        <x:v>HYPERLINK is not implemented. linkLocation=https://www.imdb.com/title/tt15296862/fullcredits/, friendlyName=Open source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BBC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7" t="e">
        <x:f>HYPERLINK("https://en.wikipedia.org/wiki/Black_Ops","Open source")</x:f>
        <x:v>HYPERLINK is not implemented. linkLocation=https://en.wikipedia.org/wiki/Black_Ops, friendlyName=Open source</x:v>
      </x:c>
      <x:c r="AN466" s="14" t="str">
        <x:v>BBC public-service commission</x:v>
      </x:c>
      <x:c r="AO466" s="14" t="str">
        <x:v>Yes</x:v>
      </x:c>
      <x:c r="AP466" s="14" t="str">
        <x:v>Direct BBC public-service scope</x:v>
      </x:c>
      <x:c r="AQ466" s="14" t="str">
        <x:v>Yes</x:v>
      </x:c>
      <x:c r="AR466" s="14" t="str">
        <x:v>Resolved from master register</x:v>
      </x:c>
      <x:c r="AS466" s="14" t="str">
        <x:v>No established-register match</x:v>
      </x:c>
      <x:c r="AT466" s="14"/>
      <x:c r="AU466" s="14"/>
      <x:c r="AV466" s="14" t="str">
        <x:v>No established apparent-disability match</x:v>
      </x:c>
      <x:c r="AW466" s="14"/>
      <x:c r="AX466" s="14" t="str">
        <x:v>No</x:v>
      </x:c>
      <x:c r="AY466" s="14" t="str">
        <x:v>Unmatched</x:v>
      </x:c>
      <x:c r="AZ466" s="14" t="str">
        <x:v>Final supplied register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12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0.08333333333333333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4" t="str">
        <x:v>HYPERLINK is not implemented. linkLocation=https://www.imdb.com/title/tt15296862/fullcredits/, friendlyName=Open source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tt15296862|nm10775209|officer arresting murray</x:v>
      </x:c>
      <x:c r="B467" s="14" t="str">
        <x:v>01</x:v>
      </x:c>
      <x:c r="C467" s="14" t="str">
        <x:v>2023_IMDb_Cast_Lists_Batch_01(2).xlsx</x:v>
      </x:c>
      <x:c r="D467" s="14" t="str">
        <x:v>Black Ops</x:v>
      </x:c>
      <x:c r="E467" s="14" t="n">
        <x:v>71</x:v>
      </x:c>
      <x:c r="F467" s="14" t="str">
        <x:v>Black Ops</x:v>
      </x:c>
      <x:c r="G467" s="14" t="str">
        <x:v>tt15296862</x:v>
      </x:c>
      <x:c r="H467" s="14" t="n">
        <x:v>2023</x:v>
      </x:c>
      <x:c r="I467" s="14" t="n">
        <x:v>2025</x:v>
      </x:c>
      <x:c r="J467" s="14" t="str">
        <x:v>Post-study cohort</x:v>
      </x:c>
      <x:c r="K467" s="14" t="n">
        <x:v>2023</x:v>
      </x:c>
      <x:c r="L467" s="14" t="str">
        <x:v>Not inherited</x:v>
      </x:c>
      <x:c r="M467" s="15" t="n">
        <x:v>64</x:v>
      </x:c>
      <x:c r="N467" s="14" t="str">
        <x:v>Harriet Dyer</x:v>
      </x:c>
      <x:c r="O467" s="14" t="str">
        <x:v>nm10775209</x:v>
      </x:c>
      <x:c r="P467" s="14" t="str">
        <x:v>Officer Arresting Murray</x:v>
      </x:c>
      <x:c r="Q467" s="15" t="n">
        <x:v>1</x:v>
      </x:c>
      <x:c r="R467" s="14" t="str">
        <x:v>2026</x:v>
      </x:c>
      <x:c r="S467" s="14" t="n">
        <x:v>2026</x:v>
      </x:c>
      <x:c r="T467" s="14" t="n">
        <x:v>2026</x:v>
      </x:c>
      <x:c r="U467" s="14" t="str">
        <x:v>Explicit source first year retained</x:v>
      </x:c>
      <x:c r="V467" s="14" t="str">
        <x:v>Earliest supplied year is 2026.</x:v>
      </x:c>
      <x:c r="W467" s="14"/>
      <x:c r="X467" s="14" t="str">
        <x:v>Excluded: after 2025</x:v>
      </x:c>
      <x:c r="Y467" s="14"/>
      <x:c r="Z467" s="14" t="str">
        <x:v>Black Ops.docx</x:v>
      </x:c>
      <x:c r="AA467" s="14" t="str">
        <x:v>HYPERLINK is not implemented. linkLocation=https://www.imdb.com/title/tt15296862/fullcredits/, friendlyName=Open source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BBC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7" t="e">
        <x:f>HYPERLINK("https://en.wikipedia.org/wiki/Black_Ops","Open source")</x:f>
        <x:v>HYPERLINK is not implemented. linkLocation=https://en.wikipedia.org/wiki/Black_Ops, friendlyName=Open source</x:v>
      </x:c>
      <x:c r="AN467" s="14" t="str">
        <x:v>BBC public-service commission</x:v>
      </x:c>
      <x:c r="AO467" s="14" t="str">
        <x:v>Yes</x:v>
      </x:c>
      <x:c r="AP467" s="14" t="str">
        <x:v>Direct BBC public-service scope</x:v>
      </x:c>
      <x:c r="AQ467" s="14" t="str">
        <x:v>Yes</x:v>
      </x:c>
      <x:c r="AR467" s="14" t="str">
        <x:v>Resolved from master register</x:v>
      </x:c>
      <x:c r="AS467" s="14" t="str">
        <x:v>No established-register match</x:v>
      </x:c>
      <x:c r="AT467" s="14"/>
      <x:c r="AU467" s="14"/>
      <x:c r="AV467" s="14" t="str">
        <x:v>No established apparent-disability match</x:v>
      </x:c>
      <x:c r="AW467" s="14"/>
      <x:c r="AX467" s="14" t="str">
        <x:v>No</x:v>
      </x:c>
      <x:c r="AY467" s="14" t="str">
        <x:v>Unmatched</x:v>
      </x:c>
      <x:c r="AZ467" s="14" t="str">
        <x:v>Final supplied register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12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0.08333333333333333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4" t="str">
        <x:v>HYPERLINK is not implemented. linkLocation=https://www.imdb.com/title/tt15296862/fullcredits/, friendlyName=Open source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tt14466018|nm9984976|imelda</x:v>
      </x:c>
      <x:c r="B468" s="14" t="str">
        <x:v>01</x:v>
      </x:c>
      <x:c r="C468" s="14" t="str">
        <x:v>2023_IMDb_Cast_Lists_Batch_01(2).xlsx</x:v>
      </x:c>
      <x:c r="D468" s="14" t="str">
        <x:v>Blue Lights</x:v>
      </x:c>
      <x:c r="E468" s="14" t="n">
        <x:v>147</x:v>
      </x:c>
      <x:c r="F468" s="14" t="str">
        <x:v>Blue Lights</x:v>
      </x:c>
      <x:c r="G468" s="14" t="str">
        <x:v>tt14466018</x:v>
      </x:c>
      <x:c r="H468" s="14" t="n">
        <x:v>2023</x:v>
      </x:c>
      <x:c r="I468" s="14" t="n">
        <x:v>2025</x:v>
      </x:c>
      <x:c r="J468" s="14" t="str">
        <x:v>Post-study cohort</x:v>
      </x:c>
      <x:c r="K468" s="14" t="n">
        <x:v>2023</x:v>
      </x:c>
      <x:c r="L468" s="14" t="str">
        <x:v>Not inherited</x:v>
      </x:c>
      <x:c r="M468" s="15" t="n">
        <x:v>140</x:v>
      </x:c>
      <x:c r="N468" s="14" t="str">
        <x:v>Rosamund Monteith</x:v>
      </x:c>
      <x:c r="O468" s="14" t="str">
        <x:v>nm9984976</x:v>
      </x:c>
      <x:c r="P468" s="14" t="str">
        <x:v>Imelda</x:v>
      </x:c>
      <x:c r="Q468" s="15" t="n">
        <x:v>1</x:v>
      </x:c>
      <x:c r="R468" s="14" t="str">
        <x:v>2026</x:v>
      </x:c>
      <x:c r="S468" s="14" t="n">
        <x:v>2026</x:v>
      </x:c>
      <x:c r="T468" s="14" t="n">
        <x:v>2026</x:v>
      </x:c>
      <x:c r="U468" s="14" t="str">
        <x:v>Explicit source first year retained</x:v>
      </x:c>
      <x:c r="V468" s="14" t="str">
        <x:v>Earliest supplied year is 2026.</x:v>
      </x:c>
      <x:c r="W468" s="14"/>
      <x:c r="X468" s="14" t="str">
        <x:v>Excluded: after 2025</x:v>
      </x:c>
      <x:c r="Y468" s="14"/>
      <x:c r="Z468" s="14" t="str">
        <x:v>Blue Lights.docx</x:v>
      </x:c>
      <x:c r="AA468" s="14" t="str">
        <x:v>HYPERLINK is not implemented. linkLocation=https://www.imdb.com/title/tt14466018/fullcredits/, friendlyName=Open source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BBC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7" t="e">
        <x:f>HYPERLINK("https://en.wikipedia.org/wiki/Blue_Light","Open source")</x:f>
        <x:v>HYPERLINK is not implemented. linkLocation=https://en.wikipedia.org/wiki/Blue_Light, friendlyName=Open source</x:v>
      </x:c>
      <x:c r="AN468" s="14" t="str">
        <x:v>BBC public-service commission</x:v>
      </x:c>
      <x:c r="AO468" s="14" t="str">
        <x:v>Yes</x:v>
      </x:c>
      <x:c r="AP468" s="14" t="str">
        <x:v>Direct BBC public-service scope</x:v>
      </x:c>
      <x:c r="AQ468" s="14" t="str">
        <x:v>Yes</x:v>
      </x:c>
      <x:c r="AR468" s="14" t="str">
        <x:v>Resolved from master register</x:v>
      </x:c>
      <x:c r="AS468" s="14" t="str">
        <x:v>No established-register match</x:v>
      </x:c>
      <x:c r="AT468" s="14"/>
      <x:c r="AU468" s="14"/>
      <x:c r="AV468" s="14" t="str">
        <x:v>No established apparent-disability match</x:v>
      </x:c>
      <x:c r="AW468" s="14"/>
      <x:c r="AX468" s="14" t="str">
        <x:v>No</x:v>
      </x:c>
      <x:c r="AY468" s="14" t="str">
        <x:v>Unmatched</x:v>
      </x:c>
      <x:c r="AZ468" s="14" t="str">
        <x:v>Final supplied register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19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0.05263157894736842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4" t="str">
        <x:v>HYPERLINK is not implemented. linkLocation=https://www.imdb.com/title/tt14466018/fullcredits/, friendlyName=Open source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tt14466018|nm3097082|david</x:v>
      </x:c>
      <x:c r="B469" s="14" t="str">
        <x:v>01</x:v>
      </x:c>
      <x:c r="C469" s="14" t="str">
        <x:v>2023_IMDb_Cast_Lists_Batch_01(2).xlsx</x:v>
      </x:c>
      <x:c r="D469" s="14" t="str">
        <x:v>Blue Lights</x:v>
      </x:c>
      <x:c r="E469" s="14" t="n">
        <x:v>148</x:v>
      </x:c>
      <x:c r="F469" s="14" t="str">
        <x:v>Blue Lights</x:v>
      </x:c>
      <x:c r="G469" s="14" t="str">
        <x:v>tt14466018</x:v>
      </x:c>
      <x:c r="H469" s="14" t="n">
        <x:v>2023</x:v>
      </x:c>
      <x:c r="I469" s="14" t="n">
        <x:v>2025</x:v>
      </x:c>
      <x:c r="J469" s="14" t="str">
        <x:v>Post-study cohort</x:v>
      </x:c>
      <x:c r="K469" s="14" t="n">
        <x:v>2023</x:v>
      </x:c>
      <x:c r="L469" s="14" t="str">
        <x:v>Not inherited</x:v>
      </x:c>
      <x:c r="M469" s="15" t="n">
        <x:v>141</x:v>
      </x:c>
      <x:c r="N469" s="14" t="str">
        <x:v>Trevor Gill</x:v>
      </x:c>
      <x:c r="O469" s="14" t="str">
        <x:v>nm3097082</x:v>
      </x:c>
      <x:c r="P469" s="14" t="str">
        <x:v>David</x:v>
      </x:c>
      <x:c r="Q469" s="15" t="n">
        <x:v>1</x:v>
      </x:c>
      <x:c r="R469" s="14" t="str">
        <x:v>2026</x:v>
      </x:c>
      <x:c r="S469" s="14" t="n">
        <x:v>2026</x:v>
      </x:c>
      <x:c r="T469" s="14" t="n">
        <x:v>2026</x:v>
      </x:c>
      <x:c r="U469" s="14" t="str">
        <x:v>Explicit source first year retained</x:v>
      </x:c>
      <x:c r="V469" s="14" t="str">
        <x:v>Earliest supplied year is 2026.</x:v>
      </x:c>
      <x:c r="W469" s="14"/>
      <x:c r="X469" s="14" t="str">
        <x:v>Excluded: after 2025</x:v>
      </x:c>
      <x:c r="Y469" s="14"/>
      <x:c r="Z469" s="14" t="str">
        <x:v>Blue Lights.docx</x:v>
      </x:c>
      <x:c r="AA469" s="14" t="str">
        <x:v>HYPERLINK is not implemented. linkLocation=https://www.imdb.com/title/tt14466018/fullcredits/, friendlyName=Open source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BBC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7" t="e">
        <x:f>HYPERLINK("https://en.wikipedia.org/wiki/Blue_Light","Open source")</x:f>
        <x:v>HYPERLINK is not implemented. linkLocation=https://en.wikipedia.org/wiki/Blue_Light, friendlyName=Open source</x:v>
      </x:c>
      <x:c r="AN469" s="14" t="str">
        <x:v>BBC public-service commission</x:v>
      </x:c>
      <x:c r="AO469" s="14" t="str">
        <x:v>Yes</x:v>
      </x:c>
      <x:c r="AP469" s="14" t="str">
        <x:v>Direct BBC public-service scope</x:v>
      </x:c>
      <x:c r="AQ469" s="14" t="str">
        <x:v>Yes</x:v>
      </x:c>
      <x:c r="AR469" s="14" t="str">
        <x:v>Resolved from master register</x:v>
      </x:c>
      <x:c r="AS469" s="14" t="str">
        <x:v>No established-register match</x:v>
      </x:c>
      <x:c r="AT469" s="14"/>
      <x:c r="AU469" s="14"/>
      <x:c r="AV469" s="14" t="str">
        <x:v>No established apparent-disability match</x:v>
      </x:c>
      <x:c r="AW469" s="14"/>
      <x:c r="AX469" s="14" t="str">
        <x:v>No</x:v>
      </x:c>
      <x:c r="AY469" s="14" t="str">
        <x:v>Unmatched</x:v>
      </x:c>
      <x:c r="AZ469" s="14" t="str">
        <x:v>Final supplied register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19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0.05263157894736842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4" t="str">
        <x:v>HYPERLINK is not implemented. linkLocation=https://www.imdb.com/title/tt14466018/fullcredits/, friendlyName=Open source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tt26346233|nm0242459|carole merryweather</x:v>
      </x:c>
      <x:c r="B470" s="14" t="str">
        <x:v>04</x:v>
      </x:c>
      <x:c r="C470" s="14" t="str">
        <x:v>2023_IMDb_Cast_Lists_Batch_04(2).xlsx</x:v>
      </x:c>
      <x:c r="D470" s="14" t="str">
        <x:v>The Good Ship Murder</x:v>
      </x:c>
      <x:c r="E470" s="14" t="n">
        <x:v>19</x:v>
      </x:c>
      <x:c r="F470" s="14" t="str">
        <x:v>The Good Ship Murder</x:v>
      </x:c>
      <x:c r="G470" s="14" t="str">
        <x:v>tt26346233</x:v>
      </x:c>
      <x:c r="H470" s="14" t="n">
        <x:v>2023</x:v>
      </x:c>
      <x:c r="I470" s="14" t="n">
        <x:v>2025</x:v>
      </x:c>
      <x:c r="J470" s="14" t="str">
        <x:v>Post-study cohort</x:v>
      </x:c>
      <x:c r="K470" s="14" t="n">
        <x:v>2023</x:v>
      </x:c>
      <x:c r="L470" s="14" t="str">
        <x:v>Not inherited</x:v>
      </x:c>
      <x:c r="M470" s="15" t="n">
        <x:v>12</x:v>
      </x:c>
      <x:c r="N470" s="14" t="str">
        <x:v>Lesley Dunlop</x:v>
      </x:c>
      <x:c r="O470" s="14" t="str">
        <x:v>nm0242459</x:v>
      </x:c>
      <x:c r="P470" s="14" t="str">
        <x:v>Carole Merryweather</x:v>
      </x:c>
      <x:c r="Q470" s="15" t="n">
        <x:v>4</x:v>
      </x:c>
      <x:c r="R470" s="14" t="str">
        <x:v>2026</x:v>
      </x:c>
      <x:c r="S470" s="14" t="n">
        <x:v>2026</x:v>
      </x:c>
      <x:c r="T470" s="14" t="n">
        <x:v>2026</x:v>
      </x:c>
      <x:c r="U470" s="14" t="str">
        <x:v>Explicit source first year retained</x:v>
      </x:c>
      <x:c r="V470" s="14" t="str">
        <x:v>Earliest supplied year is 2026.</x:v>
      </x:c>
      <x:c r="W470" s="14"/>
      <x:c r="X470" s="14" t="str">
        <x:v>Excluded: after 2025</x:v>
      </x:c>
      <x:c r="Y470" s="14"/>
      <x:c r="Z470" s="14" t="str">
        <x:v>The Good Ship Murder.docx</x:v>
      </x:c>
      <x:c r="AA470" s="14" t="str">
        <x:v>HYPERLINK is not implemented. linkLocation=https://www.imdb.com/title/tt26346233/fullcredits/, friendlyName=Open source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Channel 5 / 5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 t="str">
        <x:v>No established-register match</x:v>
      </x:c>
      <x:c r="AT470" s="14"/>
      <x:c r="AU470" s="14"/>
      <x:c r="AV470" s="14" t="str">
        <x:v>No established apparent-disability match</x:v>
      </x:c>
      <x:c r="AW470" s="14"/>
      <x:c r="AX470" s="14" t="str">
        <x:v>No</x:v>
      </x:c>
      <x:c r="AY470" s="14" t="str">
        <x:v>Unmatched</x:v>
      </x:c>
      <x:c r="AZ470" s="14" t="str">
        <x:v>Final supplied register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24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4</x:v>
      </x:c>
      <x:c r="BS470" s="16" t="n">
        <x:v>0.16666666666666666</x:v>
      </x:c>
      <x:c r="BT470" s="14" t="str">
        <x:v>Minority of episodes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4" t="str">
        <x:v>HYPERLINK is not implemented. linkLocation=https://www.imdb.com/title/tt26346233/fullcredits/, friendlyName=Open source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tt26346233|nm11427200|goran musovic</x:v>
      </x:c>
      <x:c r="B471" s="14" t="str">
        <x:v>04</x:v>
      </x:c>
      <x:c r="C471" s="14" t="str">
        <x:v>2023_IMDb_Cast_Lists_Batch_04(2).xlsx</x:v>
      </x:c>
      <x:c r="D471" s="14" t="str">
        <x:v>The Good Ship Murder</x:v>
      </x:c>
      <x:c r="E471" s="14" t="n">
        <x:v>21</x:v>
      </x:c>
      <x:c r="F471" s="14" t="str">
        <x:v>The Good Ship Murder</x:v>
      </x:c>
      <x:c r="G471" s="14" t="str">
        <x:v>tt26346233</x:v>
      </x:c>
      <x:c r="H471" s="14" t="n">
        <x:v>2023</x:v>
      </x:c>
      <x:c r="I471" s="14" t="n">
        <x:v>2025</x:v>
      </x:c>
      <x:c r="J471" s="14" t="str">
        <x:v>Post-study cohort</x:v>
      </x:c>
      <x:c r="K471" s="14" t="n">
        <x:v>2023</x:v>
      </x:c>
      <x:c r="L471" s="14" t="str">
        <x:v>Not inherited</x:v>
      </x:c>
      <x:c r="M471" s="15" t="n">
        <x:v>14</x:v>
      </x:c>
      <x:c r="N471" s="14" t="str">
        <x:v>Mickey Angelov</x:v>
      </x:c>
      <x:c r="O471" s="14" t="str">
        <x:v>nm11427200</x:v>
      </x:c>
      <x:c r="P471" s="14" t="str">
        <x:v>Goran Musovic</x:v>
      </x:c>
      <x:c r="Q471" s="15" t="n">
        <x:v>2</x:v>
      </x:c>
      <x:c r="R471" s="14" t="str">
        <x:v>2026</x:v>
      </x:c>
      <x:c r="S471" s="14" t="n">
        <x:v>2026</x:v>
      </x:c>
      <x:c r="T471" s="14" t="n">
        <x:v>2026</x:v>
      </x:c>
      <x:c r="U471" s="14" t="str">
        <x:v>Explicit source first year retained</x:v>
      </x:c>
      <x:c r="V471" s="14" t="str">
        <x:v>Earliest supplied year is 2026.</x:v>
      </x:c>
      <x:c r="W471" s="14"/>
      <x:c r="X471" s="14" t="str">
        <x:v>Excluded: after 2025</x:v>
      </x:c>
      <x:c r="Y471" s="14"/>
      <x:c r="Z471" s="14" t="str">
        <x:v>The Good Ship Murder.docx</x:v>
      </x:c>
      <x:c r="AA471" s="14" t="str">
        <x:v>HYPERLINK is not implemented. linkLocation=https://www.imdb.com/title/tt26346233/fullcredits/, friendlyName=Open source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Channel 5 / 5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 t="str">
        <x:v>No established-register match</x:v>
      </x:c>
      <x:c r="AT471" s="14"/>
      <x:c r="AU471" s="14"/>
      <x:c r="AV471" s="14" t="str">
        <x:v>No established apparent-disability match</x:v>
      </x:c>
      <x:c r="AW471" s="14"/>
      <x:c r="AX471" s="14" t="str">
        <x:v>No</x:v>
      </x:c>
      <x:c r="AY471" s="14" t="str">
        <x:v>Unmatched</x:v>
      </x:c>
      <x:c r="AZ471" s="14" t="str">
        <x:v>Final supplied register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24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2</x:v>
      </x:c>
      <x:c r="BS471" s="16" t="n">
        <x:v>0.08333333333333333</x:v>
      </x:c>
      <x:c r="BT471" s="14" t="str">
        <x:v>Minority of episodes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4" t="str">
        <x:v>HYPERLINK is not implemented. linkLocation=https://www.imdb.com/title/tt26346233/fullcredits/, friendlyName=Open source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tt26346233|nm1519450|angela boden</x:v>
      </x:c>
      <x:c r="B472" s="14" t="str">
        <x:v>04</x:v>
      </x:c>
      <x:c r="C472" s="14" t="str">
        <x:v>2023_IMDb_Cast_Lists_Batch_04(2).xlsx</x:v>
      </x:c>
      <x:c r="D472" s="14" t="str">
        <x:v>The Good Ship Murder</x:v>
      </x:c>
      <x:c r="E472" s="14" t="n">
        <x:v>45</x:v>
      </x:c>
      <x:c r="F472" s="14" t="str">
        <x:v>The Good Ship Murder</x:v>
      </x:c>
      <x:c r="G472" s="14" t="str">
        <x:v>tt26346233</x:v>
      </x:c>
      <x:c r="H472" s="14" t="n">
        <x:v>2023</x:v>
      </x:c>
      <x:c r="I472" s="14" t="n">
        <x:v>2025</x:v>
      </x:c>
      <x:c r="J472" s="14" t="str">
        <x:v>Post-study cohort</x:v>
      </x:c>
      <x:c r="K472" s="14" t="n">
        <x:v>2023</x:v>
      </x:c>
      <x:c r="L472" s="14" t="str">
        <x:v>Not inherited</x:v>
      </x:c>
      <x:c r="M472" s="15" t="n">
        <x:v>38</x:v>
      </x:c>
      <x:c r="N472" s="14" t="str">
        <x:v>Rebecca Atkinson</x:v>
      </x:c>
      <x:c r="O472" s="14" t="str">
        <x:v>nm1519450</x:v>
      </x:c>
      <x:c r="P472" s="14" t="str">
        <x:v>Angela Boden</x:v>
      </x:c>
      <x:c r="Q472" s="15" t="n">
        <x:v>1</x:v>
      </x:c>
      <x:c r="R472" s="14" t="str">
        <x:v>2026</x:v>
      </x:c>
      <x:c r="S472" s="14" t="n">
        <x:v>2026</x:v>
      </x:c>
      <x:c r="T472" s="14" t="n">
        <x:v>2026</x:v>
      </x:c>
      <x:c r="U472" s="14" t="str">
        <x:v>Explicit source first year retained</x:v>
      </x:c>
      <x:c r="V472" s="14" t="str">
        <x:v>Earliest supplied year is 2026.</x:v>
      </x:c>
      <x:c r="W472" s="14"/>
      <x:c r="X472" s="14" t="str">
        <x:v>Excluded: after 2025</x:v>
      </x:c>
      <x:c r="Y472" s="14"/>
      <x:c r="Z472" s="14" t="str">
        <x:v>The Good Ship Murder.docx</x:v>
      </x:c>
      <x:c r="AA472" s="14" t="str">
        <x:v>HYPERLINK is not implemented. linkLocation=https://www.imdb.com/title/tt26346233/fullcredits/, friendlyName=Open source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Channel 5 / 5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 t="str">
        <x:v>No established-register match</x:v>
      </x:c>
      <x:c r="AT472" s="14"/>
      <x:c r="AU472" s="14"/>
      <x:c r="AV472" s="14" t="str">
        <x:v>No established apparent-disability match</x:v>
      </x:c>
      <x:c r="AW472" s="14"/>
      <x:c r="AX472" s="14" t="str">
        <x:v>No</x:v>
      </x:c>
      <x:c r="AY472" s="14" t="str">
        <x:v>Unmatched</x:v>
      </x:c>
      <x:c r="AZ472" s="14" t="str">
        <x:v>Final supplied register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24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0.041666666666666664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4" t="str">
        <x:v>HYPERLINK is not implemented. linkLocation=https://www.imdb.com/title/tt26346233/fullcredits/, friendlyName=Open source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tt26346233|nm0098120|werner altmann</x:v>
      </x:c>
      <x:c r="B473" s="14" t="str">
        <x:v>04</x:v>
      </x:c>
      <x:c r="C473" s="14" t="str">
        <x:v>2023_IMDb_Cast_Lists_Batch_04(2).xlsx</x:v>
      </x:c>
      <x:c r="D473" s="14" t="str">
        <x:v>The Good Ship Murder</x:v>
      </x:c>
      <x:c r="E473" s="14" t="n">
        <x:v>46</x:v>
      </x:c>
      <x:c r="F473" s="14" t="str">
        <x:v>The Good Ship Murder</x:v>
      </x:c>
      <x:c r="G473" s="14" t="str">
        <x:v>tt26346233</x:v>
      </x:c>
      <x:c r="H473" s="14" t="n">
        <x:v>2023</x:v>
      </x:c>
      <x:c r="I473" s="14" t="n">
        <x:v>2025</x:v>
      </x:c>
      <x:c r="J473" s="14" t="str">
        <x:v>Post-study cohort</x:v>
      </x:c>
      <x:c r="K473" s="14" t="n">
        <x:v>2023</x:v>
      </x:c>
      <x:c r="L473" s="14" t="str">
        <x:v>Not inherited</x:v>
      </x:c>
      <x:c r="M473" s="15" t="n">
        <x:v>39</x:v>
      </x:c>
      <x:c r="N473" s="14" t="str">
        <x:v>Uke Bosse</x:v>
      </x:c>
      <x:c r="O473" s="14" t="str">
        <x:v>nm0098120</x:v>
      </x:c>
      <x:c r="P473" s="14" t="str">
        <x:v>Werner Altmann</x:v>
      </x:c>
      <x:c r="Q473" s="15" t="n">
        <x:v>1</x:v>
      </x:c>
      <x:c r="R473" s="14" t="str">
        <x:v>2026</x:v>
      </x:c>
      <x:c r="S473" s="14" t="n">
        <x:v>2026</x:v>
      </x:c>
      <x:c r="T473" s="14" t="n">
        <x:v>2026</x:v>
      </x:c>
      <x:c r="U473" s="14" t="str">
        <x:v>Explicit source first year retained</x:v>
      </x:c>
      <x:c r="V473" s="14" t="str">
        <x:v>Earliest supplied year is 2026.</x:v>
      </x:c>
      <x:c r="W473" s="14"/>
      <x:c r="X473" s="14" t="str">
        <x:v>Excluded: after 2025</x:v>
      </x:c>
      <x:c r="Y473" s="14"/>
      <x:c r="Z473" s="14" t="str">
        <x:v>The Good Ship Murder.docx</x:v>
      </x:c>
      <x:c r="AA473" s="14" t="str">
        <x:v>HYPERLINK is not implemented. linkLocation=https://www.imdb.com/title/tt26346233/fullcredits/, friendlyName=Open source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Channel 5 / 5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 t="str">
        <x:v>No established-register match</x:v>
      </x:c>
      <x:c r="AT473" s="14"/>
      <x:c r="AU473" s="14"/>
      <x:c r="AV473" s="14" t="str">
        <x:v>No established apparent-disability match</x:v>
      </x:c>
      <x:c r="AW473" s="14"/>
      <x:c r="AX473" s="14" t="str">
        <x:v>No</x:v>
      </x:c>
      <x:c r="AY473" s="14" t="str">
        <x:v>Unmatched</x:v>
      </x:c>
      <x:c r="AZ473" s="14" t="str">
        <x:v>Final supplied register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24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1</x:v>
      </x:c>
      <x:c r="BS473" s="16" t="n">
        <x:v>0.041666666666666664</x:v>
      </x:c>
      <x:c r="BT473" s="14" t="str">
        <x:v>One episode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4" t="str">
        <x:v>HYPERLINK is not implemented. linkLocation=https://www.imdb.com/title/tt26346233/fullcredits/, friendlyName=Open source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tt26346233|nm2563879|christopher raja</x:v>
      </x:c>
      <x:c r="B474" s="14" t="str">
        <x:v>04</x:v>
      </x:c>
      <x:c r="C474" s="14" t="str">
        <x:v>2023_IMDb_Cast_Lists_Batch_04(2).xlsx</x:v>
      </x:c>
      <x:c r="D474" s="14" t="str">
        <x:v>The Good Ship Murder</x:v>
      </x:c>
      <x:c r="E474" s="14" t="n">
        <x:v>47</x:v>
      </x:c>
      <x:c r="F474" s="14" t="str">
        <x:v>The Good Ship Murder</x:v>
      </x:c>
      <x:c r="G474" s="14" t="str">
        <x:v>tt26346233</x:v>
      </x:c>
      <x:c r="H474" s="14" t="n">
        <x:v>2023</x:v>
      </x:c>
      <x:c r="I474" s="14" t="n">
        <x:v>2025</x:v>
      </x:c>
      <x:c r="J474" s="14" t="str">
        <x:v>Post-study cohort</x:v>
      </x:c>
      <x:c r="K474" s="14" t="n">
        <x:v>2023</x:v>
      </x:c>
      <x:c r="L474" s="14" t="str">
        <x:v>Not inherited</x:v>
      </x:c>
      <x:c r="M474" s="15" t="n">
        <x:v>40</x:v>
      </x:c>
      <x:c r="N474" s="14" t="str">
        <x:v>Naveed Choudhry</x:v>
      </x:c>
      <x:c r="O474" s="14" t="str">
        <x:v>nm2563879</x:v>
      </x:c>
      <x:c r="P474" s="14" t="str">
        <x:v>Christopher Raja</x:v>
      </x:c>
      <x:c r="Q474" s="15" t="n">
        <x:v>1</x:v>
      </x:c>
      <x:c r="R474" s="14" t="str">
        <x:v>2026</x:v>
      </x:c>
      <x:c r="S474" s="14" t="n">
        <x:v>2026</x:v>
      </x:c>
      <x:c r="T474" s="14" t="n">
        <x:v>2026</x:v>
      </x:c>
      <x:c r="U474" s="14" t="str">
        <x:v>Explicit source first year retained</x:v>
      </x:c>
      <x:c r="V474" s="14" t="str">
        <x:v>Earliest supplied year is 2026.</x:v>
      </x:c>
      <x:c r="W474" s="14"/>
      <x:c r="X474" s="14" t="str">
        <x:v>Excluded: after 2025</x:v>
      </x:c>
      <x:c r="Y474" s="14"/>
      <x:c r="Z474" s="14" t="str">
        <x:v>The Good Ship Murder.docx</x:v>
      </x:c>
      <x:c r="AA474" s="14" t="str">
        <x:v>HYPERLINK is not implemented. linkLocation=https://www.imdb.com/title/tt26346233/fullcredits/, friendlyName=Open source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Channel 5 / 5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 t="str">
        <x:v>No established-register match</x:v>
      </x:c>
      <x:c r="AT474" s="14"/>
      <x:c r="AU474" s="14"/>
      <x:c r="AV474" s="14" t="str">
        <x:v>No established apparent-disability match</x:v>
      </x:c>
      <x:c r="AW474" s="14"/>
      <x:c r="AX474" s="14" t="str">
        <x:v>No</x:v>
      </x:c>
      <x:c r="AY474" s="14" t="str">
        <x:v>Unmatched</x:v>
      </x:c>
      <x:c r="AZ474" s="14" t="str">
        <x:v>Final supplied register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24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1</x:v>
      </x:c>
      <x:c r="BS474" s="16" t="n">
        <x:v>0.041666666666666664</x:v>
      </x:c>
      <x:c r="BT474" s="14" t="str">
        <x:v>One episode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4" t="str">
        <x:v>HYPERLINK is not implemented. linkLocation=https://www.imdb.com/title/tt26346233/fullcredits/, friendlyName=Open source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tt26346233|nm6526886|pandora</x:v>
      </x:c>
      <x:c r="B475" s="14" t="str">
        <x:v>04</x:v>
      </x:c>
      <x:c r="C475" s="14" t="str">
        <x:v>2023_IMDb_Cast_Lists_Batch_04(2).xlsx</x:v>
      </x:c>
      <x:c r="D475" s="14" t="str">
        <x:v>The Good Ship Murder</x:v>
      </x:c>
      <x:c r="E475" s="14" t="n">
        <x:v>65</x:v>
      </x:c>
      <x:c r="F475" s="14" t="str">
        <x:v>The Good Ship Murder</x:v>
      </x:c>
      <x:c r="G475" s="14" t="str">
        <x:v>tt26346233</x:v>
      </x:c>
      <x:c r="H475" s="14" t="n">
        <x:v>2023</x:v>
      </x:c>
      <x:c r="I475" s="14" t="n">
        <x:v>2025</x:v>
      </x:c>
      <x:c r="J475" s="14" t="str">
        <x:v>Post-study cohort</x:v>
      </x:c>
      <x:c r="K475" s="14" t="n">
        <x:v>2023</x:v>
      </x:c>
      <x:c r="L475" s="14" t="str">
        <x:v>Not inherited</x:v>
      </x:c>
      <x:c r="M475" s="15" t="n">
        <x:v>58</x:v>
      </x:c>
      <x:c r="N475" s="14" t="str">
        <x:v>Olivia Bernstone</x:v>
      </x:c>
      <x:c r="O475" s="14" t="str">
        <x:v>nm6526886</x:v>
      </x:c>
      <x:c r="P475" s="14" t="str">
        <x:v>Pandora</x:v>
      </x:c>
      <x:c r="Q475" s="15" t="n">
        <x:v>1</x:v>
      </x:c>
      <x:c r="R475" s="14" t="str">
        <x:v>2026</x:v>
      </x:c>
      <x:c r="S475" s="14" t="n">
        <x:v>2026</x:v>
      </x:c>
      <x:c r="T475" s="14" t="n">
        <x:v>2026</x:v>
      </x:c>
      <x:c r="U475" s="14" t="str">
        <x:v>Explicit source first year retained</x:v>
      </x:c>
      <x:c r="V475" s="14" t="str">
        <x:v>Earliest supplied year is 2026.</x:v>
      </x:c>
      <x:c r="W475" s="14"/>
      <x:c r="X475" s="14" t="str">
        <x:v>Excluded: after 2025</x:v>
      </x:c>
      <x:c r="Y475" s="14"/>
      <x:c r="Z475" s="14" t="str">
        <x:v>The Good Ship Murder.docx</x:v>
      </x:c>
      <x:c r="AA475" s="14" t="str">
        <x:v>HYPERLINK is not implemented. linkLocation=https://www.imdb.com/title/tt26346233/fullcredits/, friendlyName=Open source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Channel 5 / 5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 t="str">
        <x:v>No established-register match</x:v>
      </x:c>
      <x:c r="AT475" s="14"/>
      <x:c r="AU475" s="14"/>
      <x:c r="AV475" s="14" t="str">
        <x:v>No established apparent-disability match</x:v>
      </x:c>
      <x:c r="AW475" s="14"/>
      <x:c r="AX475" s="14" t="str">
        <x:v>No</x:v>
      </x:c>
      <x:c r="AY475" s="14" t="str">
        <x:v>Unmatched</x:v>
      </x:c>
      <x:c r="AZ475" s="14" t="str">
        <x:v>Final supplied register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24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1</x:v>
      </x:c>
      <x:c r="BS475" s="16" t="n">
        <x:v>0.041666666666666664</x:v>
      </x:c>
      <x:c r="BT475" s="14" t="str">
        <x:v>One episode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4" t="str">
        <x:v>HYPERLINK is not implemented. linkLocation=https://www.imdb.com/title/tt26346233/fullcredits/, friendlyName=Open source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tt26346233|nm2120658|julia stanton</x:v>
      </x:c>
      <x:c r="B476" s="14" t="str">
        <x:v>04</x:v>
      </x:c>
      <x:c r="C476" s="14" t="str">
        <x:v>2023_IMDb_Cast_Lists_Batch_04(2).xlsx</x:v>
      </x:c>
      <x:c r="D476" s="14" t="str">
        <x:v>The Good Ship Murder</x:v>
      </x:c>
      <x:c r="E476" s="14" t="n">
        <x:v>66</x:v>
      </x:c>
      <x:c r="F476" s="14" t="str">
        <x:v>The Good Ship Murder</x:v>
      </x:c>
      <x:c r="G476" s="14" t="str">
        <x:v>tt26346233</x:v>
      </x:c>
      <x:c r="H476" s="14" t="n">
        <x:v>2023</x:v>
      </x:c>
      <x:c r="I476" s="14" t="n">
        <x:v>2025</x:v>
      </x:c>
      <x:c r="J476" s="14" t="str">
        <x:v>Post-study cohort</x:v>
      </x:c>
      <x:c r="K476" s="14" t="n">
        <x:v>2023</x:v>
      </x:c>
      <x:c r="L476" s="14" t="str">
        <x:v>Not inherited</x:v>
      </x:c>
      <x:c r="M476" s="15" t="n">
        <x:v>59</x:v>
      </x:c>
      <x:c r="N476" s="14" t="str">
        <x:v>Lauren Drummond</x:v>
      </x:c>
      <x:c r="O476" s="14" t="str">
        <x:v>nm2120658</x:v>
      </x:c>
      <x:c r="P476" s="14" t="str">
        <x:v>Julia Stanton</x:v>
      </x:c>
      <x:c r="Q476" s="15" t="n">
        <x:v>1</x:v>
      </x:c>
      <x:c r="R476" s="14" t="str">
        <x:v>2026</x:v>
      </x:c>
      <x:c r="S476" s="14" t="n">
        <x:v>2026</x:v>
      </x:c>
      <x:c r="T476" s="14" t="n">
        <x:v>2026</x:v>
      </x:c>
      <x:c r="U476" s="14" t="str">
        <x:v>Explicit source first year retained</x:v>
      </x:c>
      <x:c r="V476" s="14" t="str">
        <x:v>Earliest supplied year is 2026.</x:v>
      </x:c>
      <x:c r="W476" s="14"/>
      <x:c r="X476" s="14" t="str">
        <x:v>Excluded: after 2025</x:v>
      </x:c>
      <x:c r="Y476" s="14"/>
      <x:c r="Z476" s="14" t="str">
        <x:v>The Good Ship Murder.docx</x:v>
      </x:c>
      <x:c r="AA476" s="14" t="str">
        <x:v>HYPERLINK is not implemented. linkLocation=https://www.imdb.com/title/tt26346233/fullcredits/, friendlyName=Open source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Channel 5 / 5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 t="str">
        <x:v>No established-register match</x:v>
      </x:c>
      <x:c r="AT476" s="14"/>
      <x:c r="AU476" s="14"/>
      <x:c r="AV476" s="14" t="str">
        <x:v>No established apparent-disability match</x:v>
      </x:c>
      <x:c r="AW476" s="14"/>
      <x:c r="AX476" s="14" t="str">
        <x:v>No</x:v>
      </x:c>
      <x:c r="AY476" s="14" t="str">
        <x:v>Unmatched</x:v>
      </x:c>
      <x:c r="AZ476" s="14" t="str">
        <x:v>Final supplied register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24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1</x:v>
      </x:c>
      <x:c r="BS476" s="16" t="n">
        <x:v>0.041666666666666664</x:v>
      </x:c>
      <x:c r="BT476" s="14" t="str">
        <x:v>One episode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4" t="str">
        <x:v>HYPERLINK is not implemented. linkLocation=https://www.imdb.com/title/tt26346233/fullcredits/, friendlyName=Open source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tt26346233|nm7462293|lucien daniels</x:v>
      </x:c>
      <x:c r="B477" s="14" t="str">
        <x:v>04</x:v>
      </x:c>
      <x:c r="C477" s="14" t="str">
        <x:v>2023_IMDb_Cast_Lists_Batch_04(2).xlsx</x:v>
      </x:c>
      <x:c r="D477" s="14" t="str">
        <x:v>The Good Ship Murder</x:v>
      </x:c>
      <x:c r="E477" s="14" t="n">
        <x:v>67</x:v>
      </x:c>
      <x:c r="F477" s="14" t="str">
        <x:v>The Good Ship Murder</x:v>
      </x:c>
      <x:c r="G477" s="14" t="str">
        <x:v>tt26346233</x:v>
      </x:c>
      <x:c r="H477" s="14" t="n">
        <x:v>2023</x:v>
      </x:c>
      <x:c r="I477" s="14" t="n">
        <x:v>2025</x:v>
      </x:c>
      <x:c r="J477" s="14" t="str">
        <x:v>Post-study cohort</x:v>
      </x:c>
      <x:c r="K477" s="14" t="n">
        <x:v>2023</x:v>
      </x:c>
      <x:c r="L477" s="14" t="str">
        <x:v>Not inherited</x:v>
      </x:c>
      <x:c r="M477" s="15" t="n">
        <x:v>60</x:v>
      </x:c>
      <x:c r="N477" s="14" t="str">
        <x:v>Gene Gurie</x:v>
      </x:c>
      <x:c r="O477" s="14" t="str">
        <x:v>nm7462293</x:v>
      </x:c>
      <x:c r="P477" s="14" t="str">
        <x:v>Lucien Daniels</x:v>
      </x:c>
      <x:c r="Q477" s="15" t="n">
        <x:v>1</x:v>
      </x:c>
      <x:c r="R477" s="14" t="str">
        <x:v>2026</x:v>
      </x:c>
      <x:c r="S477" s="14" t="n">
        <x:v>2026</x:v>
      </x:c>
      <x:c r="T477" s="14" t="n">
        <x:v>2026</x:v>
      </x:c>
      <x:c r="U477" s="14" t="str">
        <x:v>Explicit source first year retained</x:v>
      </x:c>
      <x:c r="V477" s="14" t="str">
        <x:v>Earliest supplied year is 2026.</x:v>
      </x:c>
      <x:c r="W477" s="14"/>
      <x:c r="X477" s="14" t="str">
        <x:v>Excluded: after 2025</x:v>
      </x:c>
      <x:c r="Y477" s="14"/>
      <x:c r="Z477" s="14" t="str">
        <x:v>The Good Ship Murder.docx</x:v>
      </x:c>
      <x:c r="AA477" s="14" t="str">
        <x:v>HYPERLINK is not implemented. linkLocation=https://www.imdb.com/title/tt26346233/fullcredits/, friendlyName=Open source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Channel 5 / 5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 t="str">
        <x:v>No established-register match</x:v>
      </x:c>
      <x:c r="AT477" s="14"/>
      <x:c r="AU477" s="14"/>
      <x:c r="AV477" s="14" t="str">
        <x:v>No established apparent-disability match</x:v>
      </x:c>
      <x:c r="AW477" s="14"/>
      <x:c r="AX477" s="14" t="str">
        <x:v>No</x:v>
      </x:c>
      <x:c r="AY477" s="14" t="str">
        <x:v>Unmatched</x:v>
      </x:c>
      <x:c r="AZ477" s="14" t="str">
        <x:v>Final supplied register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24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1</x:v>
      </x:c>
      <x:c r="BS477" s="16" t="n">
        <x:v>0.041666666666666664</x:v>
      </x:c>
      <x:c r="BT477" s="14" t="str">
        <x:v>One episode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4" t="str">
        <x:v>HYPERLINK is not implemented. linkLocation=https://www.imdb.com/title/tt26346233/fullcredits/, friendlyName=Open source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tt26346233|nm2959711|dr. aylin aziz</x:v>
      </x:c>
      <x:c r="B478" s="14" t="str">
        <x:v>04</x:v>
      </x:c>
      <x:c r="C478" s="14" t="str">
        <x:v>2023_IMDb_Cast_Lists_Batch_04(2).xlsx</x:v>
      </x:c>
      <x:c r="D478" s="14" t="str">
        <x:v>The Good Ship Murder</x:v>
      </x:c>
      <x:c r="E478" s="14" t="n">
        <x:v>68</x:v>
      </x:c>
      <x:c r="F478" s="14" t="str">
        <x:v>The Good Ship Murder</x:v>
      </x:c>
      <x:c r="G478" s="14" t="str">
        <x:v>tt26346233</x:v>
      </x:c>
      <x:c r="H478" s="14" t="n">
        <x:v>2023</x:v>
      </x:c>
      <x:c r="I478" s="14" t="n">
        <x:v>2025</x:v>
      </x:c>
      <x:c r="J478" s="14" t="str">
        <x:v>Post-study cohort</x:v>
      </x:c>
      <x:c r="K478" s="14" t="n">
        <x:v>2023</x:v>
      </x:c>
      <x:c r="L478" s="14" t="str">
        <x:v>Not inherited</x:v>
      </x:c>
      <x:c r="M478" s="15" t="n">
        <x:v>61</x:v>
      </x:c>
      <x:c r="N478" s="14" t="str">
        <x:v>Angele Galea</x:v>
      </x:c>
      <x:c r="O478" s="14" t="str">
        <x:v>nm2959711</x:v>
      </x:c>
      <x:c r="P478" s="14" t="str">
        <x:v>Dr. Aylin Aziz</x:v>
      </x:c>
      <x:c r="Q478" s="15" t="n">
        <x:v>1</x:v>
      </x:c>
      <x:c r="R478" s="14" t="str">
        <x:v>2026</x:v>
      </x:c>
      <x:c r="S478" s="14" t="n">
        <x:v>2026</x:v>
      </x:c>
      <x:c r="T478" s="14" t="n">
        <x:v>2026</x:v>
      </x:c>
      <x:c r="U478" s="14" t="str">
        <x:v>Explicit source first year retained</x:v>
      </x:c>
      <x:c r="V478" s="14" t="str">
        <x:v>Earliest supplied year is 2026.</x:v>
      </x:c>
      <x:c r="W478" s="14"/>
      <x:c r="X478" s="14" t="str">
        <x:v>Excluded: after 2025</x:v>
      </x:c>
      <x:c r="Y478" s="14"/>
      <x:c r="Z478" s="14" t="str">
        <x:v>The Good Ship Murder.docx</x:v>
      </x:c>
      <x:c r="AA478" s="14" t="str">
        <x:v>HYPERLINK is not implemented. linkLocation=https://www.imdb.com/title/tt26346233/fullcredits/, friendlyName=Open source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Channel 5 / 5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 t="str">
        <x:v>No established-register match</x:v>
      </x:c>
      <x:c r="AT478" s="14"/>
      <x:c r="AU478" s="14"/>
      <x:c r="AV478" s="14" t="str">
        <x:v>No established apparent-disability match</x:v>
      </x:c>
      <x:c r="AW478" s="14"/>
      <x:c r="AX478" s="14" t="str">
        <x:v>No</x:v>
      </x:c>
      <x:c r="AY478" s="14" t="str">
        <x:v>Unmatched</x:v>
      </x:c>
      <x:c r="AZ478" s="14" t="str">
        <x:v>Final supplied register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24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1</x:v>
      </x:c>
      <x:c r="BS478" s="16" t="n">
        <x:v>0.041666666666666664</x:v>
      </x:c>
      <x:c r="BT478" s="14" t="str">
        <x:v>One episode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4" t="str">
        <x:v>HYPERLINK is not implemented. linkLocation=https://www.imdb.com/title/tt26346233/fullcredits/, friendlyName=Open source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tt26346233|nm0304092|dominic raja</x:v>
      </x:c>
      <x:c r="B479" s="14" t="str">
        <x:v>04</x:v>
      </x:c>
      <x:c r="C479" s="14" t="str">
        <x:v>2023_IMDb_Cast_Lists_Batch_04(2).xlsx</x:v>
      </x:c>
      <x:c r="D479" s="14" t="str">
        <x:v>The Good Ship Murder</x:v>
      </x:c>
      <x:c r="E479" s="14" t="n">
        <x:v>84</x:v>
      </x:c>
      <x:c r="F479" s="14" t="str">
        <x:v>The Good Ship Murder</x:v>
      </x:c>
      <x:c r="G479" s="14" t="str">
        <x:v>tt26346233</x:v>
      </x:c>
      <x:c r="H479" s="14" t="n">
        <x:v>2023</x:v>
      </x:c>
      <x:c r="I479" s="14" t="n">
        <x:v>2025</x:v>
      </x:c>
      <x:c r="J479" s="14" t="str">
        <x:v>Post-study cohort</x:v>
      </x:c>
      <x:c r="K479" s="14" t="n">
        <x:v>2023</x:v>
      </x:c>
      <x:c r="L479" s="14" t="str">
        <x:v>Not inherited</x:v>
      </x:c>
      <x:c r="M479" s="15" t="n">
        <x:v>77</x:v>
      </x:c>
      <x:c r="N479" s="14" t="str">
        <x:v>Nitin Ganatra</x:v>
      </x:c>
      <x:c r="O479" s="14" t="str">
        <x:v>nm0304092</x:v>
      </x:c>
      <x:c r="P479" s="14" t="str">
        <x:v>Dominic Raja</x:v>
      </x:c>
      <x:c r="Q479" s="15" t="n">
        <x:v>1</x:v>
      </x:c>
      <x:c r="R479" s="14" t="str">
        <x:v>2026</x:v>
      </x:c>
      <x:c r="S479" s="14" t="n">
        <x:v>2026</x:v>
      </x:c>
      <x:c r="T479" s="14" t="n">
        <x:v>2026</x:v>
      </x:c>
      <x:c r="U479" s="14" t="str">
        <x:v>Explicit source first year retained</x:v>
      </x:c>
      <x:c r="V479" s="14" t="str">
        <x:v>Earliest supplied year is 2026.</x:v>
      </x:c>
      <x:c r="W479" s="14"/>
      <x:c r="X479" s="14" t="str">
        <x:v>Excluded: after 2025</x:v>
      </x:c>
      <x:c r="Y479" s="14"/>
      <x:c r="Z479" s="14" t="str">
        <x:v>The Good Ship Murder.docx</x:v>
      </x:c>
      <x:c r="AA479" s="14" t="str">
        <x:v>HYPERLINK is not implemented. linkLocation=https://www.imdb.com/title/tt26346233/fullcredits/, friendlyName=Open source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Channel 5 / 5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 t="str">
        <x:v>No established-register match</x:v>
      </x:c>
      <x:c r="AT479" s="14"/>
      <x:c r="AU479" s="14"/>
      <x:c r="AV479" s="14" t="str">
        <x:v>No established apparent-disability match</x:v>
      </x:c>
      <x:c r="AW479" s="14"/>
      <x:c r="AX479" s="14" t="str">
        <x:v>No</x:v>
      </x:c>
      <x:c r="AY479" s="14" t="str">
        <x:v>Unmatched</x:v>
      </x:c>
      <x:c r="AZ479" s="14" t="str">
        <x:v>Final supplied register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24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1</x:v>
      </x:c>
      <x:c r="BS479" s="16" t="n">
        <x:v>0.041666666666666664</x:v>
      </x:c>
      <x:c r="BT479" s="14" t="str">
        <x:v>One episode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4" t="str">
        <x:v>HYPERLINK is not implemented. linkLocation=https://www.imdb.com/title/tt26346233/fullcredits/, friendlyName=Open source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tt26346233|nm0234371|noel jones</x:v>
      </x:c>
      <x:c r="B480" s="14" t="str">
        <x:v>04</x:v>
      </x:c>
      <x:c r="C480" s="14" t="str">
        <x:v>2023_IMDb_Cast_Lists_Batch_04(2).xlsx</x:v>
      </x:c>
      <x:c r="D480" s="14" t="str">
        <x:v>The Good Ship Murder</x:v>
      </x:c>
      <x:c r="E480" s="14" t="n">
        <x:v>85</x:v>
      </x:c>
      <x:c r="F480" s="14" t="str">
        <x:v>The Good Ship Murder</x:v>
      </x:c>
      <x:c r="G480" s="14" t="str">
        <x:v>tt26346233</x:v>
      </x:c>
      <x:c r="H480" s="14" t="n">
        <x:v>2023</x:v>
      </x:c>
      <x:c r="I480" s="14" t="n">
        <x:v>2025</x:v>
      </x:c>
      <x:c r="J480" s="14" t="str">
        <x:v>Post-study cohort</x:v>
      </x:c>
      <x:c r="K480" s="14" t="n">
        <x:v>2023</x:v>
      </x:c>
      <x:c r="L480" s="14" t="str">
        <x:v>Not inherited</x:v>
      </x:c>
      <x:c r="M480" s="15" t="n">
        <x:v>78</x:v>
      </x:c>
      <x:c r="N480" s="14" t="str">
        <x:v>Kriss Dosanjh</x:v>
      </x:c>
      <x:c r="O480" s="14" t="str">
        <x:v>nm0234371</x:v>
      </x:c>
      <x:c r="P480" s="14" t="str">
        <x:v>Noel Jones</x:v>
      </x:c>
      <x:c r="Q480" s="15" t="n">
        <x:v>1</x:v>
      </x:c>
      <x:c r="R480" s="14" t="str">
        <x:v>2026</x:v>
      </x:c>
      <x:c r="S480" s="14" t="n">
        <x:v>2026</x:v>
      </x:c>
      <x:c r="T480" s="14" t="n">
        <x:v>2026</x:v>
      </x:c>
      <x:c r="U480" s="14" t="str">
        <x:v>Explicit source first year retained</x:v>
      </x:c>
      <x:c r="V480" s="14" t="str">
        <x:v>Earliest supplied year is 2026.</x:v>
      </x:c>
      <x:c r="W480" s="14"/>
      <x:c r="X480" s="14" t="str">
        <x:v>Excluded: after 2025</x:v>
      </x:c>
      <x:c r="Y480" s="14"/>
      <x:c r="Z480" s="14" t="str">
        <x:v>The Good Ship Murder.docx</x:v>
      </x:c>
      <x:c r="AA480" s="14" t="str">
        <x:v>HYPERLINK is not implemented. linkLocation=https://www.imdb.com/title/tt26346233/fullcredits/, friendlyName=Open source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Channel 5 / 5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 t="str">
        <x:v>No established-register match</x:v>
      </x:c>
      <x:c r="AT480" s="14"/>
      <x:c r="AU480" s="14"/>
      <x:c r="AV480" s="14" t="str">
        <x:v>No established apparent-disability match</x:v>
      </x:c>
      <x:c r="AW480" s="14"/>
      <x:c r="AX480" s="14" t="str">
        <x:v>No</x:v>
      </x:c>
      <x:c r="AY480" s="14" t="str">
        <x:v>Unmatched</x:v>
      </x:c>
      <x:c r="AZ480" s="14" t="str">
        <x:v>Final supplied register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24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1</x:v>
      </x:c>
      <x:c r="BS480" s="16" t="n">
        <x:v>0.041666666666666664</x:v>
      </x:c>
      <x:c r="BT480" s="14" t="str">
        <x:v>One episode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4" t="str">
        <x:v>HYPERLINK is not implemented. linkLocation=https://www.imdb.com/title/tt26346233/fullcredits/, friendlyName=Open source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tt26346233|nm5487606|jens de groot</x:v>
      </x:c>
      <x:c r="B481" s="14" t="str">
        <x:v>04</x:v>
      </x:c>
      <x:c r="C481" s="14" t="str">
        <x:v>2023_IMDb_Cast_Lists_Batch_04(2).xlsx</x:v>
      </x:c>
      <x:c r="D481" s="14" t="str">
        <x:v>The Good Ship Murder</x:v>
      </x:c>
      <x:c r="E481" s="14" t="n">
        <x:v>86</x:v>
      </x:c>
      <x:c r="F481" s="14" t="str">
        <x:v>The Good Ship Murder</x:v>
      </x:c>
      <x:c r="G481" s="14" t="str">
        <x:v>tt26346233</x:v>
      </x:c>
      <x:c r="H481" s="14" t="n">
        <x:v>2023</x:v>
      </x:c>
      <x:c r="I481" s="14" t="n">
        <x:v>2025</x:v>
      </x:c>
      <x:c r="J481" s="14" t="str">
        <x:v>Post-study cohort</x:v>
      </x:c>
      <x:c r="K481" s="14" t="n">
        <x:v>2023</x:v>
      </x:c>
      <x:c r="L481" s="14" t="str">
        <x:v>Not inherited</x:v>
      </x:c>
      <x:c r="M481" s="15" t="n">
        <x:v>79</x:v>
      </x:c>
      <x:c r="N481" s="14" t="str">
        <x:v>Davide Tucci</x:v>
      </x:c>
      <x:c r="O481" s="14" t="str">
        <x:v>nm5487606</x:v>
      </x:c>
      <x:c r="P481" s="14" t="str">
        <x:v>Jens de Groot</x:v>
      </x:c>
      <x:c r="Q481" s="15" t="n">
        <x:v>1</x:v>
      </x:c>
      <x:c r="R481" s="14" t="str">
        <x:v>2026</x:v>
      </x:c>
      <x:c r="S481" s="14" t="n">
        <x:v>2026</x:v>
      </x:c>
      <x:c r="T481" s="14" t="n">
        <x:v>2026</x:v>
      </x:c>
      <x:c r="U481" s="14" t="str">
        <x:v>Explicit source first year retained</x:v>
      </x:c>
      <x:c r="V481" s="14" t="str">
        <x:v>Earliest supplied year is 2026.</x:v>
      </x:c>
      <x:c r="W481" s="14"/>
      <x:c r="X481" s="14" t="str">
        <x:v>Excluded: after 2025</x:v>
      </x:c>
      <x:c r="Y481" s="14"/>
      <x:c r="Z481" s="14" t="str">
        <x:v>The Good Ship Murder.docx</x:v>
      </x:c>
      <x:c r="AA481" s="14" t="str">
        <x:v>HYPERLINK is not implemented. linkLocation=https://www.imdb.com/title/tt26346233/fullcredits/, friendlyName=Open source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Channel 5 / 5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 t="str">
        <x:v>No established-register match</x:v>
      </x:c>
      <x:c r="AT481" s="14"/>
      <x:c r="AU481" s="14"/>
      <x:c r="AV481" s="14" t="str">
        <x:v>No established apparent-disability match</x:v>
      </x:c>
      <x:c r="AW481" s="14"/>
      <x:c r="AX481" s="14" t="str">
        <x:v>No</x:v>
      </x:c>
      <x:c r="AY481" s="14" t="str">
        <x:v>Unmatched</x:v>
      </x:c>
      <x:c r="AZ481" s="14" t="str">
        <x:v>Final supplied register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24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1</x:v>
      </x:c>
      <x:c r="BS481" s="16" t="n">
        <x:v>0.041666666666666664</x:v>
      </x:c>
      <x:c r="BT481" s="14" t="str">
        <x:v>One episode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4" t="str">
        <x:v>HYPERLINK is not implemented. linkLocation=https://www.imdb.com/title/tt26346233/fullcredits/, friendlyName=Open source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tt26346233|nm8852653|mrs. kim eun tan</x:v>
      </x:c>
      <x:c r="B482" s="14" t="str">
        <x:v>04</x:v>
      </x:c>
      <x:c r="C482" s="14" t="str">
        <x:v>2023_IMDb_Cast_Lists_Batch_04(2).xlsx</x:v>
      </x:c>
      <x:c r="D482" s="14" t="str">
        <x:v>The Good Ship Murder</x:v>
      </x:c>
      <x:c r="E482" s="14" t="n">
        <x:v>87</x:v>
      </x:c>
      <x:c r="F482" s="14" t="str">
        <x:v>The Good Ship Murder</x:v>
      </x:c>
      <x:c r="G482" s="14" t="str">
        <x:v>tt26346233</x:v>
      </x:c>
      <x:c r="H482" s="14" t="n">
        <x:v>2023</x:v>
      </x:c>
      <x:c r="I482" s="14" t="n">
        <x:v>2025</x:v>
      </x:c>
      <x:c r="J482" s="14" t="str">
        <x:v>Post-study cohort</x:v>
      </x:c>
      <x:c r="K482" s="14" t="n">
        <x:v>2023</x:v>
      </x:c>
      <x:c r="L482" s="14" t="str">
        <x:v>Not inherited</x:v>
      </x:c>
      <x:c r="M482" s="15" t="n">
        <x:v>80</x:v>
      </x:c>
      <x:c r="N482" s="14" t="str">
        <x:v>Eleanor Hahn</x:v>
      </x:c>
      <x:c r="O482" s="14" t="str">
        <x:v>nm8852653</x:v>
      </x:c>
      <x:c r="P482" s="14" t="str">
        <x:v>Mrs. Kim Eun Tan</x:v>
      </x:c>
      <x:c r="Q482" s="15" t="n">
        <x:v>1</x:v>
      </x:c>
      <x:c r="R482" s="14" t="str">
        <x:v>2026</x:v>
      </x:c>
      <x:c r="S482" s="14" t="n">
        <x:v>2026</x:v>
      </x:c>
      <x:c r="T482" s="14" t="n">
        <x:v>2026</x:v>
      </x:c>
      <x:c r="U482" s="14" t="str">
        <x:v>Explicit source first year retained</x:v>
      </x:c>
      <x:c r="V482" s="14" t="str">
        <x:v>Earliest supplied year is 2026.</x:v>
      </x:c>
      <x:c r="W482" s="14"/>
      <x:c r="X482" s="14" t="str">
        <x:v>Excluded: after 2025</x:v>
      </x:c>
      <x:c r="Y482" s="14"/>
      <x:c r="Z482" s="14" t="str">
        <x:v>The Good Ship Murder.docx</x:v>
      </x:c>
      <x:c r="AA482" s="14" t="str">
        <x:v>HYPERLINK is not implemented. linkLocation=https://www.imdb.com/title/tt26346233/fullcredits/, friendlyName=Open source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Channel 5 / 5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 t="str">
        <x:v>No established-register match</x:v>
      </x:c>
      <x:c r="AT482" s="14"/>
      <x:c r="AU482" s="14"/>
      <x:c r="AV482" s="14" t="str">
        <x:v>No established apparent-disability match</x:v>
      </x:c>
      <x:c r="AW482" s="14"/>
      <x:c r="AX482" s="14" t="str">
        <x:v>No</x:v>
      </x:c>
      <x:c r="AY482" s="14" t="str">
        <x:v>Unmatched</x:v>
      </x:c>
      <x:c r="AZ482" s="14" t="str">
        <x:v>Final supplied register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24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1</x:v>
      </x:c>
      <x:c r="BS482" s="16" t="n">
        <x:v>0.041666666666666664</x:v>
      </x:c>
      <x:c r="BT482" s="14" t="str">
        <x:v>One episode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4" t="str">
        <x:v>HYPERLINK is not implemented. linkLocation=https://www.imdb.com/title/tt26346233/fullcredits/, friendlyName=Open source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tt26346233|nm18112181|simone reno</x:v>
      </x:c>
      <x:c r="B483" s="14" t="str">
        <x:v>04</x:v>
      </x:c>
      <x:c r="C483" s="14" t="str">
        <x:v>2023_IMDb_Cast_Lists_Batch_04(2).xlsx</x:v>
      </x:c>
      <x:c r="D483" s="14" t="str">
        <x:v>The Good Ship Murder</x:v>
      </x:c>
      <x:c r="E483" s="14" t="n">
        <x:v>88</x:v>
      </x:c>
      <x:c r="F483" s="14" t="str">
        <x:v>The Good Ship Murder</x:v>
      </x:c>
      <x:c r="G483" s="14" t="str">
        <x:v>tt26346233</x:v>
      </x:c>
      <x:c r="H483" s="14" t="n">
        <x:v>2023</x:v>
      </x:c>
      <x:c r="I483" s="14" t="n">
        <x:v>2025</x:v>
      </x:c>
      <x:c r="J483" s="14" t="str">
        <x:v>Post-study cohort</x:v>
      </x:c>
      <x:c r="K483" s="14" t="n">
        <x:v>2023</x:v>
      </x:c>
      <x:c r="L483" s="14" t="str">
        <x:v>Not inherited</x:v>
      </x:c>
      <x:c r="M483" s="15" t="n">
        <x:v>81</x:v>
      </x:c>
      <x:c r="N483" s="14" t="str">
        <x:v>Ana-Carolina Klein</x:v>
      </x:c>
      <x:c r="O483" s="14" t="str">
        <x:v>nm18112181</x:v>
      </x:c>
      <x:c r="P483" s="14" t="str">
        <x:v>Simone Reno</x:v>
      </x:c>
      <x:c r="Q483" s="15" t="n">
        <x:v>1</x:v>
      </x:c>
      <x:c r="R483" s="14" t="str">
        <x:v>2026</x:v>
      </x:c>
      <x:c r="S483" s="14" t="n">
        <x:v>2026</x:v>
      </x:c>
      <x:c r="T483" s="14" t="n">
        <x:v>2026</x:v>
      </x:c>
      <x:c r="U483" s="14" t="str">
        <x:v>Explicit source first year retained</x:v>
      </x:c>
      <x:c r="V483" s="14" t="str">
        <x:v>Earliest supplied year is 2026.</x:v>
      </x:c>
      <x:c r="W483" s="14"/>
      <x:c r="X483" s="14" t="str">
        <x:v>Excluded: after 2025</x:v>
      </x:c>
      <x:c r="Y483" s="14"/>
      <x:c r="Z483" s="14" t="str">
        <x:v>The Good Ship Murder.docx</x:v>
      </x:c>
      <x:c r="AA483" s="14" t="str">
        <x:v>HYPERLINK is not implemented. linkLocation=https://www.imdb.com/title/tt26346233/fullcredits/, friendlyName=Open source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Channel 5 / 5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 t="str">
        <x:v>No established-register match</x:v>
      </x:c>
      <x:c r="AT483" s="14"/>
      <x:c r="AU483" s="14"/>
      <x:c r="AV483" s="14" t="str">
        <x:v>No established apparent-disability match</x:v>
      </x:c>
      <x:c r="AW483" s="14"/>
      <x:c r="AX483" s="14" t="str">
        <x:v>No</x:v>
      </x:c>
      <x:c r="AY483" s="14" t="str">
        <x:v>Unmatched</x:v>
      </x:c>
      <x:c r="AZ483" s="14" t="str">
        <x:v>Final supplied register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24</x:v>
      </x:c>
      <x:c r="BP483" s="14" t="str">
        <x:v>Maximum supplied eligible IMDb cast-credit total; annual episode total not independently verified.</x:v>
      </x:c>
      <x:c r="BQ483" s="14" t="str">
        <x:v>Medium</x:v>
      </x:c>
      <x:c r="BR483" s="15" t="n">
        <x:v>1</x:v>
      </x:c>
      <x:c r="BS483" s="16" t="n">
        <x:v>0.041666666666666664</x:v>
      </x:c>
      <x:c r="BT483" s="14" t="str">
        <x:v>One episode</x:v>
      </x:c>
      <x:c r="BU483" s="14" t="str">
        <x:v>Medium</x:v>
      </x:c>
      <x:c r="BV483" s="14" t="str">
        <x:v>Derived from the supplied IMDb episode count and documented production-total proxy.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4" t="str">
        <x:v>HYPERLINK is not implemented. linkLocation=https://www.imdb.com/title/tt26346233/fullcredits/, friendlyName=Open source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tt26346233|nm4232660|carmen rivera</x:v>
      </x:c>
      <x:c r="B484" s="14" t="str">
        <x:v>04</x:v>
      </x:c>
      <x:c r="C484" s="14" t="str">
        <x:v>2023_IMDb_Cast_Lists_Batch_04(2).xlsx</x:v>
      </x:c>
      <x:c r="D484" s="14" t="str">
        <x:v>The Good Ship Murder</x:v>
      </x:c>
      <x:c r="E484" s="14" t="n">
        <x:v>89</x:v>
      </x:c>
      <x:c r="F484" s="14" t="str">
        <x:v>The Good Ship Murder</x:v>
      </x:c>
      <x:c r="G484" s="14" t="str">
        <x:v>tt26346233</x:v>
      </x:c>
      <x:c r="H484" s="14" t="n">
        <x:v>2023</x:v>
      </x:c>
      <x:c r="I484" s="14" t="n">
        <x:v>2025</x:v>
      </x:c>
      <x:c r="J484" s="14" t="str">
        <x:v>Post-study cohort</x:v>
      </x:c>
      <x:c r="K484" s="14" t="n">
        <x:v>2023</x:v>
      </x:c>
      <x:c r="L484" s="14" t="str">
        <x:v>Not inherited</x:v>
      </x:c>
      <x:c r="M484" s="15" t="n">
        <x:v>82</x:v>
      </x:c>
      <x:c r="N484" s="14" t="str">
        <x:v>Clare Agius</x:v>
      </x:c>
      <x:c r="O484" s="14" t="str">
        <x:v>nm4232660</x:v>
      </x:c>
      <x:c r="P484" s="14" t="str">
        <x:v>Carmen Rivera</x:v>
      </x:c>
      <x:c r="Q484" s="15" t="n">
        <x:v>1</x:v>
      </x:c>
      <x:c r="R484" s="14" t="str">
        <x:v>2026</x:v>
      </x:c>
      <x:c r="S484" s="14" t="n">
        <x:v>2026</x:v>
      </x:c>
      <x:c r="T484" s="14" t="n">
        <x:v>2026</x:v>
      </x:c>
      <x:c r="U484" s="14" t="str">
        <x:v>Explicit source first year retained</x:v>
      </x:c>
      <x:c r="V484" s="14" t="str">
        <x:v>Earliest supplied year is 2026.</x:v>
      </x:c>
      <x:c r="W484" s="14"/>
      <x:c r="X484" s="14" t="str">
        <x:v>Excluded: after 2025</x:v>
      </x:c>
      <x:c r="Y484" s="14"/>
      <x:c r="Z484" s="14" t="str">
        <x:v>The Good Ship Murder.docx</x:v>
      </x:c>
      <x:c r="AA484" s="14" t="str">
        <x:v>HYPERLINK is not implemented. linkLocation=https://www.imdb.com/title/tt26346233/fullcredits/, friendlyName=Open source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Channel 5 / 5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 t="str">
        <x:v>No established-register match</x:v>
      </x:c>
      <x:c r="AT484" s="14"/>
      <x:c r="AU484" s="14"/>
      <x:c r="AV484" s="14" t="str">
        <x:v>No established apparent-disability match</x:v>
      </x:c>
      <x:c r="AW484" s="14"/>
      <x:c r="AX484" s="14" t="str">
        <x:v>No</x:v>
      </x:c>
      <x:c r="AY484" s="14" t="str">
        <x:v>Unmatched</x:v>
      </x:c>
      <x:c r="AZ484" s="14" t="str">
        <x:v>Final supplied register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24</x:v>
      </x:c>
      <x:c r="BP484" s="14" t="str">
        <x:v>Maximum supplied eligible IMDb cast-credit total; annual episode total not independently verified.</x:v>
      </x:c>
      <x:c r="BQ484" s="14" t="str">
        <x:v>Medium</x:v>
      </x:c>
      <x:c r="BR484" s="15" t="n">
        <x:v>1</x:v>
      </x:c>
      <x:c r="BS484" s="16" t="n">
        <x:v>0.041666666666666664</x:v>
      </x:c>
      <x:c r="BT484" s="14" t="str">
        <x:v>One episode</x:v>
      </x:c>
      <x:c r="BU484" s="14" t="str">
        <x:v>Medium</x:v>
      </x:c>
      <x:c r="BV484" s="14" t="str">
        <x:v>Derived from the supplied IMDb episode count and documented production-total proxy.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4" t="str">
        <x:v>HYPERLINK is not implemented. linkLocation=https://www.imdb.com/title/tt26346233/fullcredits/, friendlyName=Open source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tt26346233|nm1922807|ari knossos</x:v>
      </x:c>
      <x:c r="B485" s="14" t="str">
        <x:v>04</x:v>
      </x:c>
      <x:c r="C485" s="14" t="str">
        <x:v>2023_IMDb_Cast_Lists_Batch_04(2).xlsx</x:v>
      </x:c>
      <x:c r="D485" s="14" t="str">
        <x:v>The Good Ship Murder</x:v>
      </x:c>
      <x:c r="E485" s="14" t="n">
        <x:v>90</x:v>
      </x:c>
      <x:c r="F485" s="14" t="str">
        <x:v>The Good Ship Murder</x:v>
      </x:c>
      <x:c r="G485" s="14" t="str">
        <x:v>tt26346233</x:v>
      </x:c>
      <x:c r="H485" s="14" t="n">
        <x:v>2023</x:v>
      </x:c>
      <x:c r="I485" s="14" t="n">
        <x:v>2025</x:v>
      </x:c>
      <x:c r="J485" s="14" t="str">
        <x:v>Post-study cohort</x:v>
      </x:c>
      <x:c r="K485" s="14" t="n">
        <x:v>2023</x:v>
      </x:c>
      <x:c r="L485" s="14" t="str">
        <x:v>Not inherited</x:v>
      </x:c>
      <x:c r="M485" s="15" t="n">
        <x:v>83</x:v>
      </x:c>
      <x:c r="N485" s="14" t="str">
        <x:v>Pano Masti</x:v>
      </x:c>
      <x:c r="O485" s="14" t="str">
        <x:v>nm1922807</x:v>
      </x:c>
      <x:c r="P485" s="14" t="str">
        <x:v>Ari Knossos</x:v>
      </x:c>
      <x:c r="Q485" s="15" t="n">
        <x:v>1</x:v>
      </x:c>
      <x:c r="R485" s="14" t="str">
        <x:v>2026</x:v>
      </x:c>
      <x:c r="S485" s="14" t="n">
        <x:v>2026</x:v>
      </x:c>
      <x:c r="T485" s="14" t="n">
        <x:v>2026</x:v>
      </x:c>
      <x:c r="U485" s="14" t="str">
        <x:v>Explicit source first year retained</x:v>
      </x:c>
      <x:c r="V485" s="14" t="str">
        <x:v>Earliest supplied year is 2026.</x:v>
      </x:c>
      <x:c r="W485" s="14"/>
      <x:c r="X485" s="14" t="str">
        <x:v>Excluded: after 2025</x:v>
      </x:c>
      <x:c r="Y485" s="14"/>
      <x:c r="Z485" s="14" t="str">
        <x:v>The Good Ship Murder.docx</x:v>
      </x:c>
      <x:c r="AA485" s="14" t="str">
        <x:v>HYPERLINK is not implemented. linkLocation=https://www.imdb.com/title/tt26346233/fullcredits/, friendlyName=Open source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Channel 5 / 5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 t="str">
        <x:v>No established-register match</x:v>
      </x:c>
      <x:c r="AT485" s="14"/>
      <x:c r="AU485" s="14"/>
      <x:c r="AV485" s="14" t="str">
        <x:v>No established apparent-disability match</x:v>
      </x:c>
      <x:c r="AW485" s="14"/>
      <x:c r="AX485" s="14" t="str">
        <x:v>No</x:v>
      </x:c>
      <x:c r="AY485" s="14" t="str">
        <x:v>Unmatched</x:v>
      </x:c>
      <x:c r="AZ485" s="14" t="str">
        <x:v>Final supplied register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24</x:v>
      </x:c>
      <x:c r="BP485" s="14" t="str">
        <x:v>Maximum supplied eligible IMDb cast-credit total; annual episode total not independently verified.</x:v>
      </x:c>
      <x:c r="BQ485" s="14" t="str">
        <x:v>Medium</x:v>
      </x:c>
      <x:c r="BR485" s="15" t="n">
        <x:v>1</x:v>
      </x:c>
      <x:c r="BS485" s="16" t="n">
        <x:v>0.041666666666666664</x:v>
      </x:c>
      <x:c r="BT485" s="14" t="str">
        <x:v>One episode</x:v>
      </x:c>
      <x:c r="BU485" s="14" t="str">
        <x:v>Medium</x:v>
      </x:c>
      <x:c r="BV485" s="14" t="str">
        <x:v>Derived from the supplied IMDb episode count and documented production-total proxy.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4" t="str">
        <x:v>HYPERLINK is not implemented. linkLocation=https://www.imdb.com/title/tt26346233/fullcredits/, friendlyName=Open source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tt26346233|nm0575140|chelsea summers</x:v>
      </x:c>
      <x:c r="B486" s="14" t="str">
        <x:v>04</x:v>
      </x:c>
      <x:c r="C486" s="14" t="str">
        <x:v>2023_IMDb_Cast_Lists_Batch_04(2).xlsx</x:v>
      </x:c>
      <x:c r="D486" s="14" t="str">
        <x:v>The Good Ship Murder</x:v>
      </x:c>
      <x:c r="E486" s="14" t="n">
        <x:v>107</x:v>
      </x:c>
      <x:c r="F486" s="14" t="str">
        <x:v>The Good Ship Murder</x:v>
      </x:c>
      <x:c r="G486" s="14" t="str">
        <x:v>tt26346233</x:v>
      </x:c>
      <x:c r="H486" s="14" t="n">
        <x:v>2023</x:v>
      </x:c>
      <x:c r="I486" s="14" t="n">
        <x:v>2025</x:v>
      </x:c>
      <x:c r="J486" s="14" t="str">
        <x:v>Post-study cohort</x:v>
      </x:c>
      <x:c r="K486" s="14" t="n">
        <x:v>2023</x:v>
      </x:c>
      <x:c r="L486" s="14" t="str">
        <x:v>Not inherited</x:v>
      </x:c>
      <x:c r="M486" s="15" t="n">
        <x:v>100</x:v>
      </x:c>
      <x:c r="N486" s="14" t="str">
        <x:v>Amanda Mealing</x:v>
      </x:c>
      <x:c r="O486" s="14" t="str">
        <x:v>nm0575140</x:v>
      </x:c>
      <x:c r="P486" s="14" t="str">
        <x:v>Chelsea Summers</x:v>
      </x:c>
      <x:c r="Q486" s="15" t="n">
        <x:v>1</x:v>
      </x:c>
      <x:c r="R486" s="14" t="str">
        <x:v>2026</x:v>
      </x:c>
      <x:c r="S486" s="14" t="n">
        <x:v>2026</x:v>
      </x:c>
      <x:c r="T486" s="14" t="n">
        <x:v>2026</x:v>
      </x:c>
      <x:c r="U486" s="14" t="str">
        <x:v>Explicit source first year retained</x:v>
      </x:c>
      <x:c r="V486" s="14" t="str">
        <x:v>Earliest supplied year is 2026.</x:v>
      </x:c>
      <x:c r="W486" s="14"/>
      <x:c r="X486" s="14" t="str">
        <x:v>Excluded: after 2025</x:v>
      </x:c>
      <x:c r="Y486" s="14"/>
      <x:c r="Z486" s="14" t="str">
        <x:v>The Good Ship Murder.docx</x:v>
      </x:c>
      <x:c r="AA486" s="14" t="str">
        <x:v>HYPERLINK is not implemented. linkLocation=https://www.imdb.com/title/tt26346233/fullcredits/, friendlyName=Open source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Channel 5 / 5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 t="str">
        <x:v>No established-register match</x:v>
      </x:c>
      <x:c r="AT486" s="14"/>
      <x:c r="AU486" s="14"/>
      <x:c r="AV486" s="14" t="str">
        <x:v>No established apparent-disability match</x:v>
      </x:c>
      <x:c r="AW486" s="14"/>
      <x:c r="AX486" s="14" t="str">
        <x:v>No</x:v>
      </x:c>
      <x:c r="AY486" s="14" t="str">
        <x:v>Unmatched</x:v>
      </x:c>
      <x:c r="AZ486" s="14" t="str">
        <x:v>Final supplied register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24</x:v>
      </x:c>
      <x:c r="BP486" s="14" t="str">
        <x:v>Maximum supplied eligible IMDb cast-credit total; annual episode total not independently verified.</x:v>
      </x:c>
      <x:c r="BQ486" s="14" t="str">
        <x:v>Medium</x:v>
      </x:c>
      <x:c r="BR486" s="15" t="n">
        <x:v>1</x:v>
      </x:c>
      <x:c r="BS486" s="16" t="n">
        <x:v>0.041666666666666664</x:v>
      </x:c>
      <x:c r="BT486" s="14" t="str">
        <x:v>One episode</x:v>
      </x:c>
      <x:c r="BU486" s="14" t="str">
        <x:v>Medium</x:v>
      </x:c>
      <x:c r="BV486" s="14" t="str">
        <x:v>Derived from the supplied IMDb episode count and documented production-total proxy.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4" t="str">
        <x:v>HYPERLINK is not implemented. linkLocation=https://www.imdb.com/title/tt26346233/fullcredits/, friendlyName=Open source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tt26346233|nm0430639|tilly webster</x:v>
      </x:c>
      <x:c r="B487" s="14" t="str">
        <x:v>04</x:v>
      </x:c>
      <x:c r="C487" s="14" t="str">
        <x:v>2023_IMDb_Cast_Lists_Batch_04(2).xlsx</x:v>
      </x:c>
      <x:c r="D487" s="14" t="str">
        <x:v>The Good Ship Murder</x:v>
      </x:c>
      <x:c r="E487" s="14" t="n">
        <x:v>108</x:v>
      </x:c>
      <x:c r="F487" s="14" t="str">
        <x:v>The Good Ship Murder</x:v>
      </x:c>
      <x:c r="G487" s="14" t="str">
        <x:v>tt26346233</x:v>
      </x:c>
      <x:c r="H487" s="14" t="n">
        <x:v>2023</x:v>
      </x:c>
      <x:c r="I487" s="14" t="n">
        <x:v>2025</x:v>
      </x:c>
      <x:c r="J487" s="14" t="str">
        <x:v>Post-study cohort</x:v>
      </x:c>
      <x:c r="K487" s="14" t="n">
        <x:v>2023</x:v>
      </x:c>
      <x:c r="L487" s="14" t="str">
        <x:v>Not inherited</x:v>
      </x:c>
      <x:c r="M487" s="15" t="n">
        <x:v>101</x:v>
      </x:c>
      <x:c r="N487" s="14" t="str">
        <x:v>Lesley Joseph</x:v>
      </x:c>
      <x:c r="O487" s="14" t="str">
        <x:v>nm0430639</x:v>
      </x:c>
      <x:c r="P487" s="14" t="str">
        <x:v>Tilly Webster</x:v>
      </x:c>
      <x:c r="Q487" s="15" t="n">
        <x:v>1</x:v>
      </x:c>
      <x:c r="R487" s="14" t="str">
        <x:v>2026</x:v>
      </x:c>
      <x:c r="S487" s="14" t="n">
        <x:v>2026</x:v>
      </x:c>
      <x:c r="T487" s="14" t="n">
        <x:v>2026</x:v>
      </x:c>
      <x:c r="U487" s="14" t="str">
        <x:v>Explicit source first year retained</x:v>
      </x:c>
      <x:c r="V487" s="14" t="str">
        <x:v>Earliest supplied year is 2026.</x:v>
      </x:c>
      <x:c r="W487" s="14"/>
      <x:c r="X487" s="14" t="str">
        <x:v>Excluded: after 2025</x:v>
      </x:c>
      <x:c r="Y487" s="14"/>
      <x:c r="Z487" s="14" t="str">
        <x:v>The Good Ship Murder.docx</x:v>
      </x:c>
      <x:c r="AA487" s="14" t="str">
        <x:v>HYPERLINK is not implemented. linkLocation=https://www.imdb.com/title/tt26346233/fullcredits/, friendlyName=Open source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Channel 5 / 5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 t="str">
        <x:v>No established-register match</x:v>
      </x:c>
      <x:c r="AT487" s="14"/>
      <x:c r="AU487" s="14"/>
      <x:c r="AV487" s="14" t="str">
        <x:v>No established apparent-disability match</x:v>
      </x:c>
      <x:c r="AW487" s="14"/>
      <x:c r="AX487" s="14" t="str">
        <x:v>No</x:v>
      </x:c>
      <x:c r="AY487" s="14" t="str">
        <x:v>Unmatched</x:v>
      </x:c>
      <x:c r="AZ487" s="14" t="str">
        <x:v>Final supplied register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24</x:v>
      </x:c>
      <x:c r="BP487" s="14" t="str">
        <x:v>Maximum supplied eligible IMDb cast-credit total; annual episode total not independently verified.</x:v>
      </x:c>
      <x:c r="BQ487" s="14" t="str">
        <x:v>Medium</x:v>
      </x:c>
      <x:c r="BR487" s="15" t="n">
        <x:v>1</x:v>
      </x:c>
      <x:c r="BS487" s="16" t="n">
        <x:v>0.041666666666666664</x:v>
      </x:c>
      <x:c r="BT487" s="14" t="str">
        <x:v>One episode</x:v>
      </x:c>
      <x:c r="BU487" s="14" t="str">
        <x:v>Medium</x:v>
      </x:c>
      <x:c r="BV487" s="14" t="str">
        <x:v>Derived from the supplied IMDb episode count and documented production-total proxy.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4" t="str">
        <x:v>HYPERLINK is not implemented. linkLocation=https://www.imdb.com/title/tt26346233/fullcredits/, friendlyName=Open source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tt26346233|nm0694459|rosie raja</x:v>
      </x:c>
      <x:c r="B488" s="14" t="str">
        <x:v>04</x:v>
      </x:c>
      <x:c r="C488" s="14" t="str">
        <x:v>2023_IMDb_Cast_Lists_Batch_04(2).xlsx</x:v>
      </x:c>
      <x:c r="D488" s="14" t="str">
        <x:v>The Good Ship Murder</x:v>
      </x:c>
      <x:c r="E488" s="14" t="n">
        <x:v>109</x:v>
      </x:c>
      <x:c r="F488" s="14" t="str">
        <x:v>The Good Ship Murder</x:v>
      </x:c>
      <x:c r="G488" s="14" t="str">
        <x:v>tt26346233</x:v>
      </x:c>
      <x:c r="H488" s="14" t="n">
        <x:v>2023</x:v>
      </x:c>
      <x:c r="I488" s="14" t="n">
        <x:v>2025</x:v>
      </x:c>
      <x:c r="J488" s="14" t="str">
        <x:v>Post-study cohort</x:v>
      </x:c>
      <x:c r="K488" s="14" t="n">
        <x:v>2023</x:v>
      </x:c>
      <x:c r="L488" s="14" t="str">
        <x:v>Not inherited</x:v>
      </x:c>
      <x:c r="M488" s="15" t="n">
        <x:v>102</x:v>
      </x:c>
      <x:c r="N488" s="14" t="str">
        <x:v>Samantha Power</x:v>
      </x:c>
      <x:c r="O488" s="14" t="str">
        <x:v>nm0694459</x:v>
      </x:c>
      <x:c r="P488" s="14" t="str">
        <x:v>Rosie Raja</x:v>
      </x:c>
      <x:c r="Q488" s="15" t="n">
        <x:v>1</x:v>
      </x:c>
      <x:c r="R488" s="14" t="str">
        <x:v>2026</x:v>
      </x:c>
      <x:c r="S488" s="14" t="n">
        <x:v>2026</x:v>
      </x:c>
      <x:c r="T488" s="14" t="n">
        <x:v>2026</x:v>
      </x:c>
      <x:c r="U488" s="14" t="str">
        <x:v>Explicit source first year retained</x:v>
      </x:c>
      <x:c r="V488" s="14" t="str">
        <x:v>Earliest supplied year is 2026.</x:v>
      </x:c>
      <x:c r="W488" s="14"/>
      <x:c r="X488" s="14" t="str">
        <x:v>Excluded: after 2025</x:v>
      </x:c>
      <x:c r="Y488" s="14"/>
      <x:c r="Z488" s="14" t="str">
        <x:v>The Good Ship Murder.docx</x:v>
      </x:c>
      <x:c r="AA488" s="14" t="str">
        <x:v>HYPERLINK is not implemented. linkLocation=https://www.imdb.com/title/tt26346233/fullcredits/, friendlyName=Open source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Channel 5 / 5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 t="str">
        <x:v>No established-register match</x:v>
      </x:c>
      <x:c r="AT488" s="14"/>
      <x:c r="AU488" s="14"/>
      <x:c r="AV488" s="14" t="str">
        <x:v>No established apparent-disability match</x:v>
      </x:c>
      <x:c r="AW488" s="14"/>
      <x:c r="AX488" s="14" t="str">
        <x:v>No</x:v>
      </x:c>
      <x:c r="AY488" s="14" t="str">
        <x:v>Unmatched</x:v>
      </x:c>
      <x:c r="AZ488" s="14" t="str">
        <x:v>Final supplied register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24</x:v>
      </x:c>
      <x:c r="BP488" s="14" t="str">
        <x:v>Maximum supplied eligible IMDb cast-credit total; annual episode total not independently verified.</x:v>
      </x:c>
      <x:c r="BQ488" s="14" t="str">
        <x:v>Medium</x:v>
      </x:c>
      <x:c r="BR488" s="15" t="n">
        <x:v>1</x:v>
      </x:c>
      <x:c r="BS488" s="16" t="n">
        <x:v>0.041666666666666664</x:v>
      </x:c>
      <x:c r="BT488" s="14" t="str">
        <x:v>One episode</x:v>
      </x:c>
      <x:c r="BU488" s="14" t="str">
        <x:v>Medium</x:v>
      </x:c>
      <x:c r="BV488" s="14" t="str">
        <x:v>Derived from the supplied IMDb episode count and documented production-total proxy.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4" t="str">
        <x:v>HYPERLINK is not implemented. linkLocation=https://www.imdb.com/title/tt26346233/fullcredits/, friendlyName=Open source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tt26346233|nm4163509|mimi mcquinn</x:v>
      </x:c>
      <x:c r="B489" s="14" t="str">
        <x:v>04</x:v>
      </x:c>
      <x:c r="C489" s="14" t="str">
        <x:v>2023_IMDb_Cast_Lists_Batch_04(2).xlsx</x:v>
      </x:c>
      <x:c r="D489" s="14" t="str">
        <x:v>The Good Ship Murder</x:v>
      </x:c>
      <x:c r="E489" s="14" t="n">
        <x:v>110</x:v>
      </x:c>
      <x:c r="F489" s="14" t="str">
        <x:v>The Good Ship Murder</x:v>
      </x:c>
      <x:c r="G489" s="14" t="str">
        <x:v>tt26346233</x:v>
      </x:c>
      <x:c r="H489" s="14" t="n">
        <x:v>2023</x:v>
      </x:c>
      <x:c r="I489" s="14" t="n">
        <x:v>2025</x:v>
      </x:c>
      <x:c r="J489" s="14" t="str">
        <x:v>Post-study cohort</x:v>
      </x:c>
      <x:c r="K489" s="14" t="n">
        <x:v>2023</x:v>
      </x:c>
      <x:c r="L489" s="14" t="str">
        <x:v>Not inherited</x:v>
      </x:c>
      <x:c r="M489" s="15" t="n">
        <x:v>103</x:v>
      </x:c>
      <x:c r="N489" s="14" t="str">
        <x:v>Ellie Leach</x:v>
      </x:c>
      <x:c r="O489" s="14" t="str">
        <x:v>nm4163509</x:v>
      </x:c>
      <x:c r="P489" s="14" t="str">
        <x:v>Mimi McQuinn</x:v>
      </x:c>
      <x:c r="Q489" s="15" t="n">
        <x:v>1</x:v>
      </x:c>
      <x:c r="R489" s="14" t="str">
        <x:v>2026</x:v>
      </x:c>
      <x:c r="S489" s="14" t="n">
        <x:v>2026</x:v>
      </x:c>
      <x:c r="T489" s="14" t="n">
        <x:v>2026</x:v>
      </x:c>
      <x:c r="U489" s="14" t="str">
        <x:v>Explicit source first year retained</x:v>
      </x:c>
      <x:c r="V489" s="14" t="str">
        <x:v>Earliest supplied year is 2026.</x:v>
      </x:c>
      <x:c r="W489" s="14"/>
      <x:c r="X489" s="14" t="str">
        <x:v>Excluded: after 2025</x:v>
      </x:c>
      <x:c r="Y489" s="14"/>
      <x:c r="Z489" s="14" t="str">
        <x:v>The Good Ship Murder.docx</x:v>
      </x:c>
      <x:c r="AA489" s="14" t="str">
        <x:v>HYPERLINK is not implemented. linkLocation=https://www.imdb.com/title/tt26346233/fullcredits/, friendlyName=Open source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Channel 5 / 5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 t="str">
        <x:v>No established-register match</x:v>
      </x:c>
      <x:c r="AT489" s="14"/>
      <x:c r="AU489" s="14"/>
      <x:c r="AV489" s="14" t="str">
        <x:v>No established apparent-disability match</x:v>
      </x:c>
      <x:c r="AW489" s="14"/>
      <x:c r="AX489" s="14" t="str">
        <x:v>No</x:v>
      </x:c>
      <x:c r="AY489" s="14" t="str">
        <x:v>Unmatched</x:v>
      </x:c>
      <x:c r="AZ489" s="14" t="str">
        <x:v>Final supplied register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24</x:v>
      </x:c>
      <x:c r="BP489" s="14" t="str">
        <x:v>Maximum supplied eligible IMDb cast-credit total; annual episode total not independently verified.</x:v>
      </x:c>
      <x:c r="BQ489" s="14" t="str">
        <x:v>Medium</x:v>
      </x:c>
      <x:c r="BR489" s="15" t="n">
        <x:v>1</x:v>
      </x:c>
      <x:c r="BS489" s="16" t="n">
        <x:v>0.041666666666666664</x:v>
      </x:c>
      <x:c r="BT489" s="14" t="str">
        <x:v>One episode</x:v>
      </x:c>
      <x:c r="BU489" s="14" t="str">
        <x:v>Medium</x:v>
      </x:c>
      <x:c r="BV489" s="14" t="str">
        <x:v>Derived from the supplied IMDb episode count and documented production-total proxy.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4" t="str">
        <x:v>HYPERLINK is not implemented. linkLocation=https://www.imdb.com/title/tt26346233/fullcredits/, friendlyName=Open source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tt26346233|nm2196406|gary banks</x:v>
      </x:c>
      <x:c r="B490" s="14" t="str">
        <x:v>04</x:v>
      </x:c>
      <x:c r="C490" s="14" t="str">
        <x:v>2023_IMDb_Cast_Lists_Batch_04(2).xlsx</x:v>
      </x:c>
      <x:c r="D490" s="14" t="str">
        <x:v>The Good Ship Murder</x:v>
      </x:c>
      <x:c r="E490" s="14" t="n">
        <x:v>111</x:v>
      </x:c>
      <x:c r="F490" s="14" t="str">
        <x:v>The Good Ship Murder</x:v>
      </x:c>
      <x:c r="G490" s="14" t="str">
        <x:v>tt26346233</x:v>
      </x:c>
      <x:c r="H490" s="14" t="n">
        <x:v>2023</x:v>
      </x:c>
      <x:c r="I490" s="14" t="n">
        <x:v>2025</x:v>
      </x:c>
      <x:c r="J490" s="14" t="str">
        <x:v>Post-study cohort</x:v>
      </x:c>
      <x:c r="K490" s="14" t="n">
        <x:v>2023</x:v>
      </x:c>
      <x:c r="L490" s="14" t="str">
        <x:v>Not inherited</x:v>
      </x:c>
      <x:c r="M490" s="15" t="n">
        <x:v>104</x:v>
      </x:c>
      <x:c r="N490" s="14" t="str">
        <x:v>Nigel Boyle</x:v>
      </x:c>
      <x:c r="O490" s="14" t="str">
        <x:v>nm2196406</x:v>
      </x:c>
      <x:c r="P490" s="14" t="str">
        <x:v>Gary Banks</x:v>
      </x:c>
      <x:c r="Q490" s="15" t="n">
        <x:v>1</x:v>
      </x:c>
      <x:c r="R490" s="14" t="str">
        <x:v>2026</x:v>
      </x:c>
      <x:c r="S490" s="14" t="n">
        <x:v>2026</x:v>
      </x:c>
      <x:c r="T490" s="14" t="n">
        <x:v>2026</x:v>
      </x:c>
      <x:c r="U490" s="14" t="str">
        <x:v>Explicit source first year retained</x:v>
      </x:c>
      <x:c r="V490" s="14" t="str">
        <x:v>Earliest supplied year is 2026.</x:v>
      </x:c>
      <x:c r="W490" s="14"/>
      <x:c r="X490" s="14" t="str">
        <x:v>Excluded: after 2025</x:v>
      </x:c>
      <x:c r="Y490" s="14"/>
      <x:c r="Z490" s="14" t="str">
        <x:v>The Good Ship Murder.docx</x:v>
      </x:c>
      <x:c r="AA490" s="14" t="str">
        <x:v>HYPERLINK is not implemented. linkLocation=https://www.imdb.com/title/tt26346233/fullcredits/, friendlyName=Open source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Channel 5 / 5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 t="str">
        <x:v>No established-register match</x:v>
      </x:c>
      <x:c r="AT490" s="14"/>
      <x:c r="AU490" s="14"/>
      <x:c r="AV490" s="14" t="str">
        <x:v>No established apparent-disability match</x:v>
      </x:c>
      <x:c r="AW490" s="14"/>
      <x:c r="AX490" s="14" t="str">
        <x:v>No</x:v>
      </x:c>
      <x:c r="AY490" s="14" t="str">
        <x:v>Unmatched</x:v>
      </x:c>
      <x:c r="AZ490" s="14" t="str">
        <x:v>Final supplied register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24</x:v>
      </x:c>
      <x:c r="BP490" s="14" t="str">
        <x:v>Maximum supplied eligible IMDb cast-credit total; annual episode total not independently verified.</x:v>
      </x:c>
      <x:c r="BQ490" s="14" t="str">
        <x:v>Medium</x:v>
      </x:c>
      <x:c r="BR490" s="15" t="n">
        <x:v>1</x:v>
      </x:c>
      <x:c r="BS490" s="16" t="n">
        <x:v>0.041666666666666664</x:v>
      </x:c>
      <x:c r="BT490" s="14" t="str">
        <x:v>One episode</x:v>
      </x:c>
      <x:c r="BU490" s="14" t="str">
        <x:v>Medium</x:v>
      </x:c>
      <x:c r="BV490" s="14" t="str">
        <x:v>Derived from the supplied IMDb episode count and documented production-total proxy.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4" t="str">
        <x:v>HYPERLINK is not implemented. linkLocation=https://www.imdb.com/title/tt26346233/fullcredits/, friendlyName=Open source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tt26346233|nm0398186|dawn blakely</x:v>
      </x:c>
      <x:c r="B491" s="14" t="str">
        <x:v>04</x:v>
      </x:c>
      <x:c r="C491" s="14" t="str">
        <x:v>2023_IMDb_Cast_Lists_Batch_04(2).xlsx</x:v>
      </x:c>
      <x:c r="D491" s="14" t="str">
        <x:v>The Good Ship Murder</x:v>
      </x:c>
      <x:c r="E491" s="14" t="n">
        <x:v>112</x:v>
      </x:c>
      <x:c r="F491" s="14" t="str">
        <x:v>The Good Ship Murder</x:v>
      </x:c>
      <x:c r="G491" s="14" t="str">
        <x:v>tt26346233</x:v>
      </x:c>
      <x:c r="H491" s="14" t="n">
        <x:v>2023</x:v>
      </x:c>
      <x:c r="I491" s="14" t="n">
        <x:v>2025</x:v>
      </x:c>
      <x:c r="J491" s="14" t="str">
        <x:v>Post-study cohort</x:v>
      </x:c>
      <x:c r="K491" s="14" t="n">
        <x:v>2023</x:v>
      </x:c>
      <x:c r="L491" s="14" t="str">
        <x:v>Not inherited</x:v>
      </x:c>
      <x:c r="M491" s="15" t="n">
        <x:v>105</x:v>
      </x:c>
      <x:c r="N491" s="14" t="str">
        <x:v>Sally Howitt</x:v>
      </x:c>
      <x:c r="O491" s="14" t="str">
        <x:v>nm0398186</x:v>
      </x:c>
      <x:c r="P491" s="14" t="str">
        <x:v>Dawn Blakely</x:v>
      </x:c>
      <x:c r="Q491" s="15" t="n">
        <x:v>1</x:v>
      </x:c>
      <x:c r="R491" s="14" t="str">
        <x:v>2026</x:v>
      </x:c>
      <x:c r="S491" s="14" t="n">
        <x:v>2026</x:v>
      </x:c>
      <x:c r="T491" s="14" t="n">
        <x:v>2026</x:v>
      </x:c>
      <x:c r="U491" s="14" t="str">
        <x:v>Explicit source first year retained</x:v>
      </x:c>
      <x:c r="V491" s="14" t="str">
        <x:v>Earliest supplied year is 2026.</x:v>
      </x:c>
      <x:c r="W491" s="14"/>
      <x:c r="X491" s="14" t="str">
        <x:v>Excluded: after 2025</x:v>
      </x:c>
      <x:c r="Y491" s="14"/>
      <x:c r="Z491" s="14" t="str">
        <x:v>The Good Ship Murder.docx</x:v>
      </x:c>
      <x:c r="AA491" s="14" t="str">
        <x:v>HYPERLINK is not implemented. linkLocation=https://www.imdb.com/title/tt26346233/fullcredits/, friendlyName=Open source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Channel 5 / 5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 t="str">
        <x:v>No established-register match</x:v>
      </x:c>
      <x:c r="AT491" s="14"/>
      <x:c r="AU491" s="14"/>
      <x:c r="AV491" s="14" t="str">
        <x:v>No established apparent-disability match</x:v>
      </x:c>
      <x:c r="AW491" s="14"/>
      <x:c r="AX491" s="14" t="str">
        <x:v>No</x:v>
      </x:c>
      <x:c r="AY491" s="14" t="str">
        <x:v>Unmatched</x:v>
      </x:c>
      <x:c r="AZ491" s="14" t="str">
        <x:v>Final supplied register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24</x:v>
      </x:c>
      <x:c r="BP491" s="14" t="str">
        <x:v>Maximum supplied eligible IMDb cast-credit total; annual episode total not independently verified.</x:v>
      </x:c>
      <x:c r="BQ491" s="14" t="str">
        <x:v>Medium</x:v>
      </x:c>
      <x:c r="BR491" s="15" t="n">
        <x:v>1</x:v>
      </x:c>
      <x:c r="BS491" s="16" t="n">
        <x:v>0.041666666666666664</x:v>
      </x:c>
      <x:c r="BT491" s="14" t="str">
        <x:v>One episode</x:v>
      </x:c>
      <x:c r="BU491" s="14" t="str">
        <x:v>Medium</x:v>
      </x:c>
      <x:c r="BV491" s="14" t="str">
        <x:v>Derived from the supplied IMDb episode count and documented production-total proxy.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4" t="str">
        <x:v>HYPERLINK is not implemented. linkLocation=https://www.imdb.com/title/tt26346233/fullcredits/, friendlyName=Open source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tt26346233|nm8095287|antoine lapointe</x:v>
      </x:c>
      <x:c r="B492" s="14" t="str">
        <x:v>04</x:v>
      </x:c>
      <x:c r="C492" s="14" t="str">
        <x:v>2023_IMDb_Cast_Lists_Batch_04(2).xlsx</x:v>
      </x:c>
      <x:c r="D492" s="14" t="str">
        <x:v>The Good Ship Murder</x:v>
      </x:c>
      <x:c r="E492" s="14" t="n">
        <x:v>113</x:v>
      </x:c>
      <x:c r="F492" s="14" t="str">
        <x:v>The Good Ship Murder</x:v>
      </x:c>
      <x:c r="G492" s="14" t="str">
        <x:v>tt26346233</x:v>
      </x:c>
      <x:c r="H492" s="14" t="n">
        <x:v>2023</x:v>
      </x:c>
      <x:c r="I492" s="14" t="n">
        <x:v>2025</x:v>
      </x:c>
      <x:c r="J492" s="14" t="str">
        <x:v>Post-study cohort</x:v>
      </x:c>
      <x:c r="K492" s="14" t="n">
        <x:v>2023</x:v>
      </x:c>
      <x:c r="L492" s="14" t="str">
        <x:v>Not inherited</x:v>
      </x:c>
      <x:c r="M492" s="15" t="n">
        <x:v>106</x:v>
      </x:c>
      <x:c r="N492" s="14" t="str">
        <x:v>Alexis Vandendaelen</x:v>
      </x:c>
      <x:c r="O492" s="14" t="str">
        <x:v>nm8095287</x:v>
      </x:c>
      <x:c r="P492" s="14" t="str">
        <x:v>Antoine Lapointe</x:v>
      </x:c>
      <x:c r="Q492" s="15" t="n">
        <x:v>1</x:v>
      </x:c>
      <x:c r="R492" s="14" t="str">
        <x:v>2026</x:v>
      </x:c>
      <x:c r="S492" s="14" t="n">
        <x:v>2026</x:v>
      </x:c>
      <x:c r="T492" s="14" t="n">
        <x:v>2026</x:v>
      </x:c>
      <x:c r="U492" s="14" t="str">
        <x:v>Explicit source first year retained</x:v>
      </x:c>
      <x:c r="V492" s="14" t="str">
        <x:v>Earliest supplied year is 2026.</x:v>
      </x:c>
      <x:c r="W492" s="14"/>
      <x:c r="X492" s="14" t="str">
        <x:v>Excluded: after 2025</x:v>
      </x:c>
      <x:c r="Y492" s="14"/>
      <x:c r="Z492" s="14" t="str">
        <x:v>The Good Ship Murder.docx</x:v>
      </x:c>
      <x:c r="AA492" s="14" t="str">
        <x:v>HYPERLINK is not implemented. linkLocation=https://www.imdb.com/title/tt26346233/fullcredits/, friendlyName=Open source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Channel 5 / 5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 t="str">
        <x:v>No established-register match</x:v>
      </x:c>
      <x:c r="AT492" s="14"/>
      <x:c r="AU492" s="14"/>
      <x:c r="AV492" s="14" t="str">
        <x:v>No established apparent-disability match</x:v>
      </x:c>
      <x:c r="AW492" s="14"/>
      <x:c r="AX492" s="14" t="str">
        <x:v>No</x:v>
      </x:c>
      <x:c r="AY492" s="14" t="str">
        <x:v>Unmatched</x:v>
      </x:c>
      <x:c r="AZ492" s="14" t="str">
        <x:v>Final supplied register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24</x:v>
      </x:c>
      <x:c r="BP492" s="14" t="str">
        <x:v>Maximum supplied eligible IMDb cast-credit total; annual episode total not independently verified.</x:v>
      </x:c>
      <x:c r="BQ492" s="14" t="str">
        <x:v>Medium</x:v>
      </x:c>
      <x:c r="BR492" s="15" t="n">
        <x:v>1</x:v>
      </x:c>
      <x:c r="BS492" s="16" t="n">
        <x:v>0.041666666666666664</x:v>
      </x:c>
      <x:c r="BT492" s="14" t="str">
        <x:v>One episode</x:v>
      </x:c>
      <x:c r="BU492" s="14" t="str">
        <x:v>Medium</x:v>
      </x:c>
      <x:c r="BV492" s="14" t="str">
        <x:v>Derived from the supplied IMDb episode count and documented production-total proxy.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4" t="str">
        <x:v>HYPERLINK is not implemented. linkLocation=https://www.imdb.com/title/tt26346233/fullcredits/, friendlyName=Open source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tt26346233|nm0585181|alfie pope</x:v>
      </x:c>
      <x:c r="B493" s="14" t="str">
        <x:v>04</x:v>
      </x:c>
      <x:c r="C493" s="14" t="str">
        <x:v>2023_IMDb_Cast_Lists_Batch_04(2).xlsx</x:v>
      </x:c>
      <x:c r="D493" s="14" t="str">
        <x:v>The Good Ship Murder</x:v>
      </x:c>
      <x:c r="E493" s="14" t="n">
        <x:v>128</x:v>
      </x:c>
      <x:c r="F493" s="14" t="str">
        <x:v>The Good Ship Murder</x:v>
      </x:c>
      <x:c r="G493" s="14" t="str">
        <x:v>tt26346233</x:v>
      </x:c>
      <x:c r="H493" s="14" t="n">
        <x:v>2023</x:v>
      </x:c>
      <x:c r="I493" s="14" t="n">
        <x:v>2025</x:v>
      </x:c>
      <x:c r="J493" s="14" t="str">
        <x:v>Post-study cohort</x:v>
      </x:c>
      <x:c r="K493" s="14" t="n">
        <x:v>2023</x:v>
      </x:c>
      <x:c r="L493" s="14" t="str">
        <x:v>Not inherited</x:v>
      </x:c>
      <x:c r="M493" s="15" t="n">
        <x:v>121</x:v>
      </x:c>
      <x:c r="N493" s="14" t="str">
        <x:v>John Michie</x:v>
      </x:c>
      <x:c r="O493" s="14" t="str">
        <x:v>nm0585181</x:v>
      </x:c>
      <x:c r="P493" s="14" t="str">
        <x:v>Alfie Pope</x:v>
      </x:c>
      <x:c r="Q493" s="15" t="n">
        <x:v>1</x:v>
      </x:c>
      <x:c r="R493" s="14" t="str">
        <x:v>2026</x:v>
      </x:c>
      <x:c r="S493" s="14" t="n">
        <x:v>2026</x:v>
      </x:c>
      <x:c r="T493" s="14" t="n">
        <x:v>2026</x:v>
      </x:c>
      <x:c r="U493" s="14" t="str">
        <x:v>Explicit source first year retained</x:v>
      </x:c>
      <x:c r="V493" s="14" t="str">
        <x:v>Earliest supplied year is 2026.</x:v>
      </x:c>
      <x:c r="W493" s="14"/>
      <x:c r="X493" s="14" t="str">
        <x:v>Excluded: after 2025</x:v>
      </x:c>
      <x:c r="Y493" s="14"/>
      <x:c r="Z493" s="14" t="str">
        <x:v>The Good Ship Murder.docx</x:v>
      </x:c>
      <x:c r="AA493" s="14" t="str">
        <x:v>HYPERLINK is not implemented. linkLocation=https://www.imdb.com/title/tt26346233/fullcredits/, friendlyName=Open source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Channel 5 / 5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 t="str">
        <x:v>No established-register match</x:v>
      </x:c>
      <x:c r="AT493" s="14"/>
      <x:c r="AU493" s="14"/>
      <x:c r="AV493" s="14" t="str">
        <x:v>No established apparent-disability match</x:v>
      </x:c>
      <x:c r="AW493" s="14"/>
      <x:c r="AX493" s="14" t="str">
        <x:v>No</x:v>
      </x:c>
      <x:c r="AY493" s="14" t="str">
        <x:v>Unmatched</x:v>
      </x:c>
      <x:c r="AZ493" s="14" t="str">
        <x:v>Final supplied register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24</x:v>
      </x:c>
      <x:c r="BP493" s="14" t="str">
        <x:v>Maximum supplied eligible IMDb cast-credit total; annual episode total not independently verified.</x:v>
      </x:c>
      <x:c r="BQ493" s="14" t="str">
        <x:v>Medium</x:v>
      </x:c>
      <x:c r="BR493" s="15" t="n">
        <x:v>1</x:v>
      </x:c>
      <x:c r="BS493" s="16" t="n">
        <x:v>0.041666666666666664</x:v>
      </x:c>
      <x:c r="BT493" s="14" t="str">
        <x:v>One episode</x:v>
      </x:c>
      <x:c r="BU493" s="14" t="str">
        <x:v>Medium</x:v>
      </x:c>
      <x:c r="BV493" s="14" t="str">
        <x:v>Derived from the supplied IMDb episode count and documented production-total proxy.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4" t="str">
        <x:v>HYPERLINK is not implemented. linkLocation=https://www.imdb.com/title/tt26346233/fullcredits/, friendlyName=Open source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tt26346233|nm0827296|erin daniels</x:v>
      </x:c>
      <x:c r="B494" s="14" t="str">
        <x:v>04</x:v>
      </x:c>
      <x:c r="C494" s="14" t="str">
        <x:v>2023_IMDb_Cast_Lists_Batch_04(2).xlsx</x:v>
      </x:c>
      <x:c r="D494" s="14" t="str">
        <x:v>The Good Ship Murder</x:v>
      </x:c>
      <x:c r="E494" s="14" t="n">
        <x:v>129</x:v>
      </x:c>
      <x:c r="F494" s="14" t="str">
        <x:v>The Good Ship Murder</x:v>
      </x:c>
      <x:c r="G494" s="14" t="str">
        <x:v>tt26346233</x:v>
      </x:c>
      <x:c r="H494" s="14" t="n">
        <x:v>2023</x:v>
      </x:c>
      <x:c r="I494" s="14" t="n">
        <x:v>2025</x:v>
      </x:c>
      <x:c r="J494" s="14" t="str">
        <x:v>Post-study cohort</x:v>
      </x:c>
      <x:c r="K494" s="14" t="n">
        <x:v>2023</x:v>
      </x:c>
      <x:c r="L494" s="14" t="str">
        <x:v>Not inherited</x:v>
      </x:c>
      <x:c r="M494" s="15" t="n">
        <x:v>122</x:v>
      </x:c>
      <x:c r="N494" s="14" t="str">
        <x:v>Nicola Stephenson</x:v>
      </x:c>
      <x:c r="O494" s="14" t="str">
        <x:v>nm0827296</x:v>
      </x:c>
      <x:c r="P494" s="14" t="str">
        <x:v>Erin Daniels</x:v>
      </x:c>
      <x:c r="Q494" s="15" t="n">
        <x:v>1</x:v>
      </x:c>
      <x:c r="R494" s="14" t="str">
        <x:v>2026</x:v>
      </x:c>
      <x:c r="S494" s="14" t="n">
        <x:v>2026</x:v>
      </x:c>
      <x:c r="T494" s="14" t="n">
        <x:v>2026</x:v>
      </x:c>
      <x:c r="U494" s="14" t="str">
        <x:v>Explicit source first year retained</x:v>
      </x:c>
      <x:c r="V494" s="14" t="str">
        <x:v>Earliest supplied year is 2026.</x:v>
      </x:c>
      <x:c r="W494" s="14"/>
      <x:c r="X494" s="14" t="str">
        <x:v>Excluded: after 2025</x:v>
      </x:c>
      <x:c r="Y494" s="14"/>
      <x:c r="Z494" s="14" t="str">
        <x:v>The Good Ship Murder.docx</x:v>
      </x:c>
      <x:c r="AA494" s="14" t="str">
        <x:v>HYPERLINK is not implemented. linkLocation=https://www.imdb.com/title/tt26346233/fullcredits/, friendlyName=Open source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Channel 5 / 5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 t="str">
        <x:v>No established-register match</x:v>
      </x:c>
      <x:c r="AT494" s="14"/>
      <x:c r="AU494" s="14"/>
      <x:c r="AV494" s="14" t="str">
        <x:v>No established apparent-disability match</x:v>
      </x:c>
      <x:c r="AW494" s="14"/>
      <x:c r="AX494" s="14" t="str">
        <x:v>No</x:v>
      </x:c>
      <x:c r="AY494" s="14" t="str">
        <x:v>Unmatched</x:v>
      </x:c>
      <x:c r="AZ494" s="14" t="str">
        <x:v>Final supplied register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24</x:v>
      </x:c>
      <x:c r="BP494" s="14" t="str">
        <x:v>Maximum supplied eligible IMDb cast-credit total; annual episode total not independently verified.</x:v>
      </x:c>
      <x:c r="BQ494" s="14" t="str">
        <x:v>Medium</x:v>
      </x:c>
      <x:c r="BR494" s="15" t="n">
        <x:v>1</x:v>
      </x:c>
      <x:c r="BS494" s="16" t="n">
        <x:v>0.041666666666666664</x:v>
      </x:c>
      <x:c r="BT494" s="14" t="str">
        <x:v>One episode</x:v>
      </x:c>
      <x:c r="BU494" s="14" t="str">
        <x:v>Medium</x:v>
      </x:c>
      <x:c r="BV494" s="14" t="str">
        <x:v>Derived from the supplied IMDb episode count and documented production-total proxy.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4" t="str">
        <x:v>HYPERLINK is not implemented. linkLocation=https://www.imdb.com/title/tt26346233/fullcredits/, friendlyName=Open source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tt26346233|nm6110544|dr. seon hee woo</x:v>
      </x:c>
      <x:c r="B495" s="14" t="str">
        <x:v>04</x:v>
      </x:c>
      <x:c r="C495" s="14" t="str">
        <x:v>2023_IMDb_Cast_Lists_Batch_04(2).xlsx</x:v>
      </x:c>
      <x:c r="D495" s="14" t="str">
        <x:v>The Good Ship Murder</x:v>
      </x:c>
      <x:c r="E495" s="14" t="n">
        <x:v>130</x:v>
      </x:c>
      <x:c r="F495" s="14" t="str">
        <x:v>The Good Ship Murder</x:v>
      </x:c>
      <x:c r="G495" s="14" t="str">
        <x:v>tt26346233</x:v>
      </x:c>
      <x:c r="H495" s="14" t="n">
        <x:v>2023</x:v>
      </x:c>
      <x:c r="I495" s="14" t="n">
        <x:v>2025</x:v>
      </x:c>
      <x:c r="J495" s="14" t="str">
        <x:v>Post-study cohort</x:v>
      </x:c>
      <x:c r="K495" s="14" t="n">
        <x:v>2023</x:v>
      </x:c>
      <x:c r="L495" s="14" t="str">
        <x:v>Not inherited</x:v>
      </x:c>
      <x:c r="M495" s="15" t="n">
        <x:v>123</x:v>
      </x:c>
      <x:c r="N495" s="14" t="str">
        <x:v>Arthur Lee</x:v>
      </x:c>
      <x:c r="O495" s="14" t="str">
        <x:v>nm6110544</x:v>
      </x:c>
      <x:c r="P495" s="14" t="str">
        <x:v>Dr. Seon Hee Woo</x:v>
      </x:c>
      <x:c r="Q495" s="15" t="n">
        <x:v>1</x:v>
      </x:c>
      <x:c r="R495" s="14" t="str">
        <x:v>2026</x:v>
      </x:c>
      <x:c r="S495" s="14" t="n">
        <x:v>2026</x:v>
      </x:c>
      <x:c r="T495" s="14" t="n">
        <x:v>2026</x:v>
      </x:c>
      <x:c r="U495" s="14" t="str">
        <x:v>Explicit source first year retained</x:v>
      </x:c>
      <x:c r="V495" s="14" t="str">
        <x:v>Earliest supplied year is 2026.</x:v>
      </x:c>
      <x:c r="W495" s="14"/>
      <x:c r="X495" s="14" t="str">
        <x:v>Excluded: after 2025</x:v>
      </x:c>
      <x:c r="Y495" s="14"/>
      <x:c r="Z495" s="14" t="str">
        <x:v>The Good Ship Murder.docx</x:v>
      </x:c>
      <x:c r="AA495" s="14" t="str">
        <x:v>HYPERLINK is not implemented. linkLocation=https://www.imdb.com/title/tt26346233/fullcredits/, friendlyName=Open source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Channel 5 / 5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 t="str">
        <x:v>No established-register match</x:v>
      </x:c>
      <x:c r="AT495" s="14"/>
      <x:c r="AU495" s="14"/>
      <x:c r="AV495" s="14" t="str">
        <x:v>No established apparent-disability match</x:v>
      </x:c>
      <x:c r="AW495" s="14"/>
      <x:c r="AX495" s="14" t="str">
        <x:v>No</x:v>
      </x:c>
      <x:c r="AY495" s="14" t="str">
        <x:v>Unmatched</x:v>
      </x:c>
      <x:c r="AZ495" s="14" t="str">
        <x:v>Final supplied register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24</x:v>
      </x:c>
      <x:c r="BP495" s="14" t="str">
        <x:v>Maximum supplied eligible IMDb cast-credit total; annual episode total not independently verified.</x:v>
      </x:c>
      <x:c r="BQ495" s="14" t="str">
        <x:v>Medium</x:v>
      </x:c>
      <x:c r="BR495" s="15" t="n">
        <x:v>1</x:v>
      </x:c>
      <x:c r="BS495" s="16" t="n">
        <x:v>0.041666666666666664</x:v>
      </x:c>
      <x:c r="BT495" s="14" t="str">
        <x:v>One episode</x:v>
      </x:c>
      <x:c r="BU495" s="14" t="str">
        <x:v>Medium</x:v>
      </x:c>
      <x:c r="BV495" s="14" t="str">
        <x:v>Derived from the supplied IMDb episode count and documented production-total proxy.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4" t="str">
        <x:v>HYPERLINK is not implemented. linkLocation=https://www.imdb.com/title/tt26346233/fullcredits/, friendlyName=Open source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tt26346233|nm0733474|elsa crabtree</x:v>
      </x:c>
      <x:c r="B496" s="14" t="str">
        <x:v>04</x:v>
      </x:c>
      <x:c r="C496" s="14" t="str">
        <x:v>2023_IMDb_Cast_Lists_Batch_04(2).xlsx</x:v>
      </x:c>
      <x:c r="D496" s="14" t="str">
        <x:v>The Good Ship Murder</x:v>
      </x:c>
      <x:c r="E496" s="14" t="n">
        <x:v>131</x:v>
      </x:c>
      <x:c r="F496" s="14" t="str">
        <x:v>The Good Ship Murder</x:v>
      </x:c>
      <x:c r="G496" s="14" t="str">
        <x:v>tt26346233</x:v>
      </x:c>
      <x:c r="H496" s="14" t="n">
        <x:v>2023</x:v>
      </x:c>
      <x:c r="I496" s="14" t="n">
        <x:v>2025</x:v>
      </x:c>
      <x:c r="J496" s="14" t="str">
        <x:v>Post-study cohort</x:v>
      </x:c>
      <x:c r="K496" s="14" t="n">
        <x:v>2023</x:v>
      </x:c>
      <x:c r="L496" s="14" t="str">
        <x:v>Not inherited</x:v>
      </x:c>
      <x:c r="M496" s="15" t="n">
        <x:v>124</x:v>
      </x:c>
      <x:c r="N496" s="14" t="str">
        <x:v>Linda Robson</x:v>
      </x:c>
      <x:c r="O496" s="14" t="str">
        <x:v>nm0733474</x:v>
      </x:c>
      <x:c r="P496" s="14" t="str">
        <x:v>Elsa Crabtree</x:v>
      </x:c>
      <x:c r="Q496" s="15" t="n">
        <x:v>1</x:v>
      </x:c>
      <x:c r="R496" s="14" t="str">
        <x:v>2026</x:v>
      </x:c>
      <x:c r="S496" s="14" t="n">
        <x:v>2026</x:v>
      </x:c>
      <x:c r="T496" s="14" t="n">
        <x:v>2026</x:v>
      </x:c>
      <x:c r="U496" s="14" t="str">
        <x:v>Explicit source first year retained</x:v>
      </x:c>
      <x:c r="V496" s="14" t="str">
        <x:v>Earliest supplied year is 2026.</x:v>
      </x:c>
      <x:c r="W496" s="14"/>
      <x:c r="X496" s="14" t="str">
        <x:v>Excluded: after 2025</x:v>
      </x:c>
      <x:c r="Y496" s="14"/>
      <x:c r="Z496" s="14" t="str">
        <x:v>The Good Ship Murder.docx</x:v>
      </x:c>
      <x:c r="AA496" s="14" t="str">
        <x:v>HYPERLINK is not implemented. linkLocation=https://www.imdb.com/title/tt26346233/fullcredits/, friendlyName=Open source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Channel 5 / 5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 t="str">
        <x:v>No established-register match</x:v>
      </x:c>
      <x:c r="AT496" s="14"/>
      <x:c r="AU496" s="14"/>
      <x:c r="AV496" s="14" t="str">
        <x:v>No established apparent-disability match</x:v>
      </x:c>
      <x:c r="AW496" s="14"/>
      <x:c r="AX496" s="14" t="str">
        <x:v>No</x:v>
      </x:c>
      <x:c r="AY496" s="14" t="str">
        <x:v>Unmatched</x:v>
      </x:c>
      <x:c r="AZ496" s="14" t="str">
        <x:v>Final supplied register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24</x:v>
      </x:c>
      <x:c r="BP496" s="14" t="str">
        <x:v>Maximum supplied eligible IMDb cast-credit total; annual episode total not independently verified.</x:v>
      </x:c>
      <x:c r="BQ496" s="14" t="str">
        <x:v>Medium</x:v>
      </x:c>
      <x:c r="BR496" s="15" t="n">
        <x:v>1</x:v>
      </x:c>
      <x:c r="BS496" s="16" t="n">
        <x:v>0.041666666666666664</x:v>
      </x:c>
      <x:c r="BT496" s="14" t="str">
        <x:v>One episode</x:v>
      </x:c>
      <x:c r="BU496" s="14" t="str">
        <x:v>Medium</x:v>
      </x:c>
      <x:c r="BV496" s="14" t="str">
        <x:v>Derived from the supplied IMDb episode count and documented production-total proxy.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4" t="str">
        <x:v>HYPERLINK is not implemented. linkLocation=https://www.imdb.com/title/tt26346233/fullcredits/, friendlyName=Open source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tt26346233|nm9243325|mirko spiteri</x:v>
      </x:c>
      <x:c r="B497" s="14" t="str">
        <x:v>04</x:v>
      </x:c>
      <x:c r="C497" s="14" t="str">
        <x:v>2023_IMDb_Cast_Lists_Batch_04(2).xlsx</x:v>
      </x:c>
      <x:c r="D497" s="14" t="str">
        <x:v>The Good Ship Murder</x:v>
      </x:c>
      <x:c r="E497" s="14" t="n">
        <x:v>132</x:v>
      </x:c>
      <x:c r="F497" s="14" t="str">
        <x:v>The Good Ship Murder</x:v>
      </x:c>
      <x:c r="G497" s="14" t="str">
        <x:v>tt26346233</x:v>
      </x:c>
      <x:c r="H497" s="14" t="n">
        <x:v>2023</x:v>
      </x:c>
      <x:c r="I497" s="14" t="n">
        <x:v>2025</x:v>
      </x:c>
      <x:c r="J497" s="14" t="str">
        <x:v>Post-study cohort</x:v>
      </x:c>
      <x:c r="K497" s="14" t="n">
        <x:v>2023</x:v>
      </x:c>
      <x:c r="L497" s="14" t="str">
        <x:v>Not inherited</x:v>
      </x:c>
      <x:c r="M497" s="15" t="n">
        <x:v>125</x:v>
      </x:c>
      <x:c r="N497" s="14" t="str">
        <x:v>Jeremy Vella</x:v>
      </x:c>
      <x:c r="O497" s="14" t="str">
        <x:v>nm9243325</x:v>
      </x:c>
      <x:c r="P497" s="14" t="str">
        <x:v>Mirko Spiteri</x:v>
      </x:c>
      <x:c r="Q497" s="15" t="n">
        <x:v>1</x:v>
      </x:c>
      <x:c r="R497" s="14" t="str">
        <x:v>2026</x:v>
      </x:c>
      <x:c r="S497" s="14" t="n">
        <x:v>2026</x:v>
      </x:c>
      <x:c r="T497" s="14" t="n">
        <x:v>2026</x:v>
      </x:c>
      <x:c r="U497" s="14" t="str">
        <x:v>Explicit source first year retained</x:v>
      </x:c>
      <x:c r="V497" s="14" t="str">
        <x:v>Earliest supplied year is 2026.</x:v>
      </x:c>
      <x:c r="W497" s="14"/>
      <x:c r="X497" s="14" t="str">
        <x:v>Excluded: after 2025</x:v>
      </x:c>
      <x:c r="Y497" s="14"/>
      <x:c r="Z497" s="14" t="str">
        <x:v>The Good Ship Murder.docx</x:v>
      </x:c>
      <x:c r="AA497" s="14" t="str">
        <x:v>HYPERLINK is not implemented. linkLocation=https://www.imdb.com/title/tt26346233/fullcredits/, friendlyName=Open source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Channel 5 / 5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 t="str">
        <x:v>No established-register match</x:v>
      </x:c>
      <x:c r="AT497" s="14"/>
      <x:c r="AU497" s="14"/>
      <x:c r="AV497" s="14" t="str">
        <x:v>No established apparent-disability match</x:v>
      </x:c>
      <x:c r="AW497" s="14"/>
      <x:c r="AX497" s="14" t="str">
        <x:v>No</x:v>
      </x:c>
      <x:c r="AY497" s="14" t="str">
        <x:v>Unmatched</x:v>
      </x:c>
      <x:c r="AZ497" s="14" t="str">
        <x:v>Final supplied register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24</x:v>
      </x:c>
      <x:c r="BP497" s="14" t="str">
        <x:v>Maximum supplied eligible IMDb cast-credit total; annual episode total not independently verified.</x:v>
      </x:c>
      <x:c r="BQ497" s="14" t="str">
        <x:v>Medium</x:v>
      </x:c>
      <x:c r="BR497" s="15" t="n">
        <x:v>1</x:v>
      </x:c>
      <x:c r="BS497" s="16" t="n">
        <x:v>0.041666666666666664</x:v>
      </x:c>
      <x:c r="BT497" s="14" t="str">
        <x:v>One episode</x:v>
      </x:c>
      <x:c r="BU497" s="14" t="str">
        <x:v>Medium</x:v>
      </x:c>
      <x:c r="BV497" s="14" t="str">
        <x:v>Derived from the supplied IMDb episode count and documented production-total proxy.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4" t="str">
        <x:v>HYPERLINK is not implemented. linkLocation=https://www.imdb.com/title/tt26346233/fullcredits/, friendlyName=Open source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tt26346233|nm11600104|rico garcia</x:v>
      </x:c>
      <x:c r="B498" s="14" t="str">
        <x:v>04</x:v>
      </x:c>
      <x:c r="C498" s="14" t="str">
        <x:v>2023_IMDb_Cast_Lists_Batch_04(2).xlsx</x:v>
      </x:c>
      <x:c r="D498" s="14" t="str">
        <x:v>The Good Ship Murder</x:v>
      </x:c>
      <x:c r="E498" s="14" t="n">
        <x:v>133</x:v>
      </x:c>
      <x:c r="F498" s="14" t="str">
        <x:v>The Good Ship Murder</x:v>
      </x:c>
      <x:c r="G498" s="14" t="str">
        <x:v>tt26346233</x:v>
      </x:c>
      <x:c r="H498" s="14" t="n">
        <x:v>2023</x:v>
      </x:c>
      <x:c r="I498" s="14" t="n">
        <x:v>2025</x:v>
      </x:c>
      <x:c r="J498" s="14" t="str">
        <x:v>Post-study cohort</x:v>
      </x:c>
      <x:c r="K498" s="14" t="n">
        <x:v>2023</x:v>
      </x:c>
      <x:c r="L498" s="14" t="str">
        <x:v>Not inherited</x:v>
      </x:c>
      <x:c r="M498" s="15" t="n">
        <x:v>126</x:v>
      </x:c>
      <x:c r="N498" s="14" t="str">
        <x:v>Julian Giraldo</x:v>
      </x:c>
      <x:c r="O498" s="14" t="str">
        <x:v>nm11600104</x:v>
      </x:c>
      <x:c r="P498" s="14" t="str">
        <x:v>Rico Garcia</x:v>
      </x:c>
      <x:c r="Q498" s="15" t="n">
        <x:v>1</x:v>
      </x:c>
      <x:c r="R498" s="14" t="str">
        <x:v>2026</x:v>
      </x:c>
      <x:c r="S498" s="14" t="n">
        <x:v>2026</x:v>
      </x:c>
      <x:c r="T498" s="14" t="n">
        <x:v>2026</x:v>
      </x:c>
      <x:c r="U498" s="14" t="str">
        <x:v>Explicit source first year retained</x:v>
      </x:c>
      <x:c r="V498" s="14" t="str">
        <x:v>Earliest supplied year is 2026.</x:v>
      </x:c>
      <x:c r="W498" s="14"/>
      <x:c r="X498" s="14" t="str">
        <x:v>Excluded: after 2025</x:v>
      </x:c>
      <x:c r="Y498" s="14"/>
      <x:c r="Z498" s="14" t="str">
        <x:v>The Good Ship Murder.docx</x:v>
      </x:c>
      <x:c r="AA498" s="14" t="str">
        <x:v>HYPERLINK is not implemented. linkLocation=https://www.imdb.com/title/tt26346233/fullcredits/, friendlyName=Open source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Channel 5 / 5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 t="str">
        <x:v>No established-register match</x:v>
      </x:c>
      <x:c r="AT498" s="14"/>
      <x:c r="AU498" s="14"/>
      <x:c r="AV498" s="14" t="str">
        <x:v>No established apparent-disability match</x:v>
      </x:c>
      <x:c r="AW498" s="14"/>
      <x:c r="AX498" s="14" t="str">
        <x:v>No</x:v>
      </x:c>
      <x:c r="AY498" s="14" t="str">
        <x:v>Unmatched</x:v>
      </x:c>
      <x:c r="AZ498" s="14" t="str">
        <x:v>Final supplied register</x:v>
      </x:c>
      <x:c r="BA498" s="14" t="str">
        <x:v>Absence from the register is not evidence that the performer is not disabled.</x:v>
      </x:c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 t="n">
        <x:v>24</x:v>
      </x:c>
      <x:c r="BP498" s="14" t="str">
        <x:v>Maximum supplied eligible IMDb cast-credit total; annual episode total not independently verified.</x:v>
      </x:c>
      <x:c r="BQ498" s="14" t="str">
        <x:v>Medium</x:v>
      </x:c>
      <x:c r="BR498" s="15" t="n">
        <x:v>1</x:v>
      </x:c>
      <x:c r="BS498" s="16" t="n">
        <x:v>0.041666666666666664</x:v>
      </x:c>
      <x:c r="BT498" s="14" t="str">
        <x:v>One episode</x:v>
      </x:c>
      <x:c r="BU498" s="14" t="str">
        <x:v>Medium</x:v>
      </x:c>
      <x:c r="BV498" s="14" t="str">
        <x:v>Derived from the supplied IMDb episode count and documented production-total proxy.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4" t="str">
        <x:v>HYPERLINK is not implemented. linkLocation=https://www.imdb.com/title/tt26346233/fullcredits/, friendlyName=Open source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tt26346233|nm2396083|monty bloomberg</x:v>
      </x:c>
      <x:c r="B499" s="14" t="str">
        <x:v>04</x:v>
      </x:c>
      <x:c r="C499" s="14" t="str">
        <x:v>2023_IMDb_Cast_Lists_Batch_04(2).xlsx</x:v>
      </x:c>
      <x:c r="D499" s="14" t="str">
        <x:v>The Good Ship Murder</x:v>
      </x:c>
      <x:c r="E499" s="14" t="n">
        <x:v>142</x:v>
      </x:c>
      <x:c r="F499" s="14" t="str">
        <x:v>The Good Ship Murder</x:v>
      </x:c>
      <x:c r="G499" s="14" t="str">
        <x:v>tt26346233</x:v>
      </x:c>
      <x:c r="H499" s="14" t="n">
        <x:v>2023</x:v>
      </x:c>
      <x:c r="I499" s="14" t="n">
        <x:v>2025</x:v>
      </x:c>
      <x:c r="J499" s="14" t="str">
        <x:v>Post-study cohort</x:v>
      </x:c>
      <x:c r="K499" s="14" t="n">
        <x:v>2023</x:v>
      </x:c>
      <x:c r="L499" s="14" t="str">
        <x:v>Not inherited</x:v>
      </x:c>
      <x:c r="M499" s="15" t="n">
        <x:v>135</x:v>
      </x:c>
      <x:c r="N499" s="14" t="str">
        <x:v>Dan Starkey</x:v>
      </x:c>
      <x:c r="O499" s="14" t="str">
        <x:v>nm2396083</x:v>
      </x:c>
      <x:c r="P499" s="14" t="str">
        <x:v>Monty Bloomberg</x:v>
      </x:c>
      <x:c r="Q499" s="15" t="n">
        <x:v>1</x:v>
      </x:c>
      <x:c r="R499" s="14" t="str">
        <x:v>2026</x:v>
      </x:c>
      <x:c r="S499" s="14" t="n">
        <x:v>2026</x:v>
      </x:c>
      <x:c r="T499" s="14" t="n">
        <x:v>2026</x:v>
      </x:c>
      <x:c r="U499" s="14" t="str">
        <x:v>Explicit source first year retained</x:v>
      </x:c>
      <x:c r="V499" s="14" t="str">
        <x:v>Earliest supplied year is 2026.</x:v>
      </x:c>
      <x:c r="W499" s="14"/>
      <x:c r="X499" s="14" t="str">
        <x:v>Excluded: after 2025</x:v>
      </x:c>
      <x:c r="Y499" s="14"/>
      <x:c r="Z499" s="14" t="str">
        <x:v>The Good Ship Murder.docx</x:v>
      </x:c>
      <x:c r="AA499" s="14" t="str">
        <x:v>HYPERLINK is not implemented. linkLocation=https://www.imdb.com/title/tt26346233/fullcredits/, friendlyName=Open source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Channel 5 / 5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 t="str">
        <x:v>No established-register match</x:v>
      </x:c>
      <x:c r="AT499" s="14"/>
      <x:c r="AU499" s="14"/>
      <x:c r="AV499" s="14" t="str">
        <x:v>No established apparent-disability match</x:v>
      </x:c>
      <x:c r="AW499" s="14"/>
      <x:c r="AX499" s="14" t="str">
        <x:v>No</x:v>
      </x:c>
      <x:c r="AY499" s="14" t="str">
        <x:v>Unmatched</x:v>
      </x:c>
      <x:c r="AZ499" s="14" t="str">
        <x:v>Final supplied register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24</x:v>
      </x:c>
      <x:c r="BP499" s="14" t="str">
        <x:v>Maximum supplied eligible IMDb cast-credit total; annual episode total not independently verified.</x:v>
      </x:c>
      <x:c r="BQ499" s="14" t="str">
        <x:v>Medium</x:v>
      </x:c>
      <x:c r="BR499" s="15" t="n">
        <x:v>1</x:v>
      </x:c>
      <x:c r="BS499" s="16" t="n">
        <x:v>0.041666666666666664</x:v>
      </x:c>
      <x:c r="BT499" s="14" t="str">
        <x:v>One episode</x:v>
      </x:c>
      <x:c r="BU499" s="14" t="str">
        <x:v>Medium</x:v>
      </x:c>
      <x:c r="BV499" s="14" t="str">
        <x:v>Derived from the supplied IMDb episode count and documented production-total proxy.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4" t="str">
        <x:v>HYPERLINK is not implemented. linkLocation=https://www.imdb.com/title/tt26346233/fullcredits/, friendlyName=Open source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tt26346233|nm0447849|alex staples</x:v>
      </x:c>
      <x:c r="B500" s="14" t="str">
        <x:v>04</x:v>
      </x:c>
      <x:c r="C500" s="14" t="str">
        <x:v>2023_IMDb_Cast_Lists_Batch_04(2).xlsx</x:v>
      </x:c>
      <x:c r="D500" s="14" t="str">
        <x:v>The Good Ship Murder</x:v>
      </x:c>
      <x:c r="E500" s="14" t="n">
        <x:v>143</x:v>
      </x:c>
      <x:c r="F500" s="14" t="str">
        <x:v>The Good Ship Murder</x:v>
      </x:c>
      <x:c r="G500" s="14" t="str">
        <x:v>tt26346233</x:v>
      </x:c>
      <x:c r="H500" s="14" t="n">
        <x:v>2023</x:v>
      </x:c>
      <x:c r="I500" s="14" t="n">
        <x:v>2025</x:v>
      </x:c>
      <x:c r="J500" s="14" t="str">
        <x:v>Post-study cohort</x:v>
      </x:c>
      <x:c r="K500" s="14" t="n">
        <x:v>2023</x:v>
      </x:c>
      <x:c r="L500" s="14" t="str">
        <x:v>Not inherited</x:v>
      </x:c>
      <x:c r="M500" s="15" t="n">
        <x:v>136</x:v>
      </x:c>
      <x:c r="N500" s="14" t="str">
        <x:v>Matt Kennard</x:v>
      </x:c>
      <x:c r="O500" s="14" t="str">
        <x:v>nm0447849</x:v>
      </x:c>
      <x:c r="P500" s="14" t="str">
        <x:v>Alex Staples</x:v>
      </x:c>
      <x:c r="Q500" s="15" t="n">
        <x:v>1</x:v>
      </x:c>
      <x:c r="R500" s="14" t="str">
        <x:v>2026</x:v>
      </x:c>
      <x:c r="S500" s="14" t="n">
        <x:v>2026</x:v>
      </x:c>
      <x:c r="T500" s="14" t="n">
        <x:v>2026</x:v>
      </x:c>
      <x:c r="U500" s="14" t="str">
        <x:v>Explicit source first year retained</x:v>
      </x:c>
      <x:c r="V500" s="14" t="str">
        <x:v>Earliest supplied year is 2026.</x:v>
      </x:c>
      <x:c r="W500" s="14"/>
      <x:c r="X500" s="14" t="str">
        <x:v>Excluded: after 2025</x:v>
      </x:c>
      <x:c r="Y500" s="14"/>
      <x:c r="Z500" s="14" t="str">
        <x:v>The Good Ship Murder.docx</x:v>
      </x:c>
      <x:c r="AA500" s="14" t="str">
        <x:v>HYPERLINK is not implemented. linkLocation=https://www.imdb.com/title/tt26346233/fullcredits/, friendlyName=Open source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Channel 5 / 5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 t="str">
        <x:v>No established-register match</x:v>
      </x:c>
      <x:c r="AT500" s="14"/>
      <x:c r="AU500" s="14"/>
      <x:c r="AV500" s="14" t="str">
        <x:v>No established apparent-disability match</x:v>
      </x:c>
      <x:c r="AW500" s="14"/>
      <x:c r="AX500" s="14" t="str">
        <x:v>No</x:v>
      </x:c>
      <x:c r="AY500" s="14" t="str">
        <x:v>Unmatched</x:v>
      </x:c>
      <x:c r="AZ500" s="14" t="str">
        <x:v>Final supplied register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24</x:v>
      </x:c>
      <x:c r="BP500" s="14" t="str">
        <x:v>Maximum supplied eligible IMDb cast-credit total; annual episode total not independently verified.</x:v>
      </x:c>
      <x:c r="BQ500" s="14" t="str">
        <x:v>Medium</x:v>
      </x:c>
      <x:c r="BR500" s="15" t="n">
        <x:v>1</x:v>
      </x:c>
      <x:c r="BS500" s="16" t="n">
        <x:v>0.041666666666666664</x:v>
      </x:c>
      <x:c r="BT500" s="14" t="str">
        <x:v>One episode</x:v>
      </x:c>
      <x:c r="BU500" s="14" t="str">
        <x:v>Medium</x:v>
      </x:c>
      <x:c r="BV500" s="14" t="str">
        <x:v>Derived from the supplied IMDb episode count and documented production-total proxy.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4" t="str">
        <x:v>HYPERLINK is not implemented. linkLocation=https://www.imdb.com/title/tt26346233/fullcredits/, friendlyName=Open source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tt26346233|nm3862423|inspector demir badem</x:v>
      </x:c>
      <x:c r="B501" s="14" t="str">
        <x:v>04</x:v>
      </x:c>
      <x:c r="C501" s="14" t="str">
        <x:v>2023_IMDb_Cast_Lists_Batch_04(2).xlsx</x:v>
      </x:c>
      <x:c r="D501" s="14" t="str">
        <x:v>The Good Ship Murder</x:v>
      </x:c>
      <x:c r="E501" s="14" t="n">
        <x:v>144</x:v>
      </x:c>
      <x:c r="F501" s="14" t="str">
        <x:v>The Good Ship Murder</x:v>
      </x:c>
      <x:c r="G501" s="14" t="str">
        <x:v>tt26346233</x:v>
      </x:c>
      <x:c r="H501" s="14" t="n">
        <x:v>2023</x:v>
      </x:c>
      <x:c r="I501" s="14" t="n">
        <x:v>2025</x:v>
      </x:c>
      <x:c r="J501" s="14" t="str">
        <x:v>Post-study cohort</x:v>
      </x:c>
      <x:c r="K501" s="14" t="n">
        <x:v>2023</x:v>
      </x:c>
      <x:c r="L501" s="14" t="str">
        <x:v>Not inherited</x:v>
      </x:c>
      <x:c r="M501" s="15" t="n">
        <x:v>137</x:v>
      </x:c>
      <x:c r="N501" s="14" t="str">
        <x:v>John-Paul Pace</x:v>
      </x:c>
      <x:c r="O501" s="14" t="str">
        <x:v>nm3862423</x:v>
      </x:c>
      <x:c r="P501" s="14" t="str">
        <x:v>Inspector Demir Badem</x:v>
      </x:c>
      <x:c r="Q501" s="15" t="n">
        <x:v>1</x:v>
      </x:c>
      <x:c r="R501" s="14" t="str">
        <x:v>2026</x:v>
      </x:c>
      <x:c r="S501" s="14" t="n">
        <x:v>2026</x:v>
      </x:c>
      <x:c r="T501" s="14" t="n">
        <x:v>2026</x:v>
      </x:c>
      <x:c r="U501" s="14" t="str">
        <x:v>Explicit source first year retained</x:v>
      </x:c>
      <x:c r="V501" s="14" t="str">
        <x:v>Earliest supplied year is 2026.</x:v>
      </x:c>
      <x:c r="W501" s="14"/>
      <x:c r="X501" s="14" t="str">
        <x:v>Excluded: after 2025</x:v>
      </x:c>
      <x:c r="Y501" s="14"/>
      <x:c r="Z501" s="14" t="str">
        <x:v>The Good Ship Murder.docx</x:v>
      </x:c>
      <x:c r="AA501" s="14" t="str">
        <x:v>HYPERLINK is not implemented. linkLocation=https://www.imdb.com/title/tt26346233/fullcredits/, friendlyName=Open source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Channel 5 / 5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 t="str">
        <x:v>No established-register match</x:v>
      </x:c>
      <x:c r="AT501" s="14"/>
      <x:c r="AU501" s="14"/>
      <x:c r="AV501" s="14" t="str">
        <x:v>No established apparent-disability match</x:v>
      </x:c>
      <x:c r="AW501" s="14"/>
      <x:c r="AX501" s="14" t="str">
        <x:v>No</x:v>
      </x:c>
      <x:c r="AY501" s="14" t="str">
        <x:v>Unmatched</x:v>
      </x:c>
      <x:c r="AZ501" s="14" t="str">
        <x:v>Final supplied register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24</x:v>
      </x:c>
      <x:c r="BP501" s="14" t="str">
        <x:v>Maximum supplied eligible IMDb cast-credit total; annual episode total not independently verified.</x:v>
      </x:c>
      <x:c r="BQ501" s="14" t="str">
        <x:v>Medium</x:v>
      </x:c>
      <x:c r="BR501" s="15" t="n">
        <x:v>1</x:v>
      </x:c>
      <x:c r="BS501" s="16" t="n">
        <x:v>0.041666666666666664</x:v>
      </x:c>
      <x:c r="BT501" s="14" t="str">
        <x:v>One episode</x:v>
      </x:c>
      <x:c r="BU501" s="14" t="str">
        <x:v>Medium</x:v>
      </x:c>
      <x:c r="BV501" s="14" t="str">
        <x:v>Derived from the supplied IMDb episode count and documented production-total proxy.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4" t="str">
        <x:v>HYPERLINK is not implemented. linkLocation=https://www.imdb.com/title/tt26346233/fullcredits/, friendlyName=Open source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tt26346233|nm7537224|emiliano gonçalves</x:v>
      </x:c>
      <x:c r="B502" s="14" t="str">
        <x:v>04</x:v>
      </x:c>
      <x:c r="C502" s="14" t="str">
        <x:v>2023_IMDb_Cast_Lists_Batch_04(2).xlsx</x:v>
      </x:c>
      <x:c r="D502" s="14" t="str">
        <x:v>The Good Ship Murder</x:v>
      </x:c>
      <x:c r="E502" s="14" t="n">
        <x:v>145</x:v>
      </x:c>
      <x:c r="F502" s="14" t="str">
        <x:v>The Good Ship Murder</x:v>
      </x:c>
      <x:c r="G502" s="14" t="str">
        <x:v>tt26346233</x:v>
      </x:c>
      <x:c r="H502" s="14" t="n">
        <x:v>2023</x:v>
      </x:c>
      <x:c r="I502" s="14" t="n">
        <x:v>2025</x:v>
      </x:c>
      <x:c r="J502" s="14" t="str">
        <x:v>Post-study cohort</x:v>
      </x:c>
      <x:c r="K502" s="14" t="n">
        <x:v>2023</x:v>
      </x:c>
      <x:c r="L502" s="14" t="str">
        <x:v>Not inherited</x:v>
      </x:c>
      <x:c r="M502" s="15" t="n">
        <x:v>138</x:v>
      </x:c>
      <x:c r="N502" s="14" t="str">
        <x:v>Shane Rowe</x:v>
      </x:c>
      <x:c r="O502" s="14" t="str">
        <x:v>nm7537224</x:v>
      </x:c>
      <x:c r="P502" s="14" t="str">
        <x:v>Emiliano Gonçalves</x:v>
      </x:c>
      <x:c r="Q502" s="15" t="n">
        <x:v>1</x:v>
      </x:c>
      <x:c r="R502" s="14" t="str">
        <x:v>2026</x:v>
      </x:c>
      <x:c r="S502" s="14" t="n">
        <x:v>2026</x:v>
      </x:c>
      <x:c r="T502" s="14" t="n">
        <x:v>2026</x:v>
      </x:c>
      <x:c r="U502" s="14" t="str">
        <x:v>Explicit source first year retained</x:v>
      </x:c>
      <x:c r="V502" s="14" t="str">
        <x:v>Earliest supplied year is 2026.</x:v>
      </x:c>
      <x:c r="W502" s="14"/>
      <x:c r="X502" s="14" t="str">
        <x:v>Excluded: after 2025</x:v>
      </x:c>
      <x:c r="Y502" s="14"/>
      <x:c r="Z502" s="14" t="str">
        <x:v>The Good Ship Murder.docx</x:v>
      </x:c>
      <x:c r="AA502" s="14" t="str">
        <x:v>HYPERLINK is not implemented. linkLocation=https://www.imdb.com/title/tt26346233/fullcredits/, friendlyName=Open source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Channel 5 / 5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 t="str">
        <x:v>No established-register match</x:v>
      </x:c>
      <x:c r="AT502" s="14"/>
      <x:c r="AU502" s="14"/>
      <x:c r="AV502" s="14" t="str">
        <x:v>No established apparent-disability match</x:v>
      </x:c>
      <x:c r="AW502" s="14"/>
      <x:c r="AX502" s="14" t="str">
        <x:v>No</x:v>
      </x:c>
      <x:c r="AY502" s="14" t="str">
        <x:v>Unmatched</x:v>
      </x:c>
      <x:c r="AZ502" s="14" t="str">
        <x:v>Final supplied register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24</x:v>
      </x:c>
      <x:c r="BP502" s="14" t="str">
        <x:v>Maximum supplied eligible IMDb cast-credit total; annual episode total not independently verified.</x:v>
      </x:c>
      <x:c r="BQ502" s="14" t="str">
        <x:v>Medium</x:v>
      </x:c>
      <x:c r="BR502" s="15" t="n">
        <x:v>1</x:v>
      </x:c>
      <x:c r="BS502" s="16" t="n">
        <x:v>0.041666666666666664</x:v>
      </x:c>
      <x:c r="BT502" s="14" t="str">
        <x:v>One episode</x:v>
      </x:c>
      <x:c r="BU502" s="14" t="str">
        <x:v>Medium</x:v>
      </x:c>
      <x:c r="BV502" s="14" t="str">
        <x:v>Derived from the supplied IMDb episode count and documented production-total proxy.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4" t="str">
        <x:v>HYPERLINK is not implemented. linkLocation=https://www.imdb.com/title/tt26346233/fullcredits/, friendlyName=Open source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tt26346233|nm11739906|inspector maria morales</x:v>
      </x:c>
      <x:c r="B503" s="14" t="str">
        <x:v>04</x:v>
      </x:c>
      <x:c r="C503" s="14" t="str">
        <x:v>2023_IMDb_Cast_Lists_Batch_04(2).xlsx</x:v>
      </x:c>
      <x:c r="D503" s="14" t="str">
        <x:v>The Good Ship Murder</x:v>
      </x:c>
      <x:c r="E503" s="14" t="n">
        <x:v>149</x:v>
      </x:c>
      <x:c r="F503" s="14" t="str">
        <x:v>The Good Ship Murder</x:v>
      </x:c>
      <x:c r="G503" s="14" t="str">
        <x:v>tt26346233</x:v>
      </x:c>
      <x:c r="H503" s="14" t="n">
        <x:v>2023</x:v>
      </x:c>
      <x:c r="I503" s="14" t="n">
        <x:v>2025</x:v>
      </x:c>
      <x:c r="J503" s="14" t="str">
        <x:v>Post-study cohort</x:v>
      </x:c>
      <x:c r="K503" s="14" t="n">
        <x:v>2023</x:v>
      </x:c>
      <x:c r="L503" s="14" t="str">
        <x:v>Not inherited</x:v>
      </x:c>
      <x:c r="M503" s="15" t="n">
        <x:v>142</x:v>
      </x:c>
      <x:c r="N503" s="14" t="str">
        <x:v>Tina Rizzo</x:v>
      </x:c>
      <x:c r="O503" s="14" t="str">
        <x:v>nm11739906</x:v>
      </x:c>
      <x:c r="P503" s="14" t="str">
        <x:v>Inspector Maria Morales</x:v>
      </x:c>
      <x:c r="Q503" s="15" t="n">
        <x:v>1</x:v>
      </x:c>
      <x:c r="R503" s="14" t="str">
        <x:v>2026</x:v>
      </x:c>
      <x:c r="S503" s="14" t="n">
        <x:v>2026</x:v>
      </x:c>
      <x:c r="T503" s="14" t="n">
        <x:v>2026</x:v>
      </x:c>
      <x:c r="U503" s="14" t="str">
        <x:v>Explicit source first year retained</x:v>
      </x:c>
      <x:c r="V503" s="14" t="str">
        <x:v>Earliest supplied year is 2026.</x:v>
      </x:c>
      <x:c r="W503" s="14"/>
      <x:c r="X503" s="14" t="str">
        <x:v>Excluded: after 2025</x:v>
      </x:c>
      <x:c r="Y503" s="14"/>
      <x:c r="Z503" s="14" t="str">
        <x:v>The Good Ship Murder.docx</x:v>
      </x:c>
      <x:c r="AA503" s="14" t="str">
        <x:v>HYPERLINK is not implemented. linkLocation=https://www.imdb.com/title/tt26346233/fullcredits/, friendlyName=Open source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Channel 5 / 5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 t="str">
        <x:v>No established-register match</x:v>
      </x:c>
      <x:c r="AT503" s="14"/>
      <x:c r="AU503" s="14"/>
      <x:c r="AV503" s="14" t="str">
        <x:v>No established apparent-disability match</x:v>
      </x:c>
      <x:c r="AW503" s="14"/>
      <x:c r="AX503" s="14" t="str">
        <x:v>No</x:v>
      </x:c>
      <x:c r="AY503" s="14" t="str">
        <x:v>Unmatched</x:v>
      </x:c>
      <x:c r="AZ503" s="14" t="str">
        <x:v>Final supplied register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24</x:v>
      </x:c>
      <x:c r="BP503" s="14" t="str">
        <x:v>Maximum supplied eligible IMDb cast-credit total; annual episode total not independently verified.</x:v>
      </x:c>
      <x:c r="BQ503" s="14" t="str">
        <x:v>Medium</x:v>
      </x:c>
      <x:c r="BR503" s="15" t="n">
        <x:v>1</x:v>
      </x:c>
      <x:c r="BS503" s="16" t="n">
        <x:v>0.041666666666666664</x:v>
      </x:c>
      <x:c r="BT503" s="14" t="str">
        <x:v>One episode</x:v>
      </x:c>
      <x:c r="BU503" s="14" t="str">
        <x:v>Medium</x:v>
      </x:c>
      <x:c r="BV503" s="14" t="str">
        <x:v>Derived from the supplied IMDb episode count and documented production-total proxy.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4" t="str">
        <x:v>HYPERLINK is not implemented. linkLocation=https://www.imdb.com/title/tt26346233/fullcredits/, friendlyName=Open source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tt26346233|nm9231715|angel gonzález</x:v>
      </x:c>
      <x:c r="B504" s="14" t="str">
        <x:v>04</x:v>
      </x:c>
      <x:c r="C504" s="14" t="str">
        <x:v>2023_IMDb_Cast_Lists_Batch_04(2).xlsx</x:v>
      </x:c>
      <x:c r="D504" s="14" t="str">
        <x:v>The Good Ship Murder</x:v>
      </x:c>
      <x:c r="E504" s="14" t="n">
        <x:v>150</x:v>
      </x:c>
      <x:c r="F504" s="14" t="str">
        <x:v>The Good Ship Murder</x:v>
      </x:c>
      <x:c r="G504" s="14" t="str">
        <x:v>tt26346233</x:v>
      </x:c>
      <x:c r="H504" s="14" t="n">
        <x:v>2023</x:v>
      </x:c>
      <x:c r="I504" s="14" t="n">
        <x:v>2025</x:v>
      </x:c>
      <x:c r="J504" s="14" t="str">
        <x:v>Post-study cohort</x:v>
      </x:c>
      <x:c r="K504" s="14" t="n">
        <x:v>2023</x:v>
      </x:c>
      <x:c r="L504" s="14" t="str">
        <x:v>Not inherited</x:v>
      </x:c>
      <x:c r="M504" s="15" t="n">
        <x:v>143</x:v>
      </x:c>
      <x:c r="N504" s="14" t="str">
        <x:v>Jan Zammit</x:v>
      </x:c>
      <x:c r="O504" s="14" t="str">
        <x:v>nm9231715</x:v>
      </x:c>
      <x:c r="P504" s="14" t="str">
        <x:v>Angel González</x:v>
      </x:c>
      <x:c r="Q504" s="15" t="n">
        <x:v>1</x:v>
      </x:c>
      <x:c r="R504" s="14" t="str">
        <x:v>2026</x:v>
      </x:c>
      <x:c r="S504" s="14" t="n">
        <x:v>2026</x:v>
      </x:c>
      <x:c r="T504" s="14" t="n">
        <x:v>2026</x:v>
      </x:c>
      <x:c r="U504" s="14" t="str">
        <x:v>Explicit source first year retained</x:v>
      </x:c>
      <x:c r="V504" s="14" t="str">
        <x:v>Earliest supplied year is 2026.</x:v>
      </x:c>
      <x:c r="W504" s="14"/>
      <x:c r="X504" s="14" t="str">
        <x:v>Excluded: after 2025</x:v>
      </x:c>
      <x:c r="Y504" s="14"/>
      <x:c r="Z504" s="14" t="str">
        <x:v>The Good Ship Murder.docx</x:v>
      </x:c>
      <x:c r="AA504" s="14" t="str">
        <x:v>HYPERLINK is not implemented. linkLocation=https://www.imdb.com/title/tt26346233/fullcredits/, friendlyName=Open source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Channel 5 / 5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 t="str">
        <x:v>No established-register match</x:v>
      </x:c>
      <x:c r="AT504" s="14"/>
      <x:c r="AU504" s="14"/>
      <x:c r="AV504" s="14" t="str">
        <x:v>No established apparent-disability match</x:v>
      </x:c>
      <x:c r="AW504" s="14"/>
      <x:c r="AX504" s="14" t="str">
        <x:v>No</x:v>
      </x:c>
      <x:c r="AY504" s="14" t="str">
        <x:v>Unmatched</x:v>
      </x:c>
      <x:c r="AZ504" s="14" t="str">
        <x:v>Final supplied register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24</x:v>
      </x:c>
      <x:c r="BP504" s="14" t="str">
        <x:v>Maximum supplied eligible IMDb cast-credit total; annual episode total not independently verified.</x:v>
      </x:c>
      <x:c r="BQ504" s="14" t="str">
        <x:v>Medium</x:v>
      </x:c>
      <x:c r="BR504" s="15" t="n">
        <x:v>1</x:v>
      </x:c>
      <x:c r="BS504" s="16" t="n">
        <x:v>0.041666666666666664</x:v>
      </x:c>
      <x:c r="BT504" s="14" t="str">
        <x:v>One episode</x:v>
      </x:c>
      <x:c r="BU504" s="14" t="str">
        <x:v>Medium</x:v>
      </x:c>
      <x:c r="BV504" s="14" t="str">
        <x:v>Derived from the supplied IMDb episode count and documented production-total proxy.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4" t="str">
        <x:v>HYPERLINK is not implemented. linkLocation=https://www.imdb.com/title/tt26346233/fullcredits/, friendlyName=Open source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tt26346233|nm6235944|lucia diaz</x:v>
      </x:c>
      <x:c r="B505" s="14" t="str">
        <x:v>04</x:v>
      </x:c>
      <x:c r="C505" s="14" t="str">
        <x:v>2023_IMDb_Cast_Lists_Batch_04(2).xlsx</x:v>
      </x:c>
      <x:c r="D505" s="14" t="str">
        <x:v>The Good Ship Murder</x:v>
      </x:c>
      <x:c r="E505" s="14" t="n">
        <x:v>152</x:v>
      </x:c>
      <x:c r="F505" s="14" t="str">
        <x:v>The Good Ship Murder</x:v>
      </x:c>
      <x:c r="G505" s="14" t="str">
        <x:v>tt26346233</x:v>
      </x:c>
      <x:c r="H505" s="14" t="n">
        <x:v>2023</x:v>
      </x:c>
      <x:c r="I505" s="14" t="n">
        <x:v>2025</x:v>
      </x:c>
      <x:c r="J505" s="14" t="str">
        <x:v>Post-study cohort</x:v>
      </x:c>
      <x:c r="K505" s="14" t="n">
        <x:v>2023</x:v>
      </x:c>
      <x:c r="L505" s="14" t="str">
        <x:v>Not inherited</x:v>
      </x:c>
      <x:c r="M505" s="15" t="n">
        <x:v>145</x:v>
      </x:c>
      <x:c r="N505" s="14" t="str">
        <x:v>Tania Watson</x:v>
      </x:c>
      <x:c r="O505" s="14" t="str">
        <x:v>nm6235944</x:v>
      </x:c>
      <x:c r="P505" s="14" t="str">
        <x:v>Lucia Diaz</x:v>
      </x:c>
      <x:c r="Q505" s="15" t="n">
        <x:v>1</x:v>
      </x:c>
      <x:c r="R505" s="14" t="str">
        <x:v>2026</x:v>
      </x:c>
      <x:c r="S505" s="14" t="n">
        <x:v>2026</x:v>
      </x:c>
      <x:c r="T505" s="14" t="n">
        <x:v>2026</x:v>
      </x:c>
      <x:c r="U505" s="14" t="str">
        <x:v>Explicit source first year retained</x:v>
      </x:c>
      <x:c r="V505" s="14" t="str">
        <x:v>Earliest supplied year is 2026.</x:v>
      </x:c>
      <x:c r="W505" s="14"/>
      <x:c r="X505" s="14" t="str">
        <x:v>Excluded: after 2025</x:v>
      </x:c>
      <x:c r="Y505" s="14"/>
      <x:c r="Z505" s="14" t="str">
        <x:v>The Good Ship Murder.docx</x:v>
      </x:c>
      <x:c r="AA505" s="14" t="str">
        <x:v>HYPERLINK is not implemented. linkLocation=https://www.imdb.com/title/tt26346233/fullcredits/, friendlyName=Open source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Channel 5 / 5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 t="str">
        <x:v>No established-register match</x:v>
      </x:c>
      <x:c r="AT505" s="14"/>
      <x:c r="AU505" s="14"/>
      <x:c r="AV505" s="14" t="str">
        <x:v>No established apparent-disability match</x:v>
      </x:c>
      <x:c r="AW505" s="14"/>
      <x:c r="AX505" s="14" t="str">
        <x:v>No</x:v>
      </x:c>
      <x:c r="AY505" s="14" t="str">
        <x:v>Unmatched</x:v>
      </x:c>
      <x:c r="AZ505" s="14" t="str">
        <x:v>Final supplied register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24</x:v>
      </x:c>
      <x:c r="BP505" s="14" t="str">
        <x:v>Maximum supplied eligible IMDb cast-credit total; annual episode total not independently verified.</x:v>
      </x:c>
      <x:c r="BQ505" s="14" t="str">
        <x:v>Medium</x:v>
      </x:c>
      <x:c r="BR505" s="15" t="n">
        <x:v>1</x:v>
      </x:c>
      <x:c r="BS505" s="16" t="n">
        <x:v>0.041666666666666664</x:v>
      </x:c>
      <x:c r="BT505" s="14" t="str">
        <x:v>One episode</x:v>
      </x:c>
      <x:c r="BU505" s="14" t="str">
        <x:v>Medium</x:v>
      </x:c>
      <x:c r="BV505" s="14" t="str">
        <x:v>Derived from the supplied IMDb episode count and documented production-total proxy.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4" t="str">
        <x:v>HYPERLINK is not implemented. linkLocation=https://www.imdb.com/title/tt26346233/fullcredits/, friendlyName=Open source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tt26346233|nm4131298|market passerby</x:v>
      </x:c>
      <x:c r="B506" s="14" t="str">
        <x:v>04</x:v>
      </x:c>
      <x:c r="C506" s="14" t="str">
        <x:v>2023_IMDb_Cast_Lists_Batch_04(2).xlsx</x:v>
      </x:c>
      <x:c r="D506" s="14" t="str">
        <x:v>The Good Ship Murder</x:v>
      </x:c>
      <x:c r="E506" s="14" t="n">
        <x:v>154</x:v>
      </x:c>
      <x:c r="F506" s="14" t="str">
        <x:v>The Good Ship Murder</x:v>
      </x:c>
      <x:c r="G506" s="14" t="str">
        <x:v>tt26346233</x:v>
      </x:c>
      <x:c r="H506" s="14" t="n">
        <x:v>2023</x:v>
      </x:c>
      <x:c r="I506" s="14" t="n">
        <x:v>2025</x:v>
      </x:c>
      <x:c r="J506" s="14" t="str">
        <x:v>Post-study cohort</x:v>
      </x:c>
      <x:c r="K506" s="14" t="n">
        <x:v>2023</x:v>
      </x:c>
      <x:c r="L506" s="14" t="str">
        <x:v>Not inherited</x:v>
      </x:c>
      <x:c r="M506" s="15" t="n">
        <x:v>147</x:v>
      </x:c>
      <x:c r="N506" s="14" t="str">
        <x:v>Matthew Charlery-Smith</x:v>
      </x:c>
      <x:c r="O506" s="14" t="str">
        <x:v>nm4131298</x:v>
      </x:c>
      <x:c r="P506" s="14" t="str">
        <x:v>Market Passerby</x:v>
      </x:c>
      <x:c r="Q506" s="15" t="n">
        <x:v>1</x:v>
      </x:c>
      <x:c r="R506" s="14" t="str">
        <x:v>2026</x:v>
      </x:c>
      <x:c r="S506" s="14" t="n">
        <x:v>2026</x:v>
      </x:c>
      <x:c r="T506" s="14" t="n">
        <x:v>2026</x:v>
      </x:c>
      <x:c r="U506" s="14" t="str">
        <x:v>Explicit source first year retained</x:v>
      </x:c>
      <x:c r="V506" s="14" t="str">
        <x:v>Earliest supplied year is 2026.</x:v>
      </x:c>
      <x:c r="W506" s="14"/>
      <x:c r="X506" s="14" t="str">
        <x:v>Excluded: after 2025</x:v>
      </x:c>
      <x:c r="Y506" s="14"/>
      <x:c r="Z506" s="14" t="str">
        <x:v>The Good Ship Murder.docx</x:v>
      </x:c>
      <x:c r="AA506" s="14" t="str">
        <x:v>HYPERLINK is not implemented. linkLocation=https://www.imdb.com/title/tt26346233/fullcredits/, friendlyName=Open source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Channel 5 / 5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7" t="e">
        <x:f>HYPERLINK("https://en.wikipedia.org/wiki/The_Good_Ship_Murder","Open source")</x:f>
        <x:v>HYPERLINK is not implemented. linkLocation=https://en.wikipedia.org/wiki/The_Good_Ship_Murder, friendlyName=Open source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 t="str">
        <x:v>No established-register match</x:v>
      </x:c>
      <x:c r="AT506" s="14"/>
      <x:c r="AU506" s="14"/>
      <x:c r="AV506" s="14" t="str">
        <x:v>No established apparent-disability match</x:v>
      </x:c>
      <x:c r="AW506" s="14"/>
      <x:c r="AX506" s="14" t="str">
        <x:v>No</x:v>
      </x:c>
      <x:c r="AY506" s="14" t="str">
        <x:v>Unmatched</x:v>
      </x:c>
      <x:c r="AZ506" s="14" t="str">
        <x:v>Final supplied register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24</x:v>
      </x:c>
      <x:c r="BP506" s="14" t="str">
        <x:v>Maximum supplied eligible IMDb cast-credit total; annual episode total not independently verified.</x:v>
      </x:c>
      <x:c r="BQ506" s="14" t="str">
        <x:v>Medium</x:v>
      </x:c>
      <x:c r="BR506" s="15" t="n">
        <x:v>1</x:v>
      </x:c>
      <x:c r="BS506" s="16" t="n">
        <x:v>0.041666666666666664</x:v>
      </x:c>
      <x:c r="BT506" s="14" t="str">
        <x:v>One episode</x:v>
      </x:c>
      <x:c r="BU506" s="14" t="str">
        <x:v>Medium</x:v>
      </x:c>
      <x:c r="BV506" s="14" t="str">
        <x:v>Derived from the supplied IMDb episode count and documented production-total proxy.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4" t="str">
        <x:v>HYPERLINK is not implemented. linkLocation=https://www.imdb.com/title/tt26346233/fullcredits/, friendlyName=Open source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tt15792042|nm7863184|hospital worker sally</x:v>
      </x:c>
      <x:c r="B507" s="14" t="str">
        <x:v>01</x:v>
      </x:c>
      <x:c r="C507" s="14" t="str">
        <x:v>2022_IMDb_Cast_Lists_Batch_01(1).xlsx</x:v>
      </x:c>
      <x:c r="D507" s="14" t="str">
        <x:v>Am I Being Unreasonable?</x:v>
      </x:c>
      <x:c r="E507" s="14" t="n">
        <x:v>50</x:v>
      </x:c>
      <x:c r="F507" s="14" t="str">
        <x:v>Am I Being Unreasonable?</x:v>
      </x:c>
      <x:c r="G507" s="14" t="str">
        <x:v>tt15792042</x:v>
      </x:c>
      <x:c r="H507" s="14" t="n">
        <x:v>2022</x:v>
      </x:c>
      <x:c r="I507" s="14" t="n">
        <x:v>2025</x:v>
      </x:c>
      <x:c r="J507" s="14" t="str">
        <x:v>Post-study cohort</x:v>
      </x:c>
      <x:c r="K507" s="14" t="n">
        <x:v>2022</x:v>
      </x:c>
      <x:c r="L507" s="14" t="str">
        <x:v>Not inherited</x:v>
      </x:c>
      <x:c r="M507" s="15" t="n">
        <x:v>43</x:v>
      </x:c>
      <x:c r="N507" s="14" t="str">
        <x:v>Shermin Hassan</x:v>
      </x:c>
      <x:c r="O507" s="14" t="str">
        <x:v>nm7863184</x:v>
      </x:c>
      <x:c r="P507" s="14" t="str">
        <x:v>Hospital Worker Sally</x:v>
      </x:c>
      <x:c r="Q507" s="15" t="n">
        <x:v>1</x:v>
      </x:c>
      <x:c r="R507" s="14" t="str">
        <x:v>2026</x:v>
      </x:c>
      <x:c r="S507" s="14" t="n">
        <x:v>2026</x:v>
      </x:c>
      <x:c r="T507" s="14" t="n">
        <x:v>2026</x:v>
      </x:c>
      <x:c r="U507" s="14" t="str">
        <x:v>Explicit source first year retained</x:v>
      </x:c>
      <x:c r="V507" s="14" t="str">
        <x:v>Earliest supplied year is 2026.</x:v>
      </x:c>
      <x:c r="W507" s="14"/>
      <x:c r="X507" s="14" t="str">
        <x:v>Excluded: after 2025</x:v>
      </x:c>
      <x:c r="Y507" s="14"/>
      <x:c r="Z507" s="14" t="str">
        <x:v>Am I Being Unreasonable.docx</x:v>
      </x:c>
      <x:c r="AA507" s="14" t="str">
        <x:v>HYPERLINK is not implemented. linkLocation=https://www.imdb.com/title/tt15792042/fullcredits/, friendlyName=Open source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BBC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7" t="e">
        <x:f>HYPERLINK("https://en.wikipedia.org/wiki/Am_I_Being_Unreasonable?","Open source")</x:f>
        <x:v>HYPERLINK is not implemented. linkLocation=https://en.wikipedia.org/wiki/Am_I_Being_Unreasonable?, friendlyName=Open source</x:v>
      </x:c>
      <x:c r="AN507" s="14" t="str">
        <x:v>BBC public-service commission</x:v>
      </x:c>
      <x:c r="AO507" s="14" t="str">
        <x:v>Yes</x:v>
      </x:c>
      <x:c r="AP507" s="14" t="str">
        <x:v>Direct BBC public-service scope</x:v>
      </x:c>
      <x:c r="AQ507" s="14" t="str">
        <x:v>Yes</x:v>
      </x:c>
      <x:c r="AR507" s="14" t="str">
        <x:v>Resolved from master register</x:v>
      </x:c>
      <x:c r="AS507" s="14" t="str">
        <x:v>No established-register match</x:v>
      </x:c>
      <x:c r="AT507" s="14"/>
      <x:c r="AU507" s="14"/>
      <x:c r="AV507" s="14" t="str">
        <x:v>No established apparent-disability match</x:v>
      </x:c>
      <x:c r="AW507" s="14"/>
      <x:c r="AX507" s="14" t="str">
        <x:v>No</x:v>
      </x:c>
      <x:c r="AY507" s="14" t="str">
        <x:v>Unmatched</x:v>
      </x:c>
      <x:c r="AZ507" s="14" t="str">
        <x:v>Final supplied register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12</x:v>
      </x:c>
      <x:c r="BP507" s="14" t="str">
        <x:v>Maximum supplied eligible IMDb cast-credit total; annual episode total not independently verified.</x:v>
      </x:c>
      <x:c r="BQ507" s="14" t="str">
        <x:v>Medium</x:v>
      </x:c>
      <x:c r="BR507" s="15" t="n">
        <x:v>1</x:v>
      </x:c>
      <x:c r="BS507" s="16" t="n">
        <x:v>0.08333333333333333</x:v>
      </x:c>
      <x:c r="BT507" s="14" t="str">
        <x:v>One episode</x:v>
      </x:c>
      <x:c r="BU507" s="14" t="str">
        <x:v>Medium</x:v>
      </x:c>
      <x:c r="BV507" s="14" t="str">
        <x:v>Derived from the supplied IMDb episode count and documented production-total proxy.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4" t="str">
        <x:v>HYPERLINK is not implemented. linkLocation=https://www.imdb.com/title/tt15792042/fullcredits/, friendlyName=Open source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tt20224612|nm13515052|gemma donaldson</x:v>
      </x:c>
      <x:c r="B508" s="14" t="str">
        <x:v>02</x:v>
      </x:c>
      <x:c r="C508" s="14" t="str">
        <x:v>2022_IMDb_Cast_Lists_Batch_02(1).xlsx</x:v>
      </x:c>
      <x:c r="D508" s="14" t="str">
        <x:v>Granite Harbour</x:v>
      </x:c>
      <x:c r="E508" s="14" t="n">
        <x:v>24</x:v>
      </x:c>
      <x:c r="F508" s="14" t="str">
        <x:v>Granite Harbour</x:v>
      </x:c>
      <x:c r="G508" s="14" t="str">
        <x:v>tt20224612</x:v>
      </x:c>
      <x:c r="H508" s="14" t="n">
        <x:v>2022</x:v>
      </x:c>
      <x:c r="I508" s="14" t="n">
        <x:v>2025</x:v>
      </x:c>
      <x:c r="J508" s="14" t="str">
        <x:v>Post-study cohort</x:v>
      </x:c>
      <x:c r="K508" s="14" t="n">
        <x:v>2022</x:v>
      </x:c>
      <x:c r="L508" s="14" t="str">
        <x:v>Not inherited</x:v>
      </x:c>
      <x:c r="M508" s="15" t="n">
        <x:v>17</x:v>
      </x:c>
      <x:c r="N508" s="14" t="str">
        <x:v>Morgan Woods</x:v>
      </x:c>
      <x:c r="O508" s="14" t="str">
        <x:v>nm13515052</x:v>
      </x:c>
      <x:c r="P508" s="14" t="str">
        <x:v>Gemma Donaldson</x:v>
      </x:c>
      <x:c r="Q508" s="15" t="n">
        <x:v>3</x:v>
      </x:c>
      <x:c r="R508" s="14" t="str">
        <x:v>2026</x:v>
      </x:c>
      <x:c r="S508" s="14" t="n">
        <x:v>2026</x:v>
      </x:c>
      <x:c r="T508" s="14" t="n">
        <x:v>2026</x:v>
      </x:c>
      <x:c r="U508" s="14" t="str">
        <x:v>Explicit source first year retained</x:v>
      </x:c>
      <x:c r="V508" s="14" t="str">
        <x:v>Earliest supplied year is 2026.</x:v>
      </x:c>
      <x:c r="W508" s="14"/>
      <x:c r="X508" s="14" t="str">
        <x:v>Excluded: after 2025</x:v>
      </x:c>
      <x:c r="Y508" s="14"/>
      <x:c r="Z508" s="14" t="str">
        <x:v>Granite Harbour.docx</x:v>
      </x:c>
      <x:c r="AA508" s="14" t="str">
        <x:v>HYPERLINK is not implemented. linkLocation=https://www.imdb.com/title/tt20224612/fullcredits/, friendlyName=Open source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BBC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7" t="e">
        <x:f>HYPERLINK("https://en.wikipedia.org/wiki/Granite_Harbour","Open source")</x:f>
        <x:v>HYPERLINK is not implemented. linkLocation=https://en.wikipedia.org/wiki/Granite_Harbour, friendlyName=Open source</x:v>
      </x:c>
      <x:c r="AN508" s="14" t="str">
        <x:v>BBC public-service commission</x:v>
      </x:c>
      <x:c r="AO508" s="14" t="str">
        <x:v>Yes</x:v>
      </x:c>
      <x:c r="AP508" s="14" t="str">
        <x:v>Direct BBC public-service scope</x:v>
      </x:c>
      <x:c r="AQ508" s="14" t="str">
        <x:v>Yes</x:v>
      </x:c>
      <x:c r="AR508" s="14" t="str">
        <x:v>Resolved from master register</x:v>
      </x:c>
      <x:c r="AS508" s="14" t="str">
        <x:v>No established-register match</x:v>
      </x:c>
      <x:c r="AT508" s="14"/>
      <x:c r="AU508" s="14"/>
      <x:c r="AV508" s="14" t="str">
        <x:v>No established apparent-disability match</x:v>
      </x:c>
      <x:c r="AW508" s="14"/>
      <x:c r="AX508" s="14" t="str">
        <x:v>No</x:v>
      </x:c>
      <x:c r="AY508" s="14" t="str">
        <x:v>Unmatched</x:v>
      </x:c>
      <x:c r="AZ508" s="14" t="str">
        <x:v>Final supplied register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9</x:v>
      </x:c>
      <x:c r="BP508" s="14" t="str">
        <x:v>Maximum supplied eligible IMDb cast-credit total; annual episode total not independently verified.</x:v>
      </x:c>
      <x:c r="BQ508" s="14" t="str">
        <x:v>Medium</x:v>
      </x:c>
      <x:c r="BR508" s="15" t="n">
        <x:v>3</x:v>
      </x:c>
      <x:c r="BS508" s="16" t="n">
        <x:v>0.3333333333333333</x:v>
      </x:c>
      <x:c r="BT508" s="14" t="str">
        <x:v>Minority of episodes</x:v>
      </x:c>
      <x:c r="BU508" s="14" t="str">
        <x:v>Medium</x:v>
      </x:c>
      <x:c r="BV508" s="14" t="str">
        <x:v>Derived from the supplied IMDb episode count and documented production-total proxy.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4" t="str">
        <x:v>HYPERLINK is not implemented. linkLocation=https://www.imdb.com/title/tt20224612/fullcredits/, friendlyName=Open source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tt20224612|nm0533258|richard loughty</x:v>
      </x:c>
      <x:c r="B509" s="14" t="str">
        <x:v>02</x:v>
      </x:c>
      <x:c r="C509" s="14" t="str">
        <x:v>2022_IMDb_Cast_Lists_Batch_02(1).xlsx</x:v>
      </x:c>
      <x:c r="D509" s="14" t="str">
        <x:v>Granite Harbour</x:v>
      </x:c>
      <x:c r="E509" s="14" t="n">
        <x:v>33</x:v>
      </x:c>
      <x:c r="F509" s="14" t="str">
        <x:v>Granite Harbour</x:v>
      </x:c>
      <x:c r="G509" s="14" t="str">
        <x:v>tt20224612</x:v>
      </x:c>
      <x:c r="H509" s="14" t="n">
        <x:v>2022</x:v>
      </x:c>
      <x:c r="I509" s="14" t="n">
        <x:v>2025</x:v>
      </x:c>
      <x:c r="J509" s="14" t="str">
        <x:v>Post-study cohort</x:v>
      </x:c>
      <x:c r="K509" s="14" t="n">
        <x:v>2022</x:v>
      </x:c>
      <x:c r="L509" s="14" t="str">
        <x:v>Not inherited</x:v>
      </x:c>
      <x:c r="M509" s="15" t="n">
        <x:v>26</x:v>
      </x:c>
      <x:c r="N509" s="14" t="str">
        <x:v>Alastair Mackenzie</x:v>
      </x:c>
      <x:c r="O509" s="14" t="str">
        <x:v>nm0533258</x:v>
      </x:c>
      <x:c r="P509" s="14" t="str">
        <x:v>Richard Loughty</x:v>
      </x:c>
      <x:c r="Q509" s="15" t="n">
        <x:v>3</x:v>
      </x:c>
      <x:c r="R509" s="14" t="str">
        <x:v>2026</x:v>
      </x:c>
      <x:c r="S509" s="14" t="n">
        <x:v>2026</x:v>
      </x:c>
      <x:c r="T509" s="14" t="n">
        <x:v>2026</x:v>
      </x:c>
      <x:c r="U509" s="14" t="str">
        <x:v>Explicit source first year retained</x:v>
      </x:c>
      <x:c r="V509" s="14" t="str">
        <x:v>Earliest supplied year is 2026.</x:v>
      </x:c>
      <x:c r="W509" s="14"/>
      <x:c r="X509" s="14" t="str">
        <x:v>Excluded: after 2025</x:v>
      </x:c>
      <x:c r="Y509" s="14"/>
      <x:c r="Z509" s="14" t="str">
        <x:v>Granite Harbour.docx</x:v>
      </x:c>
      <x:c r="AA509" s="14" t="str">
        <x:v>HYPERLINK is not implemented. linkLocation=https://www.imdb.com/title/tt20224612/fullcredits/, friendlyName=Open source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BBC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7" t="e">
        <x:f>HYPERLINK("https://en.wikipedia.org/wiki/Granite_Harbour","Open source")</x:f>
        <x:v>HYPERLINK is not implemented. linkLocation=https://en.wikipedia.org/wiki/Granite_Harbour, friendlyName=Open source</x:v>
      </x:c>
      <x:c r="AN509" s="14" t="str">
        <x:v>BBC public-service commission</x:v>
      </x:c>
      <x:c r="AO509" s="14" t="str">
        <x:v>Yes</x:v>
      </x:c>
      <x:c r="AP509" s="14" t="str">
        <x:v>Direct BBC public-service scope</x:v>
      </x:c>
      <x:c r="AQ509" s="14" t="str">
        <x:v>Yes</x:v>
      </x:c>
      <x:c r="AR509" s="14" t="str">
        <x:v>Resolved from master register</x:v>
      </x:c>
      <x:c r="AS509" s="14" t="str">
        <x:v>No established-register match</x:v>
      </x:c>
      <x:c r="AT509" s="14"/>
      <x:c r="AU509" s="14"/>
      <x:c r="AV509" s="14" t="str">
        <x:v>No established apparent-disability match</x:v>
      </x:c>
      <x:c r="AW509" s="14"/>
      <x:c r="AX509" s="14" t="str">
        <x:v>No</x:v>
      </x:c>
      <x:c r="AY509" s="14" t="str">
        <x:v>Unmatched</x:v>
      </x:c>
      <x:c r="AZ509" s="14" t="str">
        <x:v>Final supplied register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9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3</x:v>
      </x:c>
      <x:c r="BS509" s="16" t="n">
        <x:v>0.3333333333333333</x:v>
      </x:c>
      <x:c r="BT509" s="14" t="str">
        <x:v>Minority of episodes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4" t="str">
        <x:v>HYPERLINK is not implemented. linkLocation=https://www.imdb.com/title/tt20224612/fullcredits/, friendlyName=Open source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tt20224612|nm0352705|rose gough</x:v>
      </x:c>
      <x:c r="B510" s="14" t="str">
        <x:v>02</x:v>
      </x:c>
      <x:c r="C510" s="14" t="str">
        <x:v>2022_IMDb_Cast_Lists_Batch_02(1).xlsx</x:v>
      </x:c>
      <x:c r="D510" s="14" t="str">
        <x:v>Granite Harbour</x:v>
      </x:c>
      <x:c r="E510" s="14" t="n">
        <x:v>34</x:v>
      </x:c>
      <x:c r="F510" s="14" t="str">
        <x:v>Granite Harbour</x:v>
      </x:c>
      <x:c r="G510" s="14" t="str">
        <x:v>tt20224612</x:v>
      </x:c>
      <x:c r="H510" s="14" t="n">
        <x:v>2022</x:v>
      </x:c>
      <x:c r="I510" s="14" t="n">
        <x:v>2025</x:v>
      </x:c>
      <x:c r="J510" s="14" t="str">
        <x:v>Post-study cohort</x:v>
      </x:c>
      <x:c r="K510" s="14" t="n">
        <x:v>2022</x:v>
      </x:c>
      <x:c r="L510" s="14" t="str">
        <x:v>Not inherited</x:v>
      </x:c>
      <x:c r="M510" s="15" t="n">
        <x:v>27</x:v>
      </x:c>
      <x:c r="N510" s="14" t="str">
        <x:v>Ellie Haddington</x:v>
      </x:c>
      <x:c r="O510" s="14" t="str">
        <x:v>nm0352705</x:v>
      </x:c>
      <x:c r="P510" s="14" t="str">
        <x:v>Rose Gough</x:v>
      </x:c>
      <x:c r="Q510" s="15" t="n">
        <x:v>3</x:v>
      </x:c>
      <x:c r="R510" s="14" t="str">
        <x:v>2026</x:v>
      </x:c>
      <x:c r="S510" s="14" t="n">
        <x:v>2026</x:v>
      </x:c>
      <x:c r="T510" s="14" t="n">
        <x:v>2026</x:v>
      </x:c>
      <x:c r="U510" s="14" t="str">
        <x:v>Explicit source first year retained</x:v>
      </x:c>
      <x:c r="V510" s="14" t="str">
        <x:v>Earliest supplied year is 2026.</x:v>
      </x:c>
      <x:c r="W510" s="14"/>
      <x:c r="X510" s="14" t="str">
        <x:v>Excluded: after 2025</x:v>
      </x:c>
      <x:c r="Y510" s="14"/>
      <x:c r="Z510" s="14" t="str">
        <x:v>Granite Harbour.docx</x:v>
      </x:c>
      <x:c r="AA510" s="14" t="str">
        <x:v>HYPERLINK is not implemented. linkLocation=https://www.imdb.com/title/tt20224612/fullcredits/, friendlyName=Open source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BBC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7" t="e">
        <x:f>HYPERLINK("https://en.wikipedia.org/wiki/Granite_Harbour","Open source")</x:f>
        <x:v>HYPERLINK is not implemented. linkLocation=https://en.wikipedia.org/wiki/Granite_Harbour, friendlyName=Open source</x:v>
      </x:c>
      <x:c r="AN510" s="14" t="str">
        <x:v>BBC public-service commission</x:v>
      </x:c>
      <x:c r="AO510" s="14" t="str">
        <x:v>Yes</x:v>
      </x:c>
      <x:c r="AP510" s="14" t="str">
        <x:v>Direct BBC public-service scope</x:v>
      </x:c>
      <x:c r="AQ510" s="14" t="str">
        <x:v>Yes</x:v>
      </x:c>
      <x:c r="AR510" s="14" t="str">
        <x:v>Resolved from master register</x:v>
      </x:c>
      <x:c r="AS510" s="14" t="str">
        <x:v>No established-register match</x:v>
      </x:c>
      <x:c r="AT510" s="14"/>
      <x:c r="AU510" s="14"/>
      <x:c r="AV510" s="14" t="str">
        <x:v>No established apparent-disability match</x:v>
      </x:c>
      <x:c r="AW510" s="14"/>
      <x:c r="AX510" s="14" t="str">
        <x:v>No</x:v>
      </x:c>
      <x:c r="AY510" s="14" t="str">
        <x:v>Unmatched</x:v>
      </x:c>
      <x:c r="AZ510" s="14" t="str">
        <x:v>Final supplied register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9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3</x:v>
      </x:c>
      <x:c r="BS510" s="16" t="n">
        <x:v>0.3333333333333333</x:v>
      </x:c>
      <x:c r="BT510" s="14" t="str">
        <x:v>Minority of episodes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4" t="str">
        <x:v>HYPERLINK is not implemented. linkLocation=https://www.imdb.com/title/tt20224612/fullcredits/, friendlyName=Open source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tt20224612|nm0329947|chief constable graeme willis</x:v>
      </x:c>
      <x:c r="B511" s="14" t="str">
        <x:v>02</x:v>
      </x:c>
      <x:c r="C511" s="14" t="str">
        <x:v>2022_IMDb_Cast_Lists_Batch_02(1).xlsx</x:v>
      </x:c>
      <x:c r="D511" s="14" t="str">
        <x:v>Granite Harbour</x:v>
      </x:c>
      <x:c r="E511" s="14" t="n">
        <x:v>35</x:v>
      </x:c>
      <x:c r="F511" s="14" t="str">
        <x:v>Granite Harbour</x:v>
      </x:c>
      <x:c r="G511" s="14" t="str">
        <x:v>tt20224612</x:v>
      </x:c>
      <x:c r="H511" s="14" t="n">
        <x:v>2022</x:v>
      </x:c>
      <x:c r="I511" s="14" t="n">
        <x:v>2025</x:v>
      </x:c>
      <x:c r="J511" s="14" t="str">
        <x:v>Post-study cohort</x:v>
      </x:c>
      <x:c r="K511" s="14" t="n">
        <x:v>2022</x:v>
      </x:c>
      <x:c r="L511" s="14" t="str">
        <x:v>Not inherited</x:v>
      </x:c>
      <x:c r="M511" s="15" t="n">
        <x:v>28</x:v>
      </x:c>
      <x:c r="N511" s="14" t="str">
        <x:v>John Gordon Sinclair</x:v>
      </x:c>
      <x:c r="O511" s="14" t="str">
        <x:v>nm0329947</x:v>
      </x:c>
      <x:c r="P511" s="14" t="str">
        <x:v>Chief Constable Graeme Willis</x:v>
      </x:c>
      <x:c r="Q511" s="15" t="n">
        <x:v>3</x:v>
      </x:c>
      <x:c r="R511" s="14" t="str">
        <x:v>2026</x:v>
      </x:c>
      <x:c r="S511" s="14" t="n">
        <x:v>2026</x:v>
      </x:c>
      <x:c r="T511" s="14" t="n">
        <x:v>2026</x:v>
      </x:c>
      <x:c r="U511" s="14" t="str">
        <x:v>Explicit source first year retained</x:v>
      </x:c>
      <x:c r="V511" s="14" t="str">
        <x:v>Earliest supplied year is 2026.</x:v>
      </x:c>
      <x:c r="W511" s="14"/>
      <x:c r="X511" s="14" t="str">
        <x:v>Excluded: after 2025</x:v>
      </x:c>
      <x:c r="Y511" s="14"/>
      <x:c r="Z511" s="14" t="str">
        <x:v>Granite Harbour.docx</x:v>
      </x:c>
      <x:c r="AA511" s="14" t="str">
        <x:v>HYPERLINK is not implemented. linkLocation=https://www.imdb.com/title/tt20224612/fullcredits/, friendlyName=Open source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BBC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7" t="e">
        <x:f>HYPERLINK("https://en.wikipedia.org/wiki/Granite_Harbour","Open source")</x:f>
        <x:v>HYPERLINK is not implemented. linkLocation=https://en.wikipedia.org/wiki/Granite_Harbour, friendlyName=Open source</x:v>
      </x:c>
      <x:c r="AN511" s="14" t="str">
        <x:v>BBC public-service commission</x:v>
      </x:c>
      <x:c r="AO511" s="14" t="str">
        <x:v>Yes</x:v>
      </x:c>
      <x:c r="AP511" s="14" t="str">
        <x:v>Direct BBC public-service scope</x:v>
      </x:c>
      <x:c r="AQ511" s="14" t="str">
        <x:v>Yes</x:v>
      </x:c>
      <x:c r="AR511" s="14" t="str">
        <x:v>Resolved from master register</x:v>
      </x:c>
      <x:c r="AS511" s="14" t="str">
        <x:v>No established-register match</x:v>
      </x:c>
      <x:c r="AT511" s="14"/>
      <x:c r="AU511" s="14"/>
      <x:c r="AV511" s="14" t="str">
        <x:v>No established apparent-disability match</x:v>
      </x:c>
      <x:c r="AW511" s="14"/>
      <x:c r="AX511" s="14" t="str">
        <x:v>No</x:v>
      </x:c>
      <x:c r="AY511" s="14" t="str">
        <x:v>Unmatched</x:v>
      </x:c>
      <x:c r="AZ511" s="14" t="str">
        <x:v>Final supplied register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9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3</x:v>
      </x:c>
      <x:c r="BS511" s="16" t="n">
        <x:v>0.3333333333333333</x:v>
      </x:c>
      <x:c r="BT511" s="14" t="str">
        <x:v>Minority of episodes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4" t="str">
        <x:v>HYPERLINK is not implemented. linkLocation=https://www.imdb.com/title/tt20224612/fullcredits/, friendlyName=Open source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tt20224612|nm1128414|bill gifford</x:v>
      </x:c>
      <x:c r="B512" s="14" t="str">
        <x:v>02</x:v>
      </x:c>
      <x:c r="C512" s="14" t="str">
        <x:v>2022_IMDb_Cast_Lists_Batch_02(1).xlsx</x:v>
      </x:c>
      <x:c r="D512" s="14" t="str">
        <x:v>Granite Harbour</x:v>
      </x:c>
      <x:c r="E512" s="14" t="n">
        <x:v>36</x:v>
      </x:c>
      <x:c r="F512" s="14" t="str">
        <x:v>Granite Harbour</x:v>
      </x:c>
      <x:c r="G512" s="14" t="str">
        <x:v>tt20224612</x:v>
      </x:c>
      <x:c r="H512" s="14" t="n">
        <x:v>2022</x:v>
      </x:c>
      <x:c r="I512" s="14" t="n">
        <x:v>2025</x:v>
      </x:c>
      <x:c r="J512" s="14" t="str">
        <x:v>Post-study cohort</x:v>
      </x:c>
      <x:c r="K512" s="14" t="n">
        <x:v>2022</x:v>
      </x:c>
      <x:c r="L512" s="14" t="str">
        <x:v>Not inherited</x:v>
      </x:c>
      <x:c r="M512" s="15" t="n">
        <x:v>29</x:v>
      </x:c>
      <x:c r="N512" s="14" t="str">
        <x:v>Ian Pirie</x:v>
      </x:c>
      <x:c r="O512" s="14" t="str">
        <x:v>nm1128414</x:v>
      </x:c>
      <x:c r="P512" s="14" t="str">
        <x:v>Bill Gifford</x:v>
      </x:c>
      <x:c r="Q512" s="15" t="n">
        <x:v>3</x:v>
      </x:c>
      <x:c r="R512" s="14" t="str">
        <x:v>2026</x:v>
      </x:c>
      <x:c r="S512" s="14" t="n">
        <x:v>2026</x:v>
      </x:c>
      <x:c r="T512" s="14" t="n">
        <x:v>2026</x:v>
      </x:c>
      <x:c r="U512" s="14" t="str">
        <x:v>Explicit source first year retained</x:v>
      </x:c>
      <x:c r="V512" s="14" t="str">
        <x:v>Earliest supplied year is 2026.</x:v>
      </x:c>
      <x:c r="W512" s="14"/>
      <x:c r="X512" s="14" t="str">
        <x:v>Excluded: after 2025</x:v>
      </x:c>
      <x:c r="Y512" s="14"/>
      <x:c r="Z512" s="14" t="str">
        <x:v>Granite Harbour.docx</x:v>
      </x:c>
      <x:c r="AA512" s="14" t="str">
        <x:v>HYPERLINK is not implemented. linkLocation=https://www.imdb.com/title/tt20224612/fullcredits/, friendlyName=Open source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BBC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7" t="e">
        <x:f>HYPERLINK("https://en.wikipedia.org/wiki/Granite_Harbour","Open source")</x:f>
        <x:v>HYPERLINK is not implemented. linkLocation=https://en.wikipedia.org/wiki/Granite_Harbour, friendlyName=Open source</x:v>
      </x:c>
      <x:c r="AN512" s="14" t="str">
        <x:v>BBC public-service commission</x:v>
      </x:c>
      <x:c r="AO512" s="14" t="str">
        <x:v>Yes</x:v>
      </x:c>
      <x:c r="AP512" s="14" t="str">
        <x:v>Direct BBC public-service scope</x:v>
      </x:c>
      <x:c r="AQ512" s="14" t="str">
        <x:v>Yes</x:v>
      </x:c>
      <x:c r="AR512" s="14" t="str">
        <x:v>Resolved from master register</x:v>
      </x:c>
      <x:c r="AS512" s="14" t="str">
        <x:v>No established-register match</x:v>
      </x:c>
      <x:c r="AT512" s="14"/>
      <x:c r="AU512" s="14"/>
      <x:c r="AV512" s="14" t="str">
        <x:v>No established apparent-disability match</x:v>
      </x:c>
      <x:c r="AW512" s="14"/>
      <x:c r="AX512" s="14" t="str">
        <x:v>No</x:v>
      </x:c>
      <x:c r="AY512" s="14" t="str">
        <x:v>Unmatched</x:v>
      </x:c>
      <x:c r="AZ512" s="14" t="str">
        <x:v>Final supplied register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9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3</x:v>
      </x:c>
      <x:c r="BS512" s="16" t="n">
        <x:v>0.3333333333333333</x:v>
      </x:c>
      <x:c r="BT512" s="14" t="str">
        <x:v>Minority of episodes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4" t="str">
        <x:v>HYPERLINK is not implemented. linkLocation=https://www.imdb.com/title/tt20224612/fullcredits/, friendlyName=Open source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tt20224612|nm8624309|alex nichols</x:v>
      </x:c>
      <x:c r="B513" s="14" t="str">
        <x:v>02</x:v>
      </x:c>
      <x:c r="C513" s="14" t="str">
        <x:v>2022_IMDb_Cast_Lists_Batch_02(1).xlsx</x:v>
      </x:c>
      <x:c r="D513" s="14" t="str">
        <x:v>Granite Harbour</x:v>
      </x:c>
      <x:c r="E513" s="14" t="n">
        <x:v>37</x:v>
      </x:c>
      <x:c r="F513" s="14" t="str">
        <x:v>Granite Harbour</x:v>
      </x:c>
      <x:c r="G513" s="14" t="str">
        <x:v>tt20224612</x:v>
      </x:c>
      <x:c r="H513" s="14" t="n">
        <x:v>2022</x:v>
      </x:c>
      <x:c r="I513" s="14" t="n">
        <x:v>2025</x:v>
      </x:c>
      <x:c r="J513" s="14" t="str">
        <x:v>Post-study cohort</x:v>
      </x:c>
      <x:c r="K513" s="14" t="n">
        <x:v>2022</x:v>
      </x:c>
      <x:c r="L513" s="14" t="str">
        <x:v>Not inherited</x:v>
      </x:c>
      <x:c r="M513" s="15" t="n">
        <x:v>30</x:v>
      </x:c>
      <x:c r="N513" s="14" t="str">
        <x:v>Thoren Ferguson</x:v>
      </x:c>
      <x:c r="O513" s="14" t="str">
        <x:v>nm8624309</x:v>
      </x:c>
      <x:c r="P513" s="14" t="str">
        <x:v>Alex Nichols</x:v>
      </x:c>
      <x:c r="Q513" s="15" t="n">
        <x:v>3</x:v>
      </x:c>
      <x:c r="R513" s="14" t="str">
        <x:v>2026</x:v>
      </x:c>
      <x:c r="S513" s="14" t="n">
        <x:v>2026</x:v>
      </x:c>
      <x:c r="T513" s="14" t="n">
        <x:v>2026</x:v>
      </x:c>
      <x:c r="U513" s="14" t="str">
        <x:v>Explicit source first year retained</x:v>
      </x:c>
      <x:c r="V513" s="14" t="str">
        <x:v>Earliest supplied year is 2026.</x:v>
      </x:c>
      <x:c r="W513" s="14"/>
      <x:c r="X513" s="14" t="str">
        <x:v>Excluded: after 2025</x:v>
      </x:c>
      <x:c r="Y513" s="14"/>
      <x:c r="Z513" s="14" t="str">
        <x:v>Granite Harbour.docx</x:v>
      </x:c>
      <x:c r="AA513" s="14" t="str">
        <x:v>HYPERLINK is not implemented. linkLocation=https://www.imdb.com/title/tt20224612/fullcredits/, friendlyName=Open source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BBC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7" t="e">
        <x:f>HYPERLINK("https://en.wikipedia.org/wiki/Granite_Harbour","Open source")</x:f>
        <x:v>HYPERLINK is not implemented. linkLocation=https://en.wikipedia.org/wiki/Granite_Harbour, friendlyName=Open source</x:v>
      </x:c>
      <x:c r="AN513" s="14" t="str">
        <x:v>BBC public-service commission</x:v>
      </x:c>
      <x:c r="AO513" s="14" t="str">
        <x:v>Yes</x:v>
      </x:c>
      <x:c r="AP513" s="14" t="str">
        <x:v>Direct BBC public-service scope</x:v>
      </x:c>
      <x:c r="AQ513" s="14" t="str">
        <x:v>Yes</x:v>
      </x:c>
      <x:c r="AR513" s="14" t="str">
        <x:v>Resolved from master register</x:v>
      </x:c>
      <x:c r="AS513" s="14" t="str">
        <x:v>No established-register match</x:v>
      </x:c>
      <x:c r="AT513" s="14"/>
      <x:c r="AU513" s="14"/>
      <x:c r="AV513" s="14" t="str">
        <x:v>No established apparent-disability match</x:v>
      </x:c>
      <x:c r="AW513" s="14"/>
      <x:c r="AX513" s="14" t="str">
        <x:v>No</x:v>
      </x:c>
      <x:c r="AY513" s="14" t="str">
        <x:v>Unmatched</x:v>
      </x:c>
      <x:c r="AZ513" s="14" t="str">
        <x:v>Final supplied register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9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3</x:v>
      </x:c>
      <x:c r="BS513" s="16" t="n">
        <x:v>0.3333333333333333</x:v>
      </x:c>
      <x:c r="BT513" s="14" t="str">
        <x:v>Minority of episodes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4" t="str">
        <x:v>HYPERLINK is not implemented. linkLocation=https://www.imdb.com/title/tt20224612/fullcredits/, friendlyName=Open source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tt20224612|nm12549107|harper ross</x:v>
      </x:c>
      <x:c r="B514" s="14" t="str">
        <x:v>02</x:v>
      </x:c>
      <x:c r="C514" s="14" t="str">
        <x:v>2022_IMDb_Cast_Lists_Batch_02(1).xlsx</x:v>
      </x:c>
      <x:c r="D514" s="14" t="str">
        <x:v>Granite Harbour</x:v>
      </x:c>
      <x:c r="E514" s="14" t="n">
        <x:v>38</x:v>
      </x:c>
      <x:c r="F514" s="14" t="str">
        <x:v>Granite Harbour</x:v>
      </x:c>
      <x:c r="G514" s="14" t="str">
        <x:v>tt20224612</x:v>
      </x:c>
      <x:c r="H514" s="14" t="n">
        <x:v>2022</x:v>
      </x:c>
      <x:c r="I514" s="14" t="n">
        <x:v>2025</x:v>
      </x:c>
      <x:c r="J514" s="14" t="str">
        <x:v>Post-study cohort</x:v>
      </x:c>
      <x:c r="K514" s="14" t="n">
        <x:v>2022</x:v>
      </x:c>
      <x:c r="L514" s="14" t="str">
        <x:v>Not inherited</x:v>
      </x:c>
      <x:c r="M514" s="15" t="n">
        <x:v>31</x:v>
      </x:c>
      <x:c r="N514" s="14" t="str">
        <x:v>Amelia Isaac Jones</x:v>
      </x:c>
      <x:c r="O514" s="14" t="str">
        <x:v>nm12549107</x:v>
      </x:c>
      <x:c r="P514" s="14" t="str">
        <x:v>Harper Ross</x:v>
      </x:c>
      <x:c r="Q514" s="15" t="n">
        <x:v>3</x:v>
      </x:c>
      <x:c r="R514" s="14" t="str">
        <x:v>2026</x:v>
      </x:c>
      <x:c r="S514" s="14" t="n">
        <x:v>2026</x:v>
      </x:c>
      <x:c r="T514" s="14" t="n">
        <x:v>2026</x:v>
      </x:c>
      <x:c r="U514" s="14" t="str">
        <x:v>Explicit source first year retained</x:v>
      </x:c>
      <x:c r="V514" s="14" t="str">
        <x:v>Earliest supplied year is 2026.</x:v>
      </x:c>
      <x:c r="W514" s="14"/>
      <x:c r="X514" s="14" t="str">
        <x:v>Excluded: after 2025</x:v>
      </x:c>
      <x:c r="Y514" s="14"/>
      <x:c r="Z514" s="14" t="str">
        <x:v>Granite Harbour.docx</x:v>
      </x:c>
      <x:c r="AA514" s="14" t="str">
        <x:v>HYPERLINK is not implemented. linkLocation=https://www.imdb.com/title/tt20224612/fullcredits/, friendlyName=Open source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BBC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7" t="e">
        <x:f>HYPERLINK("https://en.wikipedia.org/wiki/Granite_Harbour","Open source")</x:f>
        <x:v>HYPERLINK is not implemented. linkLocation=https://en.wikipedia.org/wiki/Granite_Harbour, friendlyName=Open source</x:v>
      </x:c>
      <x:c r="AN514" s="14" t="str">
        <x:v>BBC public-service commission</x:v>
      </x:c>
      <x:c r="AO514" s="14" t="str">
        <x:v>Yes</x:v>
      </x:c>
      <x:c r="AP514" s="14" t="str">
        <x:v>Direct BBC public-service scope</x:v>
      </x:c>
      <x:c r="AQ514" s="14" t="str">
        <x:v>Yes</x:v>
      </x:c>
      <x:c r="AR514" s="14" t="str">
        <x:v>Resolved from master register</x:v>
      </x:c>
      <x:c r="AS514" s="14" t="str">
        <x:v>No established-register match</x:v>
      </x:c>
      <x:c r="AT514" s="14"/>
      <x:c r="AU514" s="14"/>
      <x:c r="AV514" s="14" t="str">
        <x:v>No established apparent-disability match</x:v>
      </x:c>
      <x:c r="AW514" s="14"/>
      <x:c r="AX514" s="14" t="str">
        <x:v>No</x:v>
      </x:c>
      <x:c r="AY514" s="14" t="str">
        <x:v>Unmatched</x:v>
      </x:c>
      <x:c r="AZ514" s="14" t="str">
        <x:v>Final supplied register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9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3</x:v>
      </x:c>
      <x:c r="BS514" s="16" t="n">
        <x:v>0.3333333333333333</x:v>
      </x:c>
      <x:c r="BT514" s="14" t="str">
        <x:v>Minority of episodes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4" t="str">
        <x:v>HYPERLINK is not implemented. linkLocation=https://www.imdb.com/title/tt20224612/fullcredits/, friendlyName=Open source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tt20224612|nm1229526|carl hadwood</x:v>
      </x:c>
      <x:c r="B515" s="14" t="str">
        <x:v>02</x:v>
      </x:c>
      <x:c r="C515" s="14" t="str">
        <x:v>2022_IMDb_Cast_Lists_Batch_02(1).xlsx</x:v>
      </x:c>
      <x:c r="D515" s="14" t="str">
        <x:v>Granite Harbour</x:v>
      </x:c>
      <x:c r="E515" s="14" t="n">
        <x:v>39</x:v>
      </x:c>
      <x:c r="F515" s="14" t="str">
        <x:v>Granite Harbour</x:v>
      </x:c>
      <x:c r="G515" s="14" t="str">
        <x:v>tt20224612</x:v>
      </x:c>
      <x:c r="H515" s="14" t="n">
        <x:v>2022</x:v>
      </x:c>
      <x:c r="I515" s="14" t="n">
        <x:v>2025</x:v>
      </x:c>
      <x:c r="J515" s="14" t="str">
        <x:v>Post-study cohort</x:v>
      </x:c>
      <x:c r="K515" s="14" t="n">
        <x:v>2022</x:v>
      </x:c>
      <x:c r="L515" s="14" t="str">
        <x:v>Not inherited</x:v>
      </x:c>
      <x:c r="M515" s="15" t="n">
        <x:v>32</x:v>
      </x:c>
      <x:c r="N515" s="14" t="str">
        <x:v>Ryan Fletcher</x:v>
      </x:c>
      <x:c r="O515" s="14" t="str">
        <x:v>nm1229526</x:v>
      </x:c>
      <x:c r="P515" s="14" t="str">
        <x:v>Carl Hadwood</x:v>
      </x:c>
      <x:c r="Q515" s="15" t="n">
        <x:v>3</x:v>
      </x:c>
      <x:c r="R515" s="14" t="str">
        <x:v>2026</x:v>
      </x:c>
      <x:c r="S515" s="14" t="n">
        <x:v>2026</x:v>
      </x:c>
      <x:c r="T515" s="14" t="n">
        <x:v>2026</x:v>
      </x:c>
      <x:c r="U515" s="14" t="str">
        <x:v>Explicit source first year retained</x:v>
      </x:c>
      <x:c r="V515" s="14" t="str">
        <x:v>Earliest supplied year is 2026.</x:v>
      </x:c>
      <x:c r="W515" s="14"/>
      <x:c r="X515" s="14" t="str">
        <x:v>Excluded: after 2025</x:v>
      </x:c>
      <x:c r="Y515" s="14"/>
      <x:c r="Z515" s="14" t="str">
        <x:v>Granite Harbour.docx</x:v>
      </x:c>
      <x:c r="AA515" s="14" t="str">
        <x:v>HYPERLINK is not implemented. linkLocation=https://www.imdb.com/title/tt20224612/fullcredits/, friendlyName=Open source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BBC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7" t="e">
        <x:f>HYPERLINK("https://en.wikipedia.org/wiki/Granite_Harbour","Open source")</x:f>
        <x:v>HYPERLINK is not implemented. linkLocation=https://en.wikipedia.org/wiki/Granite_Harbour, friendlyName=Open source</x:v>
      </x:c>
      <x:c r="AN515" s="14" t="str">
        <x:v>BBC public-service commission</x:v>
      </x:c>
      <x:c r="AO515" s="14" t="str">
        <x:v>Yes</x:v>
      </x:c>
      <x:c r="AP515" s="14" t="str">
        <x:v>Direct BBC public-service scope</x:v>
      </x:c>
      <x:c r="AQ515" s="14" t="str">
        <x:v>Yes</x:v>
      </x:c>
      <x:c r="AR515" s="14" t="str">
        <x:v>Resolved from master register</x:v>
      </x:c>
      <x:c r="AS515" s="14" t="str">
        <x:v>No established-register match</x:v>
      </x:c>
      <x:c r="AT515" s="14"/>
      <x:c r="AU515" s="14"/>
      <x:c r="AV515" s="14" t="str">
        <x:v>No established apparent-disability match</x:v>
      </x:c>
      <x:c r="AW515" s="14"/>
      <x:c r="AX515" s="14" t="str">
        <x:v>No</x:v>
      </x:c>
      <x:c r="AY515" s="14" t="str">
        <x:v>Unmatched</x:v>
      </x:c>
      <x:c r="AZ515" s="14" t="str">
        <x:v>Final supplied register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9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3</x:v>
      </x:c>
      <x:c r="BS515" s="16" t="n">
        <x:v>0.3333333333333333</x:v>
      </x:c>
      <x:c r="BT515" s="14" t="str">
        <x:v>Minority of episodes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4" t="str">
        <x:v>HYPERLINK is not implemented. linkLocation=https://www.imdb.com/title/tt20224612/fullcredits/, friendlyName=Open source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tt20224612|nm8079514|janine sterling</x:v>
      </x:c>
      <x:c r="B516" s="14" t="str">
        <x:v>02</x:v>
      </x:c>
      <x:c r="C516" s="14" t="str">
        <x:v>2022_IMDb_Cast_Lists_Batch_02(1).xlsx</x:v>
      </x:c>
      <x:c r="D516" s="14" t="str">
        <x:v>Granite Harbour</x:v>
      </x:c>
      <x:c r="E516" s="14" t="n">
        <x:v>40</x:v>
      </x:c>
      <x:c r="F516" s="14" t="str">
        <x:v>Granite Harbour</x:v>
      </x:c>
      <x:c r="G516" s="14" t="str">
        <x:v>tt20224612</x:v>
      </x:c>
      <x:c r="H516" s="14" t="n">
        <x:v>2022</x:v>
      </x:c>
      <x:c r="I516" s="14" t="n">
        <x:v>2025</x:v>
      </x:c>
      <x:c r="J516" s="14" t="str">
        <x:v>Post-study cohort</x:v>
      </x:c>
      <x:c r="K516" s="14" t="n">
        <x:v>2022</x:v>
      </x:c>
      <x:c r="L516" s="14" t="str">
        <x:v>Not inherited</x:v>
      </x:c>
      <x:c r="M516" s="15" t="n">
        <x:v>33</x:v>
      </x:c>
      <x:c r="N516" s="14" t="str">
        <x:v>Chloe-Ann Tylor</x:v>
      </x:c>
      <x:c r="O516" s="14" t="str">
        <x:v>nm8079514</x:v>
      </x:c>
      <x:c r="P516" s="14" t="str">
        <x:v>Janine Sterling</x:v>
      </x:c>
      <x:c r="Q516" s="15" t="n">
        <x:v>3</x:v>
      </x:c>
      <x:c r="R516" s="14" t="str">
        <x:v>2026</x:v>
      </x:c>
      <x:c r="S516" s="14" t="n">
        <x:v>2026</x:v>
      </x:c>
      <x:c r="T516" s="14" t="n">
        <x:v>2026</x:v>
      </x:c>
      <x:c r="U516" s="14" t="str">
        <x:v>Explicit source first year retained</x:v>
      </x:c>
      <x:c r="V516" s="14" t="str">
        <x:v>Earliest supplied year is 2026.</x:v>
      </x:c>
      <x:c r="W516" s="14"/>
      <x:c r="X516" s="14" t="str">
        <x:v>Excluded: after 2025</x:v>
      </x:c>
      <x:c r="Y516" s="14"/>
      <x:c r="Z516" s="14" t="str">
        <x:v>Granite Harbour.docx</x:v>
      </x:c>
      <x:c r="AA516" s="14" t="str">
        <x:v>HYPERLINK is not implemented. linkLocation=https://www.imdb.com/title/tt20224612/fullcredits/, friendlyName=Open source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BBC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7" t="e">
        <x:f>HYPERLINK("https://en.wikipedia.org/wiki/Granite_Harbour","Open source")</x:f>
        <x:v>HYPERLINK is not implemented. linkLocation=https://en.wikipedia.org/wiki/Granite_Harbour, friendlyName=Open source</x:v>
      </x:c>
      <x:c r="AN516" s="14" t="str">
        <x:v>BBC public-service commission</x:v>
      </x:c>
      <x:c r="AO516" s="14" t="str">
        <x:v>Yes</x:v>
      </x:c>
      <x:c r="AP516" s="14" t="str">
        <x:v>Direct BBC public-service scope</x:v>
      </x:c>
      <x:c r="AQ516" s="14" t="str">
        <x:v>Yes</x:v>
      </x:c>
      <x:c r="AR516" s="14" t="str">
        <x:v>Resolved from master register</x:v>
      </x:c>
      <x:c r="AS516" s="14" t="str">
        <x:v>No established-register match</x:v>
      </x:c>
      <x:c r="AT516" s="14"/>
      <x:c r="AU516" s="14"/>
      <x:c r="AV516" s="14" t="str">
        <x:v>No established apparent-disability match</x:v>
      </x:c>
      <x:c r="AW516" s="14"/>
      <x:c r="AX516" s="14" t="str">
        <x:v>No</x:v>
      </x:c>
      <x:c r="AY516" s="14" t="str">
        <x:v>Unmatched</x:v>
      </x:c>
      <x:c r="AZ516" s="14" t="str">
        <x:v>Final supplied register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9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3</x:v>
      </x:c>
      <x:c r="BS516" s="16" t="n">
        <x:v>0.3333333333333333</x:v>
      </x:c>
      <x:c r="BT516" s="14" t="str">
        <x:v>Minority of episodes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4" t="str">
        <x:v>HYPERLINK is not implemented. linkLocation=https://www.imdb.com/title/tt20224612/fullcredits/, friendlyName=Open source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tt20224612|nm5998734|drina gough</x:v>
      </x:c>
      <x:c r="B517" s="14" t="str">
        <x:v>02</x:v>
      </x:c>
      <x:c r="C517" s="14" t="str">
        <x:v>2022_IMDb_Cast_Lists_Batch_02(1).xlsx</x:v>
      </x:c>
      <x:c r="D517" s="14" t="str">
        <x:v>Granite Harbour</x:v>
      </x:c>
      <x:c r="E517" s="14" t="n">
        <x:v>41</x:v>
      </x:c>
      <x:c r="F517" s="14" t="str">
        <x:v>Granite Harbour</x:v>
      </x:c>
      <x:c r="G517" s="14" t="str">
        <x:v>tt20224612</x:v>
      </x:c>
      <x:c r="H517" s="14" t="n">
        <x:v>2022</x:v>
      </x:c>
      <x:c r="I517" s="14" t="n">
        <x:v>2025</x:v>
      </x:c>
      <x:c r="J517" s="14" t="str">
        <x:v>Post-study cohort</x:v>
      </x:c>
      <x:c r="K517" s="14" t="n">
        <x:v>2022</x:v>
      </x:c>
      <x:c r="L517" s="14" t="str">
        <x:v>Not inherited</x:v>
      </x:c>
      <x:c r="M517" s="15" t="n">
        <x:v>34</x:v>
      </x:c>
      <x:c r="N517" s="14" t="str">
        <x:v>Dawn Sievewright</x:v>
      </x:c>
      <x:c r="O517" s="14" t="str">
        <x:v>nm5998734</x:v>
      </x:c>
      <x:c r="P517" s="14" t="str">
        <x:v>Drina Gough</x:v>
      </x:c>
      <x:c r="Q517" s="15" t="n">
        <x:v>3</x:v>
      </x:c>
      <x:c r="R517" s="14" t="str">
        <x:v>2026</x:v>
      </x:c>
      <x:c r="S517" s="14" t="n">
        <x:v>2026</x:v>
      </x:c>
      <x:c r="T517" s="14" t="n">
        <x:v>2026</x:v>
      </x:c>
      <x:c r="U517" s="14" t="str">
        <x:v>Explicit source first year retained</x:v>
      </x:c>
      <x:c r="V517" s="14" t="str">
        <x:v>Earliest supplied year is 2026.</x:v>
      </x:c>
      <x:c r="W517" s="14"/>
      <x:c r="X517" s="14" t="str">
        <x:v>Excluded: after 2025</x:v>
      </x:c>
      <x:c r="Y517" s="14"/>
      <x:c r="Z517" s="14" t="str">
        <x:v>Granite Harbour.docx</x:v>
      </x:c>
      <x:c r="AA517" s="14" t="str">
        <x:v>HYPERLINK is not implemented. linkLocation=https://www.imdb.com/title/tt20224612/fullcredits/, friendlyName=Open source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BBC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7" t="e">
        <x:f>HYPERLINK("https://en.wikipedia.org/wiki/Granite_Harbour","Open source")</x:f>
        <x:v>HYPERLINK is not implemented. linkLocation=https://en.wikipedia.org/wiki/Granite_Harbour, friendlyName=Open source</x:v>
      </x:c>
      <x:c r="AN517" s="14" t="str">
        <x:v>BBC public-service commission</x:v>
      </x:c>
      <x:c r="AO517" s="14" t="str">
        <x:v>Yes</x:v>
      </x:c>
      <x:c r="AP517" s="14" t="str">
        <x:v>Direct BBC public-service scope</x:v>
      </x:c>
      <x:c r="AQ517" s="14" t="str">
        <x:v>Yes</x:v>
      </x:c>
      <x:c r="AR517" s="14" t="str">
        <x:v>Resolved from master register</x:v>
      </x:c>
      <x:c r="AS517" s="14" t="str">
        <x:v>No established-register match</x:v>
      </x:c>
      <x:c r="AT517" s="14"/>
      <x:c r="AU517" s="14"/>
      <x:c r="AV517" s="14" t="str">
        <x:v>No established apparent-disability match</x:v>
      </x:c>
      <x:c r="AW517" s="14"/>
      <x:c r="AX517" s="14" t="str">
        <x:v>No</x:v>
      </x:c>
      <x:c r="AY517" s="14" t="str">
        <x:v>Unmatched</x:v>
      </x:c>
      <x:c r="AZ517" s="14" t="str">
        <x:v>Final supplied register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9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3</x:v>
      </x:c>
      <x:c r="BS517" s="16" t="n">
        <x:v>0.3333333333333333</x:v>
      </x:c>
      <x:c r="BT517" s="14" t="str">
        <x:v>Minority of episodes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4" t="str">
        <x:v>HYPERLINK is not implemented. linkLocation=https://www.imdb.com/title/tt20224612/fullcredits/, friendlyName=Open source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tt20224612|nm2653740|shelley crockford</x:v>
      </x:c>
      <x:c r="B518" s="14" t="str">
        <x:v>02</x:v>
      </x:c>
      <x:c r="C518" s="14" t="str">
        <x:v>2022_IMDb_Cast_Lists_Batch_02(1).xlsx</x:v>
      </x:c>
      <x:c r="D518" s="14" t="str">
        <x:v>Granite Harbour</x:v>
      </x:c>
      <x:c r="E518" s="14" t="n">
        <x:v>42</x:v>
      </x:c>
      <x:c r="F518" s="14" t="str">
        <x:v>Granite Harbour</x:v>
      </x:c>
      <x:c r="G518" s="14" t="str">
        <x:v>tt20224612</x:v>
      </x:c>
      <x:c r="H518" s="14" t="n">
        <x:v>2022</x:v>
      </x:c>
      <x:c r="I518" s="14" t="n">
        <x:v>2025</x:v>
      </x:c>
      <x:c r="J518" s="14" t="str">
        <x:v>Post-study cohort</x:v>
      </x:c>
      <x:c r="K518" s="14" t="n">
        <x:v>2022</x:v>
      </x:c>
      <x:c r="L518" s="14" t="str">
        <x:v>Not inherited</x:v>
      </x:c>
      <x:c r="M518" s="15" t="n">
        <x:v>35</x:v>
      </x:c>
      <x:c r="N518" s="14" t="str">
        <x:v>Emma Hartley-Miller</x:v>
      </x:c>
      <x:c r="O518" s="14" t="str">
        <x:v>nm2653740</x:v>
      </x:c>
      <x:c r="P518" s="14" t="str">
        <x:v>Shelley Crockford</x:v>
      </x:c>
      <x:c r="Q518" s="15" t="n">
        <x:v>3</x:v>
      </x:c>
      <x:c r="R518" s="14" t="str">
        <x:v>2026</x:v>
      </x:c>
      <x:c r="S518" s="14" t="n">
        <x:v>2026</x:v>
      </x:c>
      <x:c r="T518" s="14" t="n">
        <x:v>2026</x:v>
      </x:c>
      <x:c r="U518" s="14" t="str">
        <x:v>Explicit source first year retained</x:v>
      </x:c>
      <x:c r="V518" s="14" t="str">
        <x:v>Earliest supplied year is 2026.</x:v>
      </x:c>
      <x:c r="W518" s="14"/>
      <x:c r="X518" s="14" t="str">
        <x:v>Excluded: after 2025</x:v>
      </x:c>
      <x:c r="Y518" s="14"/>
      <x:c r="Z518" s="14" t="str">
        <x:v>Granite Harbour.docx</x:v>
      </x:c>
      <x:c r="AA518" s="14" t="str">
        <x:v>HYPERLINK is not implemented. linkLocation=https://www.imdb.com/title/tt20224612/fullcredits/, friendlyName=Open source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BBC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7" t="e">
        <x:f>HYPERLINK("https://en.wikipedia.org/wiki/Granite_Harbour","Open source")</x:f>
        <x:v>HYPERLINK is not implemented. linkLocation=https://en.wikipedia.org/wiki/Granite_Harbour, friendlyName=Open source</x:v>
      </x:c>
      <x:c r="AN518" s="14" t="str">
        <x:v>BBC public-service commission</x:v>
      </x:c>
      <x:c r="AO518" s="14" t="str">
        <x:v>Yes</x:v>
      </x:c>
      <x:c r="AP518" s="14" t="str">
        <x:v>Direct BBC public-service scope</x:v>
      </x:c>
      <x:c r="AQ518" s="14" t="str">
        <x:v>Yes</x:v>
      </x:c>
      <x:c r="AR518" s="14" t="str">
        <x:v>Resolved from master register</x:v>
      </x:c>
      <x:c r="AS518" s="14" t="str">
        <x:v>No established-register match</x:v>
      </x:c>
      <x:c r="AT518" s="14"/>
      <x:c r="AU518" s="14"/>
      <x:c r="AV518" s="14" t="str">
        <x:v>No established apparent-disability match</x:v>
      </x:c>
      <x:c r="AW518" s="14"/>
      <x:c r="AX518" s="14" t="str">
        <x:v>No</x:v>
      </x:c>
      <x:c r="AY518" s="14" t="str">
        <x:v>Unmatched</x:v>
      </x:c>
      <x:c r="AZ518" s="14" t="str">
        <x:v>Final supplied register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9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3</x:v>
      </x:c>
      <x:c r="BS518" s="16" t="n">
        <x:v>0.3333333333333333</x:v>
      </x:c>
      <x:c r="BT518" s="14" t="str">
        <x:v>Minority of episodes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4" t="str">
        <x:v>HYPERLINK is not implemented. linkLocation=https://www.imdb.com/title/tt20224612/fullcredits/, friendlyName=Open source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tt20224612|nm14325948|adam colgan</x:v>
      </x:c>
      <x:c r="B519" s="14" t="str">
        <x:v>02</x:v>
      </x:c>
      <x:c r="C519" s="14" t="str">
        <x:v>2022_IMDb_Cast_Lists_Batch_02(1).xlsx</x:v>
      </x:c>
      <x:c r="D519" s="14" t="str">
        <x:v>Granite Harbour</x:v>
      </x:c>
      <x:c r="E519" s="14" t="n">
        <x:v>43</x:v>
      </x:c>
      <x:c r="F519" s="14" t="str">
        <x:v>Granite Harbour</x:v>
      </x:c>
      <x:c r="G519" s="14" t="str">
        <x:v>tt20224612</x:v>
      </x:c>
      <x:c r="H519" s="14" t="n">
        <x:v>2022</x:v>
      </x:c>
      <x:c r="I519" s="14" t="n">
        <x:v>2025</x:v>
      </x:c>
      <x:c r="J519" s="14" t="str">
        <x:v>Post-study cohort</x:v>
      </x:c>
      <x:c r="K519" s="14" t="n">
        <x:v>2022</x:v>
      </x:c>
      <x:c r="L519" s="14" t="str">
        <x:v>Not inherited</x:v>
      </x:c>
      <x:c r="M519" s="15" t="n">
        <x:v>36</x:v>
      </x:c>
      <x:c r="N519" s="14" t="str">
        <x:v>Craig Binning</x:v>
      </x:c>
      <x:c r="O519" s="14" t="str">
        <x:v>nm14325948</x:v>
      </x:c>
      <x:c r="P519" s="14" t="str">
        <x:v>Adam Colgan</x:v>
      </x:c>
      <x:c r="Q519" s="15" t="n">
        <x:v>3</x:v>
      </x:c>
      <x:c r="R519" s="14" t="str">
        <x:v>2026</x:v>
      </x:c>
      <x:c r="S519" s="14" t="n">
        <x:v>2026</x:v>
      </x:c>
      <x:c r="T519" s="14" t="n">
        <x:v>2026</x:v>
      </x:c>
      <x:c r="U519" s="14" t="str">
        <x:v>Explicit source first year retained</x:v>
      </x:c>
      <x:c r="V519" s="14" t="str">
        <x:v>Earliest supplied year is 2026.</x:v>
      </x:c>
      <x:c r="W519" s="14"/>
      <x:c r="X519" s="14" t="str">
        <x:v>Excluded: after 2025</x:v>
      </x:c>
      <x:c r="Y519" s="14"/>
      <x:c r="Z519" s="14" t="str">
        <x:v>Granite Harbour.docx</x:v>
      </x:c>
      <x:c r="AA519" s="14" t="str">
        <x:v>HYPERLINK is not implemented. linkLocation=https://www.imdb.com/title/tt20224612/fullcredits/, friendlyName=Open source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BBC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7" t="e">
        <x:f>HYPERLINK("https://en.wikipedia.org/wiki/Granite_Harbour","Open source")</x:f>
        <x:v>HYPERLINK is not implemented. linkLocation=https://en.wikipedia.org/wiki/Granite_Harbour, friendlyName=Open source</x:v>
      </x:c>
      <x:c r="AN519" s="14" t="str">
        <x:v>BBC public-service commission</x:v>
      </x:c>
      <x:c r="AO519" s="14" t="str">
        <x:v>Yes</x:v>
      </x:c>
      <x:c r="AP519" s="14" t="str">
        <x:v>Direct BBC public-service scope</x:v>
      </x:c>
      <x:c r="AQ519" s="14" t="str">
        <x:v>Yes</x:v>
      </x:c>
      <x:c r="AR519" s="14" t="str">
        <x:v>Resolved from master register</x:v>
      </x:c>
      <x:c r="AS519" s="14" t="str">
        <x:v>No established-register match</x:v>
      </x:c>
      <x:c r="AT519" s="14"/>
      <x:c r="AU519" s="14"/>
      <x:c r="AV519" s="14" t="str">
        <x:v>No established apparent-disability match</x:v>
      </x:c>
      <x:c r="AW519" s="14"/>
      <x:c r="AX519" s="14" t="str">
        <x:v>No</x:v>
      </x:c>
      <x:c r="AY519" s="14" t="str">
        <x:v>Unmatched</x:v>
      </x:c>
      <x:c r="AZ519" s="14" t="str">
        <x:v>Final supplied register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9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3</x:v>
      </x:c>
      <x:c r="BS519" s="16" t="n">
        <x:v>0.3333333333333333</x:v>
      </x:c>
      <x:c r="BT519" s="14" t="str">
        <x:v>Minority of episodes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4" t="str">
        <x:v>HYPERLINK is not implemented. linkLocation=https://www.imdb.com/title/tt20224612/fullcredits/, friendlyName=Open source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tt20224612|nm4633948|jackson mcilroy</x:v>
      </x:c>
      <x:c r="B520" s="14" t="str">
        <x:v>02</x:v>
      </x:c>
      <x:c r="C520" s="14" t="str">
        <x:v>2022_IMDb_Cast_Lists_Batch_02(1).xlsx</x:v>
      </x:c>
      <x:c r="D520" s="14" t="str">
        <x:v>Granite Harbour</x:v>
      </x:c>
      <x:c r="E520" s="14" t="n">
        <x:v>44</x:v>
      </x:c>
      <x:c r="F520" s="14" t="str">
        <x:v>Granite Harbour</x:v>
      </x:c>
      <x:c r="G520" s="14" t="str">
        <x:v>tt20224612</x:v>
      </x:c>
      <x:c r="H520" s="14" t="n">
        <x:v>2022</x:v>
      </x:c>
      <x:c r="I520" s="14" t="n">
        <x:v>2025</x:v>
      </x:c>
      <x:c r="J520" s="14" t="str">
        <x:v>Post-study cohort</x:v>
      </x:c>
      <x:c r="K520" s="14" t="n">
        <x:v>2022</x:v>
      </x:c>
      <x:c r="L520" s="14" t="str">
        <x:v>Not inherited</x:v>
      </x:c>
      <x:c r="M520" s="15" t="n">
        <x:v>37</x:v>
      </x:c>
      <x:c r="N520" s="14" t="str">
        <x:v>Joshua Haynes</x:v>
      </x:c>
      <x:c r="O520" s="14" t="str">
        <x:v>nm4633948</x:v>
      </x:c>
      <x:c r="P520" s="14" t="str">
        <x:v>Jackson McIlroy</x:v>
      </x:c>
      <x:c r="Q520" s="15" t="n">
        <x:v>3</x:v>
      </x:c>
      <x:c r="R520" s="14" t="str">
        <x:v>2026</x:v>
      </x:c>
      <x:c r="S520" s="14" t="n">
        <x:v>2026</x:v>
      </x:c>
      <x:c r="T520" s="14" t="n">
        <x:v>2026</x:v>
      </x:c>
      <x:c r="U520" s="14" t="str">
        <x:v>Explicit source first year retained</x:v>
      </x:c>
      <x:c r="V520" s="14" t="str">
        <x:v>Earliest supplied year is 2026.</x:v>
      </x:c>
      <x:c r="W520" s="14"/>
      <x:c r="X520" s="14" t="str">
        <x:v>Excluded: after 2025</x:v>
      </x:c>
      <x:c r="Y520" s="14"/>
      <x:c r="Z520" s="14" t="str">
        <x:v>Granite Harbour.docx</x:v>
      </x:c>
      <x:c r="AA520" s="14" t="str">
        <x:v>HYPERLINK is not implemented. linkLocation=https://www.imdb.com/title/tt20224612/fullcredits/, friendlyName=Open source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BBC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7" t="e">
        <x:f>HYPERLINK("https://en.wikipedia.org/wiki/Granite_Harbour","Open source")</x:f>
        <x:v>HYPERLINK is not implemented. linkLocation=https://en.wikipedia.org/wiki/Granite_Harbour, friendlyName=Open source</x:v>
      </x:c>
      <x:c r="AN520" s="14" t="str">
        <x:v>BBC public-service commission</x:v>
      </x:c>
      <x:c r="AO520" s="14" t="str">
        <x:v>Yes</x:v>
      </x:c>
      <x:c r="AP520" s="14" t="str">
        <x:v>Direct BBC public-service scope</x:v>
      </x:c>
      <x:c r="AQ520" s="14" t="str">
        <x:v>Yes</x:v>
      </x:c>
      <x:c r="AR520" s="14" t="str">
        <x:v>Resolved from master register</x:v>
      </x:c>
      <x:c r="AS520" s="14" t="str">
        <x:v>No established-register match</x:v>
      </x:c>
      <x:c r="AT520" s="14"/>
      <x:c r="AU520" s="14"/>
      <x:c r="AV520" s="14" t="str">
        <x:v>No established apparent-disability match</x:v>
      </x:c>
      <x:c r="AW520" s="14"/>
      <x:c r="AX520" s="14" t="str">
        <x:v>No</x:v>
      </x:c>
      <x:c r="AY520" s="14" t="str">
        <x:v>Unmatched</x:v>
      </x:c>
      <x:c r="AZ520" s="14" t="str">
        <x:v>Final supplied register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9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3</x:v>
      </x:c>
      <x:c r="BS520" s="16" t="n">
        <x:v>0.3333333333333333</x:v>
      </x:c>
      <x:c r="BT520" s="14" t="str">
        <x:v>Minority of episodes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4" t="str">
        <x:v>HYPERLINK is not implemented. linkLocation=https://www.imdb.com/title/tt20224612/fullcredits/, friendlyName=Open source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tt20224612|nm9048056|noah crockford</x:v>
      </x:c>
      <x:c r="B521" s="14" t="str">
        <x:v>02</x:v>
      </x:c>
      <x:c r="C521" s="14" t="str">
        <x:v>2022_IMDb_Cast_Lists_Batch_02(1).xlsx</x:v>
      </x:c>
      <x:c r="D521" s="14" t="str">
        <x:v>Granite Harbour</x:v>
      </x:c>
      <x:c r="E521" s="14" t="n">
        <x:v>45</x:v>
      </x:c>
      <x:c r="F521" s="14" t="str">
        <x:v>Granite Harbour</x:v>
      </x:c>
      <x:c r="G521" s="14" t="str">
        <x:v>tt20224612</x:v>
      </x:c>
      <x:c r="H521" s="14" t="n">
        <x:v>2022</x:v>
      </x:c>
      <x:c r="I521" s="14" t="n">
        <x:v>2025</x:v>
      </x:c>
      <x:c r="J521" s="14" t="str">
        <x:v>Post-study cohort</x:v>
      </x:c>
      <x:c r="K521" s="14" t="n">
        <x:v>2022</x:v>
      </x:c>
      <x:c r="L521" s="14" t="str">
        <x:v>Not inherited</x:v>
      </x:c>
      <x:c r="M521" s="15" t="n">
        <x:v>38</x:v>
      </x:c>
      <x:c r="N521" s="14" t="str">
        <x:v>Aaron MacGregor</x:v>
      </x:c>
      <x:c r="O521" s="14" t="str">
        <x:v>nm9048056</x:v>
      </x:c>
      <x:c r="P521" s="14" t="str">
        <x:v>Noah Crockford</x:v>
      </x:c>
      <x:c r="Q521" s="15" t="n">
        <x:v>3</x:v>
      </x:c>
      <x:c r="R521" s="14" t="str">
        <x:v>2026</x:v>
      </x:c>
      <x:c r="S521" s="14" t="n">
        <x:v>2026</x:v>
      </x:c>
      <x:c r="T521" s="14" t="n">
        <x:v>2026</x:v>
      </x:c>
      <x:c r="U521" s="14" t="str">
        <x:v>Explicit source first year retained</x:v>
      </x:c>
      <x:c r="V521" s="14" t="str">
        <x:v>Earliest supplied year is 2026.</x:v>
      </x:c>
      <x:c r="W521" s="14"/>
      <x:c r="X521" s="14" t="str">
        <x:v>Excluded: after 2025</x:v>
      </x:c>
      <x:c r="Y521" s="14"/>
      <x:c r="Z521" s="14" t="str">
        <x:v>Granite Harbour.docx</x:v>
      </x:c>
      <x:c r="AA521" s="14" t="str">
        <x:v>HYPERLINK is not implemented. linkLocation=https://www.imdb.com/title/tt20224612/fullcredits/, friendlyName=Open source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7" t="e">
        <x:f>HYPERLINK("https://en.wikipedia.org/wiki/Granite_Harbour","Open source")</x:f>
        <x:v>HYPERLINK is not implemented. linkLocation=https://en.wikipedia.org/wiki/Granite_Harbour, friendlyName=Open source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 t="str">
        <x:v>No established-register match</x:v>
      </x:c>
      <x:c r="AT521" s="14"/>
      <x:c r="AU521" s="14"/>
      <x:c r="AV521" s="14" t="str">
        <x:v>No established apparent-disability match</x:v>
      </x:c>
      <x:c r="AW521" s="14"/>
      <x:c r="AX521" s="14" t="str">
        <x:v>No</x:v>
      </x:c>
      <x:c r="AY521" s="14" t="str">
        <x:v>Unmatched</x:v>
      </x:c>
      <x:c r="AZ521" s="14" t="str">
        <x:v>Final supplied register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9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3</x:v>
      </x:c>
      <x:c r="BS521" s="16" t="n">
        <x:v>0.3333333333333333</x:v>
      </x:c>
      <x:c r="BT521" s="14" t="str">
        <x:v>Minority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4" t="str">
        <x:v>HYPERLINK is not implemented. linkLocation=https://www.imdb.com/title/tt20224612/fullcredits/, friendlyName=Open source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tt20224612|nm4078775|rory marsh</x:v>
      </x:c>
      <x:c r="B522" s="14" t="str">
        <x:v>02</x:v>
      </x:c>
      <x:c r="C522" s="14" t="str">
        <x:v>2022_IMDb_Cast_Lists_Batch_02(1).xlsx</x:v>
      </x:c>
      <x:c r="D522" s="14" t="str">
        <x:v>Granite Harbour</x:v>
      </x:c>
      <x:c r="E522" s="14" t="n">
        <x:v>59</x:v>
      </x:c>
      <x:c r="F522" s="14" t="str">
        <x:v>Granite Harbour</x:v>
      </x:c>
      <x:c r="G522" s="14" t="str">
        <x:v>tt20224612</x:v>
      </x:c>
      <x:c r="H522" s="14" t="n">
        <x:v>2022</x:v>
      </x:c>
      <x:c r="I522" s="14" t="n">
        <x:v>2025</x:v>
      </x:c>
      <x:c r="J522" s="14" t="str">
        <x:v>Post-study cohort</x:v>
      </x:c>
      <x:c r="K522" s="14" t="n">
        <x:v>2022</x:v>
      </x:c>
      <x:c r="L522" s="14" t="str">
        <x:v>Not inherited</x:v>
      </x:c>
      <x:c r="M522" s="15" t="n">
        <x:v>52</x:v>
      </x:c>
      <x:c r="N522" s="14" t="str">
        <x:v>Paul Tinto</x:v>
      </x:c>
      <x:c r="O522" s="14" t="str">
        <x:v>nm4078775</x:v>
      </x:c>
      <x:c r="P522" s="14" t="str">
        <x:v>Rory Marsh</x:v>
      </x:c>
      <x:c r="Q522" s="15" t="n">
        <x:v>1</x:v>
      </x:c>
      <x:c r="R522" s="14" t="str">
        <x:v>2026</x:v>
      </x:c>
      <x:c r="S522" s="14" t="n">
        <x:v>2026</x:v>
      </x:c>
      <x:c r="T522" s="14" t="n">
        <x:v>2026</x:v>
      </x:c>
      <x:c r="U522" s="14" t="str">
        <x:v>Explicit source first year retained</x:v>
      </x:c>
      <x:c r="V522" s="14" t="str">
        <x:v>Earliest supplied year is 2026.</x:v>
      </x:c>
      <x:c r="W522" s="14"/>
      <x:c r="X522" s="14" t="str">
        <x:v>Excluded: after 2025</x:v>
      </x:c>
      <x:c r="Y522" s="14"/>
      <x:c r="Z522" s="14" t="str">
        <x:v>Granite Harbour.docx</x:v>
      </x:c>
      <x:c r="AA522" s="14" t="str">
        <x:v>HYPERLINK is not implemented. linkLocation=https://www.imdb.com/title/tt20224612/fullcredits/, friendlyName=Open source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7" t="e">
        <x:f>HYPERLINK("https://en.wikipedia.org/wiki/Granite_Harbour","Open source")</x:f>
        <x:v>HYPERLINK is not implemented. linkLocation=https://en.wikipedia.org/wiki/Granite_Harbour, friendlyName=Open source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 t="str">
        <x:v>No established-register match</x:v>
      </x:c>
      <x:c r="AT522" s="14"/>
      <x:c r="AU522" s="14"/>
      <x:c r="AV522" s="14" t="str">
        <x:v>No established apparent-disability match</x:v>
      </x:c>
      <x:c r="AW522" s="14"/>
      <x:c r="AX522" s="14" t="str">
        <x:v>No</x:v>
      </x:c>
      <x:c r="AY522" s="14" t="str">
        <x:v>Unmatched</x:v>
      </x:c>
      <x:c r="AZ522" s="14" t="str">
        <x:v>Final supplied register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9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1</x:v>
      </x:c>
      <x:c r="BS522" s="16" t="n">
        <x:v>0.1111111111111111</x:v>
      </x:c>
      <x:c r="BT522" s="14" t="str">
        <x:v>One episode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4" t="str">
        <x:v>HYPERLINK is not implemented. linkLocation=https://www.imdb.com/title/tt20224612/fullcredits/, friendlyName=Open source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tt20224612|nm16466133|lisa sterling</x:v>
      </x:c>
      <x:c r="B523" s="14" t="str">
        <x:v>02</x:v>
      </x:c>
      <x:c r="C523" s="14" t="str">
        <x:v>2022_IMDb_Cast_Lists_Batch_02(1).xlsx</x:v>
      </x:c>
      <x:c r="D523" s="14" t="str">
        <x:v>Granite Harbour</x:v>
      </x:c>
      <x:c r="E523" s="14" t="n">
        <x:v>60</x:v>
      </x:c>
      <x:c r="F523" s="14" t="str">
        <x:v>Granite Harbour</x:v>
      </x:c>
      <x:c r="G523" s="14" t="str">
        <x:v>tt20224612</x:v>
      </x:c>
      <x:c r="H523" s="14" t="n">
        <x:v>2022</x:v>
      </x:c>
      <x:c r="I523" s="14" t="n">
        <x:v>2025</x:v>
      </x:c>
      <x:c r="J523" s="14" t="str">
        <x:v>Post-study cohort</x:v>
      </x:c>
      <x:c r="K523" s="14" t="n">
        <x:v>2022</x:v>
      </x:c>
      <x:c r="L523" s="14" t="str">
        <x:v>Not inherited</x:v>
      </x:c>
      <x:c r="M523" s="15" t="n">
        <x:v>53</x:v>
      </x:c>
      <x:c r="N523" s="14" t="str">
        <x:v>Jess Douglas-Welsh</x:v>
      </x:c>
      <x:c r="O523" s="14" t="str">
        <x:v>nm16466133</x:v>
      </x:c>
      <x:c r="P523" s="14" t="str">
        <x:v>Lisa Sterling</x:v>
      </x:c>
      <x:c r="Q523" s="15" t="n">
        <x:v>1</x:v>
      </x:c>
      <x:c r="R523" s="14" t="str">
        <x:v>2026</x:v>
      </x:c>
      <x:c r="S523" s="14" t="n">
        <x:v>2026</x:v>
      </x:c>
      <x:c r="T523" s="14" t="n">
        <x:v>2026</x:v>
      </x:c>
      <x:c r="U523" s="14" t="str">
        <x:v>Explicit source first year retained</x:v>
      </x:c>
      <x:c r="V523" s="14" t="str">
        <x:v>Earliest supplied year is 2026.</x:v>
      </x:c>
      <x:c r="W523" s="14"/>
      <x:c r="X523" s="14" t="str">
        <x:v>Excluded: after 2025</x:v>
      </x:c>
      <x:c r="Y523" s="14"/>
      <x:c r="Z523" s="14" t="str">
        <x:v>Granite Harbour.docx</x:v>
      </x:c>
      <x:c r="AA523" s="14" t="str">
        <x:v>HYPERLINK is not implemented. linkLocation=https://www.imdb.com/title/tt20224612/fullcredits/, friendlyName=Open source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7" t="e">
        <x:f>HYPERLINK("https://en.wikipedia.org/wiki/Granite_Harbour","Open source")</x:f>
        <x:v>HYPERLINK is not implemented. linkLocation=https://en.wikipedia.org/wiki/Granite_Harbour, friendlyName=Open source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 t="str">
        <x:v>No established-register match</x:v>
      </x:c>
      <x:c r="AT523" s="14"/>
      <x:c r="AU523" s="14"/>
      <x:c r="AV523" s="14" t="str">
        <x:v>No established apparent-disability match</x:v>
      </x:c>
      <x:c r="AW523" s="14"/>
      <x:c r="AX523" s="14" t="str">
        <x:v>No</x:v>
      </x:c>
      <x:c r="AY523" s="14" t="str">
        <x:v>Unmatched</x:v>
      </x:c>
      <x:c r="AZ523" s="14" t="str">
        <x:v>Final supplied register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9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1</x:v>
      </x:c>
      <x:c r="BS523" s="16" t="n">
        <x:v>0.1111111111111111</x:v>
      </x:c>
      <x:c r="BT523" s="14" t="str">
        <x:v>One episode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4" t="str">
        <x:v>HYPERLINK is not implemented. linkLocation=https://www.imdb.com/title/tt20224612/fullcredits/, friendlyName=Open source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tt20224612|nm4551678|matty gough</x:v>
      </x:c>
      <x:c r="B524" s="14" t="str">
        <x:v>02</x:v>
      </x:c>
      <x:c r="C524" s="14" t="str">
        <x:v>2022_IMDb_Cast_Lists_Batch_02(1).xlsx</x:v>
      </x:c>
      <x:c r="D524" s="14" t="str">
        <x:v>Granite Harbour</x:v>
      </x:c>
      <x:c r="E524" s="14" t="n">
        <x:v>61</x:v>
      </x:c>
      <x:c r="F524" s="14" t="str">
        <x:v>Granite Harbour</x:v>
      </x:c>
      <x:c r="G524" s="14" t="str">
        <x:v>tt20224612</x:v>
      </x:c>
      <x:c r="H524" s="14" t="n">
        <x:v>2022</x:v>
      </x:c>
      <x:c r="I524" s="14" t="n">
        <x:v>2025</x:v>
      </x:c>
      <x:c r="J524" s="14" t="str">
        <x:v>Post-study cohort</x:v>
      </x:c>
      <x:c r="K524" s="14" t="n">
        <x:v>2022</x:v>
      </x:c>
      <x:c r="L524" s="14" t="str">
        <x:v>Not inherited</x:v>
      </x:c>
      <x:c r="M524" s="15" t="n">
        <x:v>54</x:v>
      </x:c>
      <x:c r="N524" s="14" t="str">
        <x:v>Bailey Newsome</x:v>
      </x:c>
      <x:c r="O524" s="14" t="str">
        <x:v>nm4551678</x:v>
      </x:c>
      <x:c r="P524" s="14" t="str">
        <x:v>Matty Gough</x:v>
      </x:c>
      <x:c r="Q524" s="15" t="n">
        <x:v>1</x:v>
      </x:c>
      <x:c r="R524" s="14" t="str">
        <x:v>2026</x:v>
      </x:c>
      <x:c r="S524" s="14" t="n">
        <x:v>2026</x:v>
      </x:c>
      <x:c r="T524" s="14" t="n">
        <x:v>2026</x:v>
      </x:c>
      <x:c r="U524" s="14" t="str">
        <x:v>Explicit source first year retained</x:v>
      </x:c>
      <x:c r="V524" s="14" t="str">
        <x:v>Earliest supplied year is 2026.</x:v>
      </x:c>
      <x:c r="W524" s="14"/>
      <x:c r="X524" s="14" t="str">
        <x:v>Excluded: after 2025</x:v>
      </x:c>
      <x:c r="Y524" s="14"/>
      <x:c r="Z524" s="14" t="str">
        <x:v>Granite Harbour.docx</x:v>
      </x:c>
      <x:c r="AA524" s="14" t="str">
        <x:v>HYPERLINK is not implemented. linkLocation=https://www.imdb.com/title/tt20224612/fullcredits/, friendlyName=Open source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7" t="e">
        <x:f>HYPERLINK("https://en.wikipedia.org/wiki/Granite_Harbour","Open source")</x:f>
        <x:v>HYPERLINK is not implemented. linkLocation=https://en.wikipedia.org/wiki/Granite_Harbour, friendlyName=Open source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 t="str">
        <x:v>No established-register match</x:v>
      </x:c>
      <x:c r="AT524" s="14"/>
      <x:c r="AU524" s="14"/>
      <x:c r="AV524" s="14" t="str">
        <x:v>No established apparent-disability match</x:v>
      </x:c>
      <x:c r="AW524" s="14"/>
      <x:c r="AX524" s="14" t="str">
        <x:v>No</x:v>
      </x:c>
      <x:c r="AY524" s="14" t="str">
        <x:v>Unmatched</x:v>
      </x:c>
      <x:c r="AZ524" s="14" t="str">
        <x:v>Final supplied register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9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1</x:v>
      </x:c>
      <x:c r="BS524" s="16" t="n">
        <x:v>0.1111111111111111</x:v>
      </x:c>
      <x:c r="BT524" s="14" t="str">
        <x:v>One episode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4" t="str">
        <x:v>HYPERLINK is not implemented. linkLocation=https://www.imdb.com/title/tt20224612/fullcredits/, friendlyName=Open source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tt20224612|nm11736782|romany traveller</x:v>
      </x:c>
      <x:c r="B525" s="14" t="str">
        <x:v>02</x:v>
      </x:c>
      <x:c r="C525" s="14" t="str">
        <x:v>2022_IMDb_Cast_Lists_Batch_02(1).xlsx</x:v>
      </x:c>
      <x:c r="D525" s="14" t="str">
        <x:v>Granite Harbour</x:v>
      </x:c>
      <x:c r="E525" s="14" t="n">
        <x:v>62</x:v>
      </x:c>
      <x:c r="F525" s="14" t="str">
        <x:v>Granite Harbour</x:v>
      </x:c>
      <x:c r="G525" s="14" t="str">
        <x:v>tt20224612</x:v>
      </x:c>
      <x:c r="H525" s="14" t="n">
        <x:v>2022</x:v>
      </x:c>
      <x:c r="I525" s="14" t="n">
        <x:v>2025</x:v>
      </x:c>
      <x:c r="J525" s="14" t="str">
        <x:v>Post-study cohort</x:v>
      </x:c>
      <x:c r="K525" s="14" t="n">
        <x:v>2022</x:v>
      </x:c>
      <x:c r="L525" s="14" t="str">
        <x:v>Not inherited</x:v>
      </x:c>
      <x:c r="M525" s="15" t="n">
        <x:v>55</x:v>
      </x:c>
      <x:c r="N525" s="14" t="str">
        <x:v>Kyle McGuinness</x:v>
      </x:c>
      <x:c r="O525" s="14" t="str">
        <x:v>nm11736782</x:v>
      </x:c>
      <x:c r="P525" s="14" t="str">
        <x:v>Romany Traveller</x:v>
      </x:c>
      <x:c r="Q525" s="15" t="n">
        <x:v>1</x:v>
      </x:c>
      <x:c r="R525" s="14" t="str">
        <x:v>2026</x:v>
      </x:c>
      <x:c r="S525" s="14" t="n">
        <x:v>2026</x:v>
      </x:c>
      <x:c r="T525" s="14" t="n">
        <x:v>2026</x:v>
      </x:c>
      <x:c r="U525" s="14" t="str">
        <x:v>Explicit source first year retained</x:v>
      </x:c>
      <x:c r="V525" s="14" t="str">
        <x:v>Earliest supplied year is 2026.</x:v>
      </x:c>
      <x:c r="W525" s="14"/>
      <x:c r="X525" s="14" t="str">
        <x:v>Excluded: after 2025</x:v>
      </x:c>
      <x:c r="Y525" s="14"/>
      <x:c r="Z525" s="14" t="str">
        <x:v>Granite Harbour.docx</x:v>
      </x:c>
      <x:c r="AA525" s="14" t="str">
        <x:v>HYPERLINK is not implemented. linkLocation=https://www.imdb.com/title/tt20224612/fullcredits/, friendlyName=Open source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7" t="e">
        <x:f>HYPERLINK("https://en.wikipedia.org/wiki/Granite_Harbour","Open source")</x:f>
        <x:v>HYPERLINK is not implemented. linkLocation=https://en.wikipedia.org/wiki/Granite_Harbour, friendlyName=Open source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 t="str">
        <x:v>No established-register match</x:v>
      </x:c>
      <x:c r="AT525" s="14"/>
      <x:c r="AU525" s="14"/>
      <x:c r="AV525" s="14" t="str">
        <x:v>No established apparent-disability match</x:v>
      </x:c>
      <x:c r="AW525" s="14"/>
      <x:c r="AX525" s="14" t="str">
        <x:v>No</x:v>
      </x:c>
      <x:c r="AY525" s="14" t="str">
        <x:v>Unmatched</x:v>
      </x:c>
      <x:c r="AZ525" s="14" t="str">
        <x:v>Final supplied register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9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1</x:v>
      </x:c>
      <x:c r="BS525" s="16" t="n">
        <x:v>0.1111111111111111</x:v>
      </x:c>
      <x:c r="BT525" s="14" t="str">
        <x:v>One episode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4" t="str">
        <x:v>HYPERLINK is not implemented. linkLocation=https://www.imdb.com/title/tt20224612/fullcredits/, friendlyName=Open source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tt15210882|nm2720748|daryl</x:v>
      </x:c>
      <x:c r="B526" s="14" t="str">
        <x:v>05</x:v>
      </x:c>
      <x:c r="C526" s="14" t="str">
        <x:v>2022_IMDb_Cast_Lists_Batch_05(1).xlsx</x:v>
      </x:c>
      <x:c r="D526" s="14" t="str">
        <x:v>The Dry</x:v>
      </x:c>
      <x:c r="E526" s="14" t="n">
        <x:v>20</x:v>
      </x:c>
      <x:c r="F526" s="14" t="str">
        <x:v>The Dry</x:v>
      </x:c>
      <x:c r="G526" s="14" t="str">
        <x:v>tt15210882</x:v>
      </x:c>
      <x:c r="H526" s="14" t="n">
        <x:v>2022</x:v>
      </x:c>
      <x:c r="I526" s="14" t="n">
        <x:v>2025</x:v>
      </x:c>
      <x:c r="J526" s="14" t="str">
        <x:v>Post-study cohort</x:v>
      </x:c>
      <x:c r="K526" s="14" t="n">
        <x:v>2022</x:v>
      </x:c>
      <x:c r="L526" s="14" t="str">
        <x:v>Not inherited</x:v>
      </x:c>
      <x:c r="M526" s="15" t="n">
        <x:v>13</x:v>
      </x:c>
      <x:c r="N526" s="14" t="str">
        <x:v>Rick Donald</x:v>
      </x:c>
      <x:c r="O526" s="14" t="str">
        <x:v>nm2720748</x:v>
      </x:c>
      <x:c r="P526" s="14" t="str">
        <x:v>Daryl</x:v>
      </x:c>
      <x:c r="Q526" s="15" t="n">
        <x:v>8</x:v>
      </x:c>
      <x:c r="R526" s="14" t="str">
        <x:v>2026</x:v>
      </x:c>
      <x:c r="S526" s="14" t="n">
        <x:v>2026</x:v>
      </x:c>
      <x:c r="T526" s="14" t="n">
        <x:v>2026</x:v>
      </x:c>
      <x:c r="U526" s="14" t="str">
        <x:v>Explicit source first year retained</x:v>
      </x:c>
      <x:c r="V526" s="14" t="str">
        <x:v>Earliest supplied year is 2026.</x:v>
      </x:c>
      <x:c r="W526" s="14"/>
      <x:c r="X526" s="14" t="str">
        <x:v>Excluded: after 2025</x:v>
      </x:c>
      <x:c r="Y526" s="14"/>
      <x:c r="Z526" s="14" t="str">
        <x:v>The Dry.docx</x:v>
      </x:c>
      <x:c r="AA526" s="14" t="str">
        <x:v>HYPERLINK is not implemented. linkLocation=https://www.imdb.com/title/tt15210882/fullcredits/, friendlyName=Open source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BritBox UK</x:v>
      </x:c>
      <x:c r="AI526" s="14" t="str">
        <x:v>Qualifying UK co-commission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qualifying uk co-commission.</x:v>
      </x:c>
      <x:c r="AM526" s="17" t="e">
        <x:f>HYPERLINK("https://en.wikipedia.org/wiki/Dry","Open source")</x:f>
        <x:v>HYPERLINK is not implemented. linkLocation=https://en.wikipedia.org/wiki/Dry, friendlyName=Open source</x:v>
      </x:c>
      <x:c r="AN526" s="14" t="str">
        <x:v>No qualifying BBC relationship</x:v>
      </x:c>
      <x:c r="AO526" s="14" t="str">
        <x:v>No</x:v>
      </x:c>
      <x:c r="AP526" s="14" t="str">
        <x:v>Out of scope</x:v>
      </x:c>
      <x:c r="AQ526" s="14" t="str">
        <x:v>No</x:v>
      </x:c>
      <x:c r="AR526" s="14" t="str">
        <x:v>Resolved from master register</x:v>
      </x:c>
      <x:c r="AS526" s="14" t="str">
        <x:v>No established-register match</x:v>
      </x:c>
      <x:c r="AT526" s="14"/>
      <x:c r="AU526" s="14"/>
      <x:c r="AV526" s="14" t="str">
        <x:v>No established apparent-disability match</x:v>
      </x:c>
      <x:c r="AW526" s="14"/>
      <x:c r="AX526" s="14" t="str">
        <x:v>No</x:v>
      </x:c>
      <x:c r="AY526" s="14" t="str">
        <x:v>Unmatched</x:v>
      </x:c>
      <x:c r="AZ526" s="14" t="str">
        <x:v>Final supplied register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24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8</x:v>
      </x:c>
      <x:c r="BS526" s="16" t="n">
        <x:v>0.3333333333333333</x:v>
      </x:c>
      <x:c r="BT526" s="14" t="str">
        <x:v>Minority of episodes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4" t="str">
        <x:v>HYPERLINK is not implemented. linkLocation=https://www.imdb.com/title/tt15210882/fullcredits/, friendlyName=Open source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tt15210882|nm18436003|vicky</x:v>
      </x:c>
      <x:c r="B527" s="14" t="str">
        <x:v>05</x:v>
      </x:c>
      <x:c r="C527" s="14" t="str">
        <x:v>2022_IMDb_Cast_Lists_Batch_05(1).xlsx</x:v>
      </x:c>
      <x:c r="D527" s="14" t="str">
        <x:v>The Dry</x:v>
      </x:c>
      <x:c r="E527" s="14" t="n">
        <x:v>29</x:v>
      </x:c>
      <x:c r="F527" s="14" t="str">
        <x:v>The Dry</x:v>
      </x:c>
      <x:c r="G527" s="14" t="str">
        <x:v>tt15210882</x:v>
      </x:c>
      <x:c r="H527" s="14" t="n">
        <x:v>2022</x:v>
      </x:c>
      <x:c r="I527" s="14" t="n">
        <x:v>2025</x:v>
      </x:c>
      <x:c r="J527" s="14" t="str">
        <x:v>Post-study cohort</x:v>
      </x:c>
      <x:c r="K527" s="14" t="n">
        <x:v>2022</x:v>
      </x:c>
      <x:c r="L527" s="14" t="str">
        <x:v>Not inherited</x:v>
      </x:c>
      <x:c r="M527" s="15" t="n">
        <x:v>22</x:v>
      </x:c>
      <x:c r="N527" s="14" t="str">
        <x:v>Claire O'Leary</x:v>
      </x:c>
      <x:c r="O527" s="14" t="str">
        <x:v>nm18436003</x:v>
      </x:c>
      <x:c r="P527" s="14" t="str">
        <x:v>Vicky</x:v>
      </x:c>
      <x:c r="Q527" s="15" t="n">
        <x:v>6</x:v>
      </x:c>
      <x:c r="R527" s="14" t="str">
        <x:v>2026</x:v>
      </x:c>
      <x:c r="S527" s="14" t="n">
        <x:v>2026</x:v>
      </x:c>
      <x:c r="T527" s="14" t="n">
        <x:v>2026</x:v>
      </x:c>
      <x:c r="U527" s="14" t="str">
        <x:v>Explicit source first year retained</x:v>
      </x:c>
      <x:c r="V527" s="14" t="str">
        <x:v>Earliest supplied year is 2026.</x:v>
      </x:c>
      <x:c r="W527" s="14"/>
      <x:c r="X527" s="14" t="str">
        <x:v>Excluded: after 2025</x:v>
      </x:c>
      <x:c r="Y527" s="14"/>
      <x:c r="Z527" s="14" t="str">
        <x:v>The Dry.docx</x:v>
      </x:c>
      <x:c r="AA527" s="14" t="str">
        <x:v>HYPERLINK is not implemented. linkLocation=https://www.imdb.com/title/tt15210882/fullcredits/, friendlyName=Open source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BritBox UK</x:v>
      </x:c>
      <x:c r="AI527" s="14" t="str">
        <x:v>Qualifying UK co-commission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qualifying uk co-commission.</x:v>
      </x:c>
      <x:c r="AM527" s="17" t="e">
        <x:f>HYPERLINK("https://en.wikipedia.org/wiki/Dry","Open source")</x:f>
        <x:v>HYPERLINK is not implemented. linkLocation=https://en.wikipedia.org/wiki/Dry, friendlyName=Open source</x:v>
      </x:c>
      <x:c r="AN527" s="14" t="str">
        <x:v>No qualifying BBC relationship</x:v>
      </x:c>
      <x:c r="AO527" s="14" t="str">
        <x:v>No</x:v>
      </x:c>
      <x:c r="AP527" s="14" t="str">
        <x:v>Out of scope</x:v>
      </x:c>
      <x:c r="AQ527" s="14" t="str">
        <x:v>No</x:v>
      </x:c>
      <x:c r="AR527" s="14" t="str">
        <x:v>Resolved from master register</x:v>
      </x:c>
      <x:c r="AS527" s="14" t="str">
        <x:v>No established-register match</x:v>
      </x:c>
      <x:c r="AT527" s="14"/>
      <x:c r="AU527" s="14"/>
      <x:c r="AV527" s="14" t="str">
        <x:v>No established apparent-disability match</x:v>
      </x:c>
      <x:c r="AW527" s="14"/>
      <x:c r="AX527" s="14" t="str">
        <x:v>No</x:v>
      </x:c>
      <x:c r="AY527" s="14" t="str">
        <x:v>Unmatched</x:v>
      </x:c>
      <x:c r="AZ527" s="14" t="str">
        <x:v>Final supplied register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24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6</x:v>
      </x:c>
      <x:c r="BS527" s="16" t="n">
        <x:v>0.25</x:v>
      </x:c>
      <x:c r="BT527" s="14" t="str">
        <x:v>Minority of episodes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4" t="str">
        <x:v>HYPERLINK is not implemented. linkLocation=https://www.imdb.com/title/tt15210882/fullcredits/, friendlyName=Open source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tt15210882|nm7643330|kathy</x:v>
      </x:c>
      <x:c r="B528" s="14" t="str">
        <x:v>05</x:v>
      </x:c>
      <x:c r="C528" s="14" t="str">
        <x:v>2022_IMDb_Cast_Lists_Batch_05(1).xlsx</x:v>
      </x:c>
      <x:c r="D528" s="14" t="str">
        <x:v>The Dry</x:v>
      </x:c>
      <x:c r="E528" s="14" t="n">
        <x:v>35</x:v>
      </x:c>
      <x:c r="F528" s="14" t="str">
        <x:v>The Dry</x:v>
      </x:c>
      <x:c r="G528" s="14" t="str">
        <x:v>tt15210882</x:v>
      </x:c>
      <x:c r="H528" s="14" t="n">
        <x:v>2022</x:v>
      </x:c>
      <x:c r="I528" s="14" t="n">
        <x:v>2025</x:v>
      </x:c>
      <x:c r="J528" s="14" t="str">
        <x:v>Post-study cohort</x:v>
      </x:c>
      <x:c r="K528" s="14" t="n">
        <x:v>2022</x:v>
      </x:c>
      <x:c r="L528" s="14" t="str">
        <x:v>Not inherited</x:v>
      </x:c>
      <x:c r="M528" s="15" t="n">
        <x:v>28</x:v>
      </x:c>
      <x:c r="N528" s="14" t="str">
        <x:v>Aisling O'Mara</x:v>
      </x:c>
      <x:c r="O528" s="14" t="str">
        <x:v>nm7643330</x:v>
      </x:c>
      <x:c r="P528" s="14" t="str">
        <x:v>Kathy</x:v>
      </x:c>
      <x:c r="Q528" s="15" t="n">
        <x:v>3</x:v>
      </x:c>
      <x:c r="R528" s="14" t="str">
        <x:v>2026</x:v>
      </x:c>
      <x:c r="S528" s="14" t="n">
        <x:v>2026</x:v>
      </x:c>
      <x:c r="T528" s="14" t="n">
        <x:v>2026</x:v>
      </x:c>
      <x:c r="U528" s="14" t="str">
        <x:v>Explicit source first year retained</x:v>
      </x:c>
      <x:c r="V528" s="14" t="str">
        <x:v>Earliest supplied year is 2026.</x:v>
      </x:c>
      <x:c r="W528" s="14"/>
      <x:c r="X528" s="14" t="str">
        <x:v>Excluded: after 2025</x:v>
      </x:c>
      <x:c r="Y528" s="14"/>
      <x:c r="Z528" s="14" t="str">
        <x:v>The Dry.docx</x:v>
      </x:c>
      <x:c r="AA528" s="14" t="str">
        <x:v>HYPERLINK is not implemented. linkLocation=https://www.imdb.com/title/tt15210882/fullcredits/, friendlyName=Open source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BritBox UK</x:v>
      </x:c>
      <x:c r="AI528" s="14" t="str">
        <x:v>Qualifying UK co-commission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qualifying uk co-commission.</x:v>
      </x:c>
      <x:c r="AM528" s="17" t="e">
        <x:f>HYPERLINK("https://en.wikipedia.org/wiki/Dry","Open source")</x:f>
        <x:v>HYPERLINK is not implemented. linkLocation=https://en.wikipedia.org/wiki/Dry, friendlyName=Open source</x:v>
      </x:c>
      <x:c r="AN528" s="14" t="str">
        <x:v>No qualifying BBC relationship</x:v>
      </x:c>
      <x:c r="AO528" s="14" t="str">
        <x:v>No</x:v>
      </x:c>
      <x:c r="AP528" s="14" t="str">
        <x:v>Out of scope</x:v>
      </x:c>
      <x:c r="AQ528" s="14" t="str">
        <x:v>No</x:v>
      </x:c>
      <x:c r="AR528" s="14" t="str">
        <x:v>Resolved from master register</x:v>
      </x:c>
      <x:c r="AS528" s="14" t="str">
        <x:v>No established-register match</x:v>
      </x:c>
      <x:c r="AT528" s="14"/>
      <x:c r="AU528" s="14"/>
      <x:c r="AV528" s="14" t="str">
        <x:v>No established apparent-disability match</x:v>
      </x:c>
      <x:c r="AW528" s="14"/>
      <x:c r="AX528" s="14" t="str">
        <x:v>No</x:v>
      </x:c>
      <x:c r="AY528" s="14" t="str">
        <x:v>Unmatched</x:v>
      </x:c>
      <x:c r="AZ528" s="14" t="str">
        <x:v>Final supplied register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24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3</x:v>
      </x:c>
      <x:c r="BS528" s="16" t="n">
        <x:v>0.125</x:v>
      </x:c>
      <x:c r="BT528" s="14" t="str">
        <x:v>Minority of episodes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4" t="str">
        <x:v>HYPERLINK is not implemented. linkLocation=https://www.imdb.com/title/tt15210882/fullcredits/, friendlyName=Open source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tt15210882|nm2393156|phyllis</x:v>
      </x:c>
      <x:c r="B529" s="14" t="str">
        <x:v>05</x:v>
      </x:c>
      <x:c r="C529" s="14" t="str">
        <x:v>2022_IMDb_Cast_Lists_Batch_05(1).xlsx</x:v>
      </x:c>
      <x:c r="D529" s="14" t="str">
        <x:v>The Dry</x:v>
      </x:c>
      <x:c r="E529" s="14" t="n">
        <x:v>37</x:v>
      </x:c>
      <x:c r="F529" s="14" t="str">
        <x:v>The Dry</x:v>
      </x:c>
      <x:c r="G529" s="14" t="str">
        <x:v>tt15210882</x:v>
      </x:c>
      <x:c r="H529" s="14" t="n">
        <x:v>2022</x:v>
      </x:c>
      <x:c r="I529" s="14" t="n">
        <x:v>2025</x:v>
      </x:c>
      <x:c r="J529" s="14" t="str">
        <x:v>Post-study cohort</x:v>
      </x:c>
      <x:c r="K529" s="14" t="n">
        <x:v>2022</x:v>
      </x:c>
      <x:c r="L529" s="14" t="str">
        <x:v>Not inherited</x:v>
      </x:c>
      <x:c r="M529" s="15" t="n">
        <x:v>30</x:v>
      </x:c>
      <x:c r="N529" s="14" t="str">
        <x:v>Diana O'Connor</x:v>
      </x:c>
      <x:c r="O529" s="14" t="str">
        <x:v>nm2393156</x:v>
      </x:c>
      <x:c r="P529" s="14" t="str">
        <x:v>Phyllis</x:v>
      </x:c>
      <x:c r="Q529" s="15" t="n">
        <x:v>3</x:v>
      </x:c>
      <x:c r="R529" s="14" t="str">
        <x:v>2026</x:v>
      </x:c>
      <x:c r="S529" s="14" t="n">
        <x:v>2026</x:v>
      </x:c>
      <x:c r="T529" s="14" t="n">
        <x:v>2026</x:v>
      </x:c>
      <x:c r="U529" s="14" t="str">
        <x:v>Explicit source first year retained</x:v>
      </x:c>
      <x:c r="V529" s="14" t="str">
        <x:v>Earliest supplied year is 2026.</x:v>
      </x:c>
      <x:c r="W529" s="14"/>
      <x:c r="X529" s="14" t="str">
        <x:v>Excluded: after 2025</x:v>
      </x:c>
      <x:c r="Y529" s="14"/>
      <x:c r="Z529" s="14" t="str">
        <x:v>The Dry.docx</x:v>
      </x:c>
      <x:c r="AA529" s="14" t="str">
        <x:v>HYPERLINK is not implemented. linkLocation=https://www.imdb.com/title/tt15210882/fullcredits/, friendlyName=Open source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BritBox UK</x:v>
      </x:c>
      <x:c r="AI529" s="14" t="str">
        <x:v>Qualifying UK co-commission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qualifying uk co-commission.</x:v>
      </x:c>
      <x:c r="AM529" s="17" t="e">
        <x:f>HYPERLINK("https://en.wikipedia.org/wiki/Dry","Open source")</x:f>
        <x:v>HYPERLINK is not implemented. linkLocation=https://en.wikipedia.org/wiki/Dry, friendlyName=Open source</x:v>
      </x:c>
      <x:c r="AN529" s="14" t="str">
        <x:v>No qualifying BBC relationship</x:v>
      </x:c>
      <x:c r="AO529" s="14" t="str">
        <x:v>No</x:v>
      </x:c>
      <x:c r="AP529" s="14" t="str">
        <x:v>Out of scope</x:v>
      </x:c>
      <x:c r="AQ529" s="14" t="str">
        <x:v>No</x:v>
      </x:c>
      <x:c r="AR529" s="14" t="str">
        <x:v>Resolved from master register</x:v>
      </x:c>
      <x:c r="AS529" s="14" t="str">
        <x:v>No established-register match</x:v>
      </x:c>
      <x:c r="AT529" s="14"/>
      <x:c r="AU529" s="14"/>
      <x:c r="AV529" s="14" t="str">
        <x:v>No established apparent-disability match</x:v>
      </x:c>
      <x:c r="AW529" s="14"/>
      <x:c r="AX529" s="14" t="str">
        <x:v>No</x:v>
      </x:c>
      <x:c r="AY529" s="14" t="str">
        <x:v>Unmatched</x:v>
      </x:c>
      <x:c r="AZ529" s="14" t="str">
        <x:v>Final supplied register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24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3</x:v>
      </x:c>
      <x:c r="BS529" s="16" t="n">
        <x:v>0.125</x:v>
      </x:c>
      <x:c r="BT529" s="14" t="str">
        <x:v>Minority of episodes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4" t="str">
        <x:v>HYPERLINK is not implemented. linkLocation=https://www.imdb.com/title/tt15210882/fullcredits/, friendlyName=Open source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tt15210882|nm5342848|anna</x:v>
      </x:c>
      <x:c r="B530" s="14" t="str">
        <x:v>05</x:v>
      </x:c>
      <x:c r="C530" s="14" t="str">
        <x:v>2022_IMDb_Cast_Lists_Batch_05(1).xlsx</x:v>
      </x:c>
      <x:c r="D530" s="14" t="str">
        <x:v>The Dry</x:v>
      </x:c>
      <x:c r="E530" s="14" t="n">
        <x:v>40</x:v>
      </x:c>
      <x:c r="F530" s="14" t="str">
        <x:v>The Dry</x:v>
      </x:c>
      <x:c r="G530" s="14" t="str">
        <x:v>tt15210882</x:v>
      </x:c>
      <x:c r="H530" s="14" t="n">
        <x:v>2022</x:v>
      </x:c>
      <x:c r="I530" s="14" t="n">
        <x:v>2025</x:v>
      </x:c>
      <x:c r="J530" s="14" t="str">
        <x:v>Post-study cohort</x:v>
      </x:c>
      <x:c r="K530" s="14" t="n">
        <x:v>2022</x:v>
      </x:c>
      <x:c r="L530" s="14" t="str">
        <x:v>Not inherited</x:v>
      </x:c>
      <x:c r="M530" s="15" t="n">
        <x:v>33</x:v>
      </x:c>
      <x:c r="N530" s="14" t="str">
        <x:v>Imogen Doel</x:v>
      </x:c>
      <x:c r="O530" s="14" t="str">
        <x:v>nm5342848</x:v>
      </x:c>
      <x:c r="P530" s="14" t="str">
        <x:v>Anna</x:v>
      </x:c>
      <x:c r="Q530" s="15" t="n">
        <x:v>3</x:v>
      </x:c>
      <x:c r="R530" s="14" t="str">
        <x:v>2026</x:v>
      </x:c>
      <x:c r="S530" s="14" t="n">
        <x:v>2026</x:v>
      </x:c>
      <x:c r="T530" s="14" t="n">
        <x:v>2026</x:v>
      </x:c>
      <x:c r="U530" s="14" t="str">
        <x:v>Explicit source first year retained</x:v>
      </x:c>
      <x:c r="V530" s="14" t="str">
        <x:v>Earliest supplied year is 2026.</x:v>
      </x:c>
      <x:c r="W530" s="14"/>
      <x:c r="X530" s="14" t="str">
        <x:v>Excluded: after 2025</x:v>
      </x:c>
      <x:c r="Y530" s="14"/>
      <x:c r="Z530" s="14" t="str">
        <x:v>The Dry.docx</x:v>
      </x:c>
      <x:c r="AA530" s="14" t="str">
        <x:v>HYPERLINK is not implemented. linkLocation=https://www.imdb.com/title/tt15210882/fullcredits/, friendlyName=Open source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BritBox UK</x:v>
      </x:c>
      <x:c r="AI530" s="14" t="str">
        <x:v>Qualifying UK co-commission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qualifying uk co-commission.</x:v>
      </x:c>
      <x:c r="AM530" s="17" t="e">
        <x:f>HYPERLINK("https://en.wikipedia.org/wiki/Dry","Open source")</x:f>
        <x:v>HYPERLINK is not implemented. linkLocation=https://en.wikipedia.org/wiki/Dry, friendlyName=Open source</x:v>
      </x:c>
      <x:c r="AN530" s="14" t="str">
        <x:v>No qualifying BBC relationship</x:v>
      </x:c>
      <x:c r="AO530" s="14" t="str">
        <x:v>No</x:v>
      </x:c>
      <x:c r="AP530" s="14" t="str">
        <x:v>Out of scope</x:v>
      </x:c>
      <x:c r="AQ530" s="14" t="str">
        <x:v>No</x:v>
      </x:c>
      <x:c r="AR530" s="14" t="str">
        <x:v>Resolved from master register</x:v>
      </x:c>
      <x:c r="AS530" s="14" t="str">
        <x:v>No established-register match</x:v>
      </x:c>
      <x:c r="AT530" s="14"/>
      <x:c r="AU530" s="14"/>
      <x:c r="AV530" s="14" t="str">
        <x:v>No established apparent-disability match</x:v>
      </x:c>
      <x:c r="AW530" s="14"/>
      <x:c r="AX530" s="14" t="str">
        <x:v>No</x:v>
      </x:c>
      <x:c r="AY530" s="14" t="str">
        <x:v>Unmatched</x:v>
      </x:c>
      <x:c r="AZ530" s="14" t="str">
        <x:v>Final supplied register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24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3</x:v>
      </x:c>
      <x:c r="BS530" s="16" t="n">
        <x:v>0.125</x:v>
      </x:c>
      <x:c r="BT530" s="14" t="str">
        <x:v>Minority of episodes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4" t="str">
        <x:v>HYPERLINK is not implemented. linkLocation=https://www.imdb.com/title/tt15210882/fullcredits/, friendlyName=Open source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tt15210882|nm16596521|nicky</x:v>
      </x:c>
      <x:c r="B531" s="14" t="str">
        <x:v>05</x:v>
      </x:c>
      <x:c r="C531" s="14" t="str">
        <x:v>2022_IMDb_Cast_Lists_Batch_05(1).xlsx</x:v>
      </x:c>
      <x:c r="D531" s="14" t="str">
        <x:v>The Dry</x:v>
      </x:c>
      <x:c r="E531" s="14" t="n">
        <x:v>43</x:v>
      </x:c>
      <x:c r="F531" s="14" t="str">
        <x:v>The Dry</x:v>
      </x:c>
      <x:c r="G531" s="14" t="str">
        <x:v>tt15210882</x:v>
      </x:c>
      <x:c r="H531" s="14" t="n">
        <x:v>2022</x:v>
      </x:c>
      <x:c r="I531" s="14" t="n">
        <x:v>2025</x:v>
      </x:c>
      <x:c r="J531" s="14" t="str">
        <x:v>Post-study cohort</x:v>
      </x:c>
      <x:c r="K531" s="14" t="n">
        <x:v>2022</x:v>
      </x:c>
      <x:c r="L531" s="14" t="str">
        <x:v>Not inherited</x:v>
      </x:c>
      <x:c r="M531" s="15" t="n">
        <x:v>36</x:v>
      </x:c>
      <x:c r="N531" s="14" t="str">
        <x:v>Morgan Savidan</x:v>
      </x:c>
      <x:c r="O531" s="14" t="str">
        <x:v>nm16596521</x:v>
      </x:c>
      <x:c r="P531" s="14" t="str">
        <x:v>Nicky</x:v>
      </x:c>
      <x:c r="Q531" s="15" t="n">
        <x:v>3</x:v>
      </x:c>
      <x:c r="R531" s="14" t="str">
        <x:v>2026</x:v>
      </x:c>
      <x:c r="S531" s="14" t="n">
        <x:v>2026</x:v>
      </x:c>
      <x:c r="T531" s="14" t="n">
        <x:v>2026</x:v>
      </x:c>
      <x:c r="U531" s="14" t="str">
        <x:v>Explicit source first year retained</x:v>
      </x:c>
      <x:c r="V531" s="14" t="str">
        <x:v>Earliest supplied year is 2026.</x:v>
      </x:c>
      <x:c r="W531" s="14"/>
      <x:c r="X531" s="14" t="str">
        <x:v>Excluded: after 2025</x:v>
      </x:c>
      <x:c r="Y531" s="14"/>
      <x:c r="Z531" s="14" t="str">
        <x:v>The Dry.docx</x:v>
      </x:c>
      <x:c r="AA531" s="14" t="str">
        <x:v>HYPERLINK is not implemented. linkLocation=https://www.imdb.com/title/tt15210882/fullcredits/, friendlyName=Open source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BritBox UK</x:v>
      </x:c>
      <x:c r="AI531" s="14" t="str">
        <x:v>Qualifying UK co-commission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qualifying uk co-commission.</x:v>
      </x:c>
      <x:c r="AM531" s="17" t="e">
        <x:f>HYPERLINK("https://en.wikipedia.org/wiki/Dry","Open source")</x:f>
        <x:v>HYPERLINK is not implemented. linkLocation=https://en.wikipedia.org/wiki/Dry, friendlyName=Open source</x:v>
      </x:c>
      <x:c r="AN531" s="14" t="str">
        <x:v>No qualifying BBC relationship</x:v>
      </x:c>
      <x:c r="AO531" s="14" t="str">
        <x:v>No</x:v>
      </x:c>
      <x:c r="AP531" s="14" t="str">
        <x:v>Out of scope</x:v>
      </x:c>
      <x:c r="AQ531" s="14" t="str">
        <x:v>No</x:v>
      </x:c>
      <x:c r="AR531" s="14" t="str">
        <x:v>Resolved from master register</x:v>
      </x:c>
      <x:c r="AS531" s="14" t="str">
        <x:v>No established-register match</x:v>
      </x:c>
      <x:c r="AT531" s="14"/>
      <x:c r="AU531" s="14"/>
      <x:c r="AV531" s="14" t="str">
        <x:v>No established apparent-disability match</x:v>
      </x:c>
      <x:c r="AW531" s="14"/>
      <x:c r="AX531" s="14" t="str">
        <x:v>No</x:v>
      </x:c>
      <x:c r="AY531" s="14" t="str">
        <x:v>Unmatched</x:v>
      </x:c>
      <x:c r="AZ531" s="14" t="str">
        <x:v>Final supplied register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24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3</x:v>
      </x:c>
      <x:c r="BS531" s="16" t="n">
        <x:v>0.125</x:v>
      </x:c>
      <x:c r="BT531" s="14" t="str">
        <x:v>Minority of episodes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4" t="str">
        <x:v>HYPERLINK is not implemented. linkLocation=https://www.imdb.com/title/tt15210882/fullcredits/, friendlyName=Open source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tt15210882|nm18437236|freddie</x:v>
      </x:c>
      <x:c r="B532" s="14" t="str">
        <x:v>05</x:v>
      </x:c>
      <x:c r="C532" s="14" t="str">
        <x:v>2022_IMDb_Cast_Lists_Batch_05(1).xlsx</x:v>
      </x:c>
      <x:c r="D532" s="14" t="str">
        <x:v>The Dry</x:v>
      </x:c>
      <x:c r="E532" s="14" t="n">
        <x:v>44</x:v>
      </x:c>
      <x:c r="F532" s="14" t="str">
        <x:v>The Dry</x:v>
      </x:c>
      <x:c r="G532" s="14" t="str">
        <x:v>tt15210882</x:v>
      </x:c>
      <x:c r="H532" s="14" t="n">
        <x:v>2022</x:v>
      </x:c>
      <x:c r="I532" s="14" t="n">
        <x:v>2025</x:v>
      </x:c>
      <x:c r="J532" s="14" t="str">
        <x:v>Post-study cohort</x:v>
      </x:c>
      <x:c r="K532" s="14" t="n">
        <x:v>2022</x:v>
      </x:c>
      <x:c r="L532" s="14" t="str">
        <x:v>Not inherited</x:v>
      </x:c>
      <x:c r="M532" s="15" t="n">
        <x:v>37</x:v>
      </x:c>
      <x:c r="N532" s="14" t="str">
        <x:v>Teddy Moore</x:v>
      </x:c>
      <x:c r="O532" s="14" t="str">
        <x:v>nm18437236</x:v>
      </x:c>
      <x:c r="P532" s="14" t="str">
        <x:v>Freddie</x:v>
      </x:c>
      <x:c r="Q532" s="15" t="n">
        <x:v>3</x:v>
      </x:c>
      <x:c r="R532" s="14" t="str">
        <x:v>2026</x:v>
      </x:c>
      <x:c r="S532" s="14" t="n">
        <x:v>2026</x:v>
      </x:c>
      <x:c r="T532" s="14" t="n">
        <x:v>2026</x:v>
      </x:c>
      <x:c r="U532" s="14" t="str">
        <x:v>Explicit source first year retained</x:v>
      </x:c>
      <x:c r="V532" s="14" t="str">
        <x:v>Earliest supplied year is 2026.</x:v>
      </x:c>
      <x:c r="W532" s="14"/>
      <x:c r="X532" s="14" t="str">
        <x:v>Excluded: after 2025</x:v>
      </x:c>
      <x:c r="Y532" s="14"/>
      <x:c r="Z532" s="14" t="str">
        <x:v>The Dry.docx</x:v>
      </x:c>
      <x:c r="AA532" s="14" t="str">
        <x:v>HYPERLINK is not implemented. linkLocation=https://www.imdb.com/title/tt15210882/fullcredits/, friendlyName=Open source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BritBox UK</x:v>
      </x:c>
      <x:c r="AI532" s="14" t="str">
        <x:v>Qualifying UK co-commission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qualifying uk co-commission.</x:v>
      </x:c>
      <x:c r="AM532" s="17" t="e">
        <x:f>HYPERLINK("https://en.wikipedia.org/wiki/Dry","Open source")</x:f>
        <x:v>HYPERLINK is not implemented. linkLocation=https://en.wikipedia.org/wiki/Dry, friendlyName=Open source</x:v>
      </x:c>
      <x:c r="AN532" s="14" t="str">
        <x:v>No qualifying BBC relationship</x:v>
      </x:c>
      <x:c r="AO532" s="14" t="str">
        <x:v>No</x:v>
      </x:c>
      <x:c r="AP532" s="14" t="str">
        <x:v>Out of scope</x:v>
      </x:c>
      <x:c r="AQ532" s="14" t="str">
        <x:v>No</x:v>
      </x:c>
      <x:c r="AR532" s="14" t="str">
        <x:v>Resolved from master register</x:v>
      </x:c>
      <x:c r="AS532" s="14" t="str">
        <x:v>No established-register match</x:v>
      </x:c>
      <x:c r="AT532" s="14"/>
      <x:c r="AU532" s="14"/>
      <x:c r="AV532" s="14" t="str">
        <x:v>No established apparent-disability match</x:v>
      </x:c>
      <x:c r="AW532" s="14"/>
      <x:c r="AX532" s="14" t="str">
        <x:v>No</x:v>
      </x:c>
      <x:c r="AY532" s="14" t="str">
        <x:v>Unmatched</x:v>
      </x:c>
      <x:c r="AZ532" s="14" t="str">
        <x:v>Final supplied register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24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3</x:v>
      </x:c>
      <x:c r="BS532" s="16" t="n">
        <x:v>0.125</x:v>
      </x:c>
      <x:c r="BT532" s="14" t="str">
        <x:v>Minority of episodes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4" t="str">
        <x:v>HYPERLINK is not implemented. linkLocation=https://www.imdb.com/title/tt15210882/fullcredits/, friendlyName=Open source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tt15210882|nm14174071|ben</x:v>
      </x:c>
      <x:c r="B533" s="14" t="str">
        <x:v>05</x:v>
      </x:c>
      <x:c r="C533" s="14" t="str">
        <x:v>2022_IMDb_Cast_Lists_Batch_05(1).xlsx</x:v>
      </x:c>
      <x:c r="D533" s="14" t="str">
        <x:v>The Dry</x:v>
      </x:c>
      <x:c r="E533" s="14" t="n">
        <x:v>45</x:v>
      </x:c>
      <x:c r="F533" s="14" t="str">
        <x:v>The Dry</x:v>
      </x:c>
      <x:c r="G533" s="14" t="str">
        <x:v>tt15210882</x:v>
      </x:c>
      <x:c r="H533" s="14" t="n">
        <x:v>2022</x:v>
      </x:c>
      <x:c r="I533" s="14" t="n">
        <x:v>2025</x:v>
      </x:c>
      <x:c r="J533" s="14" t="str">
        <x:v>Post-study cohort</x:v>
      </x:c>
      <x:c r="K533" s="14" t="n">
        <x:v>2022</x:v>
      </x:c>
      <x:c r="L533" s="14" t="str">
        <x:v>Not inherited</x:v>
      </x:c>
      <x:c r="M533" s="15" t="n">
        <x:v>38</x:v>
      </x:c>
      <x:c r="N533" s="14" t="str">
        <x:v>David Ogumefu</x:v>
      </x:c>
      <x:c r="O533" s="14" t="str">
        <x:v>nm14174071</x:v>
      </x:c>
      <x:c r="P533" s="14" t="str">
        <x:v>Ben</x:v>
      </x:c>
      <x:c r="Q533" s="15" t="n">
        <x:v>3</x:v>
      </x:c>
      <x:c r="R533" s="14" t="str">
        <x:v>2026</x:v>
      </x:c>
      <x:c r="S533" s="14" t="n">
        <x:v>2026</x:v>
      </x:c>
      <x:c r="T533" s="14" t="n">
        <x:v>2026</x:v>
      </x:c>
      <x:c r="U533" s="14" t="str">
        <x:v>Explicit source first year retained</x:v>
      </x:c>
      <x:c r="V533" s="14" t="str">
        <x:v>Earliest supplied year is 2026.</x:v>
      </x:c>
      <x:c r="W533" s="14"/>
      <x:c r="X533" s="14" t="str">
        <x:v>Excluded: after 2025</x:v>
      </x:c>
      <x:c r="Y533" s="14"/>
      <x:c r="Z533" s="14" t="str">
        <x:v>The Dry.docx</x:v>
      </x:c>
      <x:c r="AA533" s="14" t="str">
        <x:v>HYPERLINK is not implemented. linkLocation=https://www.imdb.com/title/tt15210882/fullcredits/, friendlyName=Open source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BritBox UK</x:v>
      </x:c>
      <x:c r="AI533" s="14" t="str">
        <x:v>Qualifying UK co-commission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qualifying uk co-commission.</x:v>
      </x:c>
      <x:c r="AM533" s="17" t="e">
        <x:f>HYPERLINK("https://en.wikipedia.org/wiki/Dry","Open source")</x:f>
        <x:v>HYPERLINK is not implemented. linkLocation=https://en.wikipedia.org/wiki/Dry, friendlyName=Open source</x:v>
      </x:c>
      <x:c r="AN533" s="14" t="str">
        <x:v>No qualifying BBC relationship</x:v>
      </x:c>
      <x:c r="AO533" s="14" t="str">
        <x:v>No</x:v>
      </x:c>
      <x:c r="AP533" s="14" t="str">
        <x:v>Out of scope</x:v>
      </x:c>
      <x:c r="AQ533" s="14" t="str">
        <x:v>No</x:v>
      </x:c>
      <x:c r="AR533" s="14" t="str">
        <x:v>Resolved from master register</x:v>
      </x:c>
      <x:c r="AS533" s="14" t="str">
        <x:v>No established-register match</x:v>
      </x:c>
      <x:c r="AT533" s="14"/>
      <x:c r="AU533" s="14"/>
      <x:c r="AV533" s="14" t="str">
        <x:v>No established apparent-disability match</x:v>
      </x:c>
      <x:c r="AW533" s="14"/>
      <x:c r="AX533" s="14" t="str">
        <x:v>No</x:v>
      </x:c>
      <x:c r="AY533" s="14" t="str">
        <x:v>Unmatched</x:v>
      </x:c>
      <x:c r="AZ533" s="14" t="str">
        <x:v>Final supplied register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24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3</x:v>
      </x:c>
      <x:c r="BS533" s="16" t="n">
        <x:v>0.125</x:v>
      </x:c>
      <x:c r="BT533" s="14" t="str">
        <x:v>Minority of episodes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4" t="str">
        <x:v>HYPERLINK is not implemented. linkLocation=https://www.imdb.com/title/tt15210882/fullcredits/, friendlyName=Open source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tt15210882|nm0828302|valerie</x:v>
      </x:c>
      <x:c r="B534" s="14" t="str">
        <x:v>05</x:v>
      </x:c>
      <x:c r="C534" s="14" t="str">
        <x:v>2022_IMDb_Cast_Lists_Batch_05(1).xlsx</x:v>
      </x:c>
      <x:c r="D534" s="14" t="str">
        <x:v>The Dry</x:v>
      </x:c>
      <x:c r="E534" s="14" t="n">
        <x:v>46</x:v>
      </x:c>
      <x:c r="F534" s="14" t="str">
        <x:v>The Dry</x:v>
      </x:c>
      <x:c r="G534" s="14" t="str">
        <x:v>tt15210882</x:v>
      </x:c>
      <x:c r="H534" s="14" t="n">
        <x:v>2022</x:v>
      </x:c>
      <x:c r="I534" s="14" t="n">
        <x:v>2025</x:v>
      </x:c>
      <x:c r="J534" s="14" t="str">
        <x:v>Post-study cohort</x:v>
      </x:c>
      <x:c r="K534" s="14" t="n">
        <x:v>2022</x:v>
      </x:c>
      <x:c r="L534" s="14" t="str">
        <x:v>Not inherited</x:v>
      </x:c>
      <x:c r="M534" s="15" t="n">
        <x:v>39</x:v>
      </x:c>
      <x:c r="N534" s="14" t="str">
        <x:v>Carmel Stephens</x:v>
      </x:c>
      <x:c r="O534" s="14" t="str">
        <x:v>nm0828302</x:v>
      </x:c>
      <x:c r="P534" s="14" t="str">
        <x:v>Valerie</x:v>
      </x:c>
      <x:c r="Q534" s="15" t="n">
        <x:v>2</x:v>
      </x:c>
      <x:c r="R534" s="14" t="str">
        <x:v>2026</x:v>
      </x:c>
      <x:c r="S534" s="14" t="n">
        <x:v>2026</x:v>
      </x:c>
      <x:c r="T534" s="14" t="n">
        <x:v>2026</x:v>
      </x:c>
      <x:c r="U534" s="14" t="str">
        <x:v>Explicit source first year retained</x:v>
      </x:c>
      <x:c r="V534" s="14" t="str">
        <x:v>Earliest supplied year is 2026.</x:v>
      </x:c>
      <x:c r="W534" s="14"/>
      <x:c r="X534" s="14" t="str">
        <x:v>Excluded: after 2025</x:v>
      </x:c>
      <x:c r="Y534" s="14"/>
      <x:c r="Z534" s="14" t="str">
        <x:v>The Dry.docx</x:v>
      </x:c>
      <x:c r="AA534" s="14" t="str">
        <x:v>HYPERLINK is not implemented. linkLocation=https://www.imdb.com/title/tt15210882/fullcredits/, friendlyName=Open source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BritBox UK</x:v>
      </x:c>
      <x:c r="AI534" s="14" t="str">
        <x:v>Qualifying UK co-commission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qualifying uk co-commission.</x:v>
      </x:c>
      <x:c r="AM534" s="17" t="e">
        <x:f>HYPERLINK("https://en.wikipedia.org/wiki/Dry","Open source")</x:f>
        <x:v>HYPERLINK is not implemented. linkLocation=https://en.wikipedia.org/wiki/Dry, friendlyName=Open source</x:v>
      </x:c>
      <x:c r="AN534" s="14" t="str">
        <x:v>No qualifying BBC relationship</x:v>
      </x:c>
      <x:c r="AO534" s="14" t="str">
        <x:v>No</x:v>
      </x:c>
      <x:c r="AP534" s="14" t="str">
        <x:v>Out of scope</x:v>
      </x:c>
      <x:c r="AQ534" s="14" t="str">
        <x:v>No</x:v>
      </x:c>
      <x:c r="AR534" s="14" t="str">
        <x:v>Resolved from master register</x:v>
      </x:c>
      <x:c r="AS534" s="14" t="str">
        <x:v>No established-register match</x:v>
      </x:c>
      <x:c r="AT534" s="14"/>
      <x:c r="AU534" s="14"/>
      <x:c r="AV534" s="14" t="str">
        <x:v>No established apparent-disability match</x:v>
      </x:c>
      <x:c r="AW534" s="14"/>
      <x:c r="AX534" s="14" t="str">
        <x:v>No</x:v>
      </x:c>
      <x:c r="AY534" s="14" t="str">
        <x:v>Unmatched</x:v>
      </x:c>
      <x:c r="AZ534" s="14" t="str">
        <x:v>Final supplied register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24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2</x:v>
      </x:c>
      <x:c r="BS534" s="16" t="n">
        <x:v>0.08333333333333333</x:v>
      </x:c>
      <x:c r="BT534" s="14" t="str">
        <x:v>Minority of episodes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4" t="str">
        <x:v>HYPERLINK is not implemented. linkLocation=https://www.imdb.com/title/tt15210882/fullcredits/, friendlyName=Open source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tt15210882|nm0790646|greta</x:v>
      </x:c>
      <x:c r="B535" s="14" t="str">
        <x:v>05</x:v>
      </x:c>
      <x:c r="C535" s="14" t="str">
        <x:v>2022_IMDb_Cast_Lists_Batch_05(1).xlsx</x:v>
      </x:c>
      <x:c r="D535" s="14" t="str">
        <x:v>The Dry</x:v>
      </x:c>
      <x:c r="E535" s="14" t="n">
        <x:v>50</x:v>
      </x:c>
      <x:c r="F535" s="14" t="str">
        <x:v>The Dry</x:v>
      </x:c>
      <x:c r="G535" s="14" t="str">
        <x:v>tt15210882</x:v>
      </x:c>
      <x:c r="H535" s="14" t="n">
        <x:v>2022</x:v>
      </x:c>
      <x:c r="I535" s="14" t="n">
        <x:v>2025</x:v>
      </x:c>
      <x:c r="J535" s="14" t="str">
        <x:v>Post-study cohort</x:v>
      </x:c>
      <x:c r="K535" s="14" t="n">
        <x:v>2022</x:v>
      </x:c>
      <x:c r="L535" s="14" t="str">
        <x:v>Not inherited</x:v>
      </x:c>
      <x:c r="M535" s="15" t="n">
        <x:v>43</x:v>
      </x:c>
      <x:c r="N535" s="14" t="str">
        <x:v>Joan Sheehy</x:v>
      </x:c>
      <x:c r="O535" s="14" t="str">
        <x:v>nm0790646</x:v>
      </x:c>
      <x:c r="P535" s="14" t="str">
        <x:v>Greta</x:v>
      </x:c>
      <x:c r="Q535" s="15" t="n">
        <x:v>2</x:v>
      </x:c>
      <x:c r="R535" s="14" t="str">
        <x:v>2026</x:v>
      </x:c>
      <x:c r="S535" s="14" t="n">
        <x:v>2026</x:v>
      </x:c>
      <x:c r="T535" s="14" t="n">
        <x:v>2026</x:v>
      </x:c>
      <x:c r="U535" s="14" t="str">
        <x:v>Explicit source first year retained</x:v>
      </x:c>
      <x:c r="V535" s="14" t="str">
        <x:v>Earliest supplied year is 2026.</x:v>
      </x:c>
      <x:c r="W535" s="14"/>
      <x:c r="X535" s="14" t="str">
        <x:v>Excluded: after 2025</x:v>
      </x:c>
      <x:c r="Y535" s="14"/>
      <x:c r="Z535" s="14" t="str">
        <x:v>The Dry.docx</x:v>
      </x:c>
      <x:c r="AA535" s="14" t="str">
        <x:v>HYPERLINK is not implemented. linkLocation=https://www.imdb.com/title/tt15210882/fullcredits/, friendlyName=Open source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BritBox UK</x:v>
      </x:c>
      <x:c r="AI535" s="14" t="str">
        <x:v>Qualifying UK co-commission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qualifying uk co-commission.</x:v>
      </x:c>
      <x:c r="AM535" s="17" t="e">
        <x:f>HYPERLINK("https://en.wikipedia.org/wiki/Dry","Open source")</x:f>
        <x:v>HYPERLINK is not implemented. linkLocation=https://en.wikipedia.org/wiki/Dry, friendlyName=Open source</x:v>
      </x:c>
      <x:c r="AN535" s="14" t="str">
        <x:v>No qualifying BBC relationship</x:v>
      </x:c>
      <x:c r="AO535" s="14" t="str">
        <x:v>No</x:v>
      </x:c>
      <x:c r="AP535" s="14" t="str">
        <x:v>Out of scope</x:v>
      </x:c>
      <x:c r="AQ535" s="14" t="str">
        <x:v>No</x:v>
      </x:c>
      <x:c r="AR535" s="14" t="str">
        <x:v>Resolved from master register</x:v>
      </x:c>
      <x:c r="AS535" s="14" t="str">
        <x:v>No established-register match</x:v>
      </x:c>
      <x:c r="AT535" s="14"/>
      <x:c r="AU535" s="14"/>
      <x:c r="AV535" s="14" t="str">
        <x:v>No established apparent-disability match</x:v>
      </x:c>
      <x:c r="AW535" s="14"/>
      <x:c r="AX535" s="14" t="str">
        <x:v>No</x:v>
      </x:c>
      <x:c r="AY535" s="14" t="str">
        <x:v>Unmatched</x:v>
      </x:c>
      <x:c r="AZ535" s="14" t="str">
        <x:v>Final supplied register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24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2</x:v>
      </x:c>
      <x:c r="BS535" s="16" t="n">
        <x:v>0.08333333333333333</x:v>
      </x:c>
      <x:c r="BT535" s="14" t="str">
        <x:v>Minority of episodes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4" t="str">
        <x:v>HYPERLINK is not implemented. linkLocation=https://www.imdb.com/title/tt15210882/fullcredits/, friendlyName=Open source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tt15210882|nm15278593|pierce</x:v>
      </x:c>
      <x:c r="B536" s="14" t="str">
        <x:v>05</x:v>
      </x:c>
      <x:c r="C536" s="14" t="str">
        <x:v>2022_IMDb_Cast_Lists_Batch_05(1).xlsx</x:v>
      </x:c>
      <x:c r="D536" s="14" t="str">
        <x:v>The Dry</x:v>
      </x:c>
      <x:c r="E536" s="14" t="n">
        <x:v>57</x:v>
      </x:c>
      <x:c r="F536" s="14" t="str">
        <x:v>The Dry</x:v>
      </x:c>
      <x:c r="G536" s="14" t="str">
        <x:v>tt15210882</x:v>
      </x:c>
      <x:c r="H536" s="14" t="n">
        <x:v>2022</x:v>
      </x:c>
      <x:c r="I536" s="14" t="n">
        <x:v>2025</x:v>
      </x:c>
      <x:c r="J536" s="14" t="str">
        <x:v>Post-study cohort</x:v>
      </x:c>
      <x:c r="K536" s="14" t="n">
        <x:v>2022</x:v>
      </x:c>
      <x:c r="L536" s="14" t="str">
        <x:v>Not inherited</x:v>
      </x:c>
      <x:c r="M536" s="15" t="n">
        <x:v>50</x:v>
      </x:c>
      <x:c r="N536" s="14" t="str">
        <x:v>Derek Wall</x:v>
      </x:c>
      <x:c r="O536" s="14" t="str">
        <x:v>nm15278593</x:v>
      </x:c>
      <x:c r="P536" s="14" t="str">
        <x:v>Pierce</x:v>
      </x:c>
      <x:c r="Q536" s="15" t="n">
        <x:v>2</x:v>
      </x:c>
      <x:c r="R536" s="14" t="str">
        <x:v>2026</x:v>
      </x:c>
      <x:c r="S536" s="14" t="n">
        <x:v>2026</x:v>
      </x:c>
      <x:c r="T536" s="14" t="n">
        <x:v>2026</x:v>
      </x:c>
      <x:c r="U536" s="14" t="str">
        <x:v>Explicit source first year retained</x:v>
      </x:c>
      <x:c r="V536" s="14" t="str">
        <x:v>Earliest supplied year is 2026.</x:v>
      </x:c>
      <x:c r="W536" s="14"/>
      <x:c r="X536" s="14" t="str">
        <x:v>Excluded: after 2025</x:v>
      </x:c>
      <x:c r="Y536" s="14"/>
      <x:c r="Z536" s="14" t="str">
        <x:v>The Dry.docx</x:v>
      </x:c>
      <x:c r="AA536" s="14" t="str">
        <x:v>HYPERLINK is not implemented. linkLocation=https://www.imdb.com/title/tt15210882/fullcredits/, friendlyName=Open source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BritBox UK</x:v>
      </x:c>
      <x:c r="AI536" s="14" t="str">
        <x:v>Qualifying UK co-commission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qualifying uk co-commission.</x:v>
      </x:c>
      <x:c r="AM536" s="17" t="e">
        <x:f>HYPERLINK("https://en.wikipedia.org/wiki/Dry","Open source")</x:f>
        <x:v>HYPERLINK is not implemented. linkLocation=https://en.wikipedia.org/wiki/Dry, friendlyName=Open source</x:v>
      </x:c>
      <x:c r="AN536" s="14" t="str">
        <x:v>No qualifying BBC relationship</x:v>
      </x:c>
      <x:c r="AO536" s="14" t="str">
        <x:v>No</x:v>
      </x:c>
      <x:c r="AP536" s="14" t="str">
        <x:v>Out of scope</x:v>
      </x:c>
      <x:c r="AQ536" s="14" t="str">
        <x:v>No</x:v>
      </x:c>
      <x:c r="AR536" s="14" t="str">
        <x:v>Resolved from master register</x:v>
      </x:c>
      <x:c r="AS536" s="14" t="str">
        <x:v>No established-register match</x:v>
      </x:c>
      <x:c r="AT536" s="14"/>
      <x:c r="AU536" s="14"/>
      <x:c r="AV536" s="14" t="str">
        <x:v>No established apparent-disability match</x:v>
      </x:c>
      <x:c r="AW536" s="14"/>
      <x:c r="AX536" s="14" t="str">
        <x:v>No</x:v>
      </x:c>
      <x:c r="AY536" s="14" t="str">
        <x:v>Unmatched</x:v>
      </x:c>
      <x:c r="AZ536" s="14" t="str">
        <x:v>Final supplied register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24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2</x:v>
      </x:c>
      <x:c r="BS536" s="16" t="n">
        <x:v>0.08333333333333333</x:v>
      </x:c>
      <x:c r="BT536" s="14" t="str">
        <x:v>Minority of episodes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4" t="str">
        <x:v>HYPERLINK is not implemented. linkLocation=https://www.imdb.com/title/tt15210882/fullcredits/, friendlyName=Open source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tt15210882|nm12576666|the priest</x:v>
      </x:c>
      <x:c r="B537" s="14" t="str">
        <x:v>05</x:v>
      </x:c>
      <x:c r="C537" s="14" t="str">
        <x:v>2022_IMDb_Cast_Lists_Batch_05(1).xlsx</x:v>
      </x:c>
      <x:c r="D537" s="14" t="str">
        <x:v>The Dry</x:v>
      </x:c>
      <x:c r="E537" s="14" t="n">
        <x:v>62</x:v>
      </x:c>
      <x:c r="F537" s="14" t="str">
        <x:v>The Dry</x:v>
      </x:c>
      <x:c r="G537" s="14" t="str">
        <x:v>tt15210882</x:v>
      </x:c>
      <x:c r="H537" s="14" t="n">
        <x:v>2022</x:v>
      </x:c>
      <x:c r="I537" s="14" t="n">
        <x:v>2025</x:v>
      </x:c>
      <x:c r="J537" s="14" t="str">
        <x:v>Post-study cohort</x:v>
      </x:c>
      <x:c r="K537" s="14" t="n">
        <x:v>2022</x:v>
      </x:c>
      <x:c r="L537" s="14" t="str">
        <x:v>Not inherited</x:v>
      </x:c>
      <x:c r="M537" s="15" t="n">
        <x:v>55</x:v>
      </x:c>
      <x:c r="N537" s="14" t="str">
        <x:v>Shane Daniel Byrne</x:v>
      </x:c>
      <x:c r="O537" s="14" t="str">
        <x:v>nm12576666</x:v>
      </x:c>
      <x:c r="P537" s="14" t="str">
        <x:v>The Priest</x:v>
      </x:c>
      <x:c r="Q537" s="15" t="n">
        <x:v>1</x:v>
      </x:c>
      <x:c r="R537" s="14" t="str">
        <x:v>2026</x:v>
      </x:c>
      <x:c r="S537" s="14" t="n">
        <x:v>2026</x:v>
      </x:c>
      <x:c r="T537" s="14" t="n">
        <x:v>2026</x:v>
      </x:c>
      <x:c r="U537" s="14" t="str">
        <x:v>Explicit source first year retained</x:v>
      </x:c>
      <x:c r="V537" s="14" t="str">
        <x:v>Earliest supplied year is 2026.</x:v>
      </x:c>
      <x:c r="W537" s="14"/>
      <x:c r="X537" s="14" t="str">
        <x:v>Excluded: after 2025</x:v>
      </x:c>
      <x:c r="Y537" s="14"/>
      <x:c r="Z537" s="14" t="str">
        <x:v>The Dry.docx</x:v>
      </x:c>
      <x:c r="AA537" s="14" t="str">
        <x:v>HYPERLINK is not implemented. linkLocation=https://www.imdb.com/title/tt15210882/fullcredits/, friendlyName=Open source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BritBox UK</x:v>
      </x:c>
      <x:c r="AI537" s="14" t="str">
        <x:v>Qualifying UK co-commission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qualifying uk co-commission.</x:v>
      </x:c>
      <x:c r="AM537" s="17" t="e">
        <x:f>HYPERLINK("https://en.wikipedia.org/wiki/Dry","Open source")</x:f>
        <x:v>HYPERLINK is not implemented. linkLocation=https://en.wikipedia.org/wiki/Dry, friendlyName=Open source</x:v>
      </x:c>
      <x:c r="AN537" s="14" t="str">
        <x:v>No qualifying BBC relationship</x:v>
      </x:c>
      <x:c r="AO537" s="14" t="str">
        <x:v>No</x:v>
      </x:c>
      <x:c r="AP537" s="14" t="str">
        <x:v>Out of scope</x:v>
      </x:c>
      <x:c r="AQ537" s="14" t="str">
        <x:v>No</x:v>
      </x:c>
      <x:c r="AR537" s="14" t="str">
        <x:v>Resolved from master register</x:v>
      </x:c>
      <x:c r="AS537" s="14" t="str">
        <x:v>No established-register match</x:v>
      </x:c>
      <x:c r="AT537" s="14"/>
      <x:c r="AU537" s="14"/>
      <x:c r="AV537" s="14" t="str">
        <x:v>No established apparent-disability match</x:v>
      </x:c>
      <x:c r="AW537" s="14"/>
      <x:c r="AX537" s="14" t="str">
        <x:v>No</x:v>
      </x:c>
      <x:c r="AY537" s="14" t="str">
        <x:v>Unmatched</x:v>
      </x:c>
      <x:c r="AZ537" s="14" t="str">
        <x:v>Final supplied register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24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0.041666666666666664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4" t="str">
        <x:v>HYPERLINK is not implemented. linkLocation=https://www.imdb.com/title/tt15210882/fullcredits/, friendlyName=Open source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tt15210882|nm0568463|dr. reynolds</x:v>
      </x:c>
      <x:c r="B538" s="14" t="str">
        <x:v>05</x:v>
      </x:c>
      <x:c r="C538" s="14" t="str">
        <x:v>2022_IMDb_Cast_Lists_Batch_05(1).xlsx</x:v>
      </x:c>
      <x:c r="D538" s="14" t="str">
        <x:v>The Dry</x:v>
      </x:c>
      <x:c r="E538" s="14" t="n">
        <x:v>63</x:v>
      </x:c>
      <x:c r="F538" s="14" t="str">
        <x:v>The Dry</x:v>
      </x:c>
      <x:c r="G538" s="14" t="str">
        <x:v>tt15210882</x:v>
      </x:c>
      <x:c r="H538" s="14" t="n">
        <x:v>2022</x:v>
      </x:c>
      <x:c r="I538" s="14" t="n">
        <x:v>2025</x:v>
      </x:c>
      <x:c r="J538" s="14" t="str">
        <x:v>Post-study cohort</x:v>
      </x:c>
      <x:c r="K538" s="14" t="n">
        <x:v>2022</x:v>
      </x:c>
      <x:c r="L538" s="14" t="str">
        <x:v>Not inherited</x:v>
      </x:c>
      <x:c r="M538" s="15" t="n">
        <x:v>56</x:v>
      </x:c>
      <x:c r="N538" s="14" t="str">
        <x:v>Gwynne McElveen</x:v>
      </x:c>
      <x:c r="O538" s="14" t="str">
        <x:v>nm0568463</x:v>
      </x:c>
      <x:c r="P538" s="14" t="str">
        <x:v>Dr. Reynolds</x:v>
      </x:c>
      <x:c r="Q538" s="15" t="n">
        <x:v>1</x:v>
      </x:c>
      <x:c r="R538" s="14" t="str">
        <x:v>2026</x:v>
      </x:c>
      <x:c r="S538" s="14" t="n">
        <x:v>2026</x:v>
      </x:c>
      <x:c r="T538" s="14" t="n">
        <x:v>2026</x:v>
      </x:c>
      <x:c r="U538" s="14" t="str">
        <x:v>Explicit source first year retained</x:v>
      </x:c>
      <x:c r="V538" s="14" t="str">
        <x:v>Earliest supplied year is 2026.</x:v>
      </x:c>
      <x:c r="W538" s="14"/>
      <x:c r="X538" s="14" t="str">
        <x:v>Excluded: after 2025</x:v>
      </x:c>
      <x:c r="Y538" s="14"/>
      <x:c r="Z538" s="14" t="str">
        <x:v>The Dry.docx</x:v>
      </x:c>
      <x:c r="AA538" s="14" t="str">
        <x:v>HYPERLINK is not implemented. linkLocation=https://www.imdb.com/title/tt15210882/fullcredits/, friendlyName=Open source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BritBox UK</x:v>
      </x:c>
      <x:c r="AI538" s="14" t="str">
        <x:v>Qualifying UK co-commission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qualifying uk co-commission.</x:v>
      </x:c>
      <x:c r="AM538" s="17" t="e">
        <x:f>HYPERLINK("https://en.wikipedia.org/wiki/Dry","Open source")</x:f>
        <x:v>HYPERLINK is not implemented. linkLocation=https://en.wikipedia.org/wiki/Dry, friendlyName=Open source</x:v>
      </x:c>
      <x:c r="AN538" s="14" t="str">
        <x:v>No qualifying BBC relationship</x:v>
      </x:c>
      <x:c r="AO538" s="14" t="str">
        <x:v>No</x:v>
      </x:c>
      <x:c r="AP538" s="14" t="str">
        <x:v>Out of scope</x:v>
      </x:c>
      <x:c r="AQ538" s="14" t="str">
        <x:v>No</x:v>
      </x:c>
      <x:c r="AR538" s="14" t="str">
        <x:v>Resolved from master register</x:v>
      </x:c>
      <x:c r="AS538" s="14" t="str">
        <x:v>No established-register match</x:v>
      </x:c>
      <x:c r="AT538" s="14"/>
      <x:c r="AU538" s="14"/>
      <x:c r="AV538" s="14" t="str">
        <x:v>No established apparent-disability match</x:v>
      </x:c>
      <x:c r="AW538" s="14"/>
      <x:c r="AX538" s="14" t="str">
        <x:v>No</x:v>
      </x:c>
      <x:c r="AY538" s="14" t="str">
        <x:v>Unmatched</x:v>
      </x:c>
      <x:c r="AZ538" s="14" t="str">
        <x:v>Final supplied register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24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0.041666666666666664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4" t="str">
        <x:v>HYPERLINK is not implemented. linkLocation=https://www.imdb.com/title/tt15210882/fullcredits/, friendlyName=Open source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tt15210882|nm3149102|sales assistant</x:v>
      </x:c>
      <x:c r="B539" s="14" t="str">
        <x:v>05</x:v>
      </x:c>
      <x:c r="C539" s="14" t="str">
        <x:v>2022_IMDb_Cast_Lists_Batch_05(1).xlsx</x:v>
      </x:c>
      <x:c r="D539" s="14" t="str">
        <x:v>The Dry</x:v>
      </x:c>
      <x:c r="E539" s="14" t="n">
        <x:v>72</x:v>
      </x:c>
      <x:c r="F539" s="14" t="str">
        <x:v>The Dry</x:v>
      </x:c>
      <x:c r="G539" s="14" t="str">
        <x:v>tt15210882</x:v>
      </x:c>
      <x:c r="H539" s="14" t="n">
        <x:v>2022</x:v>
      </x:c>
      <x:c r="I539" s="14" t="n">
        <x:v>2025</x:v>
      </x:c>
      <x:c r="J539" s="14" t="str">
        <x:v>Post-study cohort</x:v>
      </x:c>
      <x:c r="K539" s="14" t="n">
        <x:v>2022</x:v>
      </x:c>
      <x:c r="L539" s="14" t="str">
        <x:v>Not inherited</x:v>
      </x:c>
      <x:c r="M539" s="15" t="n">
        <x:v>65</x:v>
      </x:c>
      <x:c r="N539" s="14" t="str">
        <x:v>Robert Donnelly</x:v>
      </x:c>
      <x:c r="O539" s="14" t="str">
        <x:v>nm3149102</x:v>
      </x:c>
      <x:c r="P539" s="14" t="str">
        <x:v>Sales Assistant</x:v>
      </x:c>
      <x:c r="Q539" s="15" t="n">
        <x:v>1</x:v>
      </x:c>
      <x:c r="R539" s="14" t="str">
        <x:v>2026</x:v>
      </x:c>
      <x:c r="S539" s="14" t="n">
        <x:v>2026</x:v>
      </x:c>
      <x:c r="T539" s="14" t="n">
        <x:v>2026</x:v>
      </x:c>
      <x:c r="U539" s="14" t="str">
        <x:v>Explicit source first year retained</x:v>
      </x:c>
      <x:c r="V539" s="14" t="str">
        <x:v>Earliest supplied year is 2026.</x:v>
      </x:c>
      <x:c r="W539" s="14"/>
      <x:c r="X539" s="14" t="str">
        <x:v>Excluded: after 2025</x:v>
      </x:c>
      <x:c r="Y539" s="14"/>
      <x:c r="Z539" s="14" t="str">
        <x:v>The Dry.docx</x:v>
      </x:c>
      <x:c r="AA539" s="14" t="str">
        <x:v>HYPERLINK is not implemented. linkLocation=https://www.imdb.com/title/tt15210882/fullcredits/, friendlyName=Open source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BritBox UK</x:v>
      </x:c>
      <x:c r="AI539" s="14" t="str">
        <x:v>Qualifying UK co-commission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qualifying uk co-commission.</x:v>
      </x:c>
      <x:c r="AM539" s="17" t="e">
        <x:f>HYPERLINK("https://en.wikipedia.org/wiki/Dry","Open source")</x:f>
        <x:v>HYPERLINK is not implemented. linkLocation=https://en.wikipedia.org/wiki/Dry, friendlyName=Open source</x:v>
      </x:c>
      <x:c r="AN539" s="14" t="str">
        <x:v>No qualifying BBC relationship</x:v>
      </x:c>
      <x:c r="AO539" s="14" t="str">
        <x:v>No</x:v>
      </x:c>
      <x:c r="AP539" s="14" t="str">
        <x:v>Out of scope</x:v>
      </x:c>
      <x:c r="AQ539" s="14" t="str">
        <x:v>No</x:v>
      </x:c>
      <x:c r="AR539" s="14" t="str">
        <x:v>Resolved from master register</x:v>
      </x:c>
      <x:c r="AS539" s="14" t="str">
        <x:v>No established-register match</x:v>
      </x:c>
      <x:c r="AT539" s="14"/>
      <x:c r="AU539" s="14"/>
      <x:c r="AV539" s="14" t="str">
        <x:v>No established apparent-disability match</x:v>
      </x:c>
      <x:c r="AW539" s="14"/>
      <x:c r="AX539" s="14" t="str">
        <x:v>No</x:v>
      </x:c>
      <x:c r="AY539" s="14" t="str">
        <x:v>Unmatched</x:v>
      </x:c>
      <x:c r="AZ539" s="14" t="str">
        <x:v>Final supplied register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24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0.041666666666666664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4" t="str">
        <x:v>HYPERLINK is not implemented. linkLocation=https://www.imdb.com/title/tt15210882/fullcredits/, friendlyName=Open source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tt15210882|nm9243544|brian</x:v>
      </x:c>
      <x:c r="B540" s="14" t="str">
        <x:v>05</x:v>
      </x:c>
      <x:c r="C540" s="14" t="str">
        <x:v>2022_IMDb_Cast_Lists_Batch_05(1).xlsx</x:v>
      </x:c>
      <x:c r="D540" s="14" t="str">
        <x:v>The Dry</x:v>
      </x:c>
      <x:c r="E540" s="14" t="n">
        <x:v>76</x:v>
      </x:c>
      <x:c r="F540" s="14" t="str">
        <x:v>The Dry</x:v>
      </x:c>
      <x:c r="G540" s="14" t="str">
        <x:v>tt15210882</x:v>
      </x:c>
      <x:c r="H540" s="14" t="n">
        <x:v>2022</x:v>
      </x:c>
      <x:c r="I540" s="14" t="n">
        <x:v>2025</x:v>
      </x:c>
      <x:c r="J540" s="14" t="str">
        <x:v>Post-study cohort</x:v>
      </x:c>
      <x:c r="K540" s="14" t="n">
        <x:v>2022</x:v>
      </x:c>
      <x:c r="L540" s="14" t="str">
        <x:v>Not inherited</x:v>
      </x:c>
      <x:c r="M540" s="15" t="n">
        <x:v>69</x:v>
      </x:c>
      <x:c r="N540" s="14" t="str">
        <x:v>Conor Hackett</x:v>
      </x:c>
      <x:c r="O540" s="14" t="str">
        <x:v>nm9243544</x:v>
      </x:c>
      <x:c r="P540" s="14" t="str">
        <x:v>Brian</x:v>
      </x:c>
      <x:c r="Q540" s="15" t="n">
        <x:v>1</x:v>
      </x:c>
      <x:c r="R540" s="14" t="str">
        <x:v>2026</x:v>
      </x:c>
      <x:c r="S540" s="14" t="n">
        <x:v>2026</x:v>
      </x:c>
      <x:c r="T540" s="14" t="n">
        <x:v>2026</x:v>
      </x:c>
      <x:c r="U540" s="14" t="str">
        <x:v>Explicit source first year retained</x:v>
      </x:c>
      <x:c r="V540" s="14" t="str">
        <x:v>Earliest supplied year is 2026.</x:v>
      </x:c>
      <x:c r="W540" s="14"/>
      <x:c r="X540" s="14" t="str">
        <x:v>Excluded: after 2025</x:v>
      </x:c>
      <x:c r="Y540" s="14"/>
      <x:c r="Z540" s="14" t="str">
        <x:v>The Dry.docx</x:v>
      </x:c>
      <x:c r="AA540" s="14" t="str">
        <x:v>HYPERLINK is not implemented. linkLocation=https://www.imdb.com/title/tt15210882/fullcredits/, friendlyName=Open source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BritBox UK</x:v>
      </x:c>
      <x:c r="AI540" s="14" t="str">
        <x:v>Qualifying UK co-commission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qualifying uk co-commission.</x:v>
      </x:c>
      <x:c r="AM540" s="17" t="e">
        <x:f>HYPERLINK("https://en.wikipedia.org/wiki/Dry","Open source")</x:f>
        <x:v>HYPERLINK is not implemented. linkLocation=https://en.wikipedia.org/wiki/Dry, friendlyName=Open source</x:v>
      </x:c>
      <x:c r="AN540" s="14" t="str">
        <x:v>No qualifying BBC relationship</x:v>
      </x:c>
      <x:c r="AO540" s="14" t="str">
        <x:v>No</x:v>
      </x:c>
      <x:c r="AP540" s="14" t="str">
        <x:v>Out of scope</x:v>
      </x:c>
      <x:c r="AQ540" s="14" t="str">
        <x:v>No</x:v>
      </x:c>
      <x:c r="AR540" s="14" t="str">
        <x:v>Resolved from master register</x:v>
      </x:c>
      <x:c r="AS540" s="14" t="str">
        <x:v>No established-register match</x:v>
      </x:c>
      <x:c r="AT540" s="14"/>
      <x:c r="AU540" s="14"/>
      <x:c r="AV540" s="14" t="str">
        <x:v>No established apparent-disability match</x:v>
      </x:c>
      <x:c r="AW540" s="14"/>
      <x:c r="AX540" s="14" t="str">
        <x:v>No</x:v>
      </x:c>
      <x:c r="AY540" s="14" t="str">
        <x:v>Unmatched</x:v>
      </x:c>
      <x:c r="AZ540" s="14" t="str">
        <x:v>Final supplied register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24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0.041666666666666664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4" t="str">
        <x:v>HYPERLINK is not implemented. linkLocation=https://www.imdb.com/title/tt15210882/fullcredits/, friendlyName=Open source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tt15210882|nm2312662|dr. barry</x:v>
      </x:c>
      <x:c r="B541" s="14" t="str">
        <x:v>05</x:v>
      </x:c>
      <x:c r="C541" s="14" t="str">
        <x:v>2022_IMDb_Cast_Lists_Batch_05(1).xlsx</x:v>
      </x:c>
      <x:c r="D541" s="14" t="str">
        <x:v>The Dry</x:v>
      </x:c>
      <x:c r="E541" s="14" t="n">
        <x:v>82</x:v>
      </x:c>
      <x:c r="F541" s="14" t="str">
        <x:v>The Dry</x:v>
      </x:c>
      <x:c r="G541" s="14" t="str">
        <x:v>tt15210882</x:v>
      </x:c>
      <x:c r="H541" s="14" t="n">
        <x:v>2022</x:v>
      </x:c>
      <x:c r="I541" s="14" t="n">
        <x:v>2025</x:v>
      </x:c>
      <x:c r="J541" s="14" t="str">
        <x:v>Post-study cohort</x:v>
      </x:c>
      <x:c r="K541" s="14" t="n">
        <x:v>2022</x:v>
      </x:c>
      <x:c r="L541" s="14" t="str">
        <x:v>Not inherited</x:v>
      </x:c>
      <x:c r="M541" s="15" t="n">
        <x:v>75</x:v>
      </x:c>
      <x:c r="N541" s="14" t="str">
        <x:v>Donna Anita Quinn</x:v>
      </x:c>
      <x:c r="O541" s="14" t="str">
        <x:v>nm2312662</x:v>
      </x:c>
      <x:c r="P541" s="14" t="str">
        <x:v>Dr. Barry</x:v>
      </x:c>
      <x:c r="Q541" s="15" t="n">
        <x:v>1</x:v>
      </x:c>
      <x:c r="R541" s="14" t="str">
        <x:v>2026</x:v>
      </x:c>
      <x:c r="S541" s="14" t="n">
        <x:v>2026</x:v>
      </x:c>
      <x:c r="T541" s="14" t="n">
        <x:v>2026</x:v>
      </x:c>
      <x:c r="U541" s="14" t="str">
        <x:v>Explicit source first year retained</x:v>
      </x:c>
      <x:c r="V541" s="14" t="str">
        <x:v>Earliest supplied year is 2026.</x:v>
      </x:c>
      <x:c r="W541" s="14"/>
      <x:c r="X541" s="14" t="str">
        <x:v>Excluded: after 2025</x:v>
      </x:c>
      <x:c r="Y541" s="14"/>
      <x:c r="Z541" s="14" t="str">
        <x:v>The Dry.docx</x:v>
      </x:c>
      <x:c r="AA541" s="14" t="str">
        <x:v>HYPERLINK is not implemented. linkLocation=https://www.imdb.com/title/tt15210882/fullcredits/, friendlyName=Open source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BritBox UK</x:v>
      </x:c>
      <x:c r="AI541" s="14" t="str">
        <x:v>Qualifying UK co-commission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qualifying uk co-commission.</x:v>
      </x:c>
      <x:c r="AM541" s="17" t="e">
        <x:f>HYPERLINK("https://en.wikipedia.org/wiki/Dry","Open source")</x:f>
        <x:v>HYPERLINK is not implemented. linkLocation=https://en.wikipedia.org/wiki/Dry, friendlyName=Open source</x:v>
      </x:c>
      <x:c r="AN541" s="14" t="str">
        <x:v>No qualifying BBC relationship</x:v>
      </x:c>
      <x:c r="AO541" s="14" t="str">
        <x:v>No</x:v>
      </x:c>
      <x:c r="AP541" s="14" t="str">
        <x:v>Out of scope</x:v>
      </x:c>
      <x:c r="AQ541" s="14" t="str">
        <x:v>No</x:v>
      </x:c>
      <x:c r="AR541" s="14" t="str">
        <x:v>Resolved from master register</x:v>
      </x:c>
      <x:c r="AS541" s="14" t="str">
        <x:v>No established-register match</x:v>
      </x:c>
      <x:c r="AT541" s="14"/>
      <x:c r="AU541" s="14"/>
      <x:c r="AV541" s="14" t="str">
        <x:v>No established apparent-disability match</x:v>
      </x:c>
      <x:c r="AW541" s="14"/>
      <x:c r="AX541" s="14" t="str">
        <x:v>No</x:v>
      </x:c>
      <x:c r="AY541" s="14" t="str">
        <x:v>Unmatched</x:v>
      </x:c>
      <x:c r="AZ541" s="14" t="str">
        <x:v>Final supplied register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24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1</x:v>
      </x:c>
      <x:c r="BS541" s="16" t="n">
        <x:v>0.041666666666666664</x:v>
      </x:c>
      <x:c r="BT541" s="14" t="str">
        <x:v>One episode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4" t="str">
        <x:v>HYPERLINK is not implemented. linkLocation=https://www.imdb.com/title/tt15210882/fullcredits/, friendlyName=Open source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tt15210882|nm6403979|gav</x:v>
      </x:c>
      <x:c r="B542" s="14" t="str">
        <x:v>05</x:v>
      </x:c>
      <x:c r="C542" s="14" t="str">
        <x:v>2022_IMDb_Cast_Lists_Batch_05(1).xlsx</x:v>
      </x:c>
      <x:c r="D542" s="14" t="str">
        <x:v>The Dry</x:v>
      </x:c>
      <x:c r="E542" s="14" t="n">
        <x:v>85</x:v>
      </x:c>
      <x:c r="F542" s="14" t="str">
        <x:v>The Dry</x:v>
      </x:c>
      <x:c r="G542" s="14" t="str">
        <x:v>tt15210882</x:v>
      </x:c>
      <x:c r="H542" s="14" t="n">
        <x:v>2022</x:v>
      </x:c>
      <x:c r="I542" s="14" t="n">
        <x:v>2025</x:v>
      </x:c>
      <x:c r="J542" s="14" t="str">
        <x:v>Post-study cohort</x:v>
      </x:c>
      <x:c r="K542" s="14" t="n">
        <x:v>2022</x:v>
      </x:c>
      <x:c r="L542" s="14" t="str">
        <x:v>Not inherited</x:v>
      </x:c>
      <x:c r="M542" s="15" t="n">
        <x:v>78</x:v>
      </x:c>
      <x:c r="N542" s="14" t="str">
        <x:v>Rob Horrocks</x:v>
      </x:c>
      <x:c r="O542" s="14" t="str">
        <x:v>nm6403979</x:v>
      </x:c>
      <x:c r="P542" s="14" t="str">
        <x:v>Gav</x:v>
      </x:c>
      <x:c r="Q542" s="15" t="n">
        <x:v>1</x:v>
      </x:c>
      <x:c r="R542" s="14" t="str">
        <x:v>2026</x:v>
      </x:c>
      <x:c r="S542" s="14" t="n">
        <x:v>2026</x:v>
      </x:c>
      <x:c r="T542" s="14" t="n">
        <x:v>2026</x:v>
      </x:c>
      <x:c r="U542" s="14" t="str">
        <x:v>Explicit source first year retained</x:v>
      </x:c>
      <x:c r="V542" s="14" t="str">
        <x:v>Earliest supplied year is 2026.</x:v>
      </x:c>
      <x:c r="W542" s="14"/>
      <x:c r="X542" s="14" t="str">
        <x:v>Excluded: after 2025</x:v>
      </x:c>
      <x:c r="Y542" s="14"/>
      <x:c r="Z542" s="14" t="str">
        <x:v>The Dry.docx</x:v>
      </x:c>
      <x:c r="AA542" s="14" t="str">
        <x:v>HYPERLINK is not implemented. linkLocation=https://www.imdb.com/title/tt15210882/fullcredits/, friendlyName=Open source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BritBox UK</x:v>
      </x:c>
      <x:c r="AI542" s="14" t="str">
        <x:v>Qualifying UK co-commission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qualifying uk co-commission.</x:v>
      </x:c>
      <x:c r="AM542" s="17" t="e">
        <x:f>HYPERLINK("https://en.wikipedia.org/wiki/Dry","Open source")</x:f>
        <x:v>HYPERLINK is not implemented. linkLocation=https://en.wikipedia.org/wiki/Dry, friendlyName=Open source</x:v>
      </x:c>
      <x:c r="AN542" s="14" t="str">
        <x:v>No qualifying BBC relationship</x:v>
      </x:c>
      <x:c r="AO542" s="14" t="str">
        <x:v>No</x:v>
      </x:c>
      <x:c r="AP542" s="14" t="str">
        <x:v>Out of scope</x:v>
      </x:c>
      <x:c r="AQ542" s="14" t="str">
        <x:v>No</x:v>
      </x:c>
      <x:c r="AR542" s="14" t="str">
        <x:v>Resolved from master register</x:v>
      </x:c>
      <x:c r="AS542" s="14" t="str">
        <x:v>No established-register match</x:v>
      </x:c>
      <x:c r="AT542" s="14"/>
      <x:c r="AU542" s="14"/>
      <x:c r="AV542" s="14" t="str">
        <x:v>No established apparent-disability match</x:v>
      </x:c>
      <x:c r="AW542" s="14"/>
      <x:c r="AX542" s="14" t="str">
        <x:v>No</x:v>
      </x:c>
      <x:c r="AY542" s="14" t="str">
        <x:v>Unmatched</x:v>
      </x:c>
      <x:c r="AZ542" s="14" t="str">
        <x:v>Final supplied register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24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1</x:v>
      </x:c>
      <x:c r="BS542" s="16" t="n">
        <x:v>0.041666666666666664</x:v>
      </x:c>
      <x:c r="BT542" s="14" t="str">
        <x:v>One episode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4" t="str">
        <x:v>HYPERLINK is not implemented. linkLocation=https://www.imdb.com/title/tt15210882/fullcredits/, friendlyName=Open source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tt15210882|nm3327718|mr. chen</x:v>
      </x:c>
      <x:c r="B543" s="14" t="str">
        <x:v>05</x:v>
      </x:c>
      <x:c r="C543" s="14" t="str">
        <x:v>2022_IMDb_Cast_Lists_Batch_05(1).xlsx</x:v>
      </x:c>
      <x:c r="D543" s="14" t="str">
        <x:v>The Dry</x:v>
      </x:c>
      <x:c r="E543" s="14" t="n">
        <x:v>89</x:v>
      </x:c>
      <x:c r="F543" s="14" t="str">
        <x:v>The Dry</x:v>
      </x:c>
      <x:c r="G543" s="14" t="str">
        <x:v>tt15210882</x:v>
      </x:c>
      <x:c r="H543" s="14" t="n">
        <x:v>2022</x:v>
      </x:c>
      <x:c r="I543" s="14" t="n">
        <x:v>2025</x:v>
      </x:c>
      <x:c r="J543" s="14" t="str">
        <x:v>Post-study cohort</x:v>
      </x:c>
      <x:c r="K543" s="14" t="n">
        <x:v>2022</x:v>
      </x:c>
      <x:c r="L543" s="14" t="str">
        <x:v>Not inherited</x:v>
      </x:c>
      <x:c r="M543" s="15" t="n">
        <x:v>82</x:v>
      </x:c>
      <x:c r="N543" s="14" t="str">
        <x:v>Vincent Tsang</x:v>
      </x:c>
      <x:c r="O543" s="14" t="str">
        <x:v>nm3327718</x:v>
      </x:c>
      <x:c r="P543" s="14" t="str">
        <x:v>Mr. Chen</x:v>
      </x:c>
      <x:c r="Q543" s="15" t="n">
        <x:v>1</x:v>
      </x:c>
      <x:c r="R543" s="14" t="str">
        <x:v>2026</x:v>
      </x:c>
      <x:c r="S543" s="14" t="n">
        <x:v>2026</x:v>
      </x:c>
      <x:c r="T543" s="14" t="n">
        <x:v>2026</x:v>
      </x:c>
      <x:c r="U543" s="14" t="str">
        <x:v>Explicit source first year retained</x:v>
      </x:c>
      <x:c r="V543" s="14" t="str">
        <x:v>Earliest supplied year is 2026.</x:v>
      </x:c>
      <x:c r="W543" s="14"/>
      <x:c r="X543" s="14" t="str">
        <x:v>Excluded: after 2025</x:v>
      </x:c>
      <x:c r="Y543" s="14"/>
      <x:c r="Z543" s="14" t="str">
        <x:v>The Dry.docx</x:v>
      </x:c>
      <x:c r="AA543" s="14" t="str">
        <x:v>HYPERLINK is not implemented. linkLocation=https://www.imdb.com/title/tt15210882/fullcredits/, friendlyName=Open source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BritBox UK</x:v>
      </x:c>
      <x:c r="AI543" s="14" t="str">
        <x:v>Qualifying UK co-commission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qualifying uk co-commission.</x:v>
      </x:c>
      <x:c r="AM543" s="17" t="e">
        <x:f>HYPERLINK("https://en.wikipedia.org/wiki/Dry","Open source")</x:f>
        <x:v>HYPERLINK is not implemented. linkLocation=https://en.wikipedia.org/wiki/Dry, friendlyName=Open source</x:v>
      </x:c>
      <x:c r="AN543" s="14" t="str">
        <x:v>No qualifying BBC relationship</x:v>
      </x:c>
      <x:c r="AO543" s="14" t="str">
        <x:v>No</x:v>
      </x:c>
      <x:c r="AP543" s="14" t="str">
        <x:v>Out of scope</x:v>
      </x:c>
      <x:c r="AQ543" s="14" t="str">
        <x:v>No</x:v>
      </x:c>
      <x:c r="AR543" s="14" t="str">
        <x:v>Resolved from master register</x:v>
      </x:c>
      <x:c r="AS543" s="14" t="str">
        <x:v>No established-register match</x:v>
      </x:c>
      <x:c r="AT543" s="14"/>
      <x:c r="AU543" s="14"/>
      <x:c r="AV543" s="14" t="str">
        <x:v>No established apparent-disability match</x:v>
      </x:c>
      <x:c r="AW543" s="14"/>
      <x:c r="AX543" s="14" t="str">
        <x:v>No</x:v>
      </x:c>
      <x:c r="AY543" s="14" t="str">
        <x:v>Unmatched</x:v>
      </x:c>
      <x:c r="AZ543" s="14" t="str">
        <x:v>Final supplied register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24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1</x:v>
      </x:c>
      <x:c r="BS543" s="16" t="n">
        <x:v>0.041666666666666664</x:v>
      </x:c>
      <x:c r="BT543" s="14" t="str">
        <x:v>One episode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4" t="str">
        <x:v>HYPERLINK is not implemented. linkLocation=https://www.imdb.com/title/tt15210882/fullcredits/, friendlyName=Open source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tt15210882|nm4505460|patsy the midwife</x:v>
      </x:c>
      <x:c r="B544" s="14" t="str">
        <x:v>05</x:v>
      </x:c>
      <x:c r="C544" s="14" t="str">
        <x:v>2022_IMDb_Cast_Lists_Batch_05(1).xlsx</x:v>
      </x:c>
      <x:c r="D544" s="14" t="str">
        <x:v>The Dry</x:v>
      </x:c>
      <x:c r="E544" s="14" t="n">
        <x:v>91</x:v>
      </x:c>
      <x:c r="F544" s="14" t="str">
        <x:v>The Dry</x:v>
      </x:c>
      <x:c r="G544" s="14" t="str">
        <x:v>tt15210882</x:v>
      </x:c>
      <x:c r="H544" s="14" t="n">
        <x:v>2022</x:v>
      </x:c>
      <x:c r="I544" s="14" t="n">
        <x:v>2025</x:v>
      </x:c>
      <x:c r="J544" s="14" t="str">
        <x:v>Post-study cohort</x:v>
      </x:c>
      <x:c r="K544" s="14" t="n">
        <x:v>2022</x:v>
      </x:c>
      <x:c r="L544" s="14" t="str">
        <x:v>Not inherited</x:v>
      </x:c>
      <x:c r="M544" s="15" t="n">
        <x:v>84</x:v>
      </x:c>
      <x:c r="N544" s="14" t="str">
        <x:v>Sarah Morris</x:v>
      </x:c>
      <x:c r="O544" s="14" t="str">
        <x:v>nm4505460</x:v>
      </x:c>
      <x:c r="P544" s="14" t="str">
        <x:v>Patsy the Midwife</x:v>
      </x:c>
      <x:c r="Q544" s="15" t="n">
        <x:v>1</x:v>
      </x:c>
      <x:c r="R544" s="14" t="str">
        <x:v>2026</x:v>
      </x:c>
      <x:c r="S544" s="14" t="n">
        <x:v>2026</x:v>
      </x:c>
      <x:c r="T544" s="14" t="n">
        <x:v>2026</x:v>
      </x:c>
      <x:c r="U544" s="14" t="str">
        <x:v>Explicit source first year retained</x:v>
      </x:c>
      <x:c r="V544" s="14" t="str">
        <x:v>Earliest supplied year is 2026.</x:v>
      </x:c>
      <x:c r="W544" s="14"/>
      <x:c r="X544" s="14" t="str">
        <x:v>Excluded: after 2025</x:v>
      </x:c>
      <x:c r="Y544" s="14"/>
      <x:c r="Z544" s="14" t="str">
        <x:v>The Dry.docx</x:v>
      </x:c>
      <x:c r="AA544" s="14" t="str">
        <x:v>HYPERLINK is not implemented. linkLocation=https://www.imdb.com/title/tt15210882/fullcredits/, friendlyName=Open source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BritBox UK</x:v>
      </x:c>
      <x:c r="AI544" s="14" t="str">
        <x:v>Qualifying UK co-commission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qualifying uk co-commission.</x:v>
      </x:c>
      <x:c r="AM544" s="17" t="e">
        <x:f>HYPERLINK("https://en.wikipedia.org/wiki/Dry","Open source")</x:f>
        <x:v>HYPERLINK is not implemented. linkLocation=https://en.wikipedia.org/wiki/Dry, friendlyName=Open source</x:v>
      </x:c>
      <x:c r="AN544" s="14" t="str">
        <x:v>No qualifying BBC relationship</x:v>
      </x:c>
      <x:c r="AO544" s="14" t="str">
        <x:v>No</x:v>
      </x:c>
      <x:c r="AP544" s="14" t="str">
        <x:v>Out of scope</x:v>
      </x:c>
      <x:c r="AQ544" s="14" t="str">
        <x:v>No</x:v>
      </x:c>
      <x:c r="AR544" s="14" t="str">
        <x:v>Resolved from master register</x:v>
      </x:c>
      <x:c r="AS544" s="14" t="str">
        <x:v>No established-register match</x:v>
      </x:c>
      <x:c r="AT544" s="14"/>
      <x:c r="AU544" s="14"/>
      <x:c r="AV544" s="14" t="str">
        <x:v>No established apparent-disability match</x:v>
      </x:c>
      <x:c r="AW544" s="14"/>
      <x:c r="AX544" s="14" t="str">
        <x:v>No</x:v>
      </x:c>
      <x:c r="AY544" s="14" t="str">
        <x:v>Unmatched</x:v>
      </x:c>
      <x:c r="AZ544" s="14" t="str">
        <x:v>Final supplied register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24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1</x:v>
      </x:c>
      <x:c r="BS544" s="16" t="n">
        <x:v>0.041666666666666664</x:v>
      </x:c>
      <x:c r="BT544" s="14" t="str">
        <x:v>One episode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4" t="str">
        <x:v>HYPERLINK is not implemented. linkLocation=https://www.imdb.com/title/tt15210882/fullcredits/, friendlyName=Open source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tt7939800|nm1604939|barbara patrick</x:v>
      </x:c>
      <x:c r="B545" s="14" t="str">
        <x:v>07</x:v>
      </x:c>
      <x:c r="C545" s="14" t="str">
        <x:v>2022_IMDb_Cast_Lists_Batch_07(1).xlsx</x:v>
      </x:c>
      <x:c r="D545" s="14" t="str">
        <x:v>The Undeclared War</x:v>
      </x:c>
      <x:c r="E545" s="14" t="n">
        <x:v>18</x:v>
      </x:c>
      <x:c r="F545" s="14" t="str">
        <x:v>The Undeclared War</x:v>
      </x:c>
      <x:c r="G545" s="14" t="str">
        <x:v>tt7939800</x:v>
      </x:c>
      <x:c r="H545" s="14" t="n">
        <x:v>2022</x:v>
      </x:c>
      <x:c r="I545" s="14" t="n">
        <x:v>2025</x:v>
      </x:c>
      <x:c r="J545" s="14" t="str">
        <x:v>Post-study cohort</x:v>
      </x:c>
      <x:c r="K545" s="14" t="n">
        <x:v>2022</x:v>
      </x:c>
      <x:c r="L545" s="14" t="str">
        <x:v>Not inherited</x:v>
      </x:c>
      <x:c r="M545" s="15" t="n">
        <x:v>11</x:v>
      </x:c>
      <x:c r="N545" s="14" t="str">
        <x:v>Sian Brooke</x:v>
      </x:c>
      <x:c r="O545" s="14" t="str">
        <x:v>nm1604939</x:v>
      </x:c>
      <x:c r="P545" s="14" t="str">
        <x:v>Barbara Patrick</x:v>
      </x:c>
      <x:c r="Q545" s="15" t="n">
        <x:v>6</x:v>
      </x:c>
      <x:c r="R545" s="14" t="str">
        <x:v>2026</x:v>
      </x:c>
      <x:c r="S545" s="14" t="n">
        <x:v>2026</x:v>
      </x:c>
      <x:c r="T545" s="14" t="n">
        <x:v>2026</x:v>
      </x:c>
      <x:c r="U545" s="14" t="str">
        <x:v>Explicit source first year retained</x:v>
      </x:c>
      <x:c r="V545" s="14" t="str">
        <x:v>Earliest supplied year is 2026.</x:v>
      </x:c>
      <x:c r="W545" s="14"/>
      <x:c r="X545" s="14" t="str">
        <x:v>Excluded: after 2025</x:v>
      </x:c>
      <x:c r="Y545" s="14"/>
      <x:c r="Z545" s="14" t="str">
        <x:v>The Undeclared War.docx</x:v>
      </x:c>
      <x:c r="AA545" s="14" t="str">
        <x:v>HYPERLINK is not implemented. linkLocation=https://www.imdb.com/title/tt7939800/fullcredits/, friendlyName=Open source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Channel 4 / E4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7" t="e">
        <x:f>HYPERLINK("https://en.wikipedia.org/wiki/The_Undeclared_War","Open source")</x:f>
        <x:v>HYPERLINK is not implemented. linkLocation=https://en.wikipedia.org/wiki/The_Undeclared_War, friendlyName=Open source</x:v>
      </x:c>
      <x:c r="AN545" s="14" t="str">
        <x:v>No qualifying BBC relationship</x:v>
      </x:c>
      <x:c r="AO545" s="14" t="str">
        <x:v>No</x:v>
      </x:c>
      <x:c r="AP545" s="14" t="str">
        <x:v>Out of scope</x:v>
      </x:c>
      <x:c r="AQ545" s="14" t="str">
        <x:v>No</x:v>
      </x:c>
      <x:c r="AR545" s="14" t="str">
        <x:v>Resolved from master register</x:v>
      </x:c>
      <x:c r="AS545" s="14" t="str">
        <x:v>No established-register match</x:v>
      </x:c>
      <x:c r="AT545" s="14"/>
      <x:c r="AU545" s="14"/>
      <x:c r="AV545" s="14" t="str">
        <x:v>No established apparent-disability match</x:v>
      </x:c>
      <x:c r="AW545" s="14"/>
      <x:c r="AX545" s="14" t="str">
        <x:v>No</x:v>
      </x:c>
      <x:c r="AY545" s="14" t="str">
        <x:v>Unmatched</x:v>
      </x:c>
      <x:c r="AZ545" s="14" t="str">
        <x:v>Final supplied register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12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6</x:v>
      </x:c>
      <x:c r="BS545" s="16" t="n">
        <x:v>0.5</x:v>
      </x:c>
      <x:c r="BT545" s="14" t="str">
        <x:v>Minority of episodes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4" t="str">
        <x:v>HYPERLINK is not implemented. linkLocation=https://www.imdb.com/title/tt7939800/fullcredits/, friendlyName=Open source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tt7939800|nm2315606|michaela jones</x:v>
      </x:c>
      <x:c r="B546" s="14" t="str">
        <x:v>07</x:v>
      </x:c>
      <x:c r="C546" s="14" t="str">
        <x:v>2022_IMDb_Cast_Lists_Batch_07(1).xlsx</x:v>
      </x:c>
      <x:c r="D546" s="14" t="str">
        <x:v>The Undeclared War</x:v>
      </x:c>
      <x:c r="E546" s="14" t="n">
        <x:v>22</x:v>
      </x:c>
      <x:c r="F546" s="14" t="str">
        <x:v>The Undeclared War</x:v>
      </x:c>
      <x:c r="G546" s="14" t="str">
        <x:v>tt7939800</x:v>
      </x:c>
      <x:c r="H546" s="14" t="n">
        <x:v>2022</x:v>
      </x:c>
      <x:c r="I546" s="14" t="n">
        <x:v>2025</x:v>
      </x:c>
      <x:c r="J546" s="14" t="str">
        <x:v>Post-study cohort</x:v>
      </x:c>
      <x:c r="K546" s="14" t="n">
        <x:v>2022</x:v>
      </x:c>
      <x:c r="L546" s="14" t="str">
        <x:v>Not inherited</x:v>
      </x:c>
      <x:c r="M546" s="15" t="n">
        <x:v>15</x:v>
      </x:c>
      <x:c r="N546" s="14" t="str">
        <x:v>Alana Maria</x:v>
      </x:c>
      <x:c r="O546" s="14" t="str">
        <x:v>nm2315606</x:v>
      </x:c>
      <x:c r="P546" s="14" t="str">
        <x:v>Michaela Jones</x:v>
      </x:c>
      <x:c r="Q546" s="15" t="n">
        <x:v>5</x:v>
      </x:c>
      <x:c r="R546" s="14" t="str">
        <x:v>2026</x:v>
      </x:c>
      <x:c r="S546" s="14" t="n">
        <x:v>2026</x:v>
      </x:c>
      <x:c r="T546" s="14" t="n">
        <x:v>2026</x:v>
      </x:c>
      <x:c r="U546" s="14" t="str">
        <x:v>Explicit source first year retained</x:v>
      </x:c>
      <x:c r="V546" s="14" t="str">
        <x:v>Earliest supplied year is 2026.</x:v>
      </x:c>
      <x:c r="W546" s="14"/>
      <x:c r="X546" s="14" t="str">
        <x:v>Excluded: after 2025</x:v>
      </x:c>
      <x:c r="Y546" s="14"/>
      <x:c r="Z546" s="14" t="str">
        <x:v>The Undeclared War.docx</x:v>
      </x:c>
      <x:c r="AA546" s="14" t="str">
        <x:v>HYPERLINK is not implemented. linkLocation=https://www.imdb.com/title/tt7939800/fullcredits/, friendlyName=Open source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Channel 4 / E4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7" t="e">
        <x:f>HYPERLINK("https://en.wikipedia.org/wiki/The_Undeclared_War","Open source")</x:f>
        <x:v>HYPERLINK is not implemented. linkLocation=https://en.wikipedia.org/wiki/The_Undeclared_War, friendlyName=Open source</x:v>
      </x:c>
      <x:c r="AN546" s="14" t="str">
        <x:v>No qualifying BBC relationship</x:v>
      </x:c>
      <x:c r="AO546" s="14" t="str">
        <x:v>No</x:v>
      </x:c>
      <x:c r="AP546" s="14" t="str">
        <x:v>Out of scope</x:v>
      </x:c>
      <x:c r="AQ546" s="14" t="str">
        <x:v>No</x:v>
      </x:c>
      <x:c r="AR546" s="14" t="str">
        <x:v>Resolved from master register</x:v>
      </x:c>
      <x:c r="AS546" s="14" t="str">
        <x:v>No established-register match</x:v>
      </x:c>
      <x:c r="AT546" s="14"/>
      <x:c r="AU546" s="14"/>
      <x:c r="AV546" s="14" t="str">
        <x:v>No established apparent-disability match</x:v>
      </x:c>
      <x:c r="AW546" s="14"/>
      <x:c r="AX546" s="14" t="str">
        <x:v>No</x:v>
      </x:c>
      <x:c r="AY546" s="14" t="str">
        <x:v>Unmatched</x:v>
      </x:c>
      <x:c r="AZ546" s="14" t="str">
        <x:v>Final supplied register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12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5</x:v>
      </x:c>
      <x:c r="BS546" s="16" t="n">
        <x:v>0.4166666666666667</x:v>
      </x:c>
      <x:c r="BT546" s="14" t="str">
        <x:v>Minority of episodes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4" t="str">
        <x:v>HYPERLINK is not implemented. linkLocation=https://www.imdb.com/title/tt7939800/fullcredits/, friendlyName=Open source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tt7939800|nm11951623|calvin song</x:v>
      </x:c>
      <x:c r="B547" s="14" t="str">
        <x:v>07</x:v>
      </x:c>
      <x:c r="C547" s="14" t="str">
        <x:v>2022_IMDb_Cast_Lists_Batch_07(1).xlsx</x:v>
      </x:c>
      <x:c r="D547" s="14" t="str">
        <x:v>The Undeclared War</x:v>
      </x:c>
      <x:c r="E547" s="14" t="n">
        <x:v>23</x:v>
      </x:c>
      <x:c r="F547" s="14" t="str">
        <x:v>The Undeclared War</x:v>
      </x:c>
      <x:c r="G547" s="14" t="str">
        <x:v>tt7939800</x:v>
      </x:c>
      <x:c r="H547" s="14" t="n">
        <x:v>2022</x:v>
      </x:c>
      <x:c r="I547" s="14" t="n">
        <x:v>2025</x:v>
      </x:c>
      <x:c r="J547" s="14" t="str">
        <x:v>Post-study cohort</x:v>
      </x:c>
      <x:c r="K547" s="14" t="n">
        <x:v>2022</x:v>
      </x:c>
      <x:c r="L547" s="14" t="str">
        <x:v>Not inherited</x:v>
      </x:c>
      <x:c r="M547" s="15" t="n">
        <x:v>16</x:v>
      </x:c>
      <x:c r="N547" s="14" t="str">
        <x:v>Sky Hui</x:v>
      </x:c>
      <x:c r="O547" s="14" t="str">
        <x:v>nm11951623</x:v>
      </x:c>
      <x:c r="P547" s="14" t="str">
        <x:v>Calvin Song</x:v>
      </x:c>
      <x:c r="Q547" s="15" t="n">
        <x:v>5</x:v>
      </x:c>
      <x:c r="R547" s="14" t="str">
        <x:v>2026</x:v>
      </x:c>
      <x:c r="S547" s="14" t="n">
        <x:v>2026</x:v>
      </x:c>
      <x:c r="T547" s="14" t="n">
        <x:v>2026</x:v>
      </x:c>
      <x:c r="U547" s="14" t="str">
        <x:v>Explicit source first year retained</x:v>
      </x:c>
      <x:c r="V547" s="14" t="str">
        <x:v>Earliest supplied year is 2026.</x:v>
      </x:c>
      <x:c r="W547" s="14"/>
      <x:c r="X547" s="14" t="str">
        <x:v>Excluded: after 2025</x:v>
      </x:c>
      <x:c r="Y547" s="14"/>
      <x:c r="Z547" s="14" t="str">
        <x:v>The Undeclared War.docx</x:v>
      </x:c>
      <x:c r="AA547" s="14" t="str">
        <x:v>HYPERLINK is not implemented. linkLocation=https://www.imdb.com/title/tt7939800/fullcredits/, friendlyName=Open source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Channel 4 / E4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7" t="e">
        <x:f>HYPERLINK("https://en.wikipedia.org/wiki/The_Undeclared_War","Open source")</x:f>
        <x:v>HYPERLINK is not implemented. linkLocation=https://en.wikipedia.org/wiki/The_Undeclared_War, friendlyName=Open source</x:v>
      </x:c>
      <x:c r="AN547" s="14" t="str">
        <x:v>No qualifying BBC relationship</x:v>
      </x:c>
      <x:c r="AO547" s="14" t="str">
        <x:v>No</x:v>
      </x:c>
      <x:c r="AP547" s="14" t="str">
        <x:v>Out of scope</x:v>
      </x:c>
      <x:c r="AQ547" s="14" t="str">
        <x:v>No</x:v>
      </x:c>
      <x:c r="AR547" s="14" t="str">
        <x:v>Resolved from master register</x:v>
      </x:c>
      <x:c r="AS547" s="14" t="str">
        <x:v>No established-register match</x:v>
      </x:c>
      <x:c r="AT547" s="14"/>
      <x:c r="AU547" s="14"/>
      <x:c r="AV547" s="14" t="str">
        <x:v>No established apparent-disability match</x:v>
      </x:c>
      <x:c r="AW547" s="14"/>
      <x:c r="AX547" s="14" t="str">
        <x:v>No</x:v>
      </x:c>
      <x:c r="AY547" s="14" t="str">
        <x:v>Unmatched</x:v>
      </x:c>
      <x:c r="AZ547" s="14" t="str">
        <x:v>Final supplied register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12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5</x:v>
      </x:c>
      <x:c r="BS547" s="16" t="n">
        <x:v>0.4166666666666667</x:v>
      </x:c>
      <x:c r="BT547" s="14" t="str">
        <x:v>Minority of episodes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4" t="str">
        <x:v>HYPERLINK is not implemented. linkLocation=https://www.imdb.com/title/tt7939800/fullcredits/, friendlyName=Open source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tt7939800|nm5290577|lt. simon williams</x:v>
      </x:c>
      <x:c r="B548" s="14" t="str">
        <x:v>07</x:v>
      </x:c>
      <x:c r="C548" s="14" t="str">
        <x:v>2022_IMDb_Cast_Lists_Batch_07(1).xlsx</x:v>
      </x:c>
      <x:c r="D548" s="14" t="str">
        <x:v>The Undeclared War</x:v>
      </x:c>
      <x:c r="E548" s="14" t="n">
        <x:v>33</x:v>
      </x:c>
      <x:c r="F548" s="14" t="str">
        <x:v>The Undeclared War</x:v>
      </x:c>
      <x:c r="G548" s="14" t="str">
        <x:v>tt7939800</x:v>
      </x:c>
      <x:c r="H548" s="14" t="n">
        <x:v>2022</x:v>
      </x:c>
      <x:c r="I548" s="14" t="n">
        <x:v>2025</x:v>
      </x:c>
      <x:c r="J548" s="14" t="str">
        <x:v>Post-study cohort</x:v>
      </x:c>
      <x:c r="K548" s="14" t="n">
        <x:v>2022</x:v>
      </x:c>
      <x:c r="L548" s="14" t="str">
        <x:v>Not inherited</x:v>
      </x:c>
      <x:c r="M548" s="15" t="n">
        <x:v>26</x:v>
      </x:c>
      <x:c r="N548" s="14" t="str">
        <x:v>Joshua Sher</x:v>
      </x:c>
      <x:c r="O548" s="14" t="str">
        <x:v>nm5290577</x:v>
      </x:c>
      <x:c r="P548" s="14" t="str">
        <x:v>Lt. Simon Williams</x:v>
      </x:c>
      <x:c r="Q548" s="15" t="n">
        <x:v>4</x:v>
      </x:c>
      <x:c r="R548" s="14" t="str">
        <x:v>2026</x:v>
      </x:c>
      <x:c r="S548" s="14" t="n">
        <x:v>2026</x:v>
      </x:c>
      <x:c r="T548" s="14" t="n">
        <x:v>2026</x:v>
      </x:c>
      <x:c r="U548" s="14" t="str">
        <x:v>Explicit source first year retained</x:v>
      </x:c>
      <x:c r="V548" s="14" t="str">
        <x:v>Earliest supplied year is 2026.</x:v>
      </x:c>
      <x:c r="W548" s="14"/>
      <x:c r="X548" s="14" t="str">
        <x:v>Excluded: after 2025</x:v>
      </x:c>
      <x:c r="Y548" s="14"/>
      <x:c r="Z548" s="14" t="str">
        <x:v>The Undeclared War.docx</x:v>
      </x:c>
      <x:c r="AA548" s="14" t="str">
        <x:v>HYPERLINK is not implemented. linkLocation=https://www.imdb.com/title/tt7939800/fullcredits/, friendlyName=Open source</x:v>
      </x:c>
      <x:c r="AB548" s="14" t="str">
        <x:v>Existing established-register match</x:v>
      </x:c>
      <x:c r="AC548" s="14" t="str">
        <x:v>Wheelchair user</x:v>
      </x:c>
      <x:c r="AD548" s="14" t="str">
        <x:v>Existing register classification: Wheelchair user</x:v>
      </x:c>
      <x:c r="AE548" s="14" t="str">
        <x:v>Established_Disability_Category_Register V1.2.xlsx</x:v>
      </x:c>
      <x:c r="AF548" s="14"/>
      <x:c r="AG548" s="14" t="str">
        <x:v>Established user-supplied classification retained for deduplication; evidence was not re-researched in this batch.</x:v>
      </x:c>
      <x:c r="AH548" s="14" t="str">
        <x:v>Channel 4 / E4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7" t="e">
        <x:f>HYPERLINK("https://en.wikipedia.org/wiki/The_Undeclared_War","Open source")</x:f>
        <x:v>HYPERLINK is not implemented. linkLocation=https://en.wikipedia.org/wiki/The_Undeclared_War, friendlyName=Open source</x:v>
      </x:c>
      <x:c r="AN548" s="14" t="str">
        <x:v>No qualifying BBC relationship</x:v>
      </x:c>
      <x:c r="AO548" s="14" t="str">
        <x:v>No</x:v>
      </x:c>
      <x:c r="AP548" s="14" t="str">
        <x:v>Out of scope</x:v>
      </x:c>
      <x:c r="AQ548" s="14" t="str">
        <x:v>No</x:v>
      </x:c>
      <x:c r="AR548" s="14" t="str">
        <x:v>Resolved from master register</x:v>
      </x:c>
      <x:c r="AS548" s="14" t="str">
        <x:v>Exact IMDb performer ID match</x:v>
      </x:c>
      <x:c r="AT548" s="14" t="str">
        <x:v>nm5290577</x:v>
      </x:c>
      <x:c r="AU548" s="14" t="str">
        <x:v>Wheelchair user</x:v>
      </x:c>
      <x:c r="AV548" s="14" t="str">
        <x:v>Yes</x:v>
      </x:c>
      <x:c r="AW548" s="14" t="str">
        <x:v>Wheelchair user</x:v>
      </x:c>
      <x:c r="AX548" s="14" t="str">
        <x:v>No</x:v>
      </x:c>
      <x:c r="AY548" s="14" t="str">
        <x:v>Matched</x:v>
      </x:c>
      <x:c r="AZ548" s="14" t="str">
        <x:v>Final supplied register</x:v>
      </x:c>
      <x:c r="BA548" s="14"/>
      <x:c r="BB548" s="14" t="str">
        <x:v>Exact IMDb performer ID match</x:v>
      </x:c>
      <x:c r="BC548" s="14" t="str">
        <x:v>nm5290577</x:v>
      </x:c>
      <x:c r="BD548" s="14" t="str">
        <x:v>Joshua Sher</x:v>
      </x:c>
      <x:c r="BE548" s="14" t="str">
        <x:v>Wheelchair user</x:v>
      </x:c>
      <x:c r="BF548" s="14" t="str">
        <x:v>Yes</x:v>
      </x:c>
      <x:c r="BG548" s="14" t="str">
        <x:v>Wheelchair user</x:v>
      </x:c>
      <x:c r="BH548" s="14" t="str">
        <x:v>No</x:v>
      </x:c>
      <x:c r="BI548" s="14" t="str">
        <x:v>User-supplied established classification</x:v>
      </x:c>
      <x:c r="BJ548" s="14" t="str">
        <x:v>03_Wheelchair_user.csv</x:v>
      </x:c>
      <x:c r="BK548" s="14"/>
      <x:c r="BL548" s="14" t="str">
        <x:v>Matched</x:v>
      </x:c>
      <x:c r="BM548" s="14" t="str">
        <x:v>Final supplied register</x:v>
      </x:c>
      <x:c r="BN548" s="14"/>
      <x:c r="BO548" s="14" t="n">
        <x:v>12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4</x:v>
      </x:c>
      <x:c r="BS548" s="16" t="n">
        <x:v>0.3333333333333333</x:v>
      </x:c>
      <x:c r="BT548" s="14" t="str">
        <x:v>Minority of episodes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4" t="str">
        <x:v>HYPERLINK is not implemented. linkLocation=https://www.imdb.com/title/tt7939800/fullcredits/, friendlyName=Open source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tt7939800|nm4006608|roz cavendish</x:v>
      </x:c>
      <x:c r="B549" s="14" t="str">
        <x:v>07</x:v>
      </x:c>
      <x:c r="C549" s="14" t="str">
        <x:v>2022_IMDb_Cast_Lists_Batch_07(1).xlsx</x:v>
      </x:c>
      <x:c r="D549" s="14" t="str">
        <x:v>The Undeclared War</x:v>
      </x:c>
      <x:c r="E549" s="14" t="n">
        <x:v>41</x:v>
      </x:c>
      <x:c r="F549" s="14" t="str">
        <x:v>The Undeclared War</x:v>
      </x:c>
      <x:c r="G549" s="14" t="str">
        <x:v>tt7939800</x:v>
      </x:c>
      <x:c r="H549" s="14" t="n">
        <x:v>2022</x:v>
      </x:c>
      <x:c r="I549" s="14" t="n">
        <x:v>2025</x:v>
      </x:c>
      <x:c r="J549" s="14" t="str">
        <x:v>Post-study cohort</x:v>
      </x:c>
      <x:c r="K549" s="14" t="n">
        <x:v>2022</x:v>
      </x:c>
      <x:c r="L549" s="14" t="str">
        <x:v>Not inherited</x:v>
      </x:c>
      <x:c r="M549" s="15" t="n">
        <x:v>34</x:v>
      </x:c>
      <x:c r="N549" s="14" t="str">
        <x:v>Chloe Pirrie</x:v>
      </x:c>
      <x:c r="O549" s="14" t="str">
        <x:v>nm4006608</x:v>
      </x:c>
      <x:c r="P549" s="14" t="str">
        <x:v>Roz Cavendish</x:v>
      </x:c>
      <x:c r="Q549" s="15" t="n">
        <x:v>3</x:v>
      </x:c>
      <x:c r="R549" s="14" t="str">
        <x:v>2026</x:v>
      </x:c>
      <x:c r="S549" s="14" t="n">
        <x:v>2026</x:v>
      </x:c>
      <x:c r="T549" s="14" t="n">
        <x:v>2026</x:v>
      </x:c>
      <x:c r="U549" s="14" t="str">
        <x:v>Explicit source first year retained</x:v>
      </x:c>
      <x:c r="V549" s="14" t="str">
        <x:v>Earliest supplied year is 2026.</x:v>
      </x:c>
      <x:c r="W549" s="14"/>
      <x:c r="X549" s="14" t="str">
        <x:v>Excluded: after 2025</x:v>
      </x:c>
      <x:c r="Y549" s="14"/>
      <x:c r="Z549" s="14" t="str">
        <x:v>The Undeclared War.docx</x:v>
      </x:c>
      <x:c r="AA549" s="14" t="str">
        <x:v>HYPERLINK is not implemented. linkLocation=https://www.imdb.com/title/tt7939800/fullcredits/, friendlyName=Open source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Channel 4 / E4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7" t="e">
        <x:f>HYPERLINK("https://en.wikipedia.org/wiki/The_Undeclared_War","Open source")</x:f>
        <x:v>HYPERLINK is not implemented. linkLocation=https://en.wikipedia.org/wiki/The_Undeclared_War, friendlyName=Open source</x:v>
      </x:c>
      <x:c r="AN549" s="14" t="str">
        <x:v>No qualifying BBC relationship</x:v>
      </x:c>
      <x:c r="AO549" s="14" t="str">
        <x:v>No</x:v>
      </x:c>
      <x:c r="AP549" s="14" t="str">
        <x:v>Out of scope</x:v>
      </x:c>
      <x:c r="AQ549" s="14" t="str">
        <x:v>No</x:v>
      </x:c>
      <x:c r="AR549" s="14" t="str">
        <x:v>Resolved from master register</x:v>
      </x:c>
      <x:c r="AS549" s="14" t="str">
        <x:v>No established-register match</x:v>
      </x:c>
      <x:c r="AT549" s="14"/>
      <x:c r="AU549" s="14"/>
      <x:c r="AV549" s="14" t="str">
        <x:v>No established apparent-disability match</x:v>
      </x:c>
      <x:c r="AW549" s="14"/>
      <x:c r="AX549" s="14" t="str">
        <x:v>No</x:v>
      </x:c>
      <x:c r="AY549" s="14" t="str">
        <x:v>Unmatched</x:v>
      </x:c>
      <x:c r="AZ549" s="14" t="str">
        <x:v>Final supplied register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12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3</x:v>
      </x:c>
      <x:c r="BS549" s="16" t="n">
        <x:v>0.25</x:v>
      </x:c>
      <x:c r="BT549" s="14" t="str">
        <x:v>Minority of episodes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4" t="str">
        <x:v>HYPERLINK is not implemented. linkLocation=https://www.imdb.com/title/tt7939800/fullcredits/, friendlyName=Open source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tt7939800|nm0764527|charlie</x:v>
      </x:c>
      <x:c r="B550" s="14" t="str">
        <x:v>07</x:v>
      </x:c>
      <x:c r="C550" s="14" t="str">
        <x:v>2022_IMDb_Cast_Lists_Batch_07(1).xlsx</x:v>
      </x:c>
      <x:c r="D550" s="14" t="str">
        <x:v>The Undeclared War</x:v>
      </x:c>
      <x:c r="E550" s="14" t="n">
        <x:v>42</x:v>
      </x:c>
      <x:c r="F550" s="14" t="str">
        <x:v>The Undeclared War</x:v>
      </x:c>
      <x:c r="G550" s="14" t="str">
        <x:v>tt7939800</x:v>
      </x:c>
      <x:c r="H550" s="14" t="n">
        <x:v>2022</x:v>
      </x:c>
      <x:c r="I550" s="14" t="n">
        <x:v>2025</x:v>
      </x:c>
      <x:c r="J550" s="14" t="str">
        <x:v>Post-study cohort</x:v>
      </x:c>
      <x:c r="K550" s="14" t="n">
        <x:v>2022</x:v>
      </x:c>
      <x:c r="L550" s="14" t="str">
        <x:v>Not inherited</x:v>
      </x:c>
      <x:c r="M550" s="15" t="n">
        <x:v>35</x:v>
      </x:c>
      <x:c r="N550" s="14" t="str">
        <x:v>Danny Sapani</x:v>
      </x:c>
      <x:c r="O550" s="14" t="str">
        <x:v>nm0764527</x:v>
      </x:c>
      <x:c r="P550" s="14" t="str">
        <x:v>Charlie</x:v>
      </x:c>
      <x:c r="Q550" s="15" t="n">
        <x:v>3</x:v>
      </x:c>
      <x:c r="R550" s="14" t="str">
        <x:v>2026</x:v>
      </x:c>
      <x:c r="S550" s="14" t="n">
        <x:v>2026</x:v>
      </x:c>
      <x:c r="T550" s="14" t="n">
        <x:v>2026</x:v>
      </x:c>
      <x:c r="U550" s="14" t="str">
        <x:v>Explicit source first year retained</x:v>
      </x:c>
      <x:c r="V550" s="14" t="str">
        <x:v>Earliest supplied year is 2026.</x:v>
      </x:c>
      <x:c r="W550" s="14"/>
      <x:c r="X550" s="14" t="str">
        <x:v>Excluded: after 2025</x:v>
      </x:c>
      <x:c r="Y550" s="14"/>
      <x:c r="Z550" s="14" t="str">
        <x:v>The Undeclared War.docx</x:v>
      </x:c>
      <x:c r="AA550" s="14" t="str">
        <x:v>HYPERLINK is not implemented. linkLocation=https://www.imdb.com/title/tt7939800/fullcredits/, friendlyName=Open source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Channel 4 / E4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7" t="e">
        <x:f>HYPERLINK("https://en.wikipedia.org/wiki/The_Undeclared_War","Open source")</x:f>
        <x:v>HYPERLINK is not implemented. linkLocation=https://en.wikipedia.org/wiki/The_Undeclared_War, friendlyName=Open source</x:v>
      </x:c>
      <x:c r="AN550" s="14" t="str">
        <x:v>No qualifying BBC relationship</x:v>
      </x:c>
      <x:c r="AO550" s="14" t="str">
        <x:v>No</x:v>
      </x:c>
      <x:c r="AP550" s="14" t="str">
        <x:v>Out of scope</x:v>
      </x:c>
      <x:c r="AQ550" s="14" t="str">
        <x:v>No</x:v>
      </x:c>
      <x:c r="AR550" s="14" t="str">
        <x:v>Resolved from master register</x:v>
      </x:c>
      <x:c r="AS550" s="14" t="str">
        <x:v>No established-register match</x:v>
      </x:c>
      <x:c r="AT550" s="14"/>
      <x:c r="AU550" s="14"/>
      <x:c r="AV550" s="14" t="str">
        <x:v>No established apparent-disability match</x:v>
      </x:c>
      <x:c r="AW550" s="14"/>
      <x:c r="AX550" s="14" t="str">
        <x:v>No</x:v>
      </x:c>
      <x:c r="AY550" s="14" t="str">
        <x:v>Unmatched</x:v>
      </x:c>
      <x:c r="AZ550" s="14" t="str">
        <x:v>Final supplied register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12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3</x:v>
      </x:c>
      <x:c r="BS550" s="16" t="n">
        <x:v>0.25</x:v>
      </x:c>
      <x:c r="BT550" s="14" t="str">
        <x:v>Minority of episodes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4" t="str">
        <x:v>HYPERLINK is not implemented. linkLocation=https://www.imdb.com/title/tt7939800/fullcredits/, friendlyName=Open source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tt7939800|nm11096315|hai</x:v>
      </x:c>
      <x:c r="B551" s="14" t="str">
        <x:v>07</x:v>
      </x:c>
      <x:c r="C551" s="14" t="str">
        <x:v>2022_IMDb_Cast_Lists_Batch_07(1).xlsx</x:v>
      </x:c>
      <x:c r="D551" s="14" t="str">
        <x:v>The Undeclared War</x:v>
      </x:c>
      <x:c r="E551" s="14" t="n">
        <x:v>43</x:v>
      </x:c>
      <x:c r="F551" s="14" t="str">
        <x:v>The Undeclared War</x:v>
      </x:c>
      <x:c r="G551" s="14" t="str">
        <x:v>tt7939800</x:v>
      </x:c>
      <x:c r="H551" s="14" t="n">
        <x:v>2022</x:v>
      </x:c>
      <x:c r="I551" s="14" t="n">
        <x:v>2025</x:v>
      </x:c>
      <x:c r="J551" s="14" t="str">
        <x:v>Post-study cohort</x:v>
      </x:c>
      <x:c r="K551" s="14" t="n">
        <x:v>2022</x:v>
      </x:c>
      <x:c r="L551" s="14" t="str">
        <x:v>Not inherited</x:v>
      </x:c>
      <x:c r="M551" s="15" t="n">
        <x:v>36</x:v>
      </x:c>
      <x:c r="N551" s="14" t="str">
        <x:v>Millicent Wong</x:v>
      </x:c>
      <x:c r="O551" s="14" t="str">
        <x:v>nm11096315</x:v>
      </x:c>
      <x:c r="P551" s="14" t="str">
        <x:v>Hai</x:v>
      </x:c>
      <x:c r="Q551" s="15" t="n">
        <x:v>3</x:v>
      </x:c>
      <x:c r="R551" s="14" t="str">
        <x:v>2026</x:v>
      </x:c>
      <x:c r="S551" s="14" t="n">
        <x:v>2026</x:v>
      </x:c>
      <x:c r="T551" s="14" t="n">
        <x:v>2026</x:v>
      </x:c>
      <x:c r="U551" s="14" t="str">
        <x:v>Explicit source first year retained</x:v>
      </x:c>
      <x:c r="V551" s="14" t="str">
        <x:v>Earliest supplied year is 2026.</x:v>
      </x:c>
      <x:c r="W551" s="14"/>
      <x:c r="X551" s="14" t="str">
        <x:v>Excluded: after 2025</x:v>
      </x:c>
      <x:c r="Y551" s="14"/>
      <x:c r="Z551" s="14" t="str">
        <x:v>The Undeclared War.docx</x:v>
      </x:c>
      <x:c r="AA551" s="14" t="str">
        <x:v>HYPERLINK is not implemented. linkLocation=https://www.imdb.com/title/tt7939800/fullcredits/, friendlyName=Open source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Channel 4 / E4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7" t="e">
        <x:f>HYPERLINK("https://en.wikipedia.org/wiki/The_Undeclared_War","Open source")</x:f>
        <x:v>HYPERLINK is not implemented. linkLocation=https://en.wikipedia.org/wiki/The_Undeclared_War, friendlyName=Open source</x:v>
      </x:c>
      <x:c r="AN551" s="14" t="str">
        <x:v>No qualifying BBC relationship</x:v>
      </x:c>
      <x:c r="AO551" s="14" t="str">
        <x:v>No</x:v>
      </x:c>
      <x:c r="AP551" s="14" t="str">
        <x:v>Out of scope</x:v>
      </x:c>
      <x:c r="AQ551" s="14" t="str">
        <x:v>No</x:v>
      </x:c>
      <x:c r="AR551" s="14" t="str">
        <x:v>Resolved from master register</x:v>
      </x:c>
      <x:c r="AS551" s="14" t="str">
        <x:v>No established-register match</x:v>
      </x:c>
      <x:c r="AT551" s="14"/>
      <x:c r="AU551" s="14"/>
      <x:c r="AV551" s="14" t="str">
        <x:v>No established apparent-disability match</x:v>
      </x:c>
      <x:c r="AW551" s="14"/>
      <x:c r="AX551" s="14" t="str">
        <x:v>No</x:v>
      </x:c>
      <x:c r="AY551" s="14" t="str">
        <x:v>Unmatched</x:v>
      </x:c>
      <x:c r="AZ551" s="14" t="str">
        <x:v>Final supplied register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12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3</x:v>
      </x:c>
      <x:c r="BS551" s="16" t="n">
        <x:v>0.25</x:v>
      </x:c>
      <x:c r="BT551" s="14" t="str">
        <x:v>Minority of episodes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4" t="str">
        <x:v>HYPERLINK is not implemented. linkLocation=https://www.imdb.com/title/tt7939800/fullcredits/, friendlyName=Open source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tt7939800|nm13434359|man in suit</x:v>
      </x:c>
      <x:c r="B552" s="14" t="str">
        <x:v>07</x:v>
      </x:c>
      <x:c r="C552" s="14" t="str">
        <x:v>2022_IMDb_Cast_Lists_Batch_07(1).xlsx</x:v>
      </x:c>
      <x:c r="D552" s="14" t="str">
        <x:v>The Undeclared War</x:v>
      </x:c>
      <x:c r="E552" s="14" t="n">
        <x:v>44</x:v>
      </x:c>
      <x:c r="F552" s="14" t="str">
        <x:v>The Undeclared War</x:v>
      </x:c>
      <x:c r="G552" s="14" t="str">
        <x:v>tt7939800</x:v>
      </x:c>
      <x:c r="H552" s="14" t="n">
        <x:v>2022</x:v>
      </x:c>
      <x:c r="I552" s="14" t="n">
        <x:v>2025</x:v>
      </x:c>
      <x:c r="J552" s="14" t="str">
        <x:v>Post-study cohort</x:v>
      </x:c>
      <x:c r="K552" s="14" t="n">
        <x:v>2022</x:v>
      </x:c>
      <x:c r="L552" s="14" t="str">
        <x:v>Not inherited</x:v>
      </x:c>
      <x:c r="M552" s="15" t="n">
        <x:v>37</x:v>
      </x:c>
      <x:c r="N552" s="14" t="str">
        <x:v>Leslie Ching</x:v>
      </x:c>
      <x:c r="O552" s="14" t="str">
        <x:v>nm13434359</x:v>
      </x:c>
      <x:c r="P552" s="14" t="str">
        <x:v>Man in Suit</x:v>
      </x:c>
      <x:c r="Q552" s="15" t="n">
        <x:v>3</x:v>
      </x:c>
      <x:c r="R552" s="14" t="str">
        <x:v>2026</x:v>
      </x:c>
      <x:c r="S552" s="14" t="n">
        <x:v>2026</x:v>
      </x:c>
      <x:c r="T552" s="14" t="n">
        <x:v>2026</x:v>
      </x:c>
      <x:c r="U552" s="14" t="str">
        <x:v>Explicit source first year retained</x:v>
      </x:c>
      <x:c r="V552" s="14" t="str">
        <x:v>Earliest supplied year is 2026.</x:v>
      </x:c>
      <x:c r="W552" s="14"/>
      <x:c r="X552" s="14" t="str">
        <x:v>Excluded: after 2025</x:v>
      </x:c>
      <x:c r="Y552" s="14"/>
      <x:c r="Z552" s="14" t="str">
        <x:v>The Undeclared War.docx</x:v>
      </x:c>
      <x:c r="AA552" s="14" t="str">
        <x:v>HYPERLINK is not implemented. linkLocation=https://www.imdb.com/title/tt7939800/fullcredits/, friendlyName=Open source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Channel 4 / E4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7" t="e">
        <x:f>HYPERLINK("https://en.wikipedia.org/wiki/The_Undeclared_War","Open source")</x:f>
        <x:v>HYPERLINK is not implemented. linkLocation=https://en.wikipedia.org/wiki/The_Undeclared_War, friendlyName=Open source</x:v>
      </x:c>
      <x:c r="AN552" s="14" t="str">
        <x:v>No qualifying BBC relationship</x:v>
      </x:c>
      <x:c r="AO552" s="14" t="str">
        <x:v>No</x:v>
      </x:c>
      <x:c r="AP552" s="14" t="str">
        <x:v>Out of scope</x:v>
      </x:c>
      <x:c r="AQ552" s="14" t="str">
        <x:v>No</x:v>
      </x:c>
      <x:c r="AR552" s="14" t="str">
        <x:v>Resolved from master register</x:v>
      </x:c>
      <x:c r="AS552" s="14" t="str">
        <x:v>No established-register match</x:v>
      </x:c>
      <x:c r="AT552" s="14"/>
      <x:c r="AU552" s="14"/>
      <x:c r="AV552" s="14" t="str">
        <x:v>No established apparent-disability match</x:v>
      </x:c>
      <x:c r="AW552" s="14"/>
      <x:c r="AX552" s="14" t="str">
        <x:v>No</x:v>
      </x:c>
      <x:c r="AY552" s="14" t="str">
        <x:v>Unmatched</x:v>
      </x:c>
      <x:c r="AZ552" s="14" t="str">
        <x:v>Final supplied register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12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3</x:v>
      </x:c>
      <x:c r="BS552" s="16" t="n">
        <x:v>0.25</x:v>
      </x:c>
      <x:c r="BT552" s="14" t="str">
        <x:v>Minority of episodes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4" t="str">
        <x:v>HYPERLINK is not implemented. linkLocation=https://www.imdb.com/title/tt7939800/fullcredits/, friendlyName=Open source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tt7939800|nm0864937|nicky chan</x:v>
      </x:c>
      <x:c r="B553" s="14" t="str">
        <x:v>07</x:v>
      </x:c>
      <x:c r="C553" s="14" t="str">
        <x:v>2022_IMDb_Cast_Lists_Batch_07(1).xlsx</x:v>
      </x:c>
      <x:c r="D553" s="14" t="str">
        <x:v>The Undeclared War</x:v>
      </x:c>
      <x:c r="E553" s="14" t="n">
        <x:v>62</x:v>
      </x:c>
      <x:c r="F553" s="14" t="str">
        <x:v>The Undeclared War</x:v>
      </x:c>
      <x:c r="G553" s="14" t="str">
        <x:v>tt7939800</x:v>
      </x:c>
      <x:c r="H553" s="14" t="n">
        <x:v>2022</x:v>
      </x:c>
      <x:c r="I553" s="14" t="n">
        <x:v>2025</x:v>
      </x:c>
      <x:c r="J553" s="14" t="str">
        <x:v>Post-study cohort</x:v>
      </x:c>
      <x:c r="K553" s="14" t="n">
        <x:v>2022</x:v>
      </x:c>
      <x:c r="L553" s="14" t="str">
        <x:v>Not inherited</x:v>
      </x:c>
      <x:c r="M553" s="15" t="n">
        <x:v>55</x:v>
      </x:c>
      <x:c r="N553" s="14" t="str">
        <x:v>Jason Tobin</x:v>
      </x:c>
      <x:c r="O553" s="14" t="str">
        <x:v>nm0864937</x:v>
      </x:c>
      <x:c r="P553" s="14" t="str">
        <x:v>Nicky Chan</x:v>
      </x:c>
      <x:c r="Q553" s="15" t="n">
        <x:v>2</x:v>
      </x:c>
      <x:c r="R553" s="14" t="str">
        <x:v>2026</x:v>
      </x:c>
      <x:c r="S553" s="14" t="n">
        <x:v>2026</x:v>
      </x:c>
      <x:c r="T553" s="14" t="n">
        <x:v>2026</x:v>
      </x:c>
      <x:c r="U553" s="14" t="str">
        <x:v>Explicit source first year retained</x:v>
      </x:c>
      <x:c r="V553" s="14" t="str">
        <x:v>Earliest supplied year is 2026.</x:v>
      </x:c>
      <x:c r="W553" s="14"/>
      <x:c r="X553" s="14" t="str">
        <x:v>Excluded: after 2025</x:v>
      </x:c>
      <x:c r="Y553" s="14"/>
      <x:c r="Z553" s="14" t="str">
        <x:v>The Undeclared War.docx</x:v>
      </x:c>
      <x:c r="AA553" s="14" t="str">
        <x:v>HYPERLINK is not implemented. linkLocation=https://www.imdb.com/title/tt7939800/fullcredits/, friendlyName=Open source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Channel 4 / E4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7" t="e">
        <x:f>HYPERLINK("https://en.wikipedia.org/wiki/The_Undeclared_War","Open source")</x:f>
        <x:v>HYPERLINK is not implemented. linkLocation=https://en.wikipedia.org/wiki/The_Undeclared_War, friendlyName=Open source</x:v>
      </x:c>
      <x:c r="AN553" s="14" t="str">
        <x:v>No qualifying BBC relationship</x:v>
      </x:c>
      <x:c r="AO553" s="14" t="str">
        <x:v>No</x:v>
      </x:c>
      <x:c r="AP553" s="14" t="str">
        <x:v>Out of scope</x:v>
      </x:c>
      <x:c r="AQ553" s="14" t="str">
        <x:v>No</x:v>
      </x:c>
      <x:c r="AR553" s="14" t="str">
        <x:v>Resolved from master register</x:v>
      </x:c>
      <x:c r="AS553" s="14" t="str">
        <x:v>No established-register match</x:v>
      </x:c>
      <x:c r="AT553" s="14"/>
      <x:c r="AU553" s="14"/>
      <x:c r="AV553" s="14" t="str">
        <x:v>No established apparent-disability match</x:v>
      </x:c>
      <x:c r="AW553" s="14"/>
      <x:c r="AX553" s="14" t="str">
        <x:v>No</x:v>
      </x:c>
      <x:c r="AY553" s="14" t="str">
        <x:v>Unmatched</x:v>
      </x:c>
      <x:c r="AZ553" s="14" t="str">
        <x:v>Final supplied register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12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2</x:v>
      </x:c>
      <x:c r="BS553" s="16" t="n">
        <x:v>0.16666666666666666</x:v>
      </x:c>
      <x:c r="BT553" s="14" t="str">
        <x:v>Minority of episodes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4" t="str">
        <x:v>HYPERLINK is not implemented. linkLocation=https://www.imdb.com/title/tt7939800/fullcredits/, friendlyName=Open source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tt7939800|nm8872422|fsb coder</x:v>
      </x:c>
      <x:c r="B554" s="14" t="str">
        <x:v>07</x:v>
      </x:c>
      <x:c r="C554" s="14" t="str">
        <x:v>2022_IMDb_Cast_Lists_Batch_07(1).xlsx</x:v>
      </x:c>
      <x:c r="D554" s="14" t="str">
        <x:v>The Undeclared War</x:v>
      </x:c>
      <x:c r="E554" s="14" t="n">
        <x:v>66</x:v>
      </x:c>
      <x:c r="F554" s="14" t="str">
        <x:v>The Undeclared War</x:v>
      </x:c>
      <x:c r="G554" s="14" t="str">
        <x:v>tt7939800</x:v>
      </x:c>
      <x:c r="H554" s="14" t="n">
        <x:v>2022</x:v>
      </x:c>
      <x:c r="I554" s="14" t="n">
        <x:v>2025</x:v>
      </x:c>
      <x:c r="J554" s="14" t="str">
        <x:v>Post-study cohort</x:v>
      </x:c>
      <x:c r="K554" s="14" t="n">
        <x:v>2022</x:v>
      </x:c>
      <x:c r="L554" s="14" t="str">
        <x:v>Not inherited</x:v>
      </x:c>
      <x:c r="M554" s="15" t="n">
        <x:v>59</x:v>
      </x:c>
      <x:c r="N554" s="14" t="str">
        <x:v>Nikolay Mulakov</x:v>
      </x:c>
      <x:c r="O554" s="14" t="str">
        <x:v>nm8872422</x:v>
      </x:c>
      <x:c r="P554" s="14" t="str">
        <x:v>FSB Coder</x:v>
      </x:c>
      <x:c r="Q554" s="15" t="n">
        <x:v>1</x:v>
      </x:c>
      <x:c r="R554" s="14" t="str">
        <x:v>2026</x:v>
      </x:c>
      <x:c r="S554" s="14" t="n">
        <x:v>2026</x:v>
      </x:c>
      <x:c r="T554" s="14" t="n">
        <x:v>2026</x:v>
      </x:c>
      <x:c r="U554" s="14" t="str">
        <x:v>Explicit source first year retained</x:v>
      </x:c>
      <x:c r="V554" s="14" t="str">
        <x:v>Earliest supplied year is 2026.</x:v>
      </x:c>
      <x:c r="W554" s="14"/>
      <x:c r="X554" s="14" t="str">
        <x:v>Excluded: after 2025</x:v>
      </x:c>
      <x:c r="Y554" s="14"/>
      <x:c r="Z554" s="14" t="str">
        <x:v>The Undeclared War.docx</x:v>
      </x:c>
      <x:c r="AA554" s="14" t="str">
        <x:v>HYPERLINK is not implemented. linkLocation=https://www.imdb.com/title/tt7939800/fullcredits/, friendlyName=Open source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Channel 4 / E4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7" t="e">
        <x:f>HYPERLINK("https://en.wikipedia.org/wiki/The_Undeclared_War","Open source")</x:f>
        <x:v>HYPERLINK is not implemented. linkLocation=https://en.wikipedia.org/wiki/The_Undeclared_War, friendlyName=Open source</x:v>
      </x:c>
      <x:c r="AN554" s="14" t="str">
        <x:v>No qualifying BBC relationship</x:v>
      </x:c>
      <x:c r="AO554" s="14" t="str">
        <x:v>No</x:v>
      </x:c>
      <x:c r="AP554" s="14" t="str">
        <x:v>Out of scope</x:v>
      </x:c>
      <x:c r="AQ554" s="14" t="str">
        <x:v>No</x:v>
      </x:c>
      <x:c r="AR554" s="14" t="str">
        <x:v>Resolved from master register</x:v>
      </x:c>
      <x:c r="AS554" s="14" t="str">
        <x:v>No established-register match</x:v>
      </x:c>
      <x:c r="AT554" s="14"/>
      <x:c r="AU554" s="14"/>
      <x:c r="AV554" s="14" t="str">
        <x:v>No established apparent-disability match</x:v>
      </x:c>
      <x:c r="AW554" s="14"/>
      <x:c r="AX554" s="14" t="str">
        <x:v>No</x:v>
      </x:c>
      <x:c r="AY554" s="14" t="str">
        <x:v>Unmatched</x:v>
      </x:c>
      <x:c r="AZ554" s="14" t="str">
        <x:v>Final supplied register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12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1</x:v>
      </x:c>
      <x:c r="BS554" s="16" t="n">
        <x:v>0.08333333333333333</x:v>
      </x:c>
      <x:c r="BT554" s="14" t="str">
        <x:v>One episode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4" t="str">
        <x:v>HYPERLINK is not implemented. linkLocation=https://www.imdb.com/title/tt7939800/fullcredits/, friendlyName=Open source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tt7939800|nm8242169|julia</x:v>
      </x:c>
      <x:c r="B555" s="14" t="str">
        <x:v>07</x:v>
      </x:c>
      <x:c r="C555" s="14" t="str">
        <x:v>2022_IMDb_Cast_Lists_Batch_07(1).xlsx</x:v>
      </x:c>
      <x:c r="D555" s="14" t="str">
        <x:v>The Undeclared War</x:v>
      </x:c>
      <x:c r="E555" s="14" t="n">
        <x:v>109</x:v>
      </x:c>
      <x:c r="F555" s="14" t="str">
        <x:v>The Undeclared War</x:v>
      </x:c>
      <x:c r="G555" s="14" t="str">
        <x:v>tt7939800</x:v>
      </x:c>
      <x:c r="H555" s="14" t="n">
        <x:v>2022</x:v>
      </x:c>
      <x:c r="I555" s="14" t="n">
        <x:v>2025</x:v>
      </x:c>
      <x:c r="J555" s="14" t="str">
        <x:v>Post-study cohort</x:v>
      </x:c>
      <x:c r="K555" s="14" t="n">
        <x:v>2022</x:v>
      </x:c>
      <x:c r="L555" s="14" t="str">
        <x:v>Not inherited</x:v>
      </x:c>
      <x:c r="M555" s="15" t="n">
        <x:v>102</x:v>
      </x:c>
      <x:c r="N555" s="14" t="str">
        <x:v>Angela Yeoh</x:v>
      </x:c>
      <x:c r="O555" s="14" t="str">
        <x:v>nm8242169</x:v>
      </x:c>
      <x:c r="P555" s="14" t="str">
        <x:v>Julia</x:v>
      </x:c>
      <x:c r="Q555" s="15" t="n">
        <x:v>1</x:v>
      </x:c>
      <x:c r="R555" s="14" t="str">
        <x:v>2026</x:v>
      </x:c>
      <x:c r="S555" s="14" t="n">
        <x:v>2026</x:v>
      </x:c>
      <x:c r="T555" s="14" t="n">
        <x:v>2026</x:v>
      </x:c>
      <x:c r="U555" s="14" t="str">
        <x:v>Explicit source first year retained</x:v>
      </x:c>
      <x:c r="V555" s="14" t="str">
        <x:v>Earliest supplied year is 2026.</x:v>
      </x:c>
      <x:c r="W555" s="14"/>
      <x:c r="X555" s="14" t="str">
        <x:v>Excluded: after 2025</x:v>
      </x:c>
      <x:c r="Y555" s="14"/>
      <x:c r="Z555" s="14" t="str">
        <x:v>The Undeclared War.docx</x:v>
      </x:c>
      <x:c r="AA555" s="14" t="str">
        <x:v>HYPERLINK is not implemented. linkLocation=https://www.imdb.com/title/tt7939800/fullcredits/, friendlyName=Open source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Channel 4 / E4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7" t="e">
        <x:f>HYPERLINK("https://en.wikipedia.org/wiki/The_Undeclared_War","Open source")</x:f>
        <x:v>HYPERLINK is not implemented. linkLocation=https://en.wikipedia.org/wiki/The_Undeclared_War, friendlyName=Open source</x:v>
      </x:c>
      <x:c r="AN555" s="14" t="str">
        <x:v>No qualifying BBC relationship</x:v>
      </x:c>
      <x:c r="AO555" s="14" t="str">
        <x:v>No</x:v>
      </x:c>
      <x:c r="AP555" s="14" t="str">
        <x:v>Out of scope</x:v>
      </x:c>
      <x:c r="AQ555" s="14" t="str">
        <x:v>No</x:v>
      </x:c>
      <x:c r="AR555" s="14" t="str">
        <x:v>Resolved from master register</x:v>
      </x:c>
      <x:c r="AS555" s="14" t="str">
        <x:v>No established-register match</x:v>
      </x:c>
      <x:c r="AT555" s="14"/>
      <x:c r="AU555" s="14"/>
      <x:c r="AV555" s="14" t="str">
        <x:v>No established apparent-disability match</x:v>
      </x:c>
      <x:c r="AW555" s="14"/>
      <x:c r="AX555" s="14" t="str">
        <x:v>No</x:v>
      </x:c>
      <x:c r="AY555" s="14" t="str">
        <x:v>Unmatched</x:v>
      </x:c>
      <x:c r="AZ555" s="14" t="str">
        <x:v>Final supplied register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12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1</x:v>
      </x:c>
      <x:c r="BS555" s="16" t="n">
        <x:v>0.08333333333333333</x:v>
      </x:c>
      <x:c r="BT555" s="14" t="str">
        <x:v>One episode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4" t="str">
        <x:v>HYPERLINK is not implemented. linkLocation=https://www.imdb.com/title/tt7939800/fullcredits/, friendlyName=Open source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tt7939800|nm2418667|alex sheldon</x:v>
      </x:c>
      <x:c r="B556" s="14" t="str">
        <x:v>07</x:v>
      </x:c>
      <x:c r="C556" s="14" t="str">
        <x:v>2022_IMDb_Cast_Lists_Batch_07(1).xlsx</x:v>
      </x:c>
      <x:c r="D556" s="14" t="str">
        <x:v>The Undeclared War</x:v>
      </x:c>
      <x:c r="E556" s="14" t="n">
        <x:v>110</x:v>
      </x:c>
      <x:c r="F556" s="14" t="str">
        <x:v>The Undeclared War</x:v>
      </x:c>
      <x:c r="G556" s="14" t="str">
        <x:v>tt7939800</x:v>
      </x:c>
      <x:c r="H556" s="14" t="n">
        <x:v>2022</x:v>
      </x:c>
      <x:c r="I556" s="14" t="n">
        <x:v>2025</x:v>
      </x:c>
      <x:c r="J556" s="14" t="str">
        <x:v>Post-study cohort</x:v>
      </x:c>
      <x:c r="K556" s="14" t="n">
        <x:v>2022</x:v>
      </x:c>
      <x:c r="L556" s="14" t="str">
        <x:v>Not inherited</x:v>
      </x:c>
      <x:c r="M556" s="15" t="n">
        <x:v>103</x:v>
      </x:c>
      <x:c r="N556" s="14" t="str">
        <x:v>Gavin Spokes</x:v>
      </x:c>
      <x:c r="O556" s="14" t="str">
        <x:v>nm2418667</x:v>
      </x:c>
      <x:c r="P556" s="14" t="str">
        <x:v>Alex Sheldon</x:v>
      </x:c>
      <x:c r="Q556" s="15" t="n">
        <x:v>1</x:v>
      </x:c>
      <x:c r="R556" s="14" t="str">
        <x:v>2026</x:v>
      </x:c>
      <x:c r="S556" s="14" t="n">
        <x:v>2026</x:v>
      </x:c>
      <x:c r="T556" s="14" t="n">
        <x:v>2026</x:v>
      </x:c>
      <x:c r="U556" s="14" t="str">
        <x:v>Explicit source first year retained</x:v>
      </x:c>
      <x:c r="V556" s="14" t="str">
        <x:v>Earliest supplied year is 2026.</x:v>
      </x:c>
      <x:c r="W556" s="14"/>
      <x:c r="X556" s="14" t="str">
        <x:v>Excluded: after 2025</x:v>
      </x:c>
      <x:c r="Y556" s="14"/>
      <x:c r="Z556" s="14" t="str">
        <x:v>The Undeclared War.docx</x:v>
      </x:c>
      <x:c r="AA556" s="14" t="str">
        <x:v>HYPERLINK is not implemented. linkLocation=https://www.imdb.com/title/tt7939800/fullcredits/, friendlyName=Open source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Channel 4 / E4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7" t="e">
        <x:f>HYPERLINK("https://en.wikipedia.org/wiki/The_Undeclared_War","Open source")</x:f>
        <x:v>HYPERLINK is not implemented. linkLocation=https://en.wikipedia.org/wiki/The_Undeclared_War, friendlyName=Open source</x:v>
      </x:c>
      <x:c r="AN556" s="14" t="str">
        <x:v>No qualifying BBC relationship</x:v>
      </x:c>
      <x:c r="AO556" s="14" t="str">
        <x:v>No</x:v>
      </x:c>
      <x:c r="AP556" s="14" t="str">
        <x:v>Out of scope</x:v>
      </x:c>
      <x:c r="AQ556" s="14" t="str">
        <x:v>No</x:v>
      </x:c>
      <x:c r="AR556" s="14" t="str">
        <x:v>Resolved from master register</x:v>
      </x:c>
      <x:c r="AS556" s="14" t="str">
        <x:v>No established-register match</x:v>
      </x:c>
      <x:c r="AT556" s="14"/>
      <x:c r="AU556" s="14"/>
      <x:c r="AV556" s="14" t="str">
        <x:v>No established apparent-disability match</x:v>
      </x:c>
      <x:c r="AW556" s="14"/>
      <x:c r="AX556" s="14" t="str">
        <x:v>No</x:v>
      </x:c>
      <x:c r="AY556" s="14" t="str">
        <x:v>Unmatched</x:v>
      </x:c>
      <x:c r="AZ556" s="14" t="str">
        <x:v>Final supplied register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12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1</x:v>
      </x:c>
      <x:c r="BS556" s="16" t="n">
        <x:v>0.08333333333333333</x:v>
      </x:c>
      <x:c r="BT556" s="14" t="str">
        <x:v>One episode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4" t="str">
        <x:v>HYPERLINK is not implemented. linkLocation=https://www.imdb.com/title/tt7939800/fullcredits/, friendlyName=Open source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tt7939800|nm14321417|gchq staff</x:v>
      </x:c>
      <x:c r="B557" s="14" t="str">
        <x:v>07</x:v>
      </x:c>
      <x:c r="C557" s="14" t="str">
        <x:v>2022_IMDb_Cast_Lists_Batch_07(1).xlsx</x:v>
      </x:c>
      <x:c r="D557" s="14" t="str">
        <x:v>The Undeclared War</x:v>
      </x:c>
      <x:c r="E557" s="14" t="n">
        <x:v>111</x:v>
      </x:c>
      <x:c r="F557" s="14" t="str">
        <x:v>The Undeclared War</x:v>
      </x:c>
      <x:c r="G557" s="14" t="str">
        <x:v>tt7939800</x:v>
      </x:c>
      <x:c r="H557" s="14" t="n">
        <x:v>2022</x:v>
      </x:c>
      <x:c r="I557" s="14" t="n">
        <x:v>2025</x:v>
      </x:c>
      <x:c r="J557" s="14" t="str">
        <x:v>Post-study cohort</x:v>
      </x:c>
      <x:c r="K557" s="14" t="n">
        <x:v>2022</x:v>
      </x:c>
      <x:c r="L557" s="14" t="str">
        <x:v>Not inherited</x:v>
      </x:c>
      <x:c r="M557" s="15" t="n">
        <x:v>104</x:v>
      </x:c>
      <x:c r="N557" s="14" t="str">
        <x:v>Ravi Multani</x:v>
      </x:c>
      <x:c r="O557" s="14" t="str">
        <x:v>nm14321417</x:v>
      </x:c>
      <x:c r="P557" s="14" t="str">
        <x:v>GCHQ Staff</x:v>
      </x:c>
      <x:c r="Q557" s="15" t="n">
        <x:v>1</x:v>
      </x:c>
      <x:c r="R557" s="14" t="str">
        <x:v>2026</x:v>
      </x:c>
      <x:c r="S557" s="14" t="n">
        <x:v>2026</x:v>
      </x:c>
      <x:c r="T557" s="14" t="n">
        <x:v>2026</x:v>
      </x:c>
      <x:c r="U557" s="14" t="str">
        <x:v>Explicit source first year retained</x:v>
      </x:c>
      <x:c r="V557" s="14" t="str">
        <x:v>Earliest supplied year is 2026.</x:v>
      </x:c>
      <x:c r="W557" s="14"/>
      <x:c r="X557" s="14" t="str">
        <x:v>Excluded: after 2025</x:v>
      </x:c>
      <x:c r="Y557" s="14"/>
      <x:c r="Z557" s="14" t="str">
        <x:v>The Undeclared War.docx</x:v>
      </x:c>
      <x:c r="AA557" s="14" t="str">
        <x:v>HYPERLINK is not implemented. linkLocation=https://www.imdb.com/title/tt7939800/fullcredits/, friendlyName=Open source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Channel 4 / E4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7" t="e">
        <x:f>HYPERLINK("https://en.wikipedia.org/wiki/The_Undeclared_War","Open source")</x:f>
        <x:v>HYPERLINK is not implemented. linkLocation=https://en.wikipedia.org/wiki/The_Undeclared_War, friendlyName=Open source</x:v>
      </x:c>
      <x:c r="AN557" s="14" t="str">
        <x:v>No qualifying BBC relationship</x:v>
      </x:c>
      <x:c r="AO557" s="14" t="str">
        <x:v>No</x:v>
      </x:c>
      <x:c r="AP557" s="14" t="str">
        <x:v>Out of scope</x:v>
      </x:c>
      <x:c r="AQ557" s="14" t="str">
        <x:v>No</x:v>
      </x:c>
      <x:c r="AR557" s="14" t="str">
        <x:v>Resolved from master register</x:v>
      </x:c>
      <x:c r="AS557" s="14" t="str">
        <x:v>No established-register match</x:v>
      </x:c>
      <x:c r="AT557" s="14"/>
      <x:c r="AU557" s="14"/>
      <x:c r="AV557" s="14" t="str">
        <x:v>No established apparent-disability match</x:v>
      </x:c>
      <x:c r="AW557" s="14"/>
      <x:c r="AX557" s="14" t="str">
        <x:v>No</x:v>
      </x:c>
      <x:c r="AY557" s="14" t="str">
        <x:v>Unmatched</x:v>
      </x:c>
      <x:c r="AZ557" s="14" t="str">
        <x:v>Final supplied register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12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1</x:v>
      </x:c>
      <x:c r="BS557" s="16" t="n">
        <x:v>0.08333333333333333</x:v>
      </x:c>
      <x:c r="BT557" s="14" t="str">
        <x:v>One episode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4" t="str">
        <x:v>HYPERLINK is not implemented. linkLocation=https://www.imdb.com/title/tt7939800/fullcredits/, friendlyName=Open source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tt7939800|nm1412134|academic</x:v>
      </x:c>
      <x:c r="B558" s="14" t="str">
        <x:v>07</x:v>
      </x:c>
      <x:c r="C558" s="14" t="str">
        <x:v>2022_IMDb_Cast_Lists_Batch_07(1).xlsx</x:v>
      </x:c>
      <x:c r="D558" s="14" t="str">
        <x:v>The Undeclared War</x:v>
      </x:c>
      <x:c r="E558" s="14" t="n">
        <x:v>112</x:v>
      </x:c>
      <x:c r="F558" s="14" t="str">
        <x:v>The Undeclared War</x:v>
      </x:c>
      <x:c r="G558" s="14" t="str">
        <x:v>tt7939800</x:v>
      </x:c>
      <x:c r="H558" s="14" t="n">
        <x:v>2022</x:v>
      </x:c>
      <x:c r="I558" s="14" t="n">
        <x:v>2025</x:v>
      </x:c>
      <x:c r="J558" s="14" t="str">
        <x:v>Post-study cohort</x:v>
      </x:c>
      <x:c r="K558" s="14" t="n">
        <x:v>2022</x:v>
      </x:c>
      <x:c r="L558" s="14" t="str">
        <x:v>Not inherited</x:v>
      </x:c>
      <x:c r="M558" s="15" t="n">
        <x:v>105</x:v>
      </x:c>
      <x:c r="N558" s="14" t="str">
        <x:v>Andrew MacBean</x:v>
      </x:c>
      <x:c r="O558" s="14" t="str">
        <x:v>nm1412134</x:v>
      </x:c>
      <x:c r="P558" s="14" t="str">
        <x:v>Academic</x:v>
      </x:c>
      <x:c r="Q558" s="15" t="n">
        <x:v>1</x:v>
      </x:c>
      <x:c r="R558" s="14" t="str">
        <x:v>2026</x:v>
      </x:c>
      <x:c r="S558" s="14" t="n">
        <x:v>2026</x:v>
      </x:c>
      <x:c r="T558" s="14" t="n">
        <x:v>2026</x:v>
      </x:c>
      <x:c r="U558" s="14" t="str">
        <x:v>Explicit source first year retained</x:v>
      </x:c>
      <x:c r="V558" s="14" t="str">
        <x:v>Earliest supplied year is 2026.</x:v>
      </x:c>
      <x:c r="W558" s="14"/>
      <x:c r="X558" s="14" t="str">
        <x:v>Excluded: after 2025</x:v>
      </x:c>
      <x:c r="Y558" s="14"/>
      <x:c r="Z558" s="14" t="str">
        <x:v>The Undeclared War.docx</x:v>
      </x:c>
      <x:c r="AA558" s="14" t="str">
        <x:v>HYPERLINK is not implemented. linkLocation=https://www.imdb.com/title/tt7939800/fullcredits/, friendlyName=Open source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Channel 4 / E4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7" t="e">
        <x:f>HYPERLINK("https://en.wikipedia.org/wiki/The_Undeclared_War","Open source")</x:f>
        <x:v>HYPERLINK is not implemented. linkLocation=https://en.wikipedia.org/wiki/The_Undeclared_War, friendlyName=Open source</x:v>
      </x:c>
      <x:c r="AN558" s="14" t="str">
        <x:v>No qualifying BBC relationship</x:v>
      </x:c>
      <x:c r="AO558" s="14" t="str">
        <x:v>No</x:v>
      </x:c>
      <x:c r="AP558" s="14" t="str">
        <x:v>Out of scope</x:v>
      </x:c>
      <x:c r="AQ558" s="14" t="str">
        <x:v>No</x:v>
      </x:c>
      <x:c r="AR558" s="14" t="str">
        <x:v>Resolved from master register</x:v>
      </x:c>
      <x:c r="AS558" s="14" t="str">
        <x:v>No established-register match</x:v>
      </x:c>
      <x:c r="AT558" s="14"/>
      <x:c r="AU558" s="14"/>
      <x:c r="AV558" s="14" t="str">
        <x:v>No established apparent-disability match</x:v>
      </x:c>
      <x:c r="AW558" s="14"/>
      <x:c r="AX558" s="14" t="str">
        <x:v>No</x:v>
      </x:c>
      <x:c r="AY558" s="14" t="str">
        <x:v>Unmatched</x:v>
      </x:c>
      <x:c r="AZ558" s="14" t="str">
        <x:v>Final supplied register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12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0.08333333333333333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4" t="str">
        <x:v>HYPERLINK is not implemented. linkLocation=https://www.imdb.com/title/tt7939800/fullcredits/, friendlyName=Open source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tt11958610|nm0334150|commander nia quentin</x:v>
      </x:c>
      <x:c r="B559" s="14" t="str">
        <x:v>08</x:v>
      </x:c>
      <x:c r="C559" s="14" t="str">
        <x:v>2022_IMDb_Cast_Lists_Batch_08(1).xlsx</x:v>
      </x:c>
      <x:c r="D559" s="14" t="str">
        <x:v>Trigger Point</x:v>
      </x:c>
      <x:c r="E559" s="14" t="n">
        <x:v>28</x:v>
      </x:c>
      <x:c r="F559" s="14" t="str">
        <x:v>Trigger Point</x:v>
      </x:c>
      <x:c r="G559" s="14" t="str">
        <x:v>tt11958610</x:v>
      </x:c>
      <x:c r="H559" s="14" t="n">
        <x:v>2022</x:v>
      </x:c>
      <x:c r="I559" s="14" t="n">
        <x:v>2025</x:v>
      </x:c>
      <x:c r="J559" s="14" t="str">
        <x:v>Post-study cohort</x:v>
      </x:c>
      <x:c r="K559" s="14" t="n">
        <x:v>2022</x:v>
      </x:c>
      <x:c r="L559" s="14" t="str">
        <x:v>Not inherited</x:v>
      </x:c>
      <x:c r="M559" s="15" t="n">
        <x:v>21</x:v>
      </x:c>
      <x:c r="N559" s="14" t="str">
        <x:v>Julie Graham</x:v>
      </x:c>
      <x:c r="O559" s="14" t="str">
        <x:v>nm0334150</x:v>
      </x:c>
      <x:c r="P559" s="14" t="str">
        <x:v>Commander Nia Quentin</x:v>
      </x:c>
      <x:c r="Q559" s="15" t="n">
        <x:v>6</x:v>
      </x:c>
      <x:c r="R559" s="14" t="str">
        <x:v>2026</x:v>
      </x:c>
      <x:c r="S559" s="14" t="n">
        <x:v>2026</x:v>
      </x:c>
      <x:c r="T559" s="14" t="n">
        <x:v>2026</x:v>
      </x:c>
      <x:c r="U559" s="14" t="str">
        <x:v>Explicit source first year retained</x:v>
      </x:c>
      <x:c r="V559" s="14" t="str">
        <x:v>Earliest supplied year is 2026.</x:v>
      </x:c>
      <x:c r="W559" s="14"/>
      <x:c r="X559" s="14" t="str">
        <x:v>Excluded: after 2025</x:v>
      </x:c>
      <x:c r="Y559" s="14"/>
      <x:c r="Z559" s="14" t="str">
        <x:v>Trigger Point.docx</x:v>
      </x:c>
      <x:c r="AA559" s="14" t="str">
        <x:v>HYPERLINK is not implemented. linkLocation=https://www.imdb.com/title/tt11958610/fullcredits/, friendlyName=Open source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ITV / ITVX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7" t="e">
        <x:f>HYPERLINK("https://en.wikipedia.org/wiki/Trigger_Point","Open source")</x:f>
        <x:v>HYPERLINK is not implemented. linkLocation=https://en.wikipedia.org/wiki/Trigger_Point, friendlyName=Open source</x:v>
      </x:c>
      <x:c r="AN559" s="14" t="str">
        <x:v>No qualifying BBC relationship</x:v>
      </x:c>
      <x:c r="AO559" s="14" t="str">
        <x:v>No</x:v>
      </x:c>
      <x:c r="AP559" s="14" t="str">
        <x:v>Out of scope</x:v>
      </x:c>
      <x:c r="AQ559" s="14" t="str">
        <x:v>No</x:v>
      </x:c>
      <x:c r="AR559" s="14" t="str">
        <x:v>Resolved from master register</x:v>
      </x:c>
      <x:c r="AS559" s="14" t="str">
        <x:v>No established-register match</x:v>
      </x:c>
      <x:c r="AT559" s="14"/>
      <x:c r="AU559" s="14"/>
      <x:c r="AV559" s="14" t="str">
        <x:v>No established apparent-disability match</x:v>
      </x:c>
      <x:c r="AW559" s="14"/>
      <x:c r="AX559" s="14" t="str">
        <x:v>No</x:v>
      </x:c>
      <x:c r="AY559" s="14" t="str">
        <x:v>Unmatched</x:v>
      </x:c>
      <x:c r="AZ559" s="14" t="str">
        <x:v>Final supplied register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24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6</x:v>
      </x:c>
      <x:c r="BS559" s="16" t="n">
        <x:v>0.25</x:v>
      </x:c>
      <x:c r="BT559" s="14" t="str">
        <x:v>Minority of episodes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4" t="str">
        <x:v>HYPERLINK is not implemented. linkLocation=https://www.imdb.com/title/tt11958610/fullcredits/, friendlyName=Open source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tt11958610|nm13424229|dc ellie hackett</x:v>
      </x:c>
      <x:c r="B560" s="14" t="str">
        <x:v>08</x:v>
      </x:c>
      <x:c r="C560" s="14" t="str">
        <x:v>2022_IMDb_Cast_Lists_Batch_08(1).xlsx</x:v>
      </x:c>
      <x:c r="D560" s="14" t="str">
        <x:v>Trigger Point</x:v>
      </x:c>
      <x:c r="E560" s="14" t="n">
        <x:v>29</x:v>
      </x:c>
      <x:c r="F560" s="14" t="str">
        <x:v>Trigger Point</x:v>
      </x:c>
      <x:c r="G560" s="14" t="str">
        <x:v>tt11958610</x:v>
      </x:c>
      <x:c r="H560" s="14" t="n">
        <x:v>2022</x:v>
      </x:c>
      <x:c r="I560" s="14" t="n">
        <x:v>2025</x:v>
      </x:c>
      <x:c r="J560" s="14" t="str">
        <x:v>Post-study cohort</x:v>
      </x:c>
      <x:c r="K560" s="14" t="n">
        <x:v>2022</x:v>
      </x:c>
      <x:c r="L560" s="14" t="str">
        <x:v>Not inherited</x:v>
      </x:c>
      <x:c r="M560" s="15" t="n">
        <x:v>22</x:v>
      </x:c>
      <x:c r="N560" s="14" t="str">
        <x:v>Posy Sterling</x:v>
      </x:c>
      <x:c r="O560" s="14" t="str">
        <x:v>nm13424229</x:v>
      </x:c>
      <x:c r="P560" s="14" t="str">
        <x:v>DC Ellie Hackett</x:v>
      </x:c>
      <x:c r="Q560" s="15" t="n">
        <x:v>6</x:v>
      </x:c>
      <x:c r="R560" s="14" t="str">
        <x:v>2026</x:v>
      </x:c>
      <x:c r="S560" s="14" t="n">
        <x:v>2026</x:v>
      </x:c>
      <x:c r="T560" s="14" t="n">
        <x:v>2026</x:v>
      </x:c>
      <x:c r="U560" s="14" t="str">
        <x:v>Explicit source first year retained</x:v>
      </x:c>
      <x:c r="V560" s="14" t="str">
        <x:v>Earliest supplied year is 2026.</x:v>
      </x:c>
      <x:c r="W560" s="14"/>
      <x:c r="X560" s="14" t="str">
        <x:v>Excluded: after 2025</x:v>
      </x:c>
      <x:c r="Y560" s="14"/>
      <x:c r="Z560" s="14" t="str">
        <x:v>Trigger Point.docx</x:v>
      </x:c>
      <x:c r="AA560" s="14" t="str">
        <x:v>HYPERLINK is not implemented. linkLocation=https://www.imdb.com/title/tt11958610/fullcredits/, friendlyName=Open source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ITV / ITVX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7" t="e">
        <x:f>HYPERLINK("https://en.wikipedia.org/wiki/Trigger_Point","Open source")</x:f>
        <x:v>HYPERLINK is not implemented. linkLocation=https://en.wikipedia.org/wiki/Trigger_Point, friendlyName=Open source</x:v>
      </x:c>
      <x:c r="AN560" s="14" t="str">
        <x:v>No qualifying BBC relationship</x:v>
      </x:c>
      <x:c r="AO560" s="14" t="str">
        <x:v>No</x:v>
      </x:c>
      <x:c r="AP560" s="14" t="str">
        <x:v>Out of scope</x:v>
      </x:c>
      <x:c r="AQ560" s="14" t="str">
        <x:v>No</x:v>
      </x:c>
      <x:c r="AR560" s="14" t="str">
        <x:v>Resolved from master register</x:v>
      </x:c>
      <x:c r="AS560" s="14" t="str">
        <x:v>No established-register match</x:v>
      </x:c>
      <x:c r="AT560" s="14"/>
      <x:c r="AU560" s="14"/>
      <x:c r="AV560" s="14" t="str">
        <x:v>No established apparent-disability match</x:v>
      </x:c>
      <x:c r="AW560" s="14"/>
      <x:c r="AX560" s="14" t="str">
        <x:v>No</x:v>
      </x:c>
      <x:c r="AY560" s="14" t="str">
        <x:v>Unmatched</x:v>
      </x:c>
      <x:c r="AZ560" s="14" t="str">
        <x:v>Final supplied register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24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6</x:v>
      </x:c>
      <x:c r="BS560" s="16" t="n">
        <x:v>0.25</x:v>
      </x:c>
      <x:c r="BT560" s="14" t="str">
        <x:v>Minority of episodes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4" t="str">
        <x:v>HYPERLINK is not implemented. linkLocation=https://www.imdb.com/title/tt11958610/fullcredits/, friendlyName=Open source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tt11958610|nm2687517|eddie</x:v>
      </x:c>
      <x:c r="B561" s="14" t="str">
        <x:v>08</x:v>
      </x:c>
      <x:c r="C561" s="14" t="str">
        <x:v>2022_IMDb_Cast_Lists_Batch_08(1).xlsx</x:v>
      </x:c>
      <x:c r="D561" s="14" t="str">
        <x:v>Trigger Point</x:v>
      </x:c>
      <x:c r="E561" s="14" t="n">
        <x:v>36</x:v>
      </x:c>
      <x:c r="F561" s="14" t="str">
        <x:v>Trigger Point</x:v>
      </x:c>
      <x:c r="G561" s="14" t="str">
        <x:v>tt11958610</x:v>
      </x:c>
      <x:c r="H561" s="14" t="n">
        <x:v>2022</x:v>
      </x:c>
      <x:c r="I561" s="14" t="n">
        <x:v>2025</x:v>
      </x:c>
      <x:c r="J561" s="14" t="str">
        <x:v>Post-study cohort</x:v>
      </x:c>
      <x:c r="K561" s="14" t="n">
        <x:v>2022</x:v>
      </x:c>
      <x:c r="L561" s="14" t="str">
        <x:v>Not inherited</x:v>
      </x:c>
      <x:c r="M561" s="15" t="n">
        <x:v>29</x:v>
      </x:c>
      <x:c r="N561" s="14" t="str">
        <x:v>Chris Reilly</x:v>
      </x:c>
      <x:c r="O561" s="14" t="str">
        <x:v>nm2687517</x:v>
      </x:c>
      <x:c r="P561" s="14" t="str">
        <x:v>Eddie</x:v>
      </x:c>
      <x:c r="Q561" s="15" t="n">
        <x:v>5</x:v>
      </x:c>
      <x:c r="R561" s="14" t="str">
        <x:v>2026</x:v>
      </x:c>
      <x:c r="S561" s="14" t="n">
        <x:v>2026</x:v>
      </x:c>
      <x:c r="T561" s="14" t="n">
        <x:v>2026</x:v>
      </x:c>
      <x:c r="U561" s="14" t="str">
        <x:v>Explicit source first year retained</x:v>
      </x:c>
      <x:c r="V561" s="14" t="str">
        <x:v>Earliest supplied year is 2026.</x:v>
      </x:c>
      <x:c r="W561" s="14"/>
      <x:c r="X561" s="14" t="str">
        <x:v>Excluded: after 2025</x:v>
      </x:c>
      <x:c r="Y561" s="14"/>
      <x:c r="Z561" s="14" t="str">
        <x:v>Trigger Point.docx</x:v>
      </x:c>
      <x:c r="AA561" s="14" t="str">
        <x:v>HYPERLINK is not implemented. linkLocation=https://www.imdb.com/title/tt11958610/fullcredits/, friendlyName=Open source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ITV / ITVX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7" t="e">
        <x:f>HYPERLINK("https://en.wikipedia.org/wiki/Trigger_Point","Open source")</x:f>
        <x:v>HYPERLINK is not implemented. linkLocation=https://en.wikipedia.org/wiki/Trigger_Point, friendlyName=Open source</x:v>
      </x:c>
      <x:c r="AN561" s="14" t="str">
        <x:v>No qualifying BBC relationship</x:v>
      </x:c>
      <x:c r="AO561" s="14" t="str">
        <x:v>No</x:v>
      </x:c>
      <x:c r="AP561" s="14" t="str">
        <x:v>Out of scope</x:v>
      </x:c>
      <x:c r="AQ561" s="14" t="str">
        <x:v>No</x:v>
      </x:c>
      <x:c r="AR561" s="14" t="str">
        <x:v>Resolved from master register</x:v>
      </x:c>
      <x:c r="AS561" s="14" t="str">
        <x:v>No established-register match</x:v>
      </x:c>
      <x:c r="AT561" s="14"/>
      <x:c r="AU561" s="14"/>
      <x:c r="AV561" s="14" t="str">
        <x:v>No established apparent-disability match</x:v>
      </x:c>
      <x:c r="AW561" s="14"/>
      <x:c r="AX561" s="14" t="str">
        <x:v>No</x:v>
      </x:c>
      <x:c r="AY561" s="14" t="str">
        <x:v>Unmatched</x:v>
      </x:c>
      <x:c r="AZ561" s="14" t="str">
        <x:v>Final supplied register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24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5</x:v>
      </x:c>
      <x:c r="BS561" s="16" t="n">
        <x:v>0.20833333333333334</x:v>
      </x:c>
      <x:c r="BT561" s="14" t="str">
        <x:v>Minority of episodes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4" t="str">
        <x:v>HYPERLINK is not implemented. linkLocation=https://www.imdb.com/title/tt11958610/fullcredits/, friendlyName=Open source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tt11958610|nm12353218|mercenary</x:v>
      </x:c>
      <x:c r="B562" s="14" t="str">
        <x:v>08</x:v>
      </x:c>
      <x:c r="C562" s="14" t="str">
        <x:v>2022_IMDb_Cast_Lists_Batch_08(1).xlsx</x:v>
      </x:c>
      <x:c r="D562" s="14" t="str">
        <x:v>Trigger Point</x:v>
      </x:c>
      <x:c r="E562" s="14" t="n">
        <x:v>130</x:v>
      </x:c>
      <x:c r="F562" s="14" t="str">
        <x:v>Trigger Point</x:v>
      </x:c>
      <x:c r="G562" s="14" t="str">
        <x:v>tt11958610</x:v>
      </x:c>
      <x:c r="H562" s="14" t="n">
        <x:v>2022</x:v>
      </x:c>
      <x:c r="I562" s="14" t="n">
        <x:v>2025</x:v>
      </x:c>
      <x:c r="J562" s="14" t="str">
        <x:v>Post-study cohort</x:v>
      </x:c>
      <x:c r="K562" s="14" t="n">
        <x:v>2022</x:v>
      </x:c>
      <x:c r="L562" s="14" t="str">
        <x:v>Not inherited</x:v>
      </x:c>
      <x:c r="M562" s="15" t="n">
        <x:v>123</x:v>
      </x:c>
      <x:c r="N562" s="14" t="str">
        <x:v>Kelly Rian Sanson</x:v>
      </x:c>
      <x:c r="O562" s="14" t="str">
        <x:v>nm12353218</x:v>
      </x:c>
      <x:c r="P562" s="14" t="str">
        <x:v>Mercenary</x:v>
      </x:c>
      <x:c r="Q562" s="15" t="n">
        <x:v>1</x:v>
      </x:c>
      <x:c r="R562" s="14" t="str">
        <x:v>2026</x:v>
      </x:c>
      <x:c r="S562" s="14" t="n">
        <x:v>2026</x:v>
      </x:c>
      <x:c r="T562" s="14" t="n">
        <x:v>2026</x:v>
      </x:c>
      <x:c r="U562" s="14" t="str">
        <x:v>Explicit source first year retained</x:v>
      </x:c>
      <x:c r="V562" s="14" t="str">
        <x:v>Earliest supplied year is 2026.</x:v>
      </x:c>
      <x:c r="W562" s="14"/>
      <x:c r="X562" s="14" t="str">
        <x:v>Excluded: after 2025</x:v>
      </x:c>
      <x:c r="Y562" s="14"/>
      <x:c r="Z562" s="14" t="str">
        <x:v>Trigger Point.docx</x:v>
      </x:c>
      <x:c r="AA562" s="14" t="str">
        <x:v>HYPERLINK is not implemented. linkLocation=https://www.imdb.com/title/tt11958610/fullcredits/, friendlyName=Open source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ITV / ITVX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7" t="e">
        <x:f>HYPERLINK("https://en.wikipedia.org/wiki/Trigger_Point","Open source")</x:f>
        <x:v>HYPERLINK is not implemented. linkLocation=https://en.wikipedia.org/wiki/Trigger_Point, friendlyName=Open source</x:v>
      </x:c>
      <x:c r="AN562" s="14" t="str">
        <x:v>No qualifying BBC relationship</x:v>
      </x:c>
      <x:c r="AO562" s="14" t="str">
        <x:v>No</x:v>
      </x:c>
      <x:c r="AP562" s="14" t="str">
        <x:v>Out of scope</x:v>
      </x:c>
      <x:c r="AQ562" s="14" t="str">
        <x:v>No</x:v>
      </x:c>
      <x:c r="AR562" s="14" t="str">
        <x:v>Resolved from master register</x:v>
      </x:c>
      <x:c r="AS562" s="14" t="str">
        <x:v>No established-register match</x:v>
      </x:c>
      <x:c r="AT562" s="14"/>
      <x:c r="AU562" s="14"/>
      <x:c r="AV562" s="14" t="str">
        <x:v>No established apparent-disability match</x:v>
      </x:c>
      <x:c r="AW562" s="14"/>
      <x:c r="AX562" s="14" t="str">
        <x:v>No</x:v>
      </x:c>
      <x:c r="AY562" s="14" t="str">
        <x:v>Unmatched</x:v>
      </x:c>
      <x:c r="AZ562" s="14" t="str">
        <x:v>Final supplied register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24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0.041666666666666664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4" t="str">
        <x:v>HYPERLINK is not implemented. linkLocation=https://www.imdb.com/title/tt11958610/fullcredits/, friendlyName=Open source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699b49fbd82944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5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Unresolved and review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91 records excluded pending authoritative resolution.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tt38933516|nm4089168|laila</x:v>
      </x:c>
      <x:c r="B6" s="14" t="str">
        <x:v>03</x:v>
      </x:c>
      <x:c r="C6" s="14" t="str">
        <x:v>2025_IMDb_Cast_Lists_Batch_03(1).xlsx</x:v>
      </x:c>
      <x:c r="D6" s="14" t="str">
        <x:v>Play for Today</x:v>
      </x:c>
      <x:c r="E6" s="14" t="n">
        <x:v>10</x:v>
      </x:c>
      <x:c r="F6" s="14" t="str">
        <x:v>Play for Today</x:v>
      </x:c>
      <x:c r="G6" s="14" t="str">
        <x:v>tt38933516</x:v>
      </x:c>
      <x:c r="H6" s="14"/>
      <x:c r="I6" s="14" t="n">
        <x:v>2025</x:v>
      </x:c>
      <x:c r="J6" s="14" t="str">
        <x:v>Review cohort</x:v>
      </x:c>
      <x:c r="K6" s="14"/>
      <x:c r="L6" s="14" t="str">
        <x:v>Not inherited</x:v>
      </x:c>
      <x:c r="M6" s="15" t="n">
        <x:v>3</x:v>
      </x:c>
      <x:c r="N6" s="14" t="str">
        <x:v>Ellora Torchia</x:v>
      </x:c>
      <x:c r="O6" s="14" t="str">
        <x:v>nm4089168</x:v>
      </x:c>
      <x:c r="P6" s="14" t="str">
        <x:v>Laila</x:v>
      </x:c>
      <x:c r="Q6" s="15" t="n">
        <x:v>1</x:v>
      </x:c>
      <x:c r="R6" s="14"/>
      <x:c r="S6" s="14"/>
      <x:c r="T6" s="14"/>
      <x:c r="U6" s="14" t="str">
        <x:v>Unresolved</x:v>
      </x:c>
      <x:c r="V6" s="14" t="str">
        <x:v>Production scope or source year is unresolved.</x:v>
      </x:c>
      <x:c r="W6" s="14" t="str">
        <x:v>Review required</x:v>
      </x:c>
      <x:c r="X6" s="14" t="str">
        <x:v>Review required</x:v>
      </x:c>
      <x:c r="Y6" s="14"/>
      <x:c r="Z6" s="14" t="str">
        <x:v>Play for Today.docx</x:v>
      </x:c>
      <x:c r="AA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/>
      <x:c r="AI6" s="14"/>
      <x:c r="AJ6" s="14" t="str">
        <x:v>No master-list match</x:v>
      </x:c>
      <x:c r="AK6" s="14" t="str">
        <x:v>Unresolved</x:v>
      </x:c>
      <x:c r="AL6" s="14" t="str">
        <x:v>No matching production in master register.</x:v>
      </x:c>
      <x:c r="AM6" s="14"/>
      <x:c r="AN6" s="14" t="str">
        <x:v>Relationship unresolved</x:v>
      </x:c>
      <x:c r="AO6" s="14" t="str">
        <x:v>Review required</x:v>
      </x:c>
      <x:c r="AP6" s="14" t="str">
        <x:v>Review required</x:v>
      </x:c>
      <x:c r="AQ6" s="14" t="str">
        <x:v>Review required</x:v>
      </x:c>
      <x:c r="AR6" s="14" t="str">
        <x:v>Review required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/>
      <x:c r="BP6" s="14" t="str">
        <x:v>Unable to calculate from supplied records.</x:v>
      </x:c>
      <x:c r="BQ6" s="14" t="str">
        <x:v>Unable to determine</x:v>
      </x:c>
      <x:c r="BR6" s="15" t="n">
        <x:v>1</x:v>
      </x:c>
      <x:c r="BS6" s="16"/>
      <x:c r="BT6" s="14" t="str">
        <x:v>Unable to calculate</x:v>
      </x:c>
      <x:c r="BU6" s="14" t="str">
        <x:v>Unable to determine</x:v>
      </x:c>
      <x:c r="BV6" s="14" t="str">
        <x:v>Episode count or production-total proxy unavailable.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tt38933516|nm0426855|edith thistle</x:v>
      </x:c>
      <x:c r="B7" s="14" t="str">
        <x:v>03</x:v>
      </x:c>
      <x:c r="C7" s="14" t="str">
        <x:v>2025_IMDb_Cast_Lists_Batch_03(1).xlsx</x:v>
      </x:c>
      <x:c r="D7" s="14" t="str">
        <x:v>Play for Today</x:v>
      </x:c>
      <x:c r="E7" s="14" t="n">
        <x:v>11</x:v>
      </x:c>
      <x:c r="F7" s="14" t="str">
        <x:v>Play for Today</x:v>
      </x:c>
      <x:c r="G7" s="14" t="str">
        <x:v>tt38933516</x:v>
      </x:c>
      <x:c r="H7" s="14"/>
      <x:c r="I7" s="14" t="n">
        <x:v>2025</x:v>
      </x:c>
      <x:c r="J7" s="14" t="str">
        <x:v>Review cohort</x:v>
      </x:c>
      <x:c r="K7" s="14"/>
      <x:c r="L7" s="14" t="str">
        <x:v>Not inherited</x:v>
      </x:c>
      <x:c r="M7" s="15" t="n">
        <x:v>4</x:v>
      </x:c>
      <x:c r="N7" s="14" t="str">
        <x:v>Sue Johnston</x:v>
      </x:c>
      <x:c r="O7" s="14" t="str">
        <x:v>nm0426855</x:v>
      </x:c>
      <x:c r="P7" s="14" t="str">
        <x:v>Edith Thistle</x:v>
      </x:c>
      <x:c r="Q7" s="15" t="n">
        <x:v>1</x:v>
      </x:c>
      <x:c r="R7" s="14" t="str">
        <x:v>2025</x:v>
      </x:c>
      <x:c r="S7" s="14" t="n">
        <x:v>2025</x:v>
      </x:c>
      <x:c r="T7" s="14" t="n">
        <x:v>2025</x:v>
      </x:c>
      <x:c r="U7" s="14" t="str">
        <x:v>Unresolved</x:v>
      </x:c>
      <x:c r="V7" s="14" t="str">
        <x:v>Production scope or source year is unresolved.</x:v>
      </x:c>
      <x:c r="W7" s="14" t="str">
        <x:v>Review required</x:v>
      </x:c>
      <x:c r="X7" s="14" t="str">
        <x:v>Review required</x:v>
      </x:c>
      <x:c r="Y7" s="14"/>
      <x:c r="Z7" s="14" t="str">
        <x:v>Play for Today.docx</x:v>
      </x:c>
      <x:c r="AA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/>
      <x:c r="AI7" s="14"/>
      <x:c r="AJ7" s="14" t="str">
        <x:v>No master-list match</x:v>
      </x:c>
      <x:c r="AK7" s="14" t="str">
        <x:v>Unresolved</x:v>
      </x:c>
      <x:c r="AL7" s="14" t="str">
        <x:v>No matching production in master register.</x:v>
      </x:c>
      <x:c r="AM7" s="14"/>
      <x:c r="AN7" s="14" t="str">
        <x:v>Relationship unresolved</x:v>
      </x:c>
      <x:c r="AO7" s="14" t="str">
        <x:v>Review required</x:v>
      </x:c>
      <x:c r="AP7" s="14" t="str">
        <x:v>Review required</x:v>
      </x:c>
      <x:c r="AQ7" s="14" t="str">
        <x:v>Review required</x:v>
      </x:c>
      <x:c r="AR7" s="14" t="str">
        <x:v>Review required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/>
      <x:c r="BP7" s="14" t="str">
        <x:v>Unable to calculate from supplied records.</x:v>
      </x:c>
      <x:c r="BQ7" s="14" t="str">
        <x:v>Unable to determine</x:v>
      </x:c>
      <x:c r="BR7" s="15" t="n">
        <x:v>1</x:v>
      </x:c>
      <x:c r="BS7" s="16"/>
      <x:c r="BT7" s="14" t="str">
        <x:v>Unable to calculate</x:v>
      </x:c>
      <x:c r="BU7" s="14" t="str">
        <x:v>Unable to determine</x:v>
      </x:c>
      <x:c r="BV7" s="14" t="str">
        <x:v>Episode count or production-total proxy unavailable.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tt38933516|nm0203563|lenny bray</x:v>
      </x:c>
      <x:c r="B8" s="14" t="str">
        <x:v>03</x:v>
      </x:c>
      <x:c r="C8" s="14" t="str">
        <x:v>2025_IMDb_Cast_Lists_Batch_03(1).xlsx</x:v>
      </x:c>
      <x:c r="D8" s="14" t="str">
        <x:v>Play for Today</x:v>
      </x:c>
      <x:c r="E8" s="14" t="n">
        <x:v>12</x:v>
      </x:c>
      <x:c r="F8" s="14" t="str">
        <x:v>Play for Today</x:v>
      </x:c>
      <x:c r="G8" s="14" t="str">
        <x:v>tt38933516</x:v>
      </x:c>
      <x:c r="H8" s="14"/>
      <x:c r="I8" s="14" t="n">
        <x:v>2025</x:v>
      </x:c>
      <x:c r="J8" s="14" t="str">
        <x:v>Review cohort</x:v>
      </x:c>
      <x:c r="K8" s="14"/>
      <x:c r="L8" s="14" t="str">
        <x:v>Not inherited</x:v>
      </x:c>
      <x:c r="M8" s="15" t="n">
        <x:v>5</x:v>
      </x:c>
      <x:c r="N8" s="14" t="str">
        <x:v>Alan Davies</x:v>
      </x:c>
      <x:c r="O8" s="14" t="str">
        <x:v>nm0203563</x:v>
      </x:c>
      <x:c r="P8" s="14" t="str">
        <x:v>Lenny Bray</x:v>
      </x:c>
      <x:c r="Q8" s="15" t="n">
        <x:v>1</x:v>
      </x:c>
      <x:c r="R8" s="14" t="str">
        <x:v>2025</x:v>
      </x:c>
      <x:c r="S8" s="14" t="n">
        <x:v>2025</x:v>
      </x:c>
      <x:c r="T8" s="14" t="n">
        <x:v>2025</x:v>
      </x:c>
      <x:c r="U8" s="14" t="str">
        <x:v>Unresolved</x:v>
      </x:c>
      <x:c r="V8" s="14" t="str">
        <x:v>Production scope or source year is unresolved.</x:v>
      </x:c>
      <x:c r="W8" s="14" t="str">
        <x:v>Review required</x:v>
      </x:c>
      <x:c r="X8" s="14" t="str">
        <x:v>Review required</x:v>
      </x:c>
      <x:c r="Y8" s="14"/>
      <x:c r="Z8" s="14" t="str">
        <x:v>Play for Today.docx</x:v>
      </x:c>
      <x:c r="AA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/>
      <x:c r="AI8" s="14"/>
      <x:c r="AJ8" s="14" t="str">
        <x:v>No master-list match</x:v>
      </x:c>
      <x:c r="AK8" s="14" t="str">
        <x:v>Unresolved</x:v>
      </x:c>
      <x:c r="AL8" s="14" t="str">
        <x:v>No matching production in master register.</x:v>
      </x:c>
      <x:c r="AM8" s="14"/>
      <x:c r="AN8" s="14" t="str">
        <x:v>Relationship unresolved</x:v>
      </x:c>
      <x:c r="AO8" s="14" t="str">
        <x:v>Review required</x:v>
      </x:c>
      <x:c r="AP8" s="14" t="str">
        <x:v>Review required</x:v>
      </x:c>
      <x:c r="AQ8" s="14" t="str">
        <x:v>Review required</x:v>
      </x:c>
      <x:c r="AR8" s="14" t="str">
        <x:v>Review required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/>
      <x:c r="BP8" s="14" t="str">
        <x:v>Unable to calculate from supplied records.</x:v>
      </x:c>
      <x:c r="BQ8" s="14" t="str">
        <x:v>Unable to determine</x:v>
      </x:c>
      <x:c r="BR8" s="15" t="n">
        <x:v>1</x:v>
      </x:c>
      <x:c r="BS8" s="16"/>
      <x:c r="BT8" s="14" t="str">
        <x:v>Unable to calculate</x:v>
      </x:c>
      <x:c r="BU8" s="14" t="str">
        <x:v>Unable to determine</x:v>
      </x:c>
      <x:c r="BV8" s="14" t="str">
        <x:v>Episode count or production-total proxy unavailable.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tt38933516|nm6901925|amy garrison</x:v>
      </x:c>
      <x:c r="B9" s="14" t="str">
        <x:v>03</x:v>
      </x:c>
      <x:c r="C9" s="14" t="str">
        <x:v>2025_IMDb_Cast_Lists_Batch_03(1).xlsx</x:v>
      </x:c>
      <x:c r="D9" s="14" t="str">
        <x:v>Play for Today</x:v>
      </x:c>
      <x:c r="E9" s="14" t="n">
        <x:v>13</x:v>
      </x:c>
      <x:c r="F9" s="14" t="str">
        <x:v>Play for Today</x:v>
      </x:c>
      <x:c r="G9" s="14" t="str">
        <x:v>tt38933516</x:v>
      </x:c>
      <x:c r="H9" s="14"/>
      <x:c r="I9" s="14" t="n">
        <x:v>2025</x:v>
      </x:c>
      <x:c r="J9" s="14" t="str">
        <x:v>Review cohort</x:v>
      </x:c>
      <x:c r="K9" s="14"/>
      <x:c r="L9" s="14" t="str">
        <x:v>Not inherited</x:v>
      </x:c>
      <x:c r="M9" s="15" t="n">
        <x:v>6</x:v>
      </x:c>
      <x:c r="N9" s="14" t="str">
        <x:v>Jessica Plummer</x:v>
      </x:c>
      <x:c r="O9" s="14" t="str">
        <x:v>nm6901925</x:v>
      </x:c>
      <x:c r="P9" s="14" t="str">
        <x:v>Amy Garrison</x:v>
      </x:c>
      <x:c r="Q9" s="15" t="n">
        <x:v>1</x:v>
      </x:c>
      <x:c r="R9" s="14" t="str">
        <x:v>2025</x:v>
      </x:c>
      <x:c r="S9" s="14" t="n">
        <x:v>2025</x:v>
      </x:c>
      <x:c r="T9" s="14" t="n">
        <x:v>2025</x:v>
      </x:c>
      <x:c r="U9" s="14" t="str">
        <x:v>Unresolved</x:v>
      </x:c>
      <x:c r="V9" s="14" t="str">
        <x:v>Production scope or source year is unresolved.</x:v>
      </x:c>
      <x:c r="W9" s="14" t="str">
        <x:v>Review required</x:v>
      </x:c>
      <x:c r="X9" s="14" t="str">
        <x:v>Review required</x:v>
      </x:c>
      <x:c r="Y9" s="14"/>
      <x:c r="Z9" s="14" t="str">
        <x:v>Play for Today.docx</x:v>
      </x:c>
      <x:c r="AA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/>
      <x:c r="AI9" s="14"/>
      <x:c r="AJ9" s="14" t="str">
        <x:v>No master-list match</x:v>
      </x:c>
      <x:c r="AK9" s="14" t="str">
        <x:v>Unresolved</x:v>
      </x:c>
      <x:c r="AL9" s="14" t="str">
        <x:v>No matching production in master register.</x:v>
      </x:c>
      <x:c r="AM9" s="14"/>
      <x:c r="AN9" s="14" t="str">
        <x:v>Relationship unresolved</x:v>
      </x:c>
      <x:c r="AO9" s="14" t="str">
        <x:v>Review required</x:v>
      </x:c>
      <x:c r="AP9" s="14" t="str">
        <x:v>Review required</x:v>
      </x:c>
      <x:c r="AQ9" s="14" t="str">
        <x:v>Review required</x:v>
      </x:c>
      <x:c r="AR9" s="14" t="str">
        <x:v>Review required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/>
      <x:c r="BP9" s="14" t="str">
        <x:v>Unable to calculate from supplied records.</x:v>
      </x:c>
      <x:c r="BQ9" s="14" t="str">
        <x:v>Unable to determine</x:v>
      </x:c>
      <x:c r="BR9" s="15" t="n">
        <x:v>1</x:v>
      </x:c>
      <x:c r="BS9" s="16"/>
      <x:c r="BT9" s="14" t="str">
        <x:v>Unable to calculate</x:v>
      </x:c>
      <x:c r="BU9" s="14" t="str">
        <x:v>Unable to determine</x:v>
      </x:c>
      <x:c r="BV9" s="14" t="str">
        <x:v>Episode count or production-total proxy unavailable.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tt38933516|nm0229886|cynthia</x:v>
      </x:c>
      <x:c r="B10" s="14" t="str">
        <x:v>03</x:v>
      </x:c>
      <x:c r="C10" s="14" t="str">
        <x:v>2025_IMDb_Cast_Lists_Batch_03(1).xlsx</x:v>
      </x:c>
      <x:c r="D10" s="14" t="str">
        <x:v>Play for Today</x:v>
      </x:c>
      <x:c r="E10" s="14" t="n">
        <x:v>14</x:v>
      </x:c>
      <x:c r="F10" s="14" t="str">
        <x:v>Play for Today</x:v>
      </x:c>
      <x:c r="G10" s="14" t="str">
        <x:v>tt38933516</x:v>
      </x:c>
      <x:c r="H10" s="14"/>
      <x:c r="I10" s="14" t="n">
        <x:v>2025</x:v>
      </x:c>
      <x:c r="J10" s="14" t="str">
        <x:v>Review cohort</x:v>
      </x:c>
      <x:c r="K10" s="14"/>
      <x:c r="L10" s="14" t="str">
        <x:v>Not inherited</x:v>
      </x:c>
      <x:c r="M10" s="15" t="n">
        <x:v>7</x:v>
      </x:c>
      <x:c r="N10" s="14" t="str">
        <x:v>Anita Dobson</x:v>
      </x:c>
      <x:c r="O10" s="14" t="str">
        <x:v>nm0229886</x:v>
      </x:c>
      <x:c r="P10" s="14" t="str">
        <x:v>Cynthia</x:v>
      </x:c>
      <x:c r="Q10" s="15" t="n">
        <x:v>1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Unresolved</x:v>
      </x:c>
      <x:c r="V10" s="14" t="str">
        <x:v>Production scope or source year is unresolved.</x:v>
      </x:c>
      <x:c r="W10" s="14" t="str">
        <x:v>Review required</x:v>
      </x:c>
      <x:c r="X10" s="14" t="str">
        <x:v>Review required</x:v>
      </x:c>
      <x:c r="Y10" s="14"/>
      <x:c r="Z10" s="14" t="str">
        <x:v>Play for Today.docx</x:v>
      </x:c>
      <x:c r="AA1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/>
      <x:c r="AI10" s="14"/>
      <x:c r="AJ10" s="14" t="str">
        <x:v>No master-list match</x:v>
      </x:c>
      <x:c r="AK10" s="14" t="str">
        <x:v>Unresolved</x:v>
      </x:c>
      <x:c r="AL10" s="14" t="str">
        <x:v>No matching production in master register.</x:v>
      </x:c>
      <x:c r="AM10" s="14"/>
      <x:c r="AN10" s="14" t="str">
        <x:v>Relationship unresolved</x:v>
      </x:c>
      <x:c r="AO10" s="14" t="str">
        <x:v>Review required</x:v>
      </x:c>
      <x:c r="AP10" s="14" t="str">
        <x:v>Review required</x:v>
      </x:c>
      <x:c r="AQ10" s="14" t="str">
        <x:v>Review required</x:v>
      </x:c>
      <x:c r="AR10" s="14" t="str">
        <x:v>Review required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/>
      <x:c r="BP10" s="14" t="str">
        <x:v>Unable to calculate from supplied records.</x:v>
      </x:c>
      <x:c r="BQ10" s="14" t="str">
        <x:v>Unable to determine</x:v>
      </x:c>
      <x:c r="BR10" s="15" t="n">
        <x:v>1</x:v>
      </x:c>
      <x:c r="BS10" s="16"/>
      <x:c r="BT10" s="14" t="str">
        <x:v>Unable to calculate</x:v>
      </x:c>
      <x:c r="BU10" s="14" t="str">
        <x:v>Unable to determine</x:v>
      </x:c>
      <x:c r="BV10" s="14" t="str">
        <x:v>Episode count or production-total proxy unavailable.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tt38933516|nm3379444|mo</x:v>
      </x:c>
      <x:c r="B11" s="14" t="str">
        <x:v>03</x:v>
      </x:c>
      <x:c r="C11" s="14" t="str">
        <x:v>2025_IMDb_Cast_Lists_Batch_03(1).xlsx</x:v>
      </x:c>
      <x:c r="D11" s="14" t="str">
        <x:v>Play for Today</x:v>
      </x:c>
      <x:c r="E11" s="14" t="n">
        <x:v>15</x:v>
      </x:c>
      <x:c r="F11" s="14" t="str">
        <x:v>Play for Today</x:v>
      </x:c>
      <x:c r="G11" s="14" t="str">
        <x:v>tt38933516</x:v>
      </x:c>
      <x:c r="H11" s="14"/>
      <x:c r="I11" s="14" t="n">
        <x:v>2025</x:v>
      </x:c>
      <x:c r="J11" s="14" t="str">
        <x:v>Review cohort</x:v>
      </x:c>
      <x:c r="K11" s="14"/>
      <x:c r="L11" s="14" t="str">
        <x:v>Not inherited</x:v>
      </x:c>
      <x:c r="M11" s="15" t="n">
        <x:v>8</x:v>
      </x:c>
      <x:c r="N11" s="14" t="str">
        <x:v>Antonio Aakeel</x:v>
      </x:c>
      <x:c r="O11" s="14" t="str">
        <x:v>nm3379444</x:v>
      </x:c>
      <x:c r="P11" s="14" t="str">
        <x:v>Mo</x:v>
      </x:c>
      <x:c r="Q11" s="15" t="n">
        <x:v>1</x:v>
      </x:c>
      <x:c r="R11" s="14"/>
      <x:c r="S11" s="14"/>
      <x:c r="T11" s="14"/>
      <x:c r="U11" s="14" t="str">
        <x:v>Unresolved</x:v>
      </x:c>
      <x:c r="V11" s="14" t="str">
        <x:v>Production scope or source year is unresolved.</x:v>
      </x:c>
      <x:c r="W11" s="14" t="str">
        <x:v>Review required</x:v>
      </x:c>
      <x:c r="X11" s="14" t="str">
        <x:v>Review required</x:v>
      </x:c>
      <x:c r="Y11" s="14"/>
      <x:c r="Z11" s="14" t="str">
        <x:v>Play for Today.docx</x:v>
      </x:c>
      <x:c r="AA1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/>
      <x:c r="AI11" s="14"/>
      <x:c r="AJ11" s="14" t="str">
        <x:v>No master-list match</x:v>
      </x:c>
      <x:c r="AK11" s="14" t="str">
        <x:v>Unresolved</x:v>
      </x:c>
      <x:c r="AL11" s="14" t="str">
        <x:v>No matching production in master register.</x:v>
      </x:c>
      <x:c r="AM11" s="14"/>
      <x:c r="AN11" s="14" t="str">
        <x:v>Relationship unresolved</x:v>
      </x:c>
      <x:c r="AO11" s="14" t="str">
        <x:v>Review required</x:v>
      </x:c>
      <x:c r="AP11" s="14" t="str">
        <x:v>Review required</x:v>
      </x:c>
      <x:c r="AQ11" s="14" t="str">
        <x:v>Review required</x:v>
      </x:c>
      <x:c r="AR11" s="14" t="str">
        <x:v>Review required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/>
      <x:c r="BP11" s="14" t="str">
        <x:v>Unable to calculate from supplied records.</x:v>
      </x:c>
      <x:c r="BQ11" s="14" t="str">
        <x:v>Unable to determine</x:v>
      </x:c>
      <x:c r="BR11" s="15" t="n">
        <x:v>1</x:v>
      </x:c>
      <x:c r="BS11" s="16"/>
      <x:c r="BT11" s="14" t="str">
        <x:v>Unable to calculate</x:v>
      </x:c>
      <x:c r="BU11" s="14" t="str">
        <x:v>Unable to determine</x:v>
      </x:c>
      <x:c r="BV11" s="14" t="str">
        <x:v>Episode count or production-total proxy unavailable.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tt38933516|nm0025458|maggie bray</x:v>
      </x:c>
      <x:c r="B12" s="14" t="str">
        <x:v>03</x:v>
      </x:c>
      <x:c r="C12" s="14" t="str">
        <x:v>2025_IMDb_Cast_Lists_Batch_03(1).xlsx</x:v>
      </x:c>
      <x:c r="D12" s="14" t="str">
        <x:v>Play for Today</x:v>
      </x:c>
      <x:c r="E12" s="14" t="n">
        <x:v>16</x:v>
      </x:c>
      <x:c r="F12" s="14" t="str">
        <x:v>Play for Today</x:v>
      </x:c>
      <x:c r="G12" s="14" t="str">
        <x:v>tt38933516</x:v>
      </x:c>
      <x:c r="H12" s="14"/>
      <x:c r="I12" s="14" t="n">
        <x:v>2025</x:v>
      </x:c>
      <x:c r="J12" s="14" t="str">
        <x:v>Review cohort</x:v>
      </x:c>
      <x:c r="K12" s="14"/>
      <x:c r="L12" s="14" t="str">
        <x:v>Not inherited</x:v>
      </x:c>
      <x:c r="M12" s="15" t="n">
        <x:v>9</x:v>
      </x:c>
      <x:c r="N12" s="14" t="str">
        <x:v>Nikki Amuka-Bird</x:v>
      </x:c>
      <x:c r="O12" s="14" t="str">
        <x:v>nm0025458</x:v>
      </x:c>
      <x:c r="P12" s="14" t="str">
        <x:v>Maggie Bray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Unresolved</x:v>
      </x:c>
      <x:c r="V12" s="14" t="str">
        <x:v>Production scope or source year is unresolved.</x:v>
      </x:c>
      <x:c r="W12" s="14" t="str">
        <x:v>Review required</x:v>
      </x:c>
      <x:c r="X12" s="14" t="str">
        <x:v>Review required</x:v>
      </x:c>
      <x:c r="Y12" s="14"/>
      <x:c r="Z12" s="14" t="str">
        <x:v>Play for Today.docx</x:v>
      </x:c>
      <x:c r="AA1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/>
      <x:c r="AI12" s="14"/>
      <x:c r="AJ12" s="14" t="str">
        <x:v>No master-list match</x:v>
      </x:c>
      <x:c r="AK12" s="14" t="str">
        <x:v>Unresolved</x:v>
      </x:c>
      <x:c r="AL12" s="14" t="str">
        <x:v>No matching production in master register.</x:v>
      </x:c>
      <x:c r="AM12" s="14"/>
      <x:c r="AN12" s="14" t="str">
        <x:v>Relationship unresolved</x:v>
      </x:c>
      <x:c r="AO12" s="14" t="str">
        <x:v>Review required</x:v>
      </x:c>
      <x:c r="AP12" s="14" t="str">
        <x:v>Review required</x:v>
      </x:c>
      <x:c r="AQ12" s="14" t="str">
        <x:v>Review required</x:v>
      </x:c>
      <x:c r="AR12" s="14" t="str">
        <x:v>Review required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/>
      <x:c r="BP12" s="14" t="str">
        <x:v>Unable to calculate from supplied records.</x:v>
      </x:c>
      <x:c r="BQ12" s="14" t="str">
        <x:v>Unable to determine</x:v>
      </x:c>
      <x:c r="BR12" s="15" t="n">
        <x:v>1</x:v>
      </x:c>
      <x:c r="BS12" s="16"/>
      <x:c r="BT12" s="14" t="str">
        <x:v>Unable to calculate</x:v>
      </x:c>
      <x:c r="BU12" s="14" t="str">
        <x:v>Unable to determine</x:v>
      </x:c>
      <x:c r="BV12" s="14" t="str">
        <x:v>Episode count or production-total proxy unavailable.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tt38933516|nm0369814|frank</x:v>
      </x:c>
      <x:c r="B13" s="14" t="str">
        <x:v>03</x:v>
      </x:c>
      <x:c r="C13" s="14" t="str">
        <x:v>2025_IMDb_Cast_Lists_Batch_03(1).xlsx</x:v>
      </x:c>
      <x:c r="D13" s="14" t="str">
        <x:v>Play for Today</x:v>
      </x:c>
      <x:c r="E13" s="14" t="n">
        <x:v>17</x:v>
      </x:c>
      <x:c r="F13" s="14" t="str">
        <x:v>Play for Today</x:v>
      </x:c>
      <x:c r="G13" s="14" t="str">
        <x:v>tt38933516</x:v>
      </x:c>
      <x:c r="H13" s="14"/>
      <x:c r="I13" s="14" t="n">
        <x:v>2025</x:v>
      </x:c>
      <x:c r="J13" s="14" t="str">
        <x:v>Review cohort</x:v>
      </x:c>
      <x:c r="K13" s="14"/>
      <x:c r="L13" s="14" t="str">
        <x:v>Not inherited</x:v>
      </x:c>
      <x:c r="M13" s="15" t="n">
        <x:v>10</x:v>
      </x:c>
      <x:c r="N13" s="14" t="str">
        <x:v>Nigel Havers</x:v>
      </x:c>
      <x:c r="O13" s="14" t="str">
        <x:v>nm0369814</x:v>
      </x:c>
      <x:c r="P13" s="14" t="str">
        <x:v>Frank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Unresolved</x:v>
      </x:c>
      <x:c r="V13" s="14" t="str">
        <x:v>Production scope or source year is unresolved.</x:v>
      </x:c>
      <x:c r="W13" s="14" t="str">
        <x:v>Review required</x:v>
      </x:c>
      <x:c r="X13" s="14" t="str">
        <x:v>Review required</x:v>
      </x:c>
      <x:c r="Y13" s="14"/>
      <x:c r="Z13" s="14" t="str">
        <x:v>Play for Today.docx</x:v>
      </x:c>
      <x:c r="AA1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/>
      <x:c r="AI13" s="14"/>
      <x:c r="AJ13" s="14" t="str">
        <x:v>No master-list match</x:v>
      </x:c>
      <x:c r="AK13" s="14" t="str">
        <x:v>Unresolved</x:v>
      </x:c>
      <x:c r="AL13" s="14" t="str">
        <x:v>No matching production in master register.</x:v>
      </x:c>
      <x:c r="AM13" s="14"/>
      <x:c r="AN13" s="14" t="str">
        <x:v>Relationship unresolved</x:v>
      </x:c>
      <x:c r="AO13" s="14" t="str">
        <x:v>Review required</x:v>
      </x:c>
      <x:c r="AP13" s="14" t="str">
        <x:v>Review required</x:v>
      </x:c>
      <x:c r="AQ13" s="14" t="str">
        <x:v>Review required</x:v>
      </x:c>
      <x:c r="AR13" s="14" t="str">
        <x:v>Review required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/>
      <x:c r="BP13" s="14" t="str">
        <x:v>Unable to calculate from supplied records.</x:v>
      </x:c>
      <x:c r="BQ13" s="14" t="str">
        <x:v>Unable to determine</x:v>
      </x:c>
      <x:c r="BR13" s="15" t="n">
        <x:v>1</x:v>
      </x:c>
      <x:c r="BS13" s="16"/>
      <x:c r="BT13" s="14" t="str">
        <x:v>Unable to calculate</x:v>
      </x:c>
      <x:c r="BU13" s="14" t="str">
        <x:v>Unable to determine</x:v>
      </x:c>
      <x:c r="BV13" s="14" t="str">
        <x:v>Episode count or production-total proxy unavailable.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tt38933516|nm0178674|arthur thistle</x:v>
      </x:c>
      <x:c r="B14" s="14" t="str">
        <x:v>03</x:v>
      </x:c>
      <x:c r="C14" s="14" t="str">
        <x:v>2025_IMDb_Cast_Lists_Batch_03(1).xlsx</x:v>
      </x:c>
      <x:c r="D14" s="14" t="str">
        <x:v>Play for Today</x:v>
      </x:c>
      <x:c r="E14" s="14" t="n">
        <x:v>18</x:v>
      </x:c>
      <x:c r="F14" s="14" t="str">
        <x:v>Play for Today</x:v>
      </x:c>
      <x:c r="G14" s="14" t="str">
        <x:v>tt38933516</x:v>
      </x:c>
      <x:c r="H14" s="14"/>
      <x:c r="I14" s="14" t="n">
        <x:v>2025</x:v>
      </x:c>
      <x:c r="J14" s="14" t="str">
        <x:v>Review cohort</x:v>
      </x:c>
      <x:c r="K14" s="14"/>
      <x:c r="L14" s="14" t="str">
        <x:v>Not inherited</x:v>
      </x:c>
      <x:c r="M14" s="15" t="n">
        <x:v>11</x:v>
      </x:c>
      <x:c r="N14" s="14" t="str">
        <x:v>Paul Copley</x:v>
      </x:c>
      <x:c r="O14" s="14" t="str">
        <x:v>nm0178674</x:v>
      </x:c>
      <x:c r="P14" s="14" t="str">
        <x:v>Arthur Thistle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Unresolved</x:v>
      </x:c>
      <x:c r="V14" s="14" t="str">
        <x:v>Production scope or source year is unresolved.</x:v>
      </x:c>
      <x:c r="W14" s="14" t="str">
        <x:v>Review required</x:v>
      </x:c>
      <x:c r="X14" s="14" t="str">
        <x:v>Review required</x:v>
      </x:c>
      <x:c r="Y14" s="14"/>
      <x:c r="Z14" s="14" t="str">
        <x:v>Play for Today.docx</x:v>
      </x:c>
      <x:c r="AA1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/>
      <x:c r="AI14" s="14"/>
      <x:c r="AJ14" s="14" t="str">
        <x:v>No master-list match</x:v>
      </x:c>
      <x:c r="AK14" s="14" t="str">
        <x:v>Unresolved</x:v>
      </x:c>
      <x:c r="AL14" s="14" t="str">
        <x:v>No matching production in master register.</x:v>
      </x:c>
      <x:c r="AM14" s="14"/>
      <x:c r="AN14" s="14" t="str">
        <x:v>Relationship unresolved</x:v>
      </x:c>
      <x:c r="AO14" s="14" t="str">
        <x:v>Review required</x:v>
      </x:c>
      <x:c r="AP14" s="14" t="str">
        <x:v>Review required</x:v>
      </x:c>
      <x:c r="AQ14" s="14" t="str">
        <x:v>Review required</x:v>
      </x:c>
      <x:c r="AR14" s="14" t="str">
        <x:v>Review required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/>
      <x:c r="BP14" s="14" t="str">
        <x:v>Unable to calculate from supplied records.</x:v>
      </x:c>
      <x:c r="BQ14" s="14" t="str">
        <x:v>Unable to determine</x:v>
      </x:c>
      <x:c r="BR14" s="15" t="n">
        <x:v>1</x:v>
      </x:c>
      <x:c r="BS14" s="16"/>
      <x:c r="BT14" s="14" t="str">
        <x:v>Unable to calculate</x:v>
      </x:c>
      <x:c r="BU14" s="14" t="str">
        <x:v>Unable to determine</x:v>
      </x:c>
      <x:c r="BV14" s="14" t="str">
        <x:v>Episode count or production-total proxy unavailable.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tt38933516|nm5361137|joe garrison</x:v>
      </x:c>
      <x:c r="B15" s="14" t="str">
        <x:v>03</x:v>
      </x:c>
      <x:c r="C15" s="14" t="str">
        <x:v>2025_IMDb_Cast_Lists_Batch_03(1).xlsx</x:v>
      </x:c>
      <x:c r="D15" s="14" t="str">
        <x:v>Play for Today</x:v>
      </x:c>
      <x:c r="E15" s="14" t="n">
        <x:v>19</x:v>
      </x:c>
      <x:c r="F15" s="14" t="str">
        <x:v>Play for Today</x:v>
      </x:c>
      <x:c r="G15" s="14" t="str">
        <x:v>tt38933516</x:v>
      </x:c>
      <x:c r="H15" s="14"/>
      <x:c r="I15" s="14" t="n">
        <x:v>2025</x:v>
      </x:c>
      <x:c r="J15" s="14" t="str">
        <x:v>Review cohort</x:v>
      </x:c>
      <x:c r="K15" s="14"/>
      <x:c r="L15" s="14" t="str">
        <x:v>Not inherited</x:v>
      </x:c>
      <x:c r="M15" s="15" t="n">
        <x:v>12</x:v>
      </x:c>
      <x:c r="N15" s="14" t="str">
        <x:v>Shaun Fagan</x:v>
      </x:c>
      <x:c r="O15" s="14" t="str">
        <x:v>nm5361137</x:v>
      </x:c>
      <x:c r="P15" s="14" t="str">
        <x:v>Joe Garrison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Unresolved</x:v>
      </x:c>
      <x:c r="V15" s="14" t="str">
        <x:v>Production scope or source year is unresolved.</x:v>
      </x:c>
      <x:c r="W15" s="14" t="str">
        <x:v>Review required</x:v>
      </x:c>
      <x:c r="X15" s="14" t="str">
        <x:v>Review required</x:v>
      </x:c>
      <x:c r="Y15" s="14"/>
      <x:c r="Z15" s="14" t="str">
        <x:v>Play for Today.docx</x:v>
      </x:c>
      <x:c r="AA1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/>
      <x:c r="AI15" s="14"/>
      <x:c r="AJ15" s="14" t="str">
        <x:v>No master-list match</x:v>
      </x:c>
      <x:c r="AK15" s="14" t="str">
        <x:v>Unresolved</x:v>
      </x:c>
      <x:c r="AL15" s="14" t="str">
        <x:v>No matching production in master register.</x:v>
      </x:c>
      <x:c r="AM15" s="14"/>
      <x:c r="AN15" s="14" t="str">
        <x:v>Relationship unresolved</x:v>
      </x:c>
      <x:c r="AO15" s="14" t="str">
        <x:v>Review required</x:v>
      </x:c>
      <x:c r="AP15" s="14" t="str">
        <x:v>Review required</x:v>
      </x:c>
      <x:c r="AQ15" s="14" t="str">
        <x:v>Review required</x:v>
      </x:c>
      <x:c r="AR15" s="14" t="str">
        <x:v>Review required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/>
      <x:c r="BP15" s="14" t="str">
        <x:v>Unable to calculate from supplied records.</x:v>
      </x:c>
      <x:c r="BQ15" s="14" t="str">
        <x:v>Unable to determine</x:v>
      </x:c>
      <x:c r="BR15" s="15" t="n">
        <x:v>1</x:v>
      </x:c>
      <x:c r="BS15" s="16"/>
      <x:c r="BT15" s="14" t="str">
        <x:v>Unable to calculate</x:v>
      </x:c>
      <x:c r="BU15" s="14" t="str">
        <x:v>Unable to determine</x:v>
      </x:c>
      <x:c r="BV15" s="14" t="str">
        <x:v>Episode count or production-total proxy unavailable.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tt38933516|nm1813228|mark</x:v>
      </x:c>
      <x:c r="B16" s="14" t="str">
        <x:v>03</x:v>
      </x:c>
      <x:c r="C16" s="14" t="str">
        <x:v>2025_IMDb_Cast_Lists_Batch_03(1).xlsx</x:v>
      </x:c>
      <x:c r="D16" s="14" t="str">
        <x:v>Play for Today</x:v>
      </x:c>
      <x:c r="E16" s="14" t="n">
        <x:v>20</x:v>
      </x:c>
      <x:c r="F16" s="14" t="str">
        <x:v>Play for Today</x:v>
      </x:c>
      <x:c r="G16" s="14" t="str">
        <x:v>tt38933516</x:v>
      </x:c>
      <x:c r="H16" s="14"/>
      <x:c r="I16" s="14" t="n">
        <x:v>2025</x:v>
      </x:c>
      <x:c r="J16" s="14" t="str">
        <x:v>Review cohort</x:v>
      </x:c>
      <x:c r="K16" s="14"/>
      <x:c r="L16" s="14" t="str">
        <x:v>Not inherited</x:v>
      </x:c>
      <x:c r="M16" s="15" t="n">
        <x:v>13</x:v>
      </x:c>
      <x:c r="N16" s="14" t="str">
        <x:v>Justin McDonald</x:v>
      </x:c>
      <x:c r="O16" s="14" t="str">
        <x:v>nm1813228</x:v>
      </x:c>
      <x:c r="P16" s="14" t="str">
        <x:v>Mark</x:v>
      </x:c>
      <x:c r="Q16" s="15" t="n">
        <x:v>1</x:v>
      </x:c>
      <x:c r="R16" s="14"/>
      <x:c r="S16" s="14"/>
      <x:c r="T16" s="14"/>
      <x:c r="U16" s="14" t="str">
        <x:v>Unresolved</x:v>
      </x:c>
      <x:c r="V16" s="14" t="str">
        <x:v>Production scope or source year is unresolved.</x:v>
      </x:c>
      <x:c r="W16" s="14" t="str">
        <x:v>Review required</x:v>
      </x:c>
      <x:c r="X16" s="14" t="str">
        <x:v>Review required</x:v>
      </x:c>
      <x:c r="Y16" s="14"/>
      <x:c r="Z16" s="14" t="str">
        <x:v>Play for Today.docx</x:v>
      </x:c>
      <x:c r="AA1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/>
      <x:c r="AI16" s="14"/>
      <x:c r="AJ16" s="14" t="str">
        <x:v>No master-list match</x:v>
      </x:c>
      <x:c r="AK16" s="14" t="str">
        <x:v>Unresolved</x:v>
      </x:c>
      <x:c r="AL16" s="14" t="str">
        <x:v>No matching production in master register.</x:v>
      </x:c>
      <x:c r="AM16" s="14"/>
      <x:c r="AN16" s="14" t="str">
        <x:v>Relationship unresolved</x:v>
      </x:c>
      <x:c r="AO16" s="14" t="str">
        <x:v>Review required</x:v>
      </x:c>
      <x:c r="AP16" s="14" t="str">
        <x:v>Review required</x:v>
      </x:c>
      <x:c r="AQ16" s="14" t="str">
        <x:v>Review required</x:v>
      </x:c>
      <x:c r="AR16" s="14" t="str">
        <x:v>Review required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/>
      <x:c r="BP16" s="14" t="str">
        <x:v>Unable to calculate from supplied records.</x:v>
      </x:c>
      <x:c r="BQ16" s="14" t="str">
        <x:v>Unable to determine</x:v>
      </x:c>
      <x:c r="BR16" s="15" t="n">
        <x:v>1</x:v>
      </x:c>
      <x:c r="BS16" s="16"/>
      <x:c r="BT16" s="14" t="str">
        <x:v>Unable to calculate</x:v>
      </x:c>
      <x:c r="BU16" s="14" t="str">
        <x:v>Unable to determine</x:v>
      </x:c>
      <x:c r="BV16" s="14" t="str">
        <x:v>Episode count or production-total proxy unavailable.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tt38933516|nm0643322|amanda</x:v>
      </x:c>
      <x:c r="B17" s="14" t="str">
        <x:v>03</x:v>
      </x:c>
      <x:c r="C17" s="14" t="str">
        <x:v>2025_IMDb_Cast_Lists_Batch_03(1).xlsx</x:v>
      </x:c>
      <x:c r="D17" s="14" t="str">
        <x:v>Play for Today</x:v>
      </x:c>
      <x:c r="E17" s="14" t="n">
        <x:v>21</x:v>
      </x:c>
      <x:c r="F17" s="14" t="str">
        <x:v>Play for Today</x:v>
      </x:c>
      <x:c r="G17" s="14" t="str">
        <x:v>tt38933516</x:v>
      </x:c>
      <x:c r="H17" s="14"/>
      <x:c r="I17" s="14" t="n">
        <x:v>2025</x:v>
      </x:c>
      <x:c r="J17" s="14" t="str">
        <x:v>Review cohort</x:v>
      </x:c>
      <x:c r="K17" s="14"/>
      <x:c r="L17" s="14" t="str">
        <x:v>Not inherited</x:v>
      </x:c>
      <x:c r="M17" s="15" t="n">
        <x:v>14</x:v>
      </x:c>
      <x:c r="N17" s="14" t="str">
        <x:v>Tracy-Ann Oberman</x:v>
      </x:c>
      <x:c r="O17" s="14" t="str">
        <x:v>nm0643322</x:v>
      </x:c>
      <x:c r="P17" s="14" t="str">
        <x:v>Amanda</x:v>
      </x:c>
      <x:c r="Q17" s="15" t="n">
        <x:v>1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Unresolved</x:v>
      </x:c>
      <x:c r="V17" s="14" t="str">
        <x:v>Production scope or source year is unresolved.</x:v>
      </x:c>
      <x:c r="W17" s="14" t="str">
        <x:v>Review required</x:v>
      </x:c>
      <x:c r="X17" s="14" t="str">
        <x:v>Review required</x:v>
      </x:c>
      <x:c r="Y17" s="14"/>
      <x:c r="Z17" s="14" t="str">
        <x:v>Play for Today.docx</x:v>
      </x:c>
      <x:c r="AA1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/>
      <x:c r="AI17" s="14"/>
      <x:c r="AJ17" s="14" t="str">
        <x:v>No master-list match</x:v>
      </x:c>
      <x:c r="AK17" s="14" t="str">
        <x:v>Unresolved</x:v>
      </x:c>
      <x:c r="AL17" s="14" t="str">
        <x:v>No matching production in master register.</x:v>
      </x:c>
      <x:c r="AM17" s="14"/>
      <x:c r="AN17" s="14" t="str">
        <x:v>Relationship unresolved</x:v>
      </x:c>
      <x:c r="AO17" s="14" t="str">
        <x:v>Review required</x:v>
      </x:c>
      <x:c r="AP17" s="14" t="str">
        <x:v>Review required</x:v>
      </x:c>
      <x:c r="AQ17" s="14" t="str">
        <x:v>Review required</x:v>
      </x:c>
      <x:c r="AR17" s="14" t="str">
        <x:v>Review required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/>
      <x:c r="BP17" s="14" t="str">
        <x:v>Unable to calculate from supplied records.</x:v>
      </x:c>
      <x:c r="BQ17" s="14" t="str">
        <x:v>Unable to determine</x:v>
      </x:c>
      <x:c r="BR17" s="15" t="n">
        <x:v>1</x:v>
      </x:c>
      <x:c r="BS17" s="16"/>
      <x:c r="BT17" s="14" t="str">
        <x:v>Unable to calculate</x:v>
      </x:c>
      <x:c r="BU17" s="14" t="str">
        <x:v>Unable to determine</x:v>
      </x:c>
      <x:c r="BV17" s="14" t="str">
        <x:v>Episode count or production-total proxy unavailable.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tt38933516|nm4061475|jade</x:v>
      </x:c>
      <x:c r="B18" s="14" t="str">
        <x:v>03</x:v>
      </x:c>
      <x:c r="C18" s="14" t="str">
        <x:v>2025_IMDb_Cast_Lists_Batch_03(1).xlsx</x:v>
      </x:c>
      <x:c r="D18" s="14" t="str">
        <x:v>Play for Today</x:v>
      </x:c>
      <x:c r="E18" s="14" t="n">
        <x:v>22</x:v>
      </x:c>
      <x:c r="F18" s="14" t="str">
        <x:v>Play for Today</x:v>
      </x:c>
      <x:c r="G18" s="14" t="str">
        <x:v>tt38933516</x:v>
      </x:c>
      <x:c r="H18" s="14"/>
      <x:c r="I18" s="14" t="n">
        <x:v>2025</x:v>
      </x:c>
      <x:c r="J18" s="14" t="str">
        <x:v>Review cohort</x:v>
      </x:c>
      <x:c r="K18" s="14"/>
      <x:c r="L18" s="14" t="str">
        <x:v>Not inherited</x:v>
      </x:c>
      <x:c r="M18" s="15" t="n">
        <x:v>15</x:v>
      </x:c>
      <x:c r="N18" s="14" t="str">
        <x:v>Alexa Davies</x:v>
      </x:c>
      <x:c r="O18" s="14" t="str">
        <x:v>nm4061475</x:v>
      </x:c>
      <x:c r="P18" s="14" t="str">
        <x:v>Jade</x:v>
      </x:c>
      <x:c r="Q18" s="15" t="n">
        <x:v>1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Unresolved</x:v>
      </x:c>
      <x:c r="V18" s="14" t="str">
        <x:v>Production scope or source year is unresolved.</x:v>
      </x:c>
      <x:c r="W18" s="14" t="str">
        <x:v>Review required</x:v>
      </x:c>
      <x:c r="X18" s="14" t="str">
        <x:v>Review required</x:v>
      </x:c>
      <x:c r="Y18" s="14"/>
      <x:c r="Z18" s="14" t="str">
        <x:v>Play for Today.docx</x:v>
      </x:c>
      <x:c r="AA1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/>
      <x:c r="AI18" s="14"/>
      <x:c r="AJ18" s="14" t="str">
        <x:v>No master-list match</x:v>
      </x:c>
      <x:c r="AK18" s="14" t="str">
        <x:v>Unresolved</x:v>
      </x:c>
      <x:c r="AL18" s="14" t="str">
        <x:v>No matching production in master register.</x:v>
      </x:c>
      <x:c r="AM18" s="14"/>
      <x:c r="AN18" s="14" t="str">
        <x:v>Relationship unresolved</x:v>
      </x:c>
      <x:c r="AO18" s="14" t="str">
        <x:v>Review required</x:v>
      </x:c>
      <x:c r="AP18" s="14" t="str">
        <x:v>Review required</x:v>
      </x:c>
      <x:c r="AQ18" s="14" t="str">
        <x:v>Review required</x:v>
      </x:c>
      <x:c r="AR18" s="14" t="str">
        <x:v>Review required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/>
      <x:c r="BP18" s="14" t="str">
        <x:v>Unable to calculate from supplied records.</x:v>
      </x:c>
      <x:c r="BQ18" s="14" t="str">
        <x:v>Unable to determine</x:v>
      </x:c>
      <x:c r="BR18" s="15" t="n">
        <x:v>1</x:v>
      </x:c>
      <x:c r="BS18" s="16"/>
      <x:c r="BT18" s="14" t="str">
        <x:v>Unable to calculate</x:v>
      </x:c>
      <x:c r="BU18" s="14" t="str">
        <x:v>Unable to determine</x:v>
      </x:c>
      <x:c r="BV18" s="14" t="str">
        <x:v>Episode count or production-total proxy unavailable.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tt38933516|nm7546157|chris trench</x:v>
      </x:c>
      <x:c r="B19" s="14" t="str">
        <x:v>03</x:v>
      </x:c>
      <x:c r="C19" s="14" t="str">
        <x:v>2025_IMDb_Cast_Lists_Batch_03(1).xlsx</x:v>
      </x:c>
      <x:c r="D19" s="14" t="str">
        <x:v>Play for Today</x:v>
      </x:c>
      <x:c r="E19" s="14" t="n">
        <x:v>23</x:v>
      </x:c>
      <x:c r="F19" s="14" t="str">
        <x:v>Play for Today</x:v>
      </x:c>
      <x:c r="G19" s="14" t="str">
        <x:v>tt38933516</x:v>
      </x:c>
      <x:c r="H19" s="14"/>
      <x:c r="I19" s="14" t="n">
        <x:v>2025</x:v>
      </x:c>
      <x:c r="J19" s="14" t="str">
        <x:v>Review cohort</x:v>
      </x:c>
      <x:c r="K19" s="14"/>
      <x:c r="L19" s="14" t="str">
        <x:v>Not inherited</x:v>
      </x:c>
      <x:c r="M19" s="15" t="n">
        <x:v>16</x:v>
      </x:c>
      <x:c r="N19" s="14" t="str">
        <x:v>Harki Bhambra</x:v>
      </x:c>
      <x:c r="O19" s="14" t="str">
        <x:v>nm7546157</x:v>
      </x:c>
      <x:c r="P19" s="14" t="str">
        <x:v>Chris Trench</x:v>
      </x:c>
      <x:c r="Q19" s="15" t="n">
        <x:v>1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Unresolved</x:v>
      </x:c>
      <x:c r="V19" s="14" t="str">
        <x:v>Production scope or source year is unresolved.</x:v>
      </x:c>
      <x:c r="W19" s="14" t="str">
        <x:v>Review required</x:v>
      </x:c>
      <x:c r="X19" s="14" t="str">
        <x:v>Review required</x:v>
      </x:c>
      <x:c r="Y19" s="14"/>
      <x:c r="Z19" s="14" t="str">
        <x:v>Play for Today.docx</x:v>
      </x:c>
      <x:c r="AA1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/>
      <x:c r="AI19" s="14"/>
      <x:c r="AJ19" s="14" t="str">
        <x:v>No master-list match</x:v>
      </x:c>
      <x:c r="AK19" s="14" t="str">
        <x:v>Unresolved</x:v>
      </x:c>
      <x:c r="AL19" s="14" t="str">
        <x:v>No matching production in master register.</x:v>
      </x:c>
      <x:c r="AM19" s="14"/>
      <x:c r="AN19" s="14" t="str">
        <x:v>Relationship unresolved</x:v>
      </x:c>
      <x:c r="AO19" s="14" t="str">
        <x:v>Review required</x:v>
      </x:c>
      <x:c r="AP19" s="14" t="str">
        <x:v>Review required</x:v>
      </x:c>
      <x:c r="AQ19" s="14" t="str">
        <x:v>Review required</x:v>
      </x:c>
      <x:c r="AR19" s="14" t="str">
        <x:v>Review required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/>
      <x:c r="BP19" s="14" t="str">
        <x:v>Unable to calculate from supplied records.</x:v>
      </x:c>
      <x:c r="BQ19" s="14" t="str">
        <x:v>Unable to determine</x:v>
      </x:c>
      <x:c r="BR19" s="15" t="n">
        <x:v>1</x:v>
      </x:c>
      <x:c r="BS19" s="16"/>
      <x:c r="BT19" s="14" t="str">
        <x:v>Unable to calculate</x:v>
      </x:c>
      <x:c r="BU19" s="14" t="str">
        <x:v>Unable to determine</x:v>
      </x:c>
      <x:c r="BV19" s="14" t="str">
        <x:v>Episode count or production-total proxy unavailable.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tt38933516|nm17536012|ben</x:v>
      </x:c>
      <x:c r="B20" s="14" t="str">
        <x:v>03</x:v>
      </x:c>
      <x:c r="C20" s="14" t="str">
        <x:v>2025_IMDb_Cast_Lists_Batch_03(1).xlsx</x:v>
      </x:c>
      <x:c r="D20" s="14" t="str">
        <x:v>Play for Today</x:v>
      </x:c>
      <x:c r="E20" s="14" t="n">
        <x:v>24</x:v>
      </x:c>
      <x:c r="F20" s="14" t="str">
        <x:v>Play for Today</x:v>
      </x:c>
      <x:c r="G20" s="14" t="str">
        <x:v>tt38933516</x:v>
      </x:c>
      <x:c r="H20" s="14"/>
      <x:c r="I20" s="14" t="n">
        <x:v>2025</x:v>
      </x:c>
      <x:c r="J20" s="14" t="str">
        <x:v>Review cohort</x:v>
      </x:c>
      <x:c r="K20" s="14"/>
      <x:c r="L20" s="14" t="str">
        <x:v>Not inherited</x:v>
      </x:c>
      <x:c r="M20" s="15" t="n">
        <x:v>17</x:v>
      </x:c>
      <x:c r="N20" s="14" t="str">
        <x:v>Logan Mersh</x:v>
      </x:c>
      <x:c r="O20" s="14" t="str">
        <x:v>nm17536012</x:v>
      </x:c>
      <x:c r="P20" s="14" t="str">
        <x:v>Ben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Unresolved</x:v>
      </x:c>
      <x:c r="V20" s="14" t="str">
        <x:v>Production scope or source year is unresolved.</x:v>
      </x:c>
      <x:c r="W20" s="14" t="str">
        <x:v>Review required</x:v>
      </x:c>
      <x:c r="X20" s="14" t="str">
        <x:v>Review required</x:v>
      </x:c>
      <x:c r="Y20" s="14"/>
      <x:c r="Z20" s="14" t="str">
        <x:v>Play for Today.docx</x:v>
      </x:c>
      <x:c r="AA2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/>
      <x:c r="AI20" s="14"/>
      <x:c r="AJ20" s="14" t="str">
        <x:v>No master-list match</x:v>
      </x:c>
      <x:c r="AK20" s="14" t="str">
        <x:v>Unresolved</x:v>
      </x:c>
      <x:c r="AL20" s="14" t="str">
        <x:v>No matching production in master register.</x:v>
      </x:c>
      <x:c r="AM20" s="14"/>
      <x:c r="AN20" s="14" t="str">
        <x:v>Relationship unresolved</x:v>
      </x:c>
      <x:c r="AO20" s="14" t="str">
        <x:v>Review required</x:v>
      </x:c>
      <x:c r="AP20" s="14" t="str">
        <x:v>Review required</x:v>
      </x:c>
      <x:c r="AQ20" s="14" t="str">
        <x:v>Review required</x:v>
      </x:c>
      <x:c r="AR20" s="14" t="str">
        <x:v>Review required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/>
      <x:c r="BP20" s="14" t="str">
        <x:v>Unable to calculate from supplied records.</x:v>
      </x:c>
      <x:c r="BQ20" s="14" t="str">
        <x:v>Unable to determine</x:v>
      </x:c>
      <x:c r="BR20" s="15" t="n">
        <x:v>1</x:v>
      </x:c>
      <x:c r="BS20" s="16"/>
      <x:c r="BT20" s="14" t="str">
        <x:v>Unable to calculate</x:v>
      </x:c>
      <x:c r="BU20" s="14" t="str">
        <x:v>Unable to determine</x:v>
      </x:c>
      <x:c r="BV20" s="14" t="str">
        <x:v>Episode count or production-total proxy unavailable.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tt38933516|nm6462592|callum hughes</x:v>
      </x:c>
      <x:c r="B21" s="14" t="str">
        <x:v>03</x:v>
      </x:c>
      <x:c r="C21" s="14" t="str">
        <x:v>2025_IMDb_Cast_Lists_Batch_03(1).xlsx</x:v>
      </x:c>
      <x:c r="D21" s="14" t="str">
        <x:v>Play for Today</x:v>
      </x:c>
      <x:c r="E21" s="14" t="n">
        <x:v>25</x:v>
      </x:c>
      <x:c r="F21" s="14" t="str">
        <x:v>Play for Today</x:v>
      </x:c>
      <x:c r="G21" s="14" t="str">
        <x:v>tt38933516</x:v>
      </x:c>
      <x:c r="H21" s="14"/>
      <x:c r="I21" s="14" t="n">
        <x:v>2025</x:v>
      </x:c>
      <x:c r="J21" s="14" t="str">
        <x:v>Review cohort</x:v>
      </x:c>
      <x:c r="K21" s="14"/>
      <x:c r="L21" s="14" t="str">
        <x:v>Not inherited</x:v>
      </x:c>
      <x:c r="M21" s="15" t="n">
        <x:v>18</x:v>
      </x:c>
      <x:c r="N21" s="14" t="str">
        <x:v>Austin Haynes</x:v>
      </x:c>
      <x:c r="O21" s="14" t="str">
        <x:v>nm6462592</x:v>
      </x:c>
      <x:c r="P21" s="14" t="str">
        <x:v>Callum Hughes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Unresolved</x:v>
      </x:c>
      <x:c r="V21" s="14" t="str">
        <x:v>Production scope or source year is unresolved.</x:v>
      </x:c>
      <x:c r="W21" s="14" t="str">
        <x:v>Review required</x:v>
      </x:c>
      <x:c r="X21" s="14" t="str">
        <x:v>Review required</x:v>
      </x:c>
      <x:c r="Y21" s="14"/>
      <x:c r="Z21" s="14" t="str">
        <x:v>Play for Today.docx</x:v>
      </x:c>
      <x:c r="AA2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/>
      <x:c r="AI21" s="14"/>
      <x:c r="AJ21" s="14" t="str">
        <x:v>No master-list match</x:v>
      </x:c>
      <x:c r="AK21" s="14" t="str">
        <x:v>Unresolved</x:v>
      </x:c>
      <x:c r="AL21" s="14" t="str">
        <x:v>No matching production in master register.</x:v>
      </x:c>
      <x:c r="AM21" s="14"/>
      <x:c r="AN21" s="14" t="str">
        <x:v>Relationship unresolved</x:v>
      </x:c>
      <x:c r="AO21" s="14" t="str">
        <x:v>Review required</x:v>
      </x:c>
      <x:c r="AP21" s="14" t="str">
        <x:v>Review required</x:v>
      </x:c>
      <x:c r="AQ21" s="14" t="str">
        <x:v>Review required</x:v>
      </x:c>
      <x:c r="AR21" s="14" t="str">
        <x:v>Review required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/>
      <x:c r="BP21" s="14" t="str">
        <x:v>Unable to calculate from supplied records.</x:v>
      </x:c>
      <x:c r="BQ21" s="14" t="str">
        <x:v>Unable to determine</x:v>
      </x:c>
      <x:c r="BR21" s="15" t="n">
        <x:v>1</x:v>
      </x:c>
      <x:c r="BS21" s="16"/>
      <x:c r="BT21" s="14" t="str">
        <x:v>Unable to calculate</x:v>
      </x:c>
      <x:c r="BU21" s="14" t="str">
        <x:v>Unable to determine</x:v>
      </x:c>
      <x:c r="BV21" s="14" t="str">
        <x:v>Episode count or production-total proxy unavailable.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tt38933516|nm0931370|mary</x:v>
      </x:c>
      <x:c r="B22" s="14" t="str">
        <x:v>03</x:v>
      </x:c>
      <x:c r="C22" s="14" t="str">
        <x:v>2025_IMDb_Cast_Lists_Batch_03(1).xlsx</x:v>
      </x:c>
      <x:c r="D22" s="14" t="str">
        <x:v>Play for Today</x:v>
      </x:c>
      <x:c r="E22" s="14" t="n">
        <x:v>26</x:v>
      </x:c>
      <x:c r="F22" s="14" t="str">
        <x:v>Play for Today</x:v>
      </x:c>
      <x:c r="G22" s="14" t="str">
        <x:v>tt38933516</x:v>
      </x:c>
      <x:c r="H22" s="14"/>
      <x:c r="I22" s="14" t="n">
        <x:v>2025</x:v>
      </x:c>
      <x:c r="J22" s="14" t="str">
        <x:v>Review cohort</x:v>
      </x:c>
      <x:c r="K22" s="14"/>
      <x:c r="L22" s="14" t="str">
        <x:v>Not inherited</x:v>
      </x:c>
      <x:c r="M22" s="15" t="n">
        <x:v>19</x:v>
      </x:c>
      <x:c r="N22" s="14" t="str">
        <x:v>Natasha Williams</x:v>
      </x:c>
      <x:c r="O22" s="14" t="str">
        <x:v>nm0931370</x:v>
      </x:c>
      <x:c r="P22" s="14" t="str">
        <x:v>Mary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Unresolved</x:v>
      </x:c>
      <x:c r="V22" s="14" t="str">
        <x:v>Production scope or source year is unresolved.</x:v>
      </x:c>
      <x:c r="W22" s="14" t="str">
        <x:v>Review required</x:v>
      </x:c>
      <x:c r="X22" s="14" t="str">
        <x:v>Review required</x:v>
      </x:c>
      <x:c r="Y22" s="14"/>
      <x:c r="Z22" s="14" t="str">
        <x:v>Play for Today.docx</x:v>
      </x:c>
      <x:c r="AA2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/>
      <x:c r="AI22" s="14"/>
      <x:c r="AJ22" s="14" t="str">
        <x:v>No master-list match</x:v>
      </x:c>
      <x:c r="AK22" s="14" t="str">
        <x:v>Unresolved</x:v>
      </x:c>
      <x:c r="AL22" s="14" t="str">
        <x:v>No matching production in master register.</x:v>
      </x:c>
      <x:c r="AM22" s="14"/>
      <x:c r="AN22" s="14" t="str">
        <x:v>Relationship unresolved</x:v>
      </x:c>
      <x:c r="AO22" s="14" t="str">
        <x:v>Review required</x:v>
      </x:c>
      <x:c r="AP22" s="14" t="str">
        <x:v>Review required</x:v>
      </x:c>
      <x:c r="AQ22" s="14" t="str">
        <x:v>Review required</x:v>
      </x:c>
      <x:c r="AR22" s="14" t="str">
        <x:v>Review required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/>
      <x:c r="BP22" s="14" t="str">
        <x:v>Unable to calculate from supplied records.</x:v>
      </x:c>
      <x:c r="BQ22" s="14" t="str">
        <x:v>Unable to determine</x:v>
      </x:c>
      <x:c r="BR22" s="15" t="n">
        <x:v>1</x:v>
      </x:c>
      <x:c r="BS22" s="16"/>
      <x:c r="BT22" s="14" t="str">
        <x:v>Unable to calculate</x:v>
      </x:c>
      <x:c r="BU22" s="14" t="str">
        <x:v>Unable to determine</x:v>
      </x:c>
      <x:c r="BV22" s="14" t="str">
        <x:v>Episode count or production-total proxy unavailable.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tt38933516|nm17903333|kaylee</x:v>
      </x:c>
      <x:c r="B23" s="14" t="str">
        <x:v>03</x:v>
      </x:c>
      <x:c r="C23" s="14" t="str">
        <x:v>2025_IMDb_Cast_Lists_Batch_03(1).xlsx</x:v>
      </x:c>
      <x:c r="D23" s="14" t="str">
        <x:v>Play for Today</x:v>
      </x:c>
      <x:c r="E23" s="14" t="n">
        <x:v>27</x:v>
      </x:c>
      <x:c r="F23" s="14" t="str">
        <x:v>Play for Today</x:v>
      </x:c>
      <x:c r="G23" s="14" t="str">
        <x:v>tt38933516</x:v>
      </x:c>
      <x:c r="H23" s="14"/>
      <x:c r="I23" s="14" t="n">
        <x:v>2025</x:v>
      </x:c>
      <x:c r="J23" s="14" t="str">
        <x:v>Review cohort</x:v>
      </x:c>
      <x:c r="K23" s="14"/>
      <x:c r="L23" s="14" t="str">
        <x:v>Not inherited</x:v>
      </x:c>
      <x:c r="M23" s="15" t="n">
        <x:v>20</x:v>
      </x:c>
      <x:c r="N23" s="14" t="str">
        <x:v>Mia Tormey</x:v>
      </x:c>
      <x:c r="O23" s="14" t="str">
        <x:v>nm17903333</x:v>
      </x:c>
      <x:c r="P23" s="14" t="str">
        <x:v>Kaylee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Unresolved</x:v>
      </x:c>
      <x:c r="V23" s="14" t="str">
        <x:v>Production scope or source year is unresolved.</x:v>
      </x:c>
      <x:c r="W23" s="14" t="str">
        <x:v>Review required</x:v>
      </x:c>
      <x:c r="X23" s="14" t="str">
        <x:v>Review required</x:v>
      </x:c>
      <x:c r="Y23" s="14"/>
      <x:c r="Z23" s="14" t="str">
        <x:v>Play for Today.docx</x:v>
      </x:c>
      <x:c r="AA2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/>
      <x:c r="AI23" s="14"/>
      <x:c r="AJ23" s="14" t="str">
        <x:v>No master-list match</x:v>
      </x:c>
      <x:c r="AK23" s="14" t="str">
        <x:v>Unresolved</x:v>
      </x:c>
      <x:c r="AL23" s="14" t="str">
        <x:v>No matching production in master register.</x:v>
      </x:c>
      <x:c r="AM23" s="14"/>
      <x:c r="AN23" s="14" t="str">
        <x:v>Relationship unresolved</x:v>
      </x:c>
      <x:c r="AO23" s="14" t="str">
        <x:v>Review required</x:v>
      </x:c>
      <x:c r="AP23" s="14" t="str">
        <x:v>Review required</x:v>
      </x:c>
      <x:c r="AQ23" s="14" t="str">
        <x:v>Review required</x:v>
      </x:c>
      <x:c r="AR23" s="14" t="str">
        <x:v>Review required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/>
      <x:c r="BP23" s="14" t="str">
        <x:v>Unable to calculate from supplied records.</x:v>
      </x:c>
      <x:c r="BQ23" s="14" t="str">
        <x:v>Unable to determine</x:v>
      </x:c>
      <x:c r="BR23" s="15" t="n">
        <x:v>1</x:v>
      </x:c>
      <x:c r="BS23" s="16"/>
      <x:c r="BT23" s="14" t="str">
        <x:v>Unable to calculate</x:v>
      </x:c>
      <x:c r="BU23" s="14" t="str">
        <x:v>Unable to determine</x:v>
      </x:c>
      <x:c r="BV23" s="14" t="str">
        <x:v>Episode count or production-total proxy unavailable.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tt38933516|nm0905564|heather</x:v>
      </x:c>
      <x:c r="B24" s="14" t="str">
        <x:v>03</x:v>
      </x:c>
      <x:c r="C24" s="14" t="str">
        <x:v>2025_IMDb_Cast_Lists_Batch_03(1).xlsx</x:v>
      </x:c>
      <x:c r="D24" s="14" t="str">
        <x:v>Play for Today</x:v>
      </x:c>
      <x:c r="E24" s="14" t="n">
        <x:v>28</x:v>
      </x:c>
      <x:c r="F24" s="14" t="str">
        <x:v>Play for Today</x:v>
      </x:c>
      <x:c r="G24" s="14" t="str">
        <x:v>tt38933516</x:v>
      </x:c>
      <x:c r="H24" s="14"/>
      <x:c r="I24" s="14" t="n">
        <x:v>2025</x:v>
      </x:c>
      <x:c r="J24" s="14" t="str">
        <x:v>Review cohort</x:v>
      </x:c>
      <x:c r="K24" s="14"/>
      <x:c r="L24" s="14" t="str">
        <x:v>Not inherited</x:v>
      </x:c>
      <x:c r="M24" s="15" t="n">
        <x:v>21</x:v>
      </x:c>
      <x:c r="N24" s="14" t="str">
        <x:v>Nina Wadia</x:v>
      </x:c>
      <x:c r="O24" s="14" t="str">
        <x:v>nm0905564</x:v>
      </x:c>
      <x:c r="P24" s="14" t="str">
        <x:v>Heather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Unresolved</x:v>
      </x:c>
      <x:c r="V24" s="14" t="str">
        <x:v>Production scope or source year is unresolved.</x:v>
      </x:c>
      <x:c r="W24" s="14" t="str">
        <x:v>Review required</x:v>
      </x:c>
      <x:c r="X24" s="14" t="str">
        <x:v>Review required</x:v>
      </x:c>
      <x:c r="Y24" s="14"/>
      <x:c r="Z24" s="14" t="str">
        <x:v>Play for Today.docx</x:v>
      </x:c>
      <x:c r="AA2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/>
      <x:c r="AI24" s="14"/>
      <x:c r="AJ24" s="14" t="str">
        <x:v>No master-list match</x:v>
      </x:c>
      <x:c r="AK24" s="14" t="str">
        <x:v>Unresolved</x:v>
      </x:c>
      <x:c r="AL24" s="14" t="str">
        <x:v>No matching production in master register.</x:v>
      </x:c>
      <x:c r="AM24" s="14"/>
      <x:c r="AN24" s="14" t="str">
        <x:v>Relationship unresolved</x:v>
      </x:c>
      <x:c r="AO24" s="14" t="str">
        <x:v>Review required</x:v>
      </x:c>
      <x:c r="AP24" s="14" t="str">
        <x:v>Review required</x:v>
      </x:c>
      <x:c r="AQ24" s="14" t="str">
        <x:v>Review required</x:v>
      </x:c>
      <x:c r="AR24" s="14" t="str">
        <x:v>Review required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/>
      <x:c r="BP24" s="14" t="str">
        <x:v>Unable to calculate from supplied records.</x:v>
      </x:c>
      <x:c r="BQ24" s="14" t="str">
        <x:v>Unable to determine</x:v>
      </x:c>
      <x:c r="BR24" s="15" t="n">
        <x:v>1</x:v>
      </x:c>
      <x:c r="BS24" s="16"/>
      <x:c r="BT24" s="14" t="str">
        <x:v>Unable to calculate</x:v>
      </x:c>
      <x:c r="BU24" s="14" t="str">
        <x:v>Unable to determine</x:v>
      </x:c>
      <x:c r="BV24" s="14" t="str">
        <x:v>Episode count or production-total proxy unavailable.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tt38933516|nm3978126|drew westhead</x:v>
      </x:c>
      <x:c r="B25" s="14" t="str">
        <x:v>03</x:v>
      </x:c>
      <x:c r="C25" s="14" t="str">
        <x:v>2025_IMDb_Cast_Lists_Batch_03(1).xlsx</x:v>
      </x:c>
      <x:c r="D25" s="14" t="str">
        <x:v>Play for Today</x:v>
      </x:c>
      <x:c r="E25" s="14" t="n">
        <x:v>29</x:v>
      </x:c>
      <x:c r="F25" s="14" t="str">
        <x:v>Play for Today</x:v>
      </x:c>
      <x:c r="G25" s="14" t="str">
        <x:v>tt38933516</x:v>
      </x:c>
      <x:c r="H25" s="14"/>
      <x:c r="I25" s="14" t="n">
        <x:v>2025</x:v>
      </x:c>
      <x:c r="J25" s="14" t="str">
        <x:v>Review cohort</x:v>
      </x:c>
      <x:c r="K25" s="14"/>
      <x:c r="L25" s="14" t="str">
        <x:v>Not inherited</x:v>
      </x:c>
      <x:c r="M25" s="15" t="n">
        <x:v>22</x:v>
      </x:c>
      <x:c r="N25" s="14" t="str">
        <x:v>John May</x:v>
      </x:c>
      <x:c r="O25" s="14" t="str">
        <x:v>nm3978126</x:v>
      </x:c>
      <x:c r="P25" s="14" t="str">
        <x:v>Drew Westhead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Unresolved</x:v>
      </x:c>
      <x:c r="V25" s="14" t="str">
        <x:v>Production scope or source year is unresolved.</x:v>
      </x:c>
      <x:c r="W25" s="14" t="str">
        <x:v>Review required</x:v>
      </x:c>
      <x:c r="X25" s="14" t="str">
        <x:v>Review required</x:v>
      </x:c>
      <x:c r="Y25" s="14"/>
      <x:c r="Z25" s="14" t="str">
        <x:v>Play for Today.docx</x:v>
      </x:c>
      <x:c r="AA2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/>
      <x:c r="AI25" s="14"/>
      <x:c r="AJ25" s="14" t="str">
        <x:v>No master-list match</x:v>
      </x:c>
      <x:c r="AK25" s="14" t="str">
        <x:v>Unresolved</x:v>
      </x:c>
      <x:c r="AL25" s="14" t="str">
        <x:v>No matching production in master register.</x:v>
      </x:c>
      <x:c r="AM25" s="14"/>
      <x:c r="AN25" s="14" t="str">
        <x:v>Relationship unresolved</x:v>
      </x:c>
      <x:c r="AO25" s="14" t="str">
        <x:v>Review required</x:v>
      </x:c>
      <x:c r="AP25" s="14" t="str">
        <x:v>Review required</x:v>
      </x:c>
      <x:c r="AQ25" s="14" t="str">
        <x:v>Review required</x:v>
      </x:c>
      <x:c r="AR25" s="14" t="str">
        <x:v>Review required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/>
      <x:c r="BP25" s="14" t="str">
        <x:v>Unable to calculate from supplied records.</x:v>
      </x:c>
      <x:c r="BQ25" s="14" t="str">
        <x:v>Unable to determine</x:v>
      </x:c>
      <x:c r="BR25" s="15" t="n">
        <x:v>1</x:v>
      </x:c>
      <x:c r="BS25" s="16"/>
      <x:c r="BT25" s="14" t="str">
        <x:v>Unable to calculate</x:v>
      </x:c>
      <x:c r="BU25" s="14" t="str">
        <x:v>Unable to determine</x:v>
      </x:c>
      <x:c r="BV25" s="14" t="str">
        <x:v>Episode count or production-total proxy unavailable.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tt38933516|nm0272021|peter</x:v>
      </x:c>
      <x:c r="B26" s="14" t="str">
        <x:v>03</x:v>
      </x:c>
      <x:c r="C26" s="14" t="str">
        <x:v>2025_IMDb_Cast_Lists_Batch_03(1).xlsx</x:v>
      </x:c>
      <x:c r="D26" s="14" t="str">
        <x:v>Play for Today</x:v>
      </x:c>
      <x:c r="E26" s="14" t="n">
        <x:v>30</x:v>
      </x:c>
      <x:c r="F26" s="14" t="str">
        <x:v>Play for Today</x:v>
      </x:c>
      <x:c r="G26" s="14" t="str">
        <x:v>tt38933516</x:v>
      </x:c>
      <x:c r="H26" s="14"/>
      <x:c r="I26" s="14" t="n">
        <x:v>2025</x:v>
      </x:c>
      <x:c r="J26" s="14" t="str">
        <x:v>Review cohort</x:v>
      </x:c>
      <x:c r="K26" s="14"/>
      <x:c r="L26" s="14" t="str">
        <x:v>Not inherited</x:v>
      </x:c>
      <x:c r="M26" s="15" t="n">
        <x:v>23</x:v>
      </x:c>
      <x:c r="N26" s="14" t="str">
        <x:v>Michael Fenton Stevens</x:v>
      </x:c>
      <x:c r="O26" s="14" t="str">
        <x:v>nm0272021</x:v>
      </x:c>
      <x:c r="P26" s="14" t="str">
        <x:v>Peter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Unresolved</x:v>
      </x:c>
      <x:c r="V26" s="14" t="str">
        <x:v>Production scope or source year is unresolved.</x:v>
      </x:c>
      <x:c r="W26" s="14" t="str">
        <x:v>Review required</x:v>
      </x:c>
      <x:c r="X26" s="14" t="str">
        <x:v>Review required</x:v>
      </x:c>
      <x:c r="Y26" s="14"/>
      <x:c r="Z26" s="14" t="str">
        <x:v>Play for Today.docx</x:v>
      </x:c>
      <x:c r="AA2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/>
      <x:c r="AI26" s="14"/>
      <x:c r="AJ26" s="14" t="str">
        <x:v>No master-list match</x:v>
      </x:c>
      <x:c r="AK26" s="14" t="str">
        <x:v>Unresolved</x:v>
      </x:c>
      <x:c r="AL26" s="14" t="str">
        <x:v>No matching production in master register.</x:v>
      </x:c>
      <x:c r="AM26" s="14"/>
      <x:c r="AN26" s="14" t="str">
        <x:v>Relationship unresolved</x:v>
      </x:c>
      <x:c r="AO26" s="14" t="str">
        <x:v>Review required</x:v>
      </x:c>
      <x:c r="AP26" s="14" t="str">
        <x:v>Review required</x:v>
      </x:c>
      <x:c r="AQ26" s="14" t="str">
        <x:v>Review required</x:v>
      </x:c>
      <x:c r="AR26" s="14" t="str">
        <x:v>Review required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/>
      <x:c r="BP26" s="14" t="str">
        <x:v>Unable to calculate from supplied records.</x:v>
      </x:c>
      <x:c r="BQ26" s="14" t="str">
        <x:v>Unable to determine</x:v>
      </x:c>
      <x:c r="BR26" s="15" t="n">
        <x:v>1</x:v>
      </x:c>
      <x:c r="BS26" s="16"/>
      <x:c r="BT26" s="14" t="str">
        <x:v>Unable to calculate</x:v>
      </x:c>
      <x:c r="BU26" s="14" t="str">
        <x:v>Unable to determine</x:v>
      </x:c>
      <x:c r="BV26" s="14" t="str">
        <x:v>Episode count or production-total proxy unavailable.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tt38933516|nm1580095|megan danes</x:v>
      </x:c>
      <x:c r="B27" s="14" t="str">
        <x:v>03</x:v>
      </x:c>
      <x:c r="C27" s="14" t="str">
        <x:v>2025_IMDb_Cast_Lists_Batch_03(1).xlsx</x:v>
      </x:c>
      <x:c r="D27" s="14" t="str">
        <x:v>Play for Today</x:v>
      </x:c>
      <x:c r="E27" s="14" t="n">
        <x:v>31</x:v>
      </x:c>
      <x:c r="F27" s="14" t="str">
        <x:v>Play for Today</x:v>
      </x:c>
      <x:c r="G27" s="14" t="str">
        <x:v>tt38933516</x:v>
      </x:c>
      <x:c r="H27" s="14"/>
      <x:c r="I27" s="14" t="n">
        <x:v>2025</x:v>
      </x:c>
      <x:c r="J27" s="14" t="str">
        <x:v>Review cohort</x:v>
      </x:c>
      <x:c r="K27" s="14"/>
      <x:c r="L27" s="14" t="str">
        <x:v>Not inherited</x:v>
      </x:c>
      <x:c r="M27" s="15" t="n">
        <x:v>24</x:v>
      </x:c>
      <x:c r="N27" s="14" t="str">
        <x:v>Paislie Reid</x:v>
      </x:c>
      <x:c r="O27" s="14" t="str">
        <x:v>nm1580095</x:v>
      </x:c>
      <x:c r="P27" s="14" t="str">
        <x:v>Megan Danes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Unresolved</x:v>
      </x:c>
      <x:c r="V27" s="14" t="str">
        <x:v>Production scope or source year is unresolved.</x:v>
      </x:c>
      <x:c r="W27" s="14" t="str">
        <x:v>Review required</x:v>
      </x:c>
      <x:c r="X27" s="14" t="str">
        <x:v>Review required</x:v>
      </x:c>
      <x:c r="Y27" s="14"/>
      <x:c r="Z27" s="14" t="str">
        <x:v>Play for Today.docx</x:v>
      </x:c>
      <x:c r="AA2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/>
      <x:c r="AI27" s="14"/>
      <x:c r="AJ27" s="14" t="str">
        <x:v>No master-list match</x:v>
      </x:c>
      <x:c r="AK27" s="14" t="str">
        <x:v>Unresolved</x:v>
      </x:c>
      <x:c r="AL27" s="14" t="str">
        <x:v>No matching production in master register.</x:v>
      </x:c>
      <x:c r="AM27" s="14"/>
      <x:c r="AN27" s="14" t="str">
        <x:v>Relationship unresolved</x:v>
      </x:c>
      <x:c r="AO27" s="14" t="str">
        <x:v>Review required</x:v>
      </x:c>
      <x:c r="AP27" s="14" t="str">
        <x:v>Review required</x:v>
      </x:c>
      <x:c r="AQ27" s="14" t="str">
        <x:v>Review required</x:v>
      </x:c>
      <x:c r="AR27" s="14" t="str">
        <x:v>Review required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/>
      <x:c r="BP27" s="14" t="str">
        <x:v>Unable to calculate from supplied records.</x:v>
      </x:c>
      <x:c r="BQ27" s="14" t="str">
        <x:v>Unable to determine</x:v>
      </x:c>
      <x:c r="BR27" s="15" t="n">
        <x:v>1</x:v>
      </x:c>
      <x:c r="BS27" s="16"/>
      <x:c r="BT27" s="14" t="str">
        <x:v>Unable to calculate</x:v>
      </x:c>
      <x:c r="BU27" s="14" t="str">
        <x:v>Unable to determine</x:v>
      </x:c>
      <x:c r="BV27" s="14" t="str">
        <x:v>Episode count or production-total proxy unavailable.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tt38933516|nm8751212|lewis grantham</x:v>
      </x:c>
      <x:c r="B28" s="14" t="str">
        <x:v>03</x:v>
      </x:c>
      <x:c r="C28" s="14" t="str">
        <x:v>2025_IMDb_Cast_Lists_Batch_03(1).xlsx</x:v>
      </x:c>
      <x:c r="D28" s="14" t="str">
        <x:v>Play for Today</x:v>
      </x:c>
      <x:c r="E28" s="14" t="n">
        <x:v>32</x:v>
      </x:c>
      <x:c r="F28" s="14" t="str">
        <x:v>Play for Today</x:v>
      </x:c>
      <x:c r="G28" s="14" t="str">
        <x:v>tt38933516</x:v>
      </x:c>
      <x:c r="H28" s="14"/>
      <x:c r="I28" s="14" t="n">
        <x:v>2025</x:v>
      </x:c>
      <x:c r="J28" s="14" t="str">
        <x:v>Review cohort</x:v>
      </x:c>
      <x:c r="K28" s="14"/>
      <x:c r="L28" s="14" t="str">
        <x:v>Not inherited</x:v>
      </x:c>
      <x:c r="M28" s="15" t="n">
        <x:v>25</x:v>
      </x:c>
      <x:c r="N28" s="14" t="str">
        <x:v>Paddy Rowan</x:v>
      </x:c>
      <x:c r="O28" s="14" t="str">
        <x:v>nm8751212</x:v>
      </x:c>
      <x:c r="P28" s="14" t="str">
        <x:v>Lewis Grantham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Unresolved</x:v>
      </x:c>
      <x:c r="V28" s="14" t="str">
        <x:v>Production scope or source year is unresolved.</x:v>
      </x:c>
      <x:c r="W28" s="14" t="str">
        <x:v>Review required</x:v>
      </x:c>
      <x:c r="X28" s="14" t="str">
        <x:v>Review required</x:v>
      </x:c>
      <x:c r="Y28" s="14"/>
      <x:c r="Z28" s="14" t="str">
        <x:v>Play for Today.docx</x:v>
      </x:c>
      <x:c r="AA2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/>
      <x:c r="AI28" s="14"/>
      <x:c r="AJ28" s="14" t="str">
        <x:v>No master-list match</x:v>
      </x:c>
      <x:c r="AK28" s="14" t="str">
        <x:v>Unresolved</x:v>
      </x:c>
      <x:c r="AL28" s="14" t="str">
        <x:v>No matching production in master register.</x:v>
      </x:c>
      <x:c r="AM28" s="14"/>
      <x:c r="AN28" s="14" t="str">
        <x:v>Relationship unresolved</x:v>
      </x:c>
      <x:c r="AO28" s="14" t="str">
        <x:v>Review required</x:v>
      </x:c>
      <x:c r="AP28" s="14" t="str">
        <x:v>Review required</x:v>
      </x:c>
      <x:c r="AQ28" s="14" t="str">
        <x:v>Review required</x:v>
      </x:c>
      <x:c r="AR28" s="14" t="str">
        <x:v>Review required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/>
      <x:c r="BP28" s="14" t="str">
        <x:v>Unable to calculate from supplied records.</x:v>
      </x:c>
      <x:c r="BQ28" s="14" t="str">
        <x:v>Unable to determine</x:v>
      </x:c>
      <x:c r="BR28" s="15" t="n">
        <x:v>1</x:v>
      </x:c>
      <x:c r="BS28" s="16"/>
      <x:c r="BT28" s="14" t="str">
        <x:v>Unable to calculate</x:v>
      </x:c>
      <x:c r="BU28" s="14" t="str">
        <x:v>Unable to determine</x:v>
      </x:c>
      <x:c r="BV28" s="14" t="str">
        <x:v>Episode count or production-total proxy unavailable.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tt38933516|nm6604917|brian</x:v>
      </x:c>
      <x:c r="B29" s="14" t="str">
        <x:v>03</x:v>
      </x:c>
      <x:c r="C29" s="14" t="str">
        <x:v>2025_IMDb_Cast_Lists_Batch_03(1).xlsx</x:v>
      </x:c>
      <x:c r="D29" s="14" t="str">
        <x:v>Play for Today</x:v>
      </x:c>
      <x:c r="E29" s="14" t="n">
        <x:v>33</x:v>
      </x:c>
      <x:c r="F29" s="14" t="str">
        <x:v>Play for Today</x:v>
      </x:c>
      <x:c r="G29" s="14" t="str">
        <x:v>tt38933516</x:v>
      </x:c>
      <x:c r="H29" s="14"/>
      <x:c r="I29" s="14" t="n">
        <x:v>2025</x:v>
      </x:c>
      <x:c r="J29" s="14" t="str">
        <x:v>Review cohort</x:v>
      </x:c>
      <x:c r="K29" s="14"/>
      <x:c r="L29" s="14" t="str">
        <x:v>Not inherited</x:v>
      </x:c>
      <x:c r="M29" s="15" t="n">
        <x:v>26</x:v>
      </x:c>
      <x:c r="N29" s="14" t="str">
        <x:v>Jon Bard</x:v>
      </x:c>
      <x:c r="O29" s="14" t="str">
        <x:v>nm6604917</x:v>
      </x:c>
      <x:c r="P29" s="14" t="str">
        <x:v>Brian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Unresolved</x:v>
      </x:c>
      <x:c r="V29" s="14" t="str">
        <x:v>Production scope or source year is unresolved.</x:v>
      </x:c>
      <x:c r="W29" s="14" t="str">
        <x:v>Review required</x:v>
      </x:c>
      <x:c r="X29" s="14" t="str">
        <x:v>Review required</x:v>
      </x:c>
      <x:c r="Y29" s="14"/>
      <x:c r="Z29" s="14" t="str">
        <x:v>Play for Today.docx</x:v>
      </x:c>
      <x:c r="AA2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/>
      <x:c r="AI29" s="14"/>
      <x:c r="AJ29" s="14" t="str">
        <x:v>No master-list match</x:v>
      </x:c>
      <x:c r="AK29" s="14" t="str">
        <x:v>Unresolved</x:v>
      </x:c>
      <x:c r="AL29" s="14" t="str">
        <x:v>No matching production in master register.</x:v>
      </x:c>
      <x:c r="AM29" s="14"/>
      <x:c r="AN29" s="14" t="str">
        <x:v>Relationship unresolved</x:v>
      </x:c>
      <x:c r="AO29" s="14" t="str">
        <x:v>Review required</x:v>
      </x:c>
      <x:c r="AP29" s="14" t="str">
        <x:v>Review required</x:v>
      </x:c>
      <x:c r="AQ29" s="14" t="str">
        <x:v>Review required</x:v>
      </x:c>
      <x:c r="AR29" s="14" t="str">
        <x:v>Review required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/>
      <x:c r="BP29" s="14" t="str">
        <x:v>Unable to calculate from supplied records.</x:v>
      </x:c>
      <x:c r="BQ29" s="14" t="str">
        <x:v>Unable to determine</x:v>
      </x:c>
      <x:c r="BR29" s="15" t="n">
        <x:v>1</x:v>
      </x:c>
      <x:c r="BS29" s="16"/>
      <x:c r="BT29" s="14" t="str">
        <x:v>Unable to calculate</x:v>
      </x:c>
      <x:c r="BU29" s="14" t="str">
        <x:v>Unable to determine</x:v>
      </x:c>
      <x:c r="BV29" s="14" t="str">
        <x:v>Episode count or production-total proxy unavailable.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tt38933516|nm0212524|pete</x:v>
      </x:c>
      <x:c r="B30" s="14" t="str">
        <x:v>03</x:v>
      </x:c>
      <x:c r="C30" s="14" t="str">
        <x:v>2025_IMDb_Cast_Lists_Batch_03(1).xlsx</x:v>
      </x:c>
      <x:c r="D30" s="14" t="str">
        <x:v>Play for Today</x:v>
      </x:c>
      <x:c r="E30" s="14" t="n">
        <x:v>34</x:v>
      </x:c>
      <x:c r="F30" s="14" t="str">
        <x:v>Play for Today</x:v>
      </x:c>
      <x:c r="G30" s="14" t="str">
        <x:v>tt38933516</x:v>
      </x:c>
      <x:c r="H30" s="14"/>
      <x:c r="I30" s="14" t="n">
        <x:v>2025</x:v>
      </x:c>
      <x:c r="J30" s="14" t="str">
        <x:v>Review cohort</x:v>
      </x:c>
      <x:c r="K30" s="14"/>
      <x:c r="L30" s="14" t="str">
        <x:v>Not inherited</x:v>
      </x:c>
      <x:c r="M30" s="15" t="n">
        <x:v>27</x:v>
      </x:c>
      <x:c r="N30" s="14" t="str">
        <x:v>Charlie De'Ath</x:v>
      </x:c>
      <x:c r="O30" s="14" t="str">
        <x:v>nm0212524</x:v>
      </x:c>
      <x:c r="P30" s="14" t="str">
        <x:v>Pete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Unresolved</x:v>
      </x:c>
      <x:c r="V30" s="14" t="str">
        <x:v>Production scope or source year is unresolved.</x:v>
      </x:c>
      <x:c r="W30" s="14" t="str">
        <x:v>Review required</x:v>
      </x:c>
      <x:c r="X30" s="14" t="str">
        <x:v>Review required</x:v>
      </x:c>
      <x:c r="Y30" s="14"/>
      <x:c r="Z30" s="14" t="str">
        <x:v>Play for Today.docx</x:v>
      </x:c>
      <x:c r="AA3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/>
      <x:c r="AI30" s="14"/>
      <x:c r="AJ30" s="14" t="str">
        <x:v>No master-list match</x:v>
      </x:c>
      <x:c r="AK30" s="14" t="str">
        <x:v>Unresolved</x:v>
      </x:c>
      <x:c r="AL30" s="14" t="str">
        <x:v>No matching production in master register.</x:v>
      </x:c>
      <x:c r="AM30" s="14"/>
      <x:c r="AN30" s="14" t="str">
        <x:v>Relationship unresolved</x:v>
      </x:c>
      <x:c r="AO30" s="14" t="str">
        <x:v>Review required</x:v>
      </x:c>
      <x:c r="AP30" s="14" t="str">
        <x:v>Review required</x:v>
      </x:c>
      <x:c r="AQ30" s="14" t="str">
        <x:v>Review required</x:v>
      </x:c>
      <x:c r="AR30" s="14" t="str">
        <x:v>Review required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/>
      <x:c r="BP30" s="14" t="str">
        <x:v>Unable to calculate from supplied records.</x:v>
      </x:c>
      <x:c r="BQ30" s="14" t="str">
        <x:v>Unable to determine</x:v>
      </x:c>
      <x:c r="BR30" s="15" t="n">
        <x:v>1</x:v>
      </x:c>
      <x:c r="BS30" s="16"/>
      <x:c r="BT30" s="14" t="str">
        <x:v>Unable to calculate</x:v>
      </x:c>
      <x:c r="BU30" s="14" t="str">
        <x:v>Unable to determine</x:v>
      </x:c>
      <x:c r="BV30" s="14" t="str">
        <x:v>Episode count or production-total proxy unavailable.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tt38933516|nm7452010|nurse</x:v>
      </x:c>
      <x:c r="B31" s="14" t="str">
        <x:v>03</x:v>
      </x:c>
      <x:c r="C31" s="14" t="str">
        <x:v>2025_IMDb_Cast_Lists_Batch_03(1).xlsx</x:v>
      </x:c>
      <x:c r="D31" s="14" t="str">
        <x:v>Play for Today</x:v>
      </x:c>
      <x:c r="E31" s="14" t="n">
        <x:v>35</x:v>
      </x:c>
      <x:c r="F31" s="14" t="str">
        <x:v>Play for Today</x:v>
      </x:c>
      <x:c r="G31" s="14" t="str">
        <x:v>tt38933516</x:v>
      </x:c>
      <x:c r="H31" s="14"/>
      <x:c r="I31" s="14" t="n">
        <x:v>2025</x:v>
      </x:c>
      <x:c r="J31" s="14" t="str">
        <x:v>Review cohort</x:v>
      </x:c>
      <x:c r="K31" s="14"/>
      <x:c r="L31" s="14" t="str">
        <x:v>Not inherited</x:v>
      </x:c>
      <x:c r="M31" s="15" t="n">
        <x:v>28</x:v>
      </x:c>
      <x:c r="N31" s="14" t="str">
        <x:v>Paula Kay</x:v>
      </x:c>
      <x:c r="O31" s="14" t="str">
        <x:v>nm7452010</x:v>
      </x:c>
      <x:c r="P31" s="14" t="str">
        <x:v>Nurse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Unresolved</x:v>
      </x:c>
      <x:c r="V31" s="14" t="str">
        <x:v>Production scope or source year is unresolved.</x:v>
      </x:c>
      <x:c r="W31" s="14" t="str">
        <x:v>Review required</x:v>
      </x:c>
      <x:c r="X31" s="14" t="str">
        <x:v>Review required</x:v>
      </x:c>
      <x:c r="Y31" s="14"/>
      <x:c r="Z31" s="14" t="str">
        <x:v>Play for Today.docx</x:v>
      </x:c>
      <x:c r="AA3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/>
      <x:c r="AI31" s="14"/>
      <x:c r="AJ31" s="14" t="str">
        <x:v>No master-list match</x:v>
      </x:c>
      <x:c r="AK31" s="14" t="str">
        <x:v>Unresolved</x:v>
      </x:c>
      <x:c r="AL31" s="14" t="str">
        <x:v>No matching production in master register.</x:v>
      </x:c>
      <x:c r="AM31" s="14"/>
      <x:c r="AN31" s="14" t="str">
        <x:v>Relationship unresolved</x:v>
      </x:c>
      <x:c r="AO31" s="14" t="str">
        <x:v>Review required</x:v>
      </x:c>
      <x:c r="AP31" s="14" t="str">
        <x:v>Review required</x:v>
      </x:c>
      <x:c r="AQ31" s="14" t="str">
        <x:v>Review required</x:v>
      </x:c>
      <x:c r="AR31" s="14" t="str">
        <x:v>Review required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/>
      <x:c r="BP31" s="14" t="str">
        <x:v>Unable to calculate from supplied records.</x:v>
      </x:c>
      <x:c r="BQ31" s="14" t="str">
        <x:v>Unable to determine</x:v>
      </x:c>
      <x:c r="BR31" s="15" t="n">
        <x:v>1</x:v>
      </x:c>
      <x:c r="BS31" s="16"/>
      <x:c r="BT31" s="14" t="str">
        <x:v>Unable to calculate</x:v>
      </x:c>
      <x:c r="BU31" s="14" t="str">
        <x:v>Unable to determine</x:v>
      </x:c>
      <x:c r="BV31" s="14" t="str">
        <x:v>Episode count or production-total proxy unavailable.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tt38933516|nm13420770|jan</x:v>
      </x:c>
      <x:c r="B32" s="14" t="str">
        <x:v>03</x:v>
      </x:c>
      <x:c r="C32" s="14" t="str">
        <x:v>2025_IMDb_Cast_Lists_Batch_03(1).xlsx</x:v>
      </x:c>
      <x:c r="D32" s="14" t="str">
        <x:v>Play for Today</x:v>
      </x:c>
      <x:c r="E32" s="14" t="n">
        <x:v>36</x:v>
      </x:c>
      <x:c r="F32" s="14" t="str">
        <x:v>Play for Today</x:v>
      </x:c>
      <x:c r="G32" s="14" t="str">
        <x:v>tt38933516</x:v>
      </x:c>
      <x:c r="H32" s="14"/>
      <x:c r="I32" s="14" t="n">
        <x:v>2025</x:v>
      </x:c>
      <x:c r="J32" s="14" t="str">
        <x:v>Review cohort</x:v>
      </x:c>
      <x:c r="K32" s="14"/>
      <x:c r="L32" s="14" t="str">
        <x:v>Not inherited</x:v>
      </x:c>
      <x:c r="M32" s="15" t="n">
        <x:v>29</x:v>
      </x:c>
      <x:c r="N32" s="14" t="str">
        <x:v>Alicia Forde</x:v>
      </x:c>
      <x:c r="O32" s="14" t="str">
        <x:v>nm13420770</x:v>
      </x:c>
      <x:c r="P32" s="14" t="str">
        <x:v>Jan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Unresolved</x:v>
      </x:c>
      <x:c r="V32" s="14" t="str">
        <x:v>Production scope or source year is unresolved.</x:v>
      </x:c>
      <x:c r="W32" s="14" t="str">
        <x:v>Review required</x:v>
      </x:c>
      <x:c r="X32" s="14" t="str">
        <x:v>Review required</x:v>
      </x:c>
      <x:c r="Y32" s="14"/>
      <x:c r="Z32" s="14" t="str">
        <x:v>Play for Today.docx</x:v>
      </x:c>
      <x:c r="AA3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/>
      <x:c r="AI32" s="14"/>
      <x:c r="AJ32" s="14" t="str">
        <x:v>No master-list match</x:v>
      </x:c>
      <x:c r="AK32" s="14" t="str">
        <x:v>Unresolved</x:v>
      </x:c>
      <x:c r="AL32" s="14" t="str">
        <x:v>No matching production in master register.</x:v>
      </x:c>
      <x:c r="AM32" s="14"/>
      <x:c r="AN32" s="14" t="str">
        <x:v>Relationship unresolved</x:v>
      </x:c>
      <x:c r="AO32" s="14" t="str">
        <x:v>Review required</x:v>
      </x:c>
      <x:c r="AP32" s="14" t="str">
        <x:v>Review required</x:v>
      </x:c>
      <x:c r="AQ32" s="14" t="str">
        <x:v>Review required</x:v>
      </x:c>
      <x:c r="AR32" s="14" t="str">
        <x:v>Review required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/>
      <x:c r="BP32" s="14" t="str">
        <x:v>Unable to calculate from supplied records.</x:v>
      </x:c>
      <x:c r="BQ32" s="14" t="str">
        <x:v>Unable to determine</x:v>
      </x:c>
      <x:c r="BR32" s="15" t="n">
        <x:v>1</x:v>
      </x:c>
      <x:c r="BS32" s="16"/>
      <x:c r="BT32" s="14" t="str">
        <x:v>Unable to calculate</x:v>
      </x:c>
      <x:c r="BU32" s="14" t="str">
        <x:v>Unable to determine</x:v>
      </x:c>
      <x:c r="BV32" s="14" t="str">
        <x:v>Episode count or production-total proxy unavailable.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tt38933516|nm6551323|steve</x:v>
      </x:c>
      <x:c r="B33" s="14" t="str">
        <x:v>03</x:v>
      </x:c>
      <x:c r="C33" s="14" t="str">
        <x:v>2025_IMDb_Cast_Lists_Batch_03(1).xlsx</x:v>
      </x:c>
      <x:c r="D33" s="14" t="str">
        <x:v>Play for Today</x:v>
      </x:c>
      <x:c r="E33" s="14" t="n">
        <x:v>37</x:v>
      </x:c>
      <x:c r="F33" s="14" t="str">
        <x:v>Play for Today</x:v>
      </x:c>
      <x:c r="G33" s="14" t="str">
        <x:v>tt38933516</x:v>
      </x:c>
      <x:c r="H33" s="14"/>
      <x:c r="I33" s="14" t="n">
        <x:v>2025</x:v>
      </x:c>
      <x:c r="J33" s="14" t="str">
        <x:v>Review cohort</x:v>
      </x:c>
      <x:c r="K33" s="14"/>
      <x:c r="L33" s="14" t="str">
        <x:v>Not inherited</x:v>
      </x:c>
      <x:c r="M33" s="15" t="n">
        <x:v>30</x:v>
      </x:c>
      <x:c r="N33" s="14" t="str">
        <x:v>Robbie O'Neill</x:v>
      </x:c>
      <x:c r="O33" s="14" t="str">
        <x:v>nm6551323</x:v>
      </x:c>
      <x:c r="P33" s="14" t="str">
        <x:v>Steve</x:v>
      </x:c>
      <x:c r="Q33" s="15" t="n">
        <x:v>1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Unresolved</x:v>
      </x:c>
      <x:c r="V33" s="14" t="str">
        <x:v>Production scope or source year is unresolved.</x:v>
      </x:c>
      <x:c r="W33" s="14" t="str">
        <x:v>Review required</x:v>
      </x:c>
      <x:c r="X33" s="14" t="str">
        <x:v>Review required</x:v>
      </x:c>
      <x:c r="Y33" s="14"/>
      <x:c r="Z33" s="14" t="str">
        <x:v>Play for Today.docx</x:v>
      </x:c>
      <x:c r="AA3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/>
      <x:c r="AI33" s="14"/>
      <x:c r="AJ33" s="14" t="str">
        <x:v>No master-list match</x:v>
      </x:c>
      <x:c r="AK33" s="14" t="str">
        <x:v>Unresolved</x:v>
      </x:c>
      <x:c r="AL33" s="14" t="str">
        <x:v>No matching production in master register.</x:v>
      </x:c>
      <x:c r="AM33" s="14"/>
      <x:c r="AN33" s="14" t="str">
        <x:v>Relationship unresolved</x:v>
      </x:c>
      <x:c r="AO33" s="14" t="str">
        <x:v>Review required</x:v>
      </x:c>
      <x:c r="AP33" s="14" t="str">
        <x:v>Review required</x:v>
      </x:c>
      <x:c r="AQ33" s="14" t="str">
        <x:v>Review required</x:v>
      </x:c>
      <x:c r="AR33" s="14" t="str">
        <x:v>Review required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/>
      <x:c r="BP33" s="14" t="str">
        <x:v>Unable to calculate from supplied records.</x:v>
      </x:c>
      <x:c r="BQ33" s="14" t="str">
        <x:v>Unable to determine</x:v>
      </x:c>
      <x:c r="BR33" s="15" t="n">
        <x:v>1</x:v>
      </x:c>
      <x:c r="BS33" s="16"/>
      <x:c r="BT33" s="14" t="str">
        <x:v>Unable to calculate</x:v>
      </x:c>
      <x:c r="BU33" s="14" t="str">
        <x:v>Unable to determine</x:v>
      </x:c>
      <x:c r="BV33" s="14" t="str">
        <x:v>Episode count or production-total proxy unavailable.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tt38933516|nm13420221|elle</x:v>
      </x:c>
      <x:c r="B34" s="14" t="str">
        <x:v>03</x:v>
      </x:c>
      <x:c r="C34" s="14" t="str">
        <x:v>2025_IMDb_Cast_Lists_Batch_03(1).xlsx</x:v>
      </x:c>
      <x:c r="D34" s="14" t="str">
        <x:v>Play for Today</x:v>
      </x:c>
      <x:c r="E34" s="14" t="n">
        <x:v>38</x:v>
      </x:c>
      <x:c r="F34" s="14" t="str">
        <x:v>Play for Today</x:v>
      </x:c>
      <x:c r="G34" s="14" t="str">
        <x:v>tt38933516</x:v>
      </x:c>
      <x:c r="H34" s="14"/>
      <x:c r="I34" s="14" t="n">
        <x:v>2025</x:v>
      </x:c>
      <x:c r="J34" s="14" t="str">
        <x:v>Review cohort</x:v>
      </x:c>
      <x:c r="K34" s="14"/>
      <x:c r="L34" s="14" t="str">
        <x:v>Not inherited</x:v>
      </x:c>
      <x:c r="M34" s="15" t="n">
        <x:v>31</x:v>
      </x:c>
      <x:c r="N34" s="14" t="str">
        <x:v>Chichi Ulebor</x:v>
      </x:c>
      <x:c r="O34" s="14" t="str">
        <x:v>nm13420221</x:v>
      </x:c>
      <x:c r="P34" s="14" t="str">
        <x:v>Elle</x:v>
      </x:c>
      <x:c r="Q34" s="15" t="n">
        <x:v>1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Unresolved</x:v>
      </x:c>
      <x:c r="V34" s="14" t="str">
        <x:v>Production scope or source year is unresolved.</x:v>
      </x:c>
      <x:c r="W34" s="14" t="str">
        <x:v>Review required</x:v>
      </x:c>
      <x:c r="X34" s="14" t="str">
        <x:v>Review required</x:v>
      </x:c>
      <x:c r="Y34" s="14"/>
      <x:c r="Z34" s="14" t="str">
        <x:v>Play for Today.docx</x:v>
      </x:c>
      <x:c r="AA3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/>
      <x:c r="AI34" s="14"/>
      <x:c r="AJ34" s="14" t="str">
        <x:v>No master-list match</x:v>
      </x:c>
      <x:c r="AK34" s="14" t="str">
        <x:v>Unresolved</x:v>
      </x:c>
      <x:c r="AL34" s="14" t="str">
        <x:v>No matching production in master register.</x:v>
      </x:c>
      <x:c r="AM34" s="14"/>
      <x:c r="AN34" s="14" t="str">
        <x:v>Relationship unresolved</x:v>
      </x:c>
      <x:c r="AO34" s="14" t="str">
        <x:v>Review required</x:v>
      </x:c>
      <x:c r="AP34" s="14" t="str">
        <x:v>Review required</x:v>
      </x:c>
      <x:c r="AQ34" s="14" t="str">
        <x:v>Review required</x:v>
      </x:c>
      <x:c r="AR34" s="14" t="str">
        <x:v>Review required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/>
      <x:c r="BP34" s="14" t="str">
        <x:v>Unable to calculate from supplied records.</x:v>
      </x:c>
      <x:c r="BQ34" s="14" t="str">
        <x:v>Unable to determine</x:v>
      </x:c>
      <x:c r="BR34" s="15" t="n">
        <x:v>1</x:v>
      </x:c>
      <x:c r="BS34" s="16"/>
      <x:c r="BT34" s="14" t="str">
        <x:v>Unable to calculate</x:v>
      </x:c>
      <x:c r="BU34" s="14" t="str">
        <x:v>Unable to determine</x:v>
      </x:c>
      <x:c r="BV34" s="14" t="str">
        <x:v>Episode count or production-total proxy unavailable.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tt38933516|nm9473513|kirsty</x:v>
      </x:c>
      <x:c r="B35" s="14" t="str">
        <x:v>03</x:v>
      </x:c>
      <x:c r="C35" s="14" t="str">
        <x:v>2025_IMDb_Cast_Lists_Batch_03(1).xlsx</x:v>
      </x:c>
      <x:c r="D35" s="14" t="str">
        <x:v>Play for Today</x:v>
      </x:c>
      <x:c r="E35" s="14" t="n">
        <x:v>39</x:v>
      </x:c>
      <x:c r="F35" s="14" t="str">
        <x:v>Play for Today</x:v>
      </x:c>
      <x:c r="G35" s="14" t="str">
        <x:v>tt38933516</x:v>
      </x:c>
      <x:c r="H35" s="14"/>
      <x:c r="I35" s="14" t="n">
        <x:v>2025</x:v>
      </x:c>
      <x:c r="J35" s="14" t="str">
        <x:v>Review cohort</x:v>
      </x:c>
      <x:c r="K35" s="14"/>
      <x:c r="L35" s="14" t="str">
        <x:v>Not inherited</x:v>
      </x:c>
      <x:c r="M35" s="15" t="n">
        <x:v>32</x:v>
      </x:c>
      <x:c r="N35" s="14" t="str">
        <x:v>Lotty Marsh</x:v>
      </x:c>
      <x:c r="O35" s="14" t="str">
        <x:v>nm9473513</x:v>
      </x:c>
      <x:c r="P35" s="14" t="str">
        <x:v>Kirsty</x:v>
      </x:c>
      <x:c r="Q35" s="15" t="n">
        <x:v>1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Unresolved</x:v>
      </x:c>
      <x:c r="V35" s="14" t="str">
        <x:v>Production scope or source year is unresolved.</x:v>
      </x:c>
      <x:c r="W35" s="14" t="str">
        <x:v>Review required</x:v>
      </x:c>
      <x:c r="X35" s="14" t="str">
        <x:v>Review required</x:v>
      </x:c>
      <x:c r="Y35" s="14"/>
      <x:c r="Z35" s="14" t="str">
        <x:v>Play for Today.docx</x:v>
      </x:c>
      <x:c r="AA3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/>
      <x:c r="AI35" s="14"/>
      <x:c r="AJ35" s="14" t="str">
        <x:v>No master-list match</x:v>
      </x:c>
      <x:c r="AK35" s="14" t="str">
        <x:v>Unresolved</x:v>
      </x:c>
      <x:c r="AL35" s="14" t="str">
        <x:v>No matching production in master register.</x:v>
      </x:c>
      <x:c r="AM35" s="14"/>
      <x:c r="AN35" s="14" t="str">
        <x:v>Relationship unresolved</x:v>
      </x:c>
      <x:c r="AO35" s="14" t="str">
        <x:v>Review required</x:v>
      </x:c>
      <x:c r="AP35" s="14" t="str">
        <x:v>Review required</x:v>
      </x:c>
      <x:c r="AQ35" s="14" t="str">
        <x:v>Review required</x:v>
      </x:c>
      <x:c r="AR35" s="14" t="str">
        <x:v>Review required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/>
      <x:c r="BP35" s="14" t="str">
        <x:v>Unable to calculate from supplied records.</x:v>
      </x:c>
      <x:c r="BQ35" s="14" t="str">
        <x:v>Unable to determine</x:v>
      </x:c>
      <x:c r="BR35" s="15" t="n">
        <x:v>1</x:v>
      </x:c>
      <x:c r="BS35" s="16"/>
      <x:c r="BT35" s="14" t="str">
        <x:v>Unable to calculate</x:v>
      </x:c>
      <x:c r="BU35" s="14" t="str">
        <x:v>Unable to determine</x:v>
      </x:c>
      <x:c r="BV35" s="14" t="str">
        <x:v>Episode count or production-total proxy unavailable.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tt38933516|nm17980231|ben</x:v>
      </x:c>
      <x:c r="B36" s="14" t="str">
        <x:v>03</x:v>
      </x:c>
      <x:c r="C36" s="14" t="str">
        <x:v>2025_IMDb_Cast_Lists_Batch_03(1).xlsx</x:v>
      </x:c>
      <x:c r="D36" s="14" t="str">
        <x:v>Play for Today</x:v>
      </x:c>
      <x:c r="E36" s="14" t="n">
        <x:v>40</x:v>
      </x:c>
      <x:c r="F36" s="14" t="str">
        <x:v>Play for Today</x:v>
      </x:c>
      <x:c r="G36" s="14" t="str">
        <x:v>tt38933516</x:v>
      </x:c>
      <x:c r="H36" s="14"/>
      <x:c r="I36" s="14" t="n">
        <x:v>2025</x:v>
      </x:c>
      <x:c r="J36" s="14" t="str">
        <x:v>Review cohort</x:v>
      </x:c>
      <x:c r="K36" s="14"/>
      <x:c r="L36" s="14" t="str">
        <x:v>Not inherited</x:v>
      </x:c>
      <x:c r="M36" s="15" t="n">
        <x:v>33</x:v>
      </x:c>
      <x:c r="N36" s="14" t="str">
        <x:v>Rhys Carlton</x:v>
      </x:c>
      <x:c r="O36" s="14" t="str">
        <x:v>nm17980231</x:v>
      </x:c>
      <x:c r="P36" s="14" t="str">
        <x:v>Ben</x:v>
      </x:c>
      <x:c r="Q36" s="15" t="n">
        <x:v>1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Unresolved</x:v>
      </x:c>
      <x:c r="V36" s="14" t="str">
        <x:v>Production scope or source year is unresolved.</x:v>
      </x:c>
      <x:c r="W36" s="14" t="str">
        <x:v>Review required</x:v>
      </x:c>
      <x:c r="X36" s="14" t="str">
        <x:v>Review required</x:v>
      </x:c>
      <x:c r="Y36" s="14"/>
      <x:c r="Z36" s="14" t="str">
        <x:v>Play for Today.docx</x:v>
      </x:c>
      <x:c r="AA3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/>
      <x:c r="AI36" s="14"/>
      <x:c r="AJ36" s="14" t="str">
        <x:v>No master-list match</x:v>
      </x:c>
      <x:c r="AK36" s="14" t="str">
        <x:v>Unresolved</x:v>
      </x:c>
      <x:c r="AL36" s="14" t="str">
        <x:v>No matching production in master register.</x:v>
      </x:c>
      <x:c r="AM36" s="14"/>
      <x:c r="AN36" s="14" t="str">
        <x:v>Relationship unresolved</x:v>
      </x:c>
      <x:c r="AO36" s="14" t="str">
        <x:v>Review required</x:v>
      </x:c>
      <x:c r="AP36" s="14" t="str">
        <x:v>Review required</x:v>
      </x:c>
      <x:c r="AQ36" s="14" t="str">
        <x:v>Review required</x:v>
      </x:c>
      <x:c r="AR36" s="14" t="str">
        <x:v>Review required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/>
      <x:c r="BP36" s="14" t="str">
        <x:v>Unable to calculate from supplied records.</x:v>
      </x:c>
      <x:c r="BQ36" s="14" t="str">
        <x:v>Unable to determine</x:v>
      </x:c>
      <x:c r="BR36" s="15" t="n">
        <x:v>1</x:v>
      </x:c>
      <x:c r="BS36" s="16"/>
      <x:c r="BT36" s="14" t="str">
        <x:v>Unable to calculate</x:v>
      </x:c>
      <x:c r="BU36" s="14" t="str">
        <x:v>Unable to determine</x:v>
      </x:c>
      <x:c r="BV36" s="14" t="str">
        <x:v>Episode count or production-total proxy unavailable.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tt38933516|nm17980233|henry</x:v>
      </x:c>
      <x:c r="B37" s="14" t="str">
        <x:v>03</x:v>
      </x:c>
      <x:c r="C37" s="14" t="str">
        <x:v>2025_IMDb_Cast_Lists_Batch_03(1).xlsx</x:v>
      </x:c>
      <x:c r="D37" s="14" t="str">
        <x:v>Play for Today</x:v>
      </x:c>
      <x:c r="E37" s="14" t="n">
        <x:v>41</x:v>
      </x:c>
      <x:c r="F37" s="14" t="str">
        <x:v>Play for Today</x:v>
      </x:c>
      <x:c r="G37" s="14" t="str">
        <x:v>tt38933516</x:v>
      </x:c>
      <x:c r="H37" s="14"/>
      <x:c r="I37" s="14" t="n">
        <x:v>2025</x:v>
      </x:c>
      <x:c r="J37" s="14" t="str">
        <x:v>Review cohort</x:v>
      </x:c>
      <x:c r="K37" s="14"/>
      <x:c r="L37" s="14" t="str">
        <x:v>Not inherited</x:v>
      </x:c>
      <x:c r="M37" s="15" t="n">
        <x:v>34</x:v>
      </x:c>
      <x:c r="N37" s="14" t="str">
        <x:v>George Fazakerley</x:v>
      </x:c>
      <x:c r="O37" s="14" t="str">
        <x:v>nm17980233</x:v>
      </x:c>
      <x:c r="P37" s="14" t="str">
        <x:v>Henry</x:v>
      </x:c>
      <x:c r="Q37" s="15" t="n">
        <x:v>1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Unresolved</x:v>
      </x:c>
      <x:c r="V37" s="14" t="str">
        <x:v>Production scope or source year is unresolved.</x:v>
      </x:c>
      <x:c r="W37" s="14" t="str">
        <x:v>Review required</x:v>
      </x:c>
      <x:c r="X37" s="14" t="str">
        <x:v>Review required</x:v>
      </x:c>
      <x:c r="Y37" s="14"/>
      <x:c r="Z37" s="14" t="str">
        <x:v>Play for Today.docx</x:v>
      </x:c>
      <x:c r="AA3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/>
      <x:c r="AI37" s="14"/>
      <x:c r="AJ37" s="14" t="str">
        <x:v>No master-list match</x:v>
      </x:c>
      <x:c r="AK37" s="14" t="str">
        <x:v>Unresolved</x:v>
      </x:c>
      <x:c r="AL37" s="14" t="str">
        <x:v>No matching production in master register.</x:v>
      </x:c>
      <x:c r="AM37" s="14"/>
      <x:c r="AN37" s="14" t="str">
        <x:v>Relationship unresolved</x:v>
      </x:c>
      <x:c r="AO37" s="14" t="str">
        <x:v>Review required</x:v>
      </x:c>
      <x:c r="AP37" s="14" t="str">
        <x:v>Review required</x:v>
      </x:c>
      <x:c r="AQ37" s="14" t="str">
        <x:v>Review required</x:v>
      </x:c>
      <x:c r="AR37" s="14" t="str">
        <x:v>Review required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/>
      <x:c r="BP37" s="14" t="str">
        <x:v>Unable to calculate from supplied records.</x:v>
      </x:c>
      <x:c r="BQ37" s="14" t="str">
        <x:v>Unable to determine</x:v>
      </x:c>
      <x:c r="BR37" s="15" t="n">
        <x:v>1</x:v>
      </x:c>
      <x:c r="BS37" s="16"/>
      <x:c r="BT37" s="14" t="str">
        <x:v>Unable to calculate</x:v>
      </x:c>
      <x:c r="BU37" s="14" t="str">
        <x:v>Unable to determine</x:v>
      </x:c>
      <x:c r="BV37" s="14" t="str">
        <x:v>Episode count or production-total proxy unavailable.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tt38933516|nm17980232|alex</x:v>
      </x:c>
      <x:c r="B38" s="14" t="str">
        <x:v>03</x:v>
      </x:c>
      <x:c r="C38" s="14" t="str">
        <x:v>2025_IMDb_Cast_Lists_Batch_03(1).xlsx</x:v>
      </x:c>
      <x:c r="D38" s="14" t="str">
        <x:v>Play for Today</x:v>
      </x:c>
      <x:c r="E38" s="14" t="n">
        <x:v>42</x:v>
      </x:c>
      <x:c r="F38" s="14" t="str">
        <x:v>Play for Today</x:v>
      </x:c>
      <x:c r="G38" s="14" t="str">
        <x:v>tt38933516</x:v>
      </x:c>
      <x:c r="H38" s="14"/>
      <x:c r="I38" s="14" t="n">
        <x:v>2025</x:v>
      </x:c>
      <x:c r="J38" s="14" t="str">
        <x:v>Review cohort</x:v>
      </x:c>
      <x:c r="K38" s="14"/>
      <x:c r="L38" s="14" t="str">
        <x:v>Not inherited</x:v>
      </x:c>
      <x:c r="M38" s="15" t="n">
        <x:v>35</x:v>
      </x:c>
      <x:c r="N38" s="14" t="str">
        <x:v>Jacob Brown</x:v>
      </x:c>
      <x:c r="O38" s="14" t="str">
        <x:v>nm17980232</x:v>
      </x:c>
      <x:c r="P38" s="14" t="str">
        <x:v>Alex</x:v>
      </x:c>
      <x:c r="Q38" s="15" t="n">
        <x:v>1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Unresolved</x:v>
      </x:c>
      <x:c r="V38" s="14" t="str">
        <x:v>Production scope or source year is unresolved.</x:v>
      </x:c>
      <x:c r="W38" s="14" t="str">
        <x:v>Review required</x:v>
      </x:c>
      <x:c r="X38" s="14" t="str">
        <x:v>Review required</x:v>
      </x:c>
      <x:c r="Y38" s="14"/>
      <x:c r="Z38" s="14" t="str">
        <x:v>Play for Today.docx</x:v>
      </x:c>
      <x:c r="AA3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/>
      <x:c r="AI38" s="14"/>
      <x:c r="AJ38" s="14" t="str">
        <x:v>No master-list match</x:v>
      </x:c>
      <x:c r="AK38" s="14" t="str">
        <x:v>Unresolved</x:v>
      </x:c>
      <x:c r="AL38" s="14" t="str">
        <x:v>No matching production in master register.</x:v>
      </x:c>
      <x:c r="AM38" s="14"/>
      <x:c r="AN38" s="14" t="str">
        <x:v>Relationship unresolved</x:v>
      </x:c>
      <x:c r="AO38" s="14" t="str">
        <x:v>Review required</x:v>
      </x:c>
      <x:c r="AP38" s="14" t="str">
        <x:v>Review required</x:v>
      </x:c>
      <x:c r="AQ38" s="14" t="str">
        <x:v>Review required</x:v>
      </x:c>
      <x:c r="AR38" s="14" t="str">
        <x:v>Review required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/>
      <x:c r="BP38" s="14" t="str">
        <x:v>Unable to calculate from supplied records.</x:v>
      </x:c>
      <x:c r="BQ38" s="14" t="str">
        <x:v>Unable to determine</x:v>
      </x:c>
      <x:c r="BR38" s="15" t="n">
        <x:v>1</x:v>
      </x:c>
      <x:c r="BS38" s="16"/>
      <x:c r="BT38" s="14" t="str">
        <x:v>Unable to calculate</x:v>
      </x:c>
      <x:c r="BU38" s="14" t="str">
        <x:v>Unable to determine</x:v>
      </x:c>
      <x:c r="BV38" s="14" t="str">
        <x:v>Episode count or production-total proxy unavailable.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tt38933516|nm16326824|harvey</x:v>
      </x:c>
      <x:c r="B39" s="14" t="str">
        <x:v>03</x:v>
      </x:c>
      <x:c r="C39" s="14" t="str">
        <x:v>2025_IMDb_Cast_Lists_Batch_03(1).xlsx</x:v>
      </x:c>
      <x:c r="D39" s="14" t="str">
        <x:v>Play for Today</x:v>
      </x:c>
      <x:c r="E39" s="14" t="n">
        <x:v>43</x:v>
      </x:c>
      <x:c r="F39" s="14" t="str">
        <x:v>Play for Today</x:v>
      </x:c>
      <x:c r="G39" s="14" t="str">
        <x:v>tt38933516</x:v>
      </x:c>
      <x:c r="H39" s="14"/>
      <x:c r="I39" s="14" t="n">
        <x:v>2025</x:v>
      </x:c>
      <x:c r="J39" s="14" t="str">
        <x:v>Review cohort</x:v>
      </x:c>
      <x:c r="K39" s="14"/>
      <x:c r="L39" s="14" t="str">
        <x:v>Not inherited</x:v>
      </x:c>
      <x:c r="M39" s="15" t="n">
        <x:v>36</x:v>
      </x:c>
      <x:c r="N39" s="14" t="str">
        <x:v>Anthony Dixon</x:v>
      </x:c>
      <x:c r="O39" s="14" t="str">
        <x:v>nm16326824</x:v>
      </x:c>
      <x:c r="P39" s="14" t="str">
        <x:v>Harvey</x:v>
      </x:c>
      <x:c r="Q39" s="15" t="n">
        <x:v>1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Unresolved</x:v>
      </x:c>
      <x:c r="V39" s="14" t="str">
        <x:v>Production scope or source year is unresolved.</x:v>
      </x:c>
      <x:c r="W39" s="14" t="str">
        <x:v>Review required</x:v>
      </x:c>
      <x:c r="X39" s="14" t="str">
        <x:v>Review required</x:v>
      </x:c>
      <x:c r="Y39" s="14"/>
      <x:c r="Z39" s="14" t="str">
        <x:v>Play for Today.docx</x:v>
      </x:c>
      <x:c r="AA3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/>
      <x:c r="AI39" s="14"/>
      <x:c r="AJ39" s="14" t="str">
        <x:v>No master-list match</x:v>
      </x:c>
      <x:c r="AK39" s="14" t="str">
        <x:v>Unresolved</x:v>
      </x:c>
      <x:c r="AL39" s="14" t="str">
        <x:v>No matching production in master register.</x:v>
      </x:c>
      <x:c r="AM39" s="14"/>
      <x:c r="AN39" s="14" t="str">
        <x:v>Relationship unresolved</x:v>
      </x:c>
      <x:c r="AO39" s="14" t="str">
        <x:v>Review required</x:v>
      </x:c>
      <x:c r="AP39" s="14" t="str">
        <x:v>Review required</x:v>
      </x:c>
      <x:c r="AQ39" s="14" t="str">
        <x:v>Review required</x:v>
      </x:c>
      <x:c r="AR39" s="14" t="str">
        <x:v>Review required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/>
      <x:c r="BP39" s="14" t="str">
        <x:v>Unable to calculate from supplied records.</x:v>
      </x:c>
      <x:c r="BQ39" s="14" t="str">
        <x:v>Unable to determine</x:v>
      </x:c>
      <x:c r="BR39" s="15" t="n">
        <x:v>1</x:v>
      </x:c>
      <x:c r="BS39" s="16"/>
      <x:c r="BT39" s="14" t="str">
        <x:v>Unable to calculate</x:v>
      </x:c>
      <x:c r="BU39" s="14" t="str">
        <x:v>Unable to determine</x:v>
      </x:c>
      <x:c r="BV39" s="14" t="str">
        <x:v>Episode count or production-total proxy unavailable.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tt38933516|nm8565573|ralph tyler</x:v>
      </x:c>
      <x:c r="B40" s="14" t="str">
        <x:v>03</x:v>
      </x:c>
      <x:c r="C40" s="14" t="str">
        <x:v>2025_IMDb_Cast_Lists_Batch_03(1).xlsx</x:v>
      </x:c>
      <x:c r="D40" s="14" t="str">
        <x:v>Play for Today</x:v>
      </x:c>
      <x:c r="E40" s="14" t="n">
        <x:v>44</x:v>
      </x:c>
      <x:c r="F40" s="14" t="str">
        <x:v>Play for Today</x:v>
      </x:c>
      <x:c r="G40" s="14" t="str">
        <x:v>tt38933516</x:v>
      </x:c>
      <x:c r="H40" s="14"/>
      <x:c r="I40" s="14" t="n">
        <x:v>2025</x:v>
      </x:c>
      <x:c r="J40" s="14" t="str">
        <x:v>Review cohort</x:v>
      </x:c>
      <x:c r="K40" s="14"/>
      <x:c r="L40" s="14" t="str">
        <x:v>Not inherited</x:v>
      </x:c>
      <x:c r="M40" s="15" t="n">
        <x:v>37</x:v>
      </x:c>
      <x:c r="N40" s="14" t="str">
        <x:v>Kieran Urquhart</x:v>
      </x:c>
      <x:c r="O40" s="14" t="str">
        <x:v>nm8565573</x:v>
      </x:c>
      <x:c r="P40" s="14" t="str">
        <x:v>Ralph Tyler</x:v>
      </x:c>
      <x:c r="Q40" s="15" t="n">
        <x:v>1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Unresolved</x:v>
      </x:c>
      <x:c r="V40" s="14" t="str">
        <x:v>Production scope or source year is unresolved.</x:v>
      </x:c>
      <x:c r="W40" s="14" t="str">
        <x:v>Review required</x:v>
      </x:c>
      <x:c r="X40" s="14" t="str">
        <x:v>Review required</x:v>
      </x:c>
      <x:c r="Y40" s="14"/>
      <x:c r="Z40" s="14" t="str">
        <x:v>Play for Today.docx</x:v>
      </x:c>
      <x:c r="AA4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/>
      <x:c r="AI40" s="14"/>
      <x:c r="AJ40" s="14" t="str">
        <x:v>No master-list match</x:v>
      </x:c>
      <x:c r="AK40" s="14" t="str">
        <x:v>Unresolved</x:v>
      </x:c>
      <x:c r="AL40" s="14" t="str">
        <x:v>No matching production in master register.</x:v>
      </x:c>
      <x:c r="AM40" s="14"/>
      <x:c r="AN40" s="14" t="str">
        <x:v>Relationship unresolved</x:v>
      </x:c>
      <x:c r="AO40" s="14" t="str">
        <x:v>Review required</x:v>
      </x:c>
      <x:c r="AP40" s="14" t="str">
        <x:v>Review required</x:v>
      </x:c>
      <x:c r="AQ40" s="14" t="str">
        <x:v>Review required</x:v>
      </x:c>
      <x:c r="AR40" s="14" t="str">
        <x:v>Review required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/>
      <x:c r="BP40" s="14" t="str">
        <x:v>Unable to calculate from supplied records.</x:v>
      </x:c>
      <x:c r="BQ40" s="14" t="str">
        <x:v>Unable to determine</x:v>
      </x:c>
      <x:c r="BR40" s="15" t="n">
        <x:v>1</x:v>
      </x:c>
      <x:c r="BS40" s="16"/>
      <x:c r="BT40" s="14" t="str">
        <x:v>Unable to calculate</x:v>
      </x:c>
      <x:c r="BU40" s="14" t="str">
        <x:v>Unable to determine</x:v>
      </x:c>
      <x:c r="BV40" s="14" t="str">
        <x:v>Episode count or production-total proxy unavailable.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tt38933516|nm17980439|gabby</x:v>
      </x:c>
      <x:c r="B41" s="14" t="str">
        <x:v>03</x:v>
      </x:c>
      <x:c r="C41" s="14" t="str">
        <x:v>2025_IMDb_Cast_Lists_Batch_03(1).xlsx</x:v>
      </x:c>
      <x:c r="D41" s="14" t="str">
        <x:v>Play for Today</x:v>
      </x:c>
      <x:c r="E41" s="14" t="n">
        <x:v>45</x:v>
      </x:c>
      <x:c r="F41" s="14" t="str">
        <x:v>Play for Today</x:v>
      </x:c>
      <x:c r="G41" s="14" t="str">
        <x:v>tt38933516</x:v>
      </x:c>
      <x:c r="H41" s="14"/>
      <x:c r="I41" s="14" t="n">
        <x:v>2025</x:v>
      </x:c>
      <x:c r="J41" s="14" t="str">
        <x:v>Review cohort</x:v>
      </x:c>
      <x:c r="K41" s="14"/>
      <x:c r="L41" s="14" t="str">
        <x:v>Not inherited</x:v>
      </x:c>
      <x:c r="M41" s="15" t="n">
        <x:v>38</x:v>
      </x:c>
      <x:c r="N41" s="14" t="str">
        <x:v>Sophie Goulding</x:v>
      </x:c>
      <x:c r="O41" s="14" t="str">
        <x:v>nm17980439</x:v>
      </x:c>
      <x:c r="P41" s="14" t="str">
        <x:v>Gabby</x:v>
      </x:c>
      <x:c r="Q41" s="15" t="n">
        <x:v>1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Unresolved</x:v>
      </x:c>
      <x:c r="V41" s="14" t="str">
        <x:v>Production scope or source year is unresolved.</x:v>
      </x:c>
      <x:c r="W41" s="14" t="str">
        <x:v>Review required</x:v>
      </x:c>
      <x:c r="X41" s="14" t="str">
        <x:v>Review required</x:v>
      </x:c>
      <x:c r="Y41" s="14"/>
      <x:c r="Z41" s="14" t="str">
        <x:v>Play for Today.docx</x:v>
      </x:c>
      <x:c r="AA4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/>
      <x:c r="AI41" s="14"/>
      <x:c r="AJ41" s="14" t="str">
        <x:v>No master-list match</x:v>
      </x:c>
      <x:c r="AK41" s="14" t="str">
        <x:v>Unresolved</x:v>
      </x:c>
      <x:c r="AL41" s="14" t="str">
        <x:v>No matching production in master register.</x:v>
      </x:c>
      <x:c r="AM41" s="14"/>
      <x:c r="AN41" s="14" t="str">
        <x:v>Relationship unresolved</x:v>
      </x:c>
      <x:c r="AO41" s="14" t="str">
        <x:v>Review required</x:v>
      </x:c>
      <x:c r="AP41" s="14" t="str">
        <x:v>Review required</x:v>
      </x:c>
      <x:c r="AQ41" s="14" t="str">
        <x:v>Review required</x:v>
      </x:c>
      <x:c r="AR41" s="14" t="str">
        <x:v>Review required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/>
      <x:c r="BP41" s="14" t="str">
        <x:v>Unable to calculate from supplied records.</x:v>
      </x:c>
      <x:c r="BQ41" s="14" t="str">
        <x:v>Unable to determine</x:v>
      </x:c>
      <x:c r="BR41" s="15" t="n">
        <x:v>1</x:v>
      </x:c>
      <x:c r="BS41" s="16"/>
      <x:c r="BT41" s="14" t="str">
        <x:v>Unable to calculate</x:v>
      </x:c>
      <x:c r="BU41" s="14" t="str">
        <x:v>Unable to determine</x:v>
      </x:c>
      <x:c r="BV41" s="14" t="str">
        <x:v>Episode count or production-total proxy unavailable.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tt38933516|nm17980440|paul</x:v>
      </x:c>
      <x:c r="B42" s="14" t="str">
        <x:v>03</x:v>
      </x:c>
      <x:c r="C42" s="14" t="str">
        <x:v>2025_IMDb_Cast_Lists_Batch_03(1).xlsx</x:v>
      </x:c>
      <x:c r="D42" s="14" t="str">
        <x:v>Play for Today</x:v>
      </x:c>
      <x:c r="E42" s="14" t="n">
        <x:v>46</x:v>
      </x:c>
      <x:c r="F42" s="14" t="str">
        <x:v>Play for Today</x:v>
      </x:c>
      <x:c r="G42" s="14" t="str">
        <x:v>tt38933516</x:v>
      </x:c>
      <x:c r="H42" s="14"/>
      <x:c r="I42" s="14" t="n">
        <x:v>2025</x:v>
      </x:c>
      <x:c r="J42" s="14" t="str">
        <x:v>Review cohort</x:v>
      </x:c>
      <x:c r="K42" s="14"/>
      <x:c r="L42" s="14" t="str">
        <x:v>Not inherited</x:v>
      </x:c>
      <x:c r="M42" s="15" t="n">
        <x:v>39</x:v>
      </x:c>
      <x:c r="N42" s="14" t="str">
        <x:v>Dylan Hargreaves</x:v>
      </x:c>
      <x:c r="O42" s="14" t="str">
        <x:v>nm17980440</x:v>
      </x:c>
      <x:c r="P42" s="14" t="str">
        <x:v>Paul</x:v>
      </x:c>
      <x:c r="Q42" s="15" t="n">
        <x:v>1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Unresolved</x:v>
      </x:c>
      <x:c r="V42" s="14" t="str">
        <x:v>Production scope or source year is unresolved.</x:v>
      </x:c>
      <x:c r="W42" s="14" t="str">
        <x:v>Review required</x:v>
      </x:c>
      <x:c r="X42" s="14" t="str">
        <x:v>Review required</x:v>
      </x:c>
      <x:c r="Y42" s="14"/>
      <x:c r="Z42" s="14" t="str">
        <x:v>Play for Today.docx</x:v>
      </x:c>
      <x:c r="AA4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/>
      <x:c r="AI42" s="14"/>
      <x:c r="AJ42" s="14" t="str">
        <x:v>No master-list match</x:v>
      </x:c>
      <x:c r="AK42" s="14" t="str">
        <x:v>Unresolved</x:v>
      </x:c>
      <x:c r="AL42" s="14" t="str">
        <x:v>No matching production in master register.</x:v>
      </x:c>
      <x:c r="AM42" s="14"/>
      <x:c r="AN42" s="14" t="str">
        <x:v>Relationship unresolved</x:v>
      </x:c>
      <x:c r="AO42" s="14" t="str">
        <x:v>Review required</x:v>
      </x:c>
      <x:c r="AP42" s="14" t="str">
        <x:v>Review required</x:v>
      </x:c>
      <x:c r="AQ42" s="14" t="str">
        <x:v>Review required</x:v>
      </x:c>
      <x:c r="AR42" s="14" t="str">
        <x:v>Review required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/>
      <x:c r="BP42" s="14" t="str">
        <x:v>Unable to calculate from supplied records.</x:v>
      </x:c>
      <x:c r="BQ42" s="14" t="str">
        <x:v>Unable to determine</x:v>
      </x:c>
      <x:c r="BR42" s="15" t="n">
        <x:v>1</x:v>
      </x:c>
      <x:c r="BS42" s="16"/>
      <x:c r="BT42" s="14" t="str">
        <x:v>Unable to calculate</x:v>
      </x:c>
      <x:c r="BU42" s="14" t="str">
        <x:v>Unable to determine</x:v>
      </x:c>
      <x:c r="BV42" s="14" t="str">
        <x:v>Episode count or production-total proxy unavailable.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tt38933516|nm17980438|jack</x:v>
      </x:c>
      <x:c r="B43" s="14" t="str">
        <x:v>03</x:v>
      </x:c>
      <x:c r="C43" s="14" t="str">
        <x:v>2025_IMDb_Cast_Lists_Batch_03(1).xlsx</x:v>
      </x:c>
      <x:c r="D43" s="14" t="str">
        <x:v>Play for Today</x:v>
      </x:c>
      <x:c r="E43" s="14" t="n">
        <x:v>47</x:v>
      </x:c>
      <x:c r="F43" s="14" t="str">
        <x:v>Play for Today</x:v>
      </x:c>
      <x:c r="G43" s="14" t="str">
        <x:v>tt38933516</x:v>
      </x:c>
      <x:c r="H43" s="14"/>
      <x:c r="I43" s="14" t="n">
        <x:v>2025</x:v>
      </x:c>
      <x:c r="J43" s="14" t="str">
        <x:v>Review cohort</x:v>
      </x:c>
      <x:c r="K43" s="14"/>
      <x:c r="L43" s="14" t="str">
        <x:v>Not inherited</x:v>
      </x:c>
      <x:c r="M43" s="15" t="n">
        <x:v>40</x:v>
      </x:c>
      <x:c r="N43" s="14" t="str">
        <x:v>Daniel Johnson-Kenny</x:v>
      </x:c>
      <x:c r="O43" s="14" t="str">
        <x:v>nm17980438</x:v>
      </x:c>
      <x:c r="P43" s="14" t="str">
        <x:v>Jack</x:v>
      </x:c>
      <x:c r="Q43" s="15" t="n">
        <x:v>1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Unresolved</x:v>
      </x:c>
      <x:c r="V43" s="14" t="str">
        <x:v>Production scope or source year is unresolved.</x:v>
      </x:c>
      <x:c r="W43" s="14" t="str">
        <x:v>Review required</x:v>
      </x:c>
      <x:c r="X43" s="14" t="str">
        <x:v>Review required</x:v>
      </x:c>
      <x:c r="Y43" s="14"/>
      <x:c r="Z43" s="14" t="str">
        <x:v>Play for Today.docx</x:v>
      </x:c>
      <x:c r="AA4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/>
      <x:c r="AI43" s="14"/>
      <x:c r="AJ43" s="14" t="str">
        <x:v>No master-list match</x:v>
      </x:c>
      <x:c r="AK43" s="14" t="str">
        <x:v>Unresolved</x:v>
      </x:c>
      <x:c r="AL43" s="14" t="str">
        <x:v>No matching production in master register.</x:v>
      </x:c>
      <x:c r="AM43" s="14"/>
      <x:c r="AN43" s="14" t="str">
        <x:v>Relationship unresolved</x:v>
      </x:c>
      <x:c r="AO43" s="14" t="str">
        <x:v>Review required</x:v>
      </x:c>
      <x:c r="AP43" s="14" t="str">
        <x:v>Review required</x:v>
      </x:c>
      <x:c r="AQ43" s="14" t="str">
        <x:v>Review required</x:v>
      </x:c>
      <x:c r="AR43" s="14" t="str">
        <x:v>Review required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/>
      <x:c r="BP43" s="14" t="str">
        <x:v>Unable to calculate from supplied records.</x:v>
      </x:c>
      <x:c r="BQ43" s="14" t="str">
        <x:v>Unable to determine</x:v>
      </x:c>
      <x:c r="BR43" s="15" t="n">
        <x:v>1</x:v>
      </x:c>
      <x:c r="BS43" s="16"/>
      <x:c r="BT43" s="14" t="str">
        <x:v>Unable to calculate</x:v>
      </x:c>
      <x:c r="BU43" s="14" t="str">
        <x:v>Unable to determine</x:v>
      </x:c>
      <x:c r="BV43" s="14" t="str">
        <x:v>Episode count or production-total proxy unavailable.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tt38933516|nm17980441|natalie</x:v>
      </x:c>
      <x:c r="B44" s="14" t="str">
        <x:v>03</x:v>
      </x:c>
      <x:c r="C44" s="14" t="str">
        <x:v>2025_IMDb_Cast_Lists_Batch_03(1).xlsx</x:v>
      </x:c>
      <x:c r="D44" s="14" t="str">
        <x:v>Play for Today</x:v>
      </x:c>
      <x:c r="E44" s="14" t="n">
        <x:v>48</x:v>
      </x:c>
      <x:c r="F44" s="14" t="str">
        <x:v>Play for Today</x:v>
      </x:c>
      <x:c r="G44" s="14" t="str">
        <x:v>tt38933516</x:v>
      </x:c>
      <x:c r="H44" s="14"/>
      <x:c r="I44" s="14" t="n">
        <x:v>2025</x:v>
      </x:c>
      <x:c r="J44" s="14" t="str">
        <x:v>Review cohort</x:v>
      </x:c>
      <x:c r="K44" s="14"/>
      <x:c r="L44" s="14" t="str">
        <x:v>Not inherited</x:v>
      </x:c>
      <x:c r="M44" s="15" t="n">
        <x:v>41</x:v>
      </x:c>
      <x:c r="N44" s="14" t="str">
        <x:v>Hope Reid</x:v>
      </x:c>
      <x:c r="O44" s="14" t="str">
        <x:v>nm17980441</x:v>
      </x:c>
      <x:c r="P44" s="14" t="str">
        <x:v>Natalie</x:v>
      </x:c>
      <x:c r="Q44" s="15" t="n">
        <x:v>1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Unresolved</x:v>
      </x:c>
      <x:c r="V44" s="14" t="str">
        <x:v>Production scope or source year is unresolved.</x:v>
      </x:c>
      <x:c r="W44" s="14" t="str">
        <x:v>Review required</x:v>
      </x:c>
      <x:c r="X44" s="14" t="str">
        <x:v>Review required</x:v>
      </x:c>
      <x:c r="Y44" s="14"/>
      <x:c r="Z44" s="14" t="str">
        <x:v>Play for Today.docx</x:v>
      </x:c>
      <x:c r="AA4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/>
      <x:c r="AI44" s="14"/>
      <x:c r="AJ44" s="14" t="str">
        <x:v>No master-list match</x:v>
      </x:c>
      <x:c r="AK44" s="14" t="str">
        <x:v>Unresolved</x:v>
      </x:c>
      <x:c r="AL44" s="14" t="str">
        <x:v>No matching production in master register.</x:v>
      </x:c>
      <x:c r="AM44" s="14"/>
      <x:c r="AN44" s="14" t="str">
        <x:v>Relationship unresolved</x:v>
      </x:c>
      <x:c r="AO44" s="14" t="str">
        <x:v>Review required</x:v>
      </x:c>
      <x:c r="AP44" s="14" t="str">
        <x:v>Review required</x:v>
      </x:c>
      <x:c r="AQ44" s="14" t="str">
        <x:v>Review required</x:v>
      </x:c>
      <x:c r="AR44" s="14" t="str">
        <x:v>Review required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/>
      <x:c r="BP44" s="14" t="str">
        <x:v>Unable to calculate from supplied records.</x:v>
      </x:c>
      <x:c r="BQ44" s="14" t="str">
        <x:v>Unable to determine</x:v>
      </x:c>
      <x:c r="BR44" s="15" t="n">
        <x:v>1</x:v>
      </x:c>
      <x:c r="BS44" s="16"/>
      <x:c r="BT44" s="14" t="str">
        <x:v>Unable to calculate</x:v>
      </x:c>
      <x:c r="BU44" s="14" t="str">
        <x:v>Unable to determine</x:v>
      </x:c>
      <x:c r="BV44" s="14" t="str">
        <x:v>Episode count or production-total proxy unavailable.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7" t="e">
        <x:f>HYPERLINK("https://www.imdb.com/title/tt38933516/fullcredits/","Open source")</x:f>
        <x:v>HYPERLINK is not implemented. linkLocation=https://www.imdb.com/title/tt38933516/fullcredits/, friendlyName=Open source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tt11218290|nm3480246|rhiannon</x:v>
      </x:c>
      <x:c r="B45" s="14" t="str">
        <x:v>04</x:v>
      </x:c>
      <x:c r="C45" s="14" t="str">
        <x:v>2024_IMDb_Cast_Lists_Batch_04(1).xlsx</x:v>
      </x:c>
      <x:c r="D45" s="14" t="str">
        <x:v>Sweatpea</x:v>
      </x:c>
      <x:c r="E45" s="14" t="n">
        <x:v>8</x:v>
      </x:c>
      <x:c r="F45" s="14" t="str">
        <x:v>Sweatpea</x:v>
      </x:c>
      <x:c r="G45" s="14" t="str">
        <x:v>tt11218290</x:v>
      </x:c>
      <x:c r="H45" s="14"/>
      <x:c r="I45" s="14" t="n">
        <x:v>2025</x:v>
      </x:c>
      <x:c r="J45" s="14" t="str">
        <x:v>Review cohort</x:v>
      </x:c>
      <x:c r="K45" s="14" t="n">
        <x:v>2024</x:v>
      </x:c>
      <x:c r="L45" s="14" t="str">
        <x:v>Not inherited</x:v>
      </x:c>
      <x:c r="M45" s="15" t="n">
        <x:v>1</x:v>
      </x:c>
      <x:c r="N45" s="14" t="str">
        <x:v>Ella Purnell</x:v>
      </x:c>
      <x:c r="O45" s="14" t="str">
        <x:v>nm3480246</x:v>
      </x:c>
      <x:c r="P45" s="14" t="str">
        <x:v>Rhiannon</x:v>
      </x:c>
      <x:c r="Q45" s="15" t="n">
        <x:v>7</x:v>
      </x:c>
      <x:c r="R45" s="14" t="str">
        <x:v>2024</x:v>
      </x:c>
      <x:c r="S45" s="14" t="n">
        <x:v>2024</x:v>
      </x:c>
      <x:c r="T45" s="14" t="n">
        <x:v>2024</x:v>
      </x:c>
      <x:c r="U45" s="14" t="str">
        <x:v>Unresolved</x:v>
      </x:c>
      <x:c r="V45" s="14" t="str">
        <x:v>Production scope or source year is unresolved.</x:v>
      </x:c>
      <x:c r="W45" s="14" t="str">
        <x:v>Review required</x:v>
      </x:c>
      <x:c r="X45" s="14" t="str">
        <x:v>Review required</x:v>
      </x:c>
      <x:c r="Y45" s="14"/>
      <x:c r="Z45" s="14" t="str">
        <x:v>Sweatpea(1).docx</x:v>
      </x:c>
      <x:c r="AA45" s="14" t="str">
        <x:v>HYPERLINK is not implemented. linkLocation=https://www.imdb.com/title/tt11218290/fullcredits/, friendlyName=Open source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/>
      <x:c r="AI45" s="14"/>
      <x:c r="AJ45" s="14" t="str">
        <x:v>No master-list match</x:v>
      </x:c>
      <x:c r="AK45" s="14" t="str">
        <x:v>Unresolved</x:v>
      </x:c>
      <x:c r="AL45" s="14" t="str">
        <x:v>No matching production in master register.</x:v>
      </x:c>
      <x:c r="AM45" s="14"/>
      <x:c r="AN45" s="14" t="str">
        <x:v>Relationship unresolved</x:v>
      </x:c>
      <x:c r="AO45" s="14" t="str">
        <x:v>Review required</x:v>
      </x:c>
      <x:c r="AP45" s="14" t="str">
        <x:v>Review required</x:v>
      </x:c>
      <x:c r="AQ45" s="14" t="str">
        <x:v>Review required</x:v>
      </x:c>
      <x:c r="AR45" s="14" t="str">
        <x:v>Review required</x:v>
      </x:c>
      <x:c r="AS45" s="14" t="str">
        <x:v>No established-register match</x:v>
      </x:c>
      <x:c r="AT45" s="14"/>
      <x:c r="AU45" s="14"/>
      <x:c r="AV45" s="14" t="str">
        <x:v>No established apparent-disability match</x:v>
      </x:c>
      <x:c r="AW45" s="14"/>
      <x:c r="AX45" s="14" t="str">
        <x:v>No</x:v>
      </x:c>
      <x:c r="AY45" s="14" t="str">
        <x:v>Unmatched</x:v>
      </x:c>
      <x:c r="AZ45" s="14" t="str">
        <x:v>Final supplied register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/>
      <x:c r="BP45" s="14" t="str">
        <x:v>Unable to calculate from supplied records.</x:v>
      </x:c>
      <x:c r="BQ45" s="14" t="str">
        <x:v>Unable to determine</x:v>
      </x:c>
      <x:c r="BR45" s="15" t="n">
        <x:v>7</x:v>
      </x:c>
      <x:c r="BS45" s="16"/>
      <x:c r="BT45" s="14" t="str">
        <x:v>Unable to calculate</x:v>
      </x:c>
      <x:c r="BU45" s="14" t="str">
        <x:v>Unable to determine</x:v>
      </x:c>
      <x:c r="BV45" s="14" t="str">
        <x:v>Episode count or production-total proxy unavailable.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HYPERLINK is not implemented. linkLocation=https://www.imdb.com/title/tt11218290/fullcredits/, friendlyName=Open source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tt11218290|nm8208516|aj</x:v>
      </x:c>
      <x:c r="B46" s="14" t="str">
        <x:v>04</x:v>
      </x:c>
      <x:c r="C46" s="14" t="str">
        <x:v>2024_IMDb_Cast_Lists_Batch_04(1).xlsx</x:v>
      </x:c>
      <x:c r="D46" s="14" t="str">
        <x:v>Sweatpea</x:v>
      </x:c>
      <x:c r="E46" s="14" t="n">
        <x:v>9</x:v>
      </x:c>
      <x:c r="F46" s="14" t="str">
        <x:v>Sweatpea</x:v>
      </x:c>
      <x:c r="G46" s="14" t="str">
        <x:v>tt11218290</x:v>
      </x:c>
      <x:c r="H46" s="14"/>
      <x:c r="I46" s="14" t="n">
        <x:v>2025</x:v>
      </x:c>
      <x:c r="J46" s="14" t="str">
        <x:v>Review cohort</x:v>
      </x:c>
      <x:c r="K46" s="14" t="n">
        <x:v>2024</x:v>
      </x:c>
      <x:c r="L46" s="14" t="str">
        <x:v>Not inherited</x:v>
      </x:c>
      <x:c r="M46" s="15" t="n">
        <x:v>2</x:v>
      </x:c>
      <x:c r="N46" s="14" t="str">
        <x:v>Calam Lynch</x:v>
      </x:c>
      <x:c r="O46" s="14" t="str">
        <x:v>nm8208516</x:v>
      </x:c>
      <x:c r="P46" s="14" t="str">
        <x:v>AJ</x:v>
      </x:c>
      <x:c r="Q46" s="15" t="n">
        <x:v>7</x:v>
      </x:c>
      <x:c r="R46" s="14" t="str">
        <x:v>2024</x:v>
      </x:c>
      <x:c r="S46" s="14" t="n">
        <x:v>2024</x:v>
      </x:c>
      <x:c r="T46" s="14" t="n">
        <x:v>2024</x:v>
      </x:c>
      <x:c r="U46" s="14" t="str">
        <x:v>Unresolved</x:v>
      </x:c>
      <x:c r="V46" s="14" t="str">
        <x:v>Production scope or source year is unresolved.</x:v>
      </x:c>
      <x:c r="W46" s="14" t="str">
        <x:v>Review required</x:v>
      </x:c>
      <x:c r="X46" s="14" t="str">
        <x:v>Review required</x:v>
      </x:c>
      <x:c r="Y46" s="14"/>
      <x:c r="Z46" s="14" t="str">
        <x:v>Sweatpea(1).docx</x:v>
      </x:c>
      <x:c r="AA46" s="14" t="str">
        <x:v>HYPERLINK is not implemented. linkLocation=https://www.imdb.com/title/tt11218290/fullcredits/, friendlyName=Open source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/>
      <x:c r="AI46" s="14"/>
      <x:c r="AJ46" s="14" t="str">
        <x:v>No master-list match</x:v>
      </x:c>
      <x:c r="AK46" s="14" t="str">
        <x:v>Unresolved</x:v>
      </x:c>
      <x:c r="AL46" s="14" t="str">
        <x:v>No matching production in master register.</x:v>
      </x:c>
      <x:c r="AM46" s="14"/>
      <x:c r="AN46" s="14" t="str">
        <x:v>Relationship unresolved</x:v>
      </x:c>
      <x:c r="AO46" s="14" t="str">
        <x:v>Review required</x:v>
      </x:c>
      <x:c r="AP46" s="14" t="str">
        <x:v>Review required</x:v>
      </x:c>
      <x:c r="AQ46" s="14" t="str">
        <x:v>Review required</x:v>
      </x:c>
      <x:c r="AR46" s="14" t="str">
        <x:v>Review required</x:v>
      </x:c>
      <x:c r="AS46" s="14" t="str">
        <x:v>No established-register match</x:v>
      </x:c>
      <x:c r="AT46" s="14"/>
      <x:c r="AU46" s="14"/>
      <x:c r="AV46" s="14" t="str">
        <x:v>No established apparent-disability match</x:v>
      </x:c>
      <x:c r="AW46" s="14"/>
      <x:c r="AX46" s="14" t="str">
        <x:v>No</x:v>
      </x:c>
      <x:c r="AY46" s="14" t="str">
        <x:v>Unmatched</x:v>
      </x:c>
      <x:c r="AZ46" s="14" t="str">
        <x:v>Final supplied register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/>
      <x:c r="BP46" s="14" t="str">
        <x:v>Unable to calculate from supplied records.</x:v>
      </x:c>
      <x:c r="BQ46" s="14" t="str">
        <x:v>Unable to determine</x:v>
      </x:c>
      <x:c r="BR46" s="15" t="n">
        <x:v>7</x:v>
      </x:c>
      <x:c r="BS46" s="16"/>
      <x:c r="BT46" s="14" t="str">
        <x:v>Unable to calculate</x:v>
      </x:c>
      <x:c r="BU46" s="14" t="str">
        <x:v>Unable to determine</x:v>
      </x:c>
      <x:c r="BV46" s="14" t="str">
        <x:v>Episode count or production-total proxy unavailable.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HYPERLINK is not implemented. linkLocation=https://www.imdb.com/title/tt11218290/fullcredits/, friendlyName=Open source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tt11218290|nm4054578|phil</x:v>
      </x:c>
      <x:c r="B47" s="14" t="str">
        <x:v>04</x:v>
      </x:c>
      <x:c r="C47" s="14" t="str">
        <x:v>2024_IMDb_Cast_Lists_Batch_04(1).xlsx</x:v>
      </x:c>
      <x:c r="D47" s="14" t="str">
        <x:v>Sweatpea</x:v>
      </x:c>
      <x:c r="E47" s="14" t="n">
        <x:v>10</x:v>
      </x:c>
      <x:c r="F47" s="14" t="str">
        <x:v>Sweatpea</x:v>
      </x:c>
      <x:c r="G47" s="14" t="str">
        <x:v>tt11218290</x:v>
      </x:c>
      <x:c r="H47" s="14"/>
      <x:c r="I47" s="14" t="n">
        <x:v>2025</x:v>
      </x:c>
      <x:c r="J47" s="14" t="str">
        <x:v>Review cohort</x:v>
      </x:c>
      <x:c r="K47" s="14" t="n">
        <x:v>2024</x:v>
      </x:c>
      <x:c r="L47" s="14" t="str">
        <x:v>Not inherited</x:v>
      </x:c>
      <x:c r="M47" s="15" t="n">
        <x:v>3</x:v>
      </x:c>
      <x:c r="N47" s="14" t="str">
        <x:v>Tim Samuels</x:v>
      </x:c>
      <x:c r="O47" s="14" t="str">
        <x:v>nm4054578</x:v>
      </x:c>
      <x:c r="P47" s="14" t="str">
        <x:v>Phil</x:v>
      </x:c>
      <x:c r="Q47" s="15" t="n">
        <x:v>7</x:v>
      </x:c>
      <x:c r="R47" s="14" t="str">
        <x:v>2024</x:v>
      </x:c>
      <x:c r="S47" s="14" t="n">
        <x:v>2024</x:v>
      </x:c>
      <x:c r="T47" s="14" t="n">
        <x:v>2024</x:v>
      </x:c>
      <x:c r="U47" s="14" t="str">
        <x:v>Unresolved</x:v>
      </x:c>
      <x:c r="V47" s="14" t="str">
        <x:v>Production scope or source year is unresolved.</x:v>
      </x:c>
      <x:c r="W47" s="14" t="str">
        <x:v>Review required</x:v>
      </x:c>
      <x:c r="X47" s="14" t="str">
        <x:v>Review required</x:v>
      </x:c>
      <x:c r="Y47" s="14"/>
      <x:c r="Z47" s="14" t="str">
        <x:v>Sweatpea(1).docx</x:v>
      </x:c>
      <x:c r="AA47" s="14" t="str">
        <x:v>HYPERLINK is not implemented. linkLocation=https://www.imdb.com/title/tt11218290/fullcredits/, friendlyName=Open source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/>
      <x:c r="AI47" s="14"/>
      <x:c r="AJ47" s="14" t="str">
        <x:v>No master-list match</x:v>
      </x:c>
      <x:c r="AK47" s="14" t="str">
        <x:v>Unresolved</x:v>
      </x:c>
      <x:c r="AL47" s="14" t="str">
        <x:v>No matching production in master register.</x:v>
      </x:c>
      <x:c r="AM47" s="14"/>
      <x:c r="AN47" s="14" t="str">
        <x:v>Relationship unresolved</x:v>
      </x:c>
      <x:c r="AO47" s="14" t="str">
        <x:v>Review required</x:v>
      </x:c>
      <x:c r="AP47" s="14" t="str">
        <x:v>Review required</x:v>
      </x:c>
      <x:c r="AQ47" s="14" t="str">
        <x:v>Review required</x:v>
      </x:c>
      <x:c r="AR47" s="14" t="str">
        <x:v>Review required</x:v>
      </x:c>
      <x:c r="AS47" s="14" t="str">
        <x:v>No established-register match</x:v>
      </x:c>
      <x:c r="AT47" s="14"/>
      <x:c r="AU47" s="14"/>
      <x:c r="AV47" s="14" t="str">
        <x:v>No established apparent-disability match</x:v>
      </x:c>
      <x:c r="AW47" s="14"/>
      <x:c r="AX47" s="14" t="str">
        <x:v>No</x:v>
      </x:c>
      <x:c r="AY47" s="14" t="str">
        <x:v>Unmatched</x:v>
      </x:c>
      <x:c r="AZ47" s="14" t="str">
        <x:v>Final supplied register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/>
      <x:c r="BP47" s="14" t="str">
        <x:v>Unable to calculate from supplied records.</x:v>
      </x:c>
      <x:c r="BQ47" s="14" t="str">
        <x:v>Unable to determine</x:v>
      </x:c>
      <x:c r="BR47" s="15" t="n">
        <x:v>7</x:v>
      </x:c>
      <x:c r="BS47" s="16"/>
      <x:c r="BT47" s="14" t="str">
        <x:v>Unable to calculate</x:v>
      </x:c>
      <x:c r="BU47" s="14" t="str">
        <x:v>Unable to determine</x:v>
      </x:c>
      <x:c r="BV47" s="14" t="str">
        <x:v>Episode count or production-total proxy unavailable.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HYPERLINK is not implemented. linkLocation=https://www.imdb.com/title/tt11218290/fullcredits/, friendlyName=Open source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tt11218290|nm3238246|marina</x:v>
      </x:c>
      <x:c r="B48" s="14" t="str">
        <x:v>04</x:v>
      </x:c>
      <x:c r="C48" s="14" t="str">
        <x:v>2024_IMDb_Cast_Lists_Batch_04(1).xlsx</x:v>
      </x:c>
      <x:c r="D48" s="14" t="str">
        <x:v>Sweatpea</x:v>
      </x:c>
      <x:c r="E48" s="14" t="n">
        <x:v>11</x:v>
      </x:c>
      <x:c r="F48" s="14" t="str">
        <x:v>Sweatpea</x:v>
      </x:c>
      <x:c r="G48" s="14" t="str">
        <x:v>tt11218290</x:v>
      </x:c>
      <x:c r="H48" s="14"/>
      <x:c r="I48" s="14" t="n">
        <x:v>2025</x:v>
      </x:c>
      <x:c r="J48" s="14" t="str">
        <x:v>Review cohort</x:v>
      </x:c>
      <x:c r="K48" s="14" t="n">
        <x:v>2024</x:v>
      </x:c>
      <x:c r="L48" s="14" t="str">
        <x:v>Not inherited</x:v>
      </x:c>
      <x:c r="M48" s="15" t="n">
        <x:v>4</x:v>
      </x:c>
      <x:c r="N48" s="14" t="str">
        <x:v>Leah Harvey</x:v>
      </x:c>
      <x:c r="O48" s="14" t="str">
        <x:v>nm3238246</x:v>
      </x:c>
      <x:c r="P48" s="14" t="str">
        <x:v>Marina</x:v>
      </x:c>
      <x:c r="Q48" s="15" t="n">
        <x:v>6</x:v>
      </x:c>
      <x:c r="R48" s="14" t="str">
        <x:v>2024</x:v>
      </x:c>
      <x:c r="S48" s="14" t="n">
        <x:v>2024</x:v>
      </x:c>
      <x:c r="T48" s="14" t="n">
        <x:v>2024</x:v>
      </x:c>
      <x:c r="U48" s="14" t="str">
        <x:v>Unresolved</x:v>
      </x:c>
      <x:c r="V48" s="14" t="str">
        <x:v>Production scope or source year is unresolved.</x:v>
      </x:c>
      <x:c r="W48" s="14" t="str">
        <x:v>Review required</x:v>
      </x:c>
      <x:c r="X48" s="14" t="str">
        <x:v>Review required</x:v>
      </x:c>
      <x:c r="Y48" s="14"/>
      <x:c r="Z48" s="14" t="str">
        <x:v>Sweatpea(1).docx</x:v>
      </x:c>
      <x:c r="AA48" s="14" t="str">
        <x:v>HYPERLINK is not implemented. linkLocation=https://www.imdb.com/title/tt11218290/fullcredits/, friendlyName=Open source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/>
      <x:c r="AI48" s="14"/>
      <x:c r="AJ48" s="14" t="str">
        <x:v>No master-list match</x:v>
      </x:c>
      <x:c r="AK48" s="14" t="str">
        <x:v>Unresolved</x:v>
      </x:c>
      <x:c r="AL48" s="14" t="str">
        <x:v>No matching production in master register.</x:v>
      </x:c>
      <x:c r="AM48" s="14"/>
      <x:c r="AN48" s="14" t="str">
        <x:v>Relationship unresolved</x:v>
      </x:c>
      <x:c r="AO48" s="14" t="str">
        <x:v>Review required</x:v>
      </x:c>
      <x:c r="AP48" s="14" t="str">
        <x:v>Review required</x:v>
      </x:c>
      <x:c r="AQ48" s="14" t="str">
        <x:v>Review required</x:v>
      </x:c>
      <x:c r="AR48" s="14" t="str">
        <x:v>Review required</x:v>
      </x:c>
      <x:c r="AS48" s="14" t="str">
        <x:v>No established-register match</x:v>
      </x:c>
      <x:c r="AT48" s="14"/>
      <x:c r="AU48" s="14"/>
      <x:c r="AV48" s="14" t="str">
        <x:v>No established apparent-disability match</x:v>
      </x:c>
      <x:c r="AW48" s="14"/>
      <x:c r="AX48" s="14" t="str">
        <x:v>No</x:v>
      </x:c>
      <x:c r="AY48" s="14" t="str">
        <x:v>Unmatched</x:v>
      </x:c>
      <x:c r="AZ48" s="14" t="str">
        <x:v>Final supplied register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/>
      <x:c r="BP48" s="14" t="str">
        <x:v>Unable to calculate from supplied records.</x:v>
      </x:c>
      <x:c r="BQ48" s="14" t="str">
        <x:v>Unable to determine</x:v>
      </x:c>
      <x:c r="BR48" s="15" t="n">
        <x:v>6</x:v>
      </x:c>
      <x:c r="BS48" s="16"/>
      <x:c r="BT48" s="14" t="str">
        <x:v>Unable to calculate</x:v>
      </x:c>
      <x:c r="BU48" s="14" t="str">
        <x:v>Unable to determine</x:v>
      </x:c>
      <x:c r="BV48" s="14" t="str">
        <x:v>Episode count or production-total proxy unavailable.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HYPERLINK is not implemented. linkLocation=https://www.imdb.com/title/tt11218290/fullcredits/, friendlyName=Open source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tt11218290|nm5377921|craig</x:v>
      </x:c>
      <x:c r="B49" s="14" t="str">
        <x:v>04</x:v>
      </x:c>
      <x:c r="C49" s="14" t="str">
        <x:v>2024_IMDb_Cast_Lists_Batch_04(1).xlsx</x:v>
      </x:c>
      <x:c r="D49" s="14" t="str">
        <x:v>Sweatpea</x:v>
      </x:c>
      <x:c r="E49" s="14" t="n">
        <x:v>12</x:v>
      </x:c>
      <x:c r="F49" s="14" t="str">
        <x:v>Sweatpea</x:v>
      </x:c>
      <x:c r="G49" s="14" t="str">
        <x:v>tt11218290</x:v>
      </x:c>
      <x:c r="H49" s="14"/>
      <x:c r="I49" s="14" t="n">
        <x:v>2025</x:v>
      </x:c>
      <x:c r="J49" s="14" t="str">
        <x:v>Review cohort</x:v>
      </x:c>
      <x:c r="K49" s="14" t="n">
        <x:v>2024</x:v>
      </x:c>
      <x:c r="L49" s="14" t="str">
        <x:v>Not inherited</x:v>
      </x:c>
      <x:c r="M49" s="15" t="n">
        <x:v>5</x:v>
      </x:c>
      <x:c r="N49" s="14" t="str">
        <x:v>Jon Pointing</x:v>
      </x:c>
      <x:c r="O49" s="14" t="str">
        <x:v>nm5377921</x:v>
      </x:c>
      <x:c r="P49" s="14" t="str">
        <x:v>Craig</x:v>
      </x:c>
      <x:c r="Q49" s="15" t="n">
        <x:v>6</x:v>
      </x:c>
      <x:c r="R49" s="14" t="str">
        <x:v>2024</x:v>
      </x:c>
      <x:c r="S49" s="14" t="n">
        <x:v>2024</x:v>
      </x:c>
      <x:c r="T49" s="14" t="n">
        <x:v>2024</x:v>
      </x:c>
      <x:c r="U49" s="14" t="str">
        <x:v>Unresolved</x:v>
      </x:c>
      <x:c r="V49" s="14" t="str">
        <x:v>Production scope or source year is unresolved.</x:v>
      </x:c>
      <x:c r="W49" s="14" t="str">
        <x:v>Review required</x:v>
      </x:c>
      <x:c r="X49" s="14" t="str">
        <x:v>Review required</x:v>
      </x:c>
      <x:c r="Y49" s="14"/>
      <x:c r="Z49" s="14" t="str">
        <x:v>Sweatpea(1).docx</x:v>
      </x:c>
      <x:c r="AA49" s="14" t="str">
        <x:v>HYPERLINK is not implemented. linkLocation=https://www.imdb.com/title/tt11218290/fullcredits/, friendlyName=Open source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/>
      <x:c r="AI49" s="14"/>
      <x:c r="AJ49" s="14" t="str">
        <x:v>No master-list match</x:v>
      </x:c>
      <x:c r="AK49" s="14" t="str">
        <x:v>Unresolved</x:v>
      </x:c>
      <x:c r="AL49" s="14" t="str">
        <x:v>No matching production in master register.</x:v>
      </x:c>
      <x:c r="AM49" s="14"/>
      <x:c r="AN49" s="14" t="str">
        <x:v>Relationship unresolved</x:v>
      </x:c>
      <x:c r="AO49" s="14" t="str">
        <x:v>Review required</x:v>
      </x:c>
      <x:c r="AP49" s="14" t="str">
        <x:v>Review required</x:v>
      </x:c>
      <x:c r="AQ49" s="14" t="str">
        <x:v>Review required</x:v>
      </x:c>
      <x:c r="AR49" s="14" t="str">
        <x:v>Review required</x:v>
      </x:c>
      <x:c r="AS49" s="14" t="str">
        <x:v>No established-register match</x:v>
      </x:c>
      <x:c r="AT49" s="14"/>
      <x:c r="AU49" s="14"/>
      <x:c r="AV49" s="14" t="str">
        <x:v>No established apparent-disability match</x:v>
      </x:c>
      <x:c r="AW49" s="14"/>
      <x:c r="AX49" s="14" t="str">
        <x:v>No</x:v>
      </x:c>
      <x:c r="AY49" s="14" t="str">
        <x:v>Unmatched</x:v>
      </x:c>
      <x:c r="AZ49" s="14" t="str">
        <x:v>Final supplied register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/>
      <x:c r="BP49" s="14" t="str">
        <x:v>Unable to calculate from supplied records.</x:v>
      </x:c>
      <x:c r="BQ49" s="14" t="str">
        <x:v>Unable to determine</x:v>
      </x:c>
      <x:c r="BR49" s="15" t="n">
        <x:v>6</x:v>
      </x:c>
      <x:c r="BS49" s="16"/>
      <x:c r="BT49" s="14" t="str">
        <x:v>Unable to calculate</x:v>
      </x:c>
      <x:c r="BU49" s="14" t="str">
        <x:v>Unable to determine</x:v>
      </x:c>
      <x:c r="BV49" s="14" t="str">
        <x:v>Episode count or production-total proxy unavailable.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HYPERLINK is not implemented. linkLocation=https://www.imdb.com/title/tt11218290/fullcredits/, friendlyName=Open source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tt11218290|nm2809182|julia</x:v>
      </x:c>
      <x:c r="B50" s="14" t="str">
        <x:v>04</x:v>
      </x:c>
      <x:c r="C50" s="14" t="str">
        <x:v>2024_IMDb_Cast_Lists_Batch_04(1).xlsx</x:v>
      </x:c>
      <x:c r="D50" s="14" t="str">
        <x:v>Sweatpea</x:v>
      </x:c>
      <x:c r="E50" s="14" t="n">
        <x:v>13</x:v>
      </x:c>
      <x:c r="F50" s="14" t="str">
        <x:v>Sweatpea</x:v>
      </x:c>
      <x:c r="G50" s="14" t="str">
        <x:v>tt11218290</x:v>
      </x:c>
      <x:c r="H50" s="14"/>
      <x:c r="I50" s="14" t="n">
        <x:v>2025</x:v>
      </x:c>
      <x:c r="J50" s="14" t="str">
        <x:v>Review cohort</x:v>
      </x:c>
      <x:c r="K50" s="14" t="n">
        <x:v>2024</x:v>
      </x:c>
      <x:c r="L50" s="14" t="str">
        <x:v>Not inherited</x:v>
      </x:c>
      <x:c r="M50" s="15" t="n">
        <x:v>6</x:v>
      </x:c>
      <x:c r="N50" s="14" t="str">
        <x:v>Nicôle Lecky</x:v>
      </x:c>
      <x:c r="O50" s="14" t="str">
        <x:v>nm2809182</x:v>
      </x:c>
      <x:c r="P50" s="14" t="str">
        <x:v>Julia</x:v>
      </x:c>
      <x:c r="Q50" s="15" t="n">
        <x:v>6</x:v>
      </x:c>
      <x:c r="R50" s="14" t="str">
        <x:v>2024</x:v>
      </x:c>
      <x:c r="S50" s="14" t="n">
        <x:v>2024</x:v>
      </x:c>
      <x:c r="T50" s="14" t="n">
        <x:v>2024</x:v>
      </x:c>
      <x:c r="U50" s="14" t="str">
        <x:v>Unresolved</x:v>
      </x:c>
      <x:c r="V50" s="14" t="str">
        <x:v>Production scope or source year is unresolved.</x:v>
      </x:c>
      <x:c r="W50" s="14" t="str">
        <x:v>Review required</x:v>
      </x:c>
      <x:c r="X50" s="14" t="str">
        <x:v>Review required</x:v>
      </x:c>
      <x:c r="Y50" s="14"/>
      <x:c r="Z50" s="14" t="str">
        <x:v>Sweatpea(1).docx</x:v>
      </x:c>
      <x:c r="AA50" s="14" t="str">
        <x:v>HYPERLINK is not implemented. linkLocation=https://www.imdb.com/title/tt11218290/fullcredits/, friendlyName=Open source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/>
      <x:c r="AI50" s="14"/>
      <x:c r="AJ50" s="14" t="str">
        <x:v>No master-list match</x:v>
      </x:c>
      <x:c r="AK50" s="14" t="str">
        <x:v>Unresolved</x:v>
      </x:c>
      <x:c r="AL50" s="14" t="str">
        <x:v>No matching production in master register.</x:v>
      </x:c>
      <x:c r="AM50" s="14"/>
      <x:c r="AN50" s="14" t="str">
        <x:v>Relationship unresolved</x:v>
      </x:c>
      <x:c r="AO50" s="14" t="str">
        <x:v>Review required</x:v>
      </x:c>
      <x:c r="AP50" s="14" t="str">
        <x:v>Review required</x:v>
      </x:c>
      <x:c r="AQ50" s="14" t="str">
        <x:v>Review required</x:v>
      </x:c>
      <x:c r="AR50" s="14" t="str">
        <x:v>Review required</x:v>
      </x:c>
      <x:c r="AS50" s="14" t="str">
        <x:v>No established-register match</x:v>
      </x:c>
      <x:c r="AT50" s="14"/>
      <x:c r="AU50" s="14"/>
      <x:c r="AV50" s="14" t="str">
        <x:v>No established apparent-disability match</x:v>
      </x:c>
      <x:c r="AW50" s="14"/>
      <x:c r="AX50" s="14" t="str">
        <x:v>No</x:v>
      </x:c>
      <x:c r="AY50" s="14" t="str">
        <x:v>Unmatched</x:v>
      </x:c>
      <x:c r="AZ50" s="14" t="str">
        <x:v>Final supplied register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/>
      <x:c r="BP50" s="14" t="str">
        <x:v>Unable to calculate from supplied records.</x:v>
      </x:c>
      <x:c r="BQ50" s="14" t="str">
        <x:v>Unable to determine</x:v>
      </x:c>
      <x:c r="BR50" s="15" t="n">
        <x:v>6</x:v>
      </x:c>
      <x:c r="BS50" s="16"/>
      <x:c r="BT50" s="14" t="str">
        <x:v>Unable to calculate</x:v>
      </x:c>
      <x:c r="BU50" s="14" t="str">
        <x:v>Unable to determine</x:v>
      </x:c>
      <x:c r="BV50" s="14" t="str">
        <x:v>Episode count or production-total proxy unavailable.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HYPERLINK is not implemented. linkLocation=https://www.imdb.com/title/tt11218290/fullcredits/, friendlyName=Open source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tt11218290|nm0842596|norman</x:v>
      </x:c>
      <x:c r="B51" s="14" t="str">
        <x:v>04</x:v>
      </x:c>
      <x:c r="C51" s="14" t="str">
        <x:v>2024_IMDb_Cast_Lists_Batch_04(1).xlsx</x:v>
      </x:c>
      <x:c r="D51" s="14" t="str">
        <x:v>Sweatpea</x:v>
      </x:c>
      <x:c r="E51" s="14" t="n">
        <x:v>14</x:v>
      </x:c>
      <x:c r="F51" s="14" t="str">
        <x:v>Sweatpea</x:v>
      </x:c>
      <x:c r="G51" s="14" t="str">
        <x:v>tt11218290</x:v>
      </x:c>
      <x:c r="H51" s="14"/>
      <x:c r="I51" s="14" t="n">
        <x:v>2025</x:v>
      </x:c>
      <x:c r="J51" s="14" t="str">
        <x:v>Review cohort</x:v>
      </x:c>
      <x:c r="K51" s="14" t="n">
        <x:v>2024</x:v>
      </x:c>
      <x:c r="L51" s="14" t="str">
        <x:v>Not inherited</x:v>
      </x:c>
      <x:c r="M51" s="15" t="n">
        <x:v>7</x:v>
      </x:c>
      <x:c r="N51" s="14" t="str">
        <x:v>Jeremy Swift</x:v>
      </x:c>
      <x:c r="O51" s="14" t="str">
        <x:v>nm0842596</x:v>
      </x:c>
      <x:c r="P51" s="14" t="str">
        <x:v>Norman</x:v>
      </x:c>
      <x:c r="Q51" s="15" t="n">
        <x:v>6</x:v>
      </x:c>
      <x:c r="R51" s="14" t="str">
        <x:v>2024</x:v>
      </x:c>
      <x:c r="S51" s="14" t="n">
        <x:v>2024</x:v>
      </x:c>
      <x:c r="T51" s="14" t="n">
        <x:v>2024</x:v>
      </x:c>
      <x:c r="U51" s="14" t="str">
        <x:v>Unresolved</x:v>
      </x:c>
      <x:c r="V51" s="14" t="str">
        <x:v>Production scope or source year is unresolved.</x:v>
      </x:c>
      <x:c r="W51" s="14" t="str">
        <x:v>Review required</x:v>
      </x:c>
      <x:c r="X51" s="14" t="str">
        <x:v>Review required</x:v>
      </x:c>
      <x:c r="Y51" s="14"/>
      <x:c r="Z51" s="14" t="str">
        <x:v>Sweatpea(1).docx</x:v>
      </x:c>
      <x:c r="AA51" s="14" t="str">
        <x:v>HYPERLINK is not implemented. linkLocation=https://www.imdb.com/title/tt11218290/fullcredits/, friendlyName=Open source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/>
      <x:c r="AI51" s="14"/>
      <x:c r="AJ51" s="14" t="str">
        <x:v>No master-list match</x:v>
      </x:c>
      <x:c r="AK51" s="14" t="str">
        <x:v>Unresolved</x:v>
      </x:c>
      <x:c r="AL51" s="14" t="str">
        <x:v>No matching production in master register.</x:v>
      </x:c>
      <x:c r="AM51" s="14"/>
      <x:c r="AN51" s="14" t="str">
        <x:v>Relationship unresolved</x:v>
      </x:c>
      <x:c r="AO51" s="14" t="str">
        <x:v>Review required</x:v>
      </x:c>
      <x:c r="AP51" s="14" t="str">
        <x:v>Review required</x:v>
      </x:c>
      <x:c r="AQ51" s="14" t="str">
        <x:v>Review required</x:v>
      </x:c>
      <x:c r="AR51" s="14" t="str">
        <x:v>Review required</x:v>
      </x:c>
      <x:c r="AS51" s="14" t="str">
        <x:v>No established-register match</x:v>
      </x:c>
      <x:c r="AT51" s="14"/>
      <x:c r="AU51" s="14"/>
      <x:c r="AV51" s="14" t="str">
        <x:v>No established apparent-disability match</x:v>
      </x:c>
      <x:c r="AW51" s="14"/>
      <x:c r="AX51" s="14" t="str">
        <x:v>No</x:v>
      </x:c>
      <x:c r="AY51" s="14" t="str">
        <x:v>Unmatched</x:v>
      </x:c>
      <x:c r="AZ51" s="14" t="str">
        <x:v>Final supplied register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/>
      <x:c r="BP51" s="14" t="str">
        <x:v>Unable to calculate from supplied records.</x:v>
      </x:c>
      <x:c r="BQ51" s="14" t="str">
        <x:v>Unable to determine</x:v>
      </x:c>
      <x:c r="BR51" s="15" t="n">
        <x:v>6</x:v>
      </x:c>
      <x:c r="BS51" s="16"/>
      <x:c r="BT51" s="14" t="str">
        <x:v>Unable to calculate</x:v>
      </x:c>
      <x:c r="BU51" s="14" t="str">
        <x:v>Unable to determine</x:v>
      </x:c>
      <x:c r="BV51" s="14" t="str">
        <x:v>Episode count or production-total proxy unavailable.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HYPERLINK is not implemented. linkLocation=https://www.imdb.com/title/tt11218290/fullcredits/, friendlyName=Open source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tt11218290|nm1561415|claudia</x:v>
      </x:c>
      <x:c r="B52" s="14" t="str">
        <x:v>04</x:v>
      </x:c>
      <x:c r="C52" s="14" t="str">
        <x:v>2024_IMDb_Cast_Lists_Batch_04(1).xlsx</x:v>
      </x:c>
      <x:c r="D52" s="14" t="str">
        <x:v>Sweatpea</x:v>
      </x:c>
      <x:c r="E52" s="14" t="n">
        <x:v>15</x:v>
      </x:c>
      <x:c r="F52" s="14" t="str">
        <x:v>Sweatpea</x:v>
      </x:c>
      <x:c r="G52" s="14" t="str">
        <x:v>tt11218290</x:v>
      </x:c>
      <x:c r="H52" s="14"/>
      <x:c r="I52" s="14" t="n">
        <x:v>2025</x:v>
      </x:c>
      <x:c r="J52" s="14" t="str">
        <x:v>Review cohort</x:v>
      </x:c>
      <x:c r="K52" s="14" t="n">
        <x:v>2024</x:v>
      </x:c>
      <x:c r="L52" s="14" t="str">
        <x:v>Not inherited</x:v>
      </x:c>
      <x:c r="M52" s="15" t="n">
        <x:v>8</x:v>
      </x:c>
      <x:c r="N52" s="14" t="str">
        <x:v>Lorraine Burroughs</x:v>
      </x:c>
      <x:c r="O52" s="14" t="str">
        <x:v>nm1561415</x:v>
      </x:c>
      <x:c r="P52" s="14" t="str">
        <x:v>Claudia</x:v>
      </x:c>
      <x:c r="Q52" s="15" t="n">
        <x:v>6</x:v>
      </x:c>
      <x:c r="R52" s="14" t="str">
        <x:v>2024</x:v>
      </x:c>
      <x:c r="S52" s="14" t="n">
        <x:v>2024</x:v>
      </x:c>
      <x:c r="T52" s="14" t="n">
        <x:v>2024</x:v>
      </x:c>
      <x:c r="U52" s="14" t="str">
        <x:v>Unresolved</x:v>
      </x:c>
      <x:c r="V52" s="14" t="str">
        <x:v>Production scope or source year is unresolved.</x:v>
      </x:c>
      <x:c r="W52" s="14" t="str">
        <x:v>Review required</x:v>
      </x:c>
      <x:c r="X52" s="14" t="str">
        <x:v>Review required</x:v>
      </x:c>
      <x:c r="Y52" s="14"/>
      <x:c r="Z52" s="14" t="str">
        <x:v>Sweatpea(1).docx</x:v>
      </x:c>
      <x:c r="AA52" s="14" t="str">
        <x:v>HYPERLINK is not implemented. linkLocation=https://www.imdb.com/title/tt11218290/fullcredits/, friendlyName=Open source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/>
      <x:c r="AI52" s="14"/>
      <x:c r="AJ52" s="14" t="str">
        <x:v>No master-list match</x:v>
      </x:c>
      <x:c r="AK52" s="14" t="str">
        <x:v>Unresolved</x:v>
      </x:c>
      <x:c r="AL52" s="14" t="str">
        <x:v>No matching production in master register.</x:v>
      </x:c>
      <x:c r="AM52" s="14"/>
      <x:c r="AN52" s="14" t="str">
        <x:v>Relationship unresolved</x:v>
      </x:c>
      <x:c r="AO52" s="14" t="str">
        <x:v>Review required</x:v>
      </x:c>
      <x:c r="AP52" s="14" t="str">
        <x:v>Review required</x:v>
      </x:c>
      <x:c r="AQ52" s="14" t="str">
        <x:v>Review required</x:v>
      </x:c>
      <x:c r="AR52" s="14" t="str">
        <x:v>Review required</x:v>
      </x:c>
      <x:c r="AS52" s="14" t="str">
        <x:v>No established-register match</x:v>
      </x:c>
      <x:c r="AT52" s="14"/>
      <x:c r="AU52" s="14"/>
      <x:c r="AV52" s="14" t="str">
        <x:v>No established apparent-disability match</x:v>
      </x:c>
      <x:c r="AW52" s="14"/>
      <x:c r="AX52" s="14" t="str">
        <x:v>No</x:v>
      </x:c>
      <x:c r="AY52" s="14" t="str">
        <x:v>Unmatched</x:v>
      </x:c>
      <x:c r="AZ52" s="14" t="str">
        <x:v>Final supplied register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/>
      <x:c r="BP52" s="14" t="str">
        <x:v>Unable to calculate from supplied records.</x:v>
      </x:c>
      <x:c r="BQ52" s="14" t="str">
        <x:v>Unable to determine</x:v>
      </x:c>
      <x:c r="BR52" s="15" t="n">
        <x:v>6</x:v>
      </x:c>
      <x:c r="BS52" s="16"/>
      <x:c r="BT52" s="14" t="str">
        <x:v>Unable to calculate</x:v>
      </x:c>
      <x:c r="BU52" s="14" t="str">
        <x:v>Unable to determine</x:v>
      </x:c>
      <x:c r="BV52" s="14" t="str">
        <x:v>Episode count or production-total proxy unavailable.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HYPERLINK is not implemented. linkLocation=https://www.imdb.com/title/tt11218290/fullcredits/, friendlyName=Open source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tt11218290|nm14819485|lana</x:v>
      </x:c>
      <x:c r="B53" s="14" t="str">
        <x:v>04</x:v>
      </x:c>
      <x:c r="C53" s="14" t="str">
        <x:v>2024_IMDb_Cast_Lists_Batch_04(1).xlsx</x:v>
      </x:c>
      <x:c r="D53" s="14" t="str">
        <x:v>Sweatpea</x:v>
      </x:c>
      <x:c r="E53" s="14" t="n">
        <x:v>16</x:v>
      </x:c>
      <x:c r="F53" s="14" t="str">
        <x:v>Sweatpea</x:v>
      </x:c>
      <x:c r="G53" s="14" t="str">
        <x:v>tt11218290</x:v>
      </x:c>
      <x:c r="H53" s="14"/>
      <x:c r="I53" s="14" t="n">
        <x:v>2025</x:v>
      </x:c>
      <x:c r="J53" s="14" t="str">
        <x:v>Review cohort</x:v>
      </x:c>
      <x:c r="K53" s="14" t="n">
        <x:v>2024</x:v>
      </x:c>
      <x:c r="L53" s="14" t="str">
        <x:v>Not inherited</x:v>
      </x:c>
      <x:c r="M53" s="15" t="n">
        <x:v>9</x:v>
      </x:c>
      <x:c r="N53" s="14" t="str">
        <x:v>Lydia Whitehead</x:v>
      </x:c>
      <x:c r="O53" s="14" t="str">
        <x:v>nm14819485</x:v>
      </x:c>
      <x:c r="P53" s="14" t="str">
        <x:v>Lana</x:v>
      </x:c>
      <x:c r="Q53" s="15" t="n">
        <x:v>6</x:v>
      </x:c>
      <x:c r="R53" s="14" t="str">
        <x:v>2024</x:v>
      </x:c>
      <x:c r="S53" s="14" t="n">
        <x:v>2024</x:v>
      </x:c>
      <x:c r="T53" s="14" t="n">
        <x:v>2024</x:v>
      </x:c>
      <x:c r="U53" s="14" t="str">
        <x:v>Unresolved</x:v>
      </x:c>
      <x:c r="V53" s="14" t="str">
        <x:v>Production scope or source year is unresolved.</x:v>
      </x:c>
      <x:c r="W53" s="14" t="str">
        <x:v>Review required</x:v>
      </x:c>
      <x:c r="X53" s="14" t="str">
        <x:v>Review required</x:v>
      </x:c>
      <x:c r="Y53" s="14"/>
      <x:c r="Z53" s="14" t="str">
        <x:v>Sweatpea(1).docx</x:v>
      </x:c>
      <x:c r="AA53" s="14" t="str">
        <x:v>HYPERLINK is not implemented. linkLocation=https://www.imdb.com/title/tt11218290/fullcredits/, friendlyName=Open source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/>
      <x:c r="AI53" s="14"/>
      <x:c r="AJ53" s="14" t="str">
        <x:v>No master-list match</x:v>
      </x:c>
      <x:c r="AK53" s="14" t="str">
        <x:v>Unresolved</x:v>
      </x:c>
      <x:c r="AL53" s="14" t="str">
        <x:v>No matching production in master register.</x:v>
      </x:c>
      <x:c r="AM53" s="14"/>
      <x:c r="AN53" s="14" t="str">
        <x:v>Relationship unresolved</x:v>
      </x:c>
      <x:c r="AO53" s="14" t="str">
        <x:v>Review required</x:v>
      </x:c>
      <x:c r="AP53" s="14" t="str">
        <x:v>Review required</x:v>
      </x:c>
      <x:c r="AQ53" s="14" t="str">
        <x:v>Review required</x:v>
      </x:c>
      <x:c r="AR53" s="14" t="str">
        <x:v>Review required</x:v>
      </x:c>
      <x:c r="AS53" s="14" t="str">
        <x:v>No established-register match</x:v>
      </x:c>
      <x:c r="AT53" s="14"/>
      <x:c r="AU53" s="14"/>
      <x:c r="AV53" s="14" t="str">
        <x:v>No established apparent-disability match</x:v>
      </x:c>
      <x:c r="AW53" s="14"/>
      <x:c r="AX53" s="14" t="str">
        <x:v>No</x:v>
      </x:c>
      <x:c r="AY53" s="14" t="str">
        <x:v>Unmatched</x:v>
      </x:c>
      <x:c r="AZ53" s="14" t="str">
        <x:v>Final supplied register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/>
      <x:c r="BP53" s="14" t="str">
        <x:v>Unable to calculate from supplied records.</x:v>
      </x:c>
      <x:c r="BQ53" s="14" t="str">
        <x:v>Unable to determine</x:v>
      </x:c>
      <x:c r="BR53" s="15" t="n">
        <x:v>6</x:v>
      </x:c>
      <x:c r="BS53" s="16"/>
      <x:c r="BT53" s="14" t="str">
        <x:v>Unable to calculate</x:v>
      </x:c>
      <x:c r="BU53" s="14" t="str">
        <x:v>Unable to determine</x:v>
      </x:c>
      <x:c r="BV53" s="14" t="str">
        <x:v>Episode count or production-total proxy unavailable.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HYPERLINK is not implemented. linkLocation=https://www.imdb.com/title/tt11218290/fullcredits/, friendlyName=Open source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tt11218290|nm0304092|rory</x:v>
      </x:c>
      <x:c r="B54" s="14" t="str">
        <x:v>04</x:v>
      </x:c>
      <x:c r="C54" s="14" t="str">
        <x:v>2024_IMDb_Cast_Lists_Batch_04(1).xlsx</x:v>
      </x:c>
      <x:c r="D54" s="14" t="str">
        <x:v>Sweatpea</x:v>
      </x:c>
      <x:c r="E54" s="14" t="n">
        <x:v>17</x:v>
      </x:c>
      <x:c r="F54" s="14" t="str">
        <x:v>Sweatpea</x:v>
      </x:c>
      <x:c r="G54" s="14" t="str">
        <x:v>tt11218290</x:v>
      </x:c>
      <x:c r="H54" s="14"/>
      <x:c r="I54" s="14" t="n">
        <x:v>2025</x:v>
      </x:c>
      <x:c r="J54" s="14" t="str">
        <x:v>Review cohort</x:v>
      </x:c>
      <x:c r="K54" s="14" t="n">
        <x:v>2024</x:v>
      </x:c>
      <x:c r="L54" s="14" t="str">
        <x:v>Not inherited</x:v>
      </x:c>
      <x:c r="M54" s="15" t="n">
        <x:v>10</x:v>
      </x:c>
      <x:c r="N54" s="14" t="str">
        <x:v>Nitin Ganatra</x:v>
      </x:c>
      <x:c r="O54" s="14" t="str">
        <x:v>nm0304092</x:v>
      </x:c>
      <x:c r="P54" s="14" t="str">
        <x:v>Rory</x:v>
      </x:c>
      <x:c r="Q54" s="15" t="n">
        <x:v>5</x:v>
      </x:c>
      <x:c r="R54" s="14" t="str">
        <x:v>2024</x:v>
      </x:c>
      <x:c r="S54" s="14" t="n">
        <x:v>2024</x:v>
      </x:c>
      <x:c r="T54" s="14" t="n">
        <x:v>2024</x:v>
      </x:c>
      <x:c r="U54" s="14" t="str">
        <x:v>Unresolved</x:v>
      </x:c>
      <x:c r="V54" s="14" t="str">
        <x:v>Production scope or source year is unresolved.</x:v>
      </x:c>
      <x:c r="W54" s="14" t="str">
        <x:v>Review required</x:v>
      </x:c>
      <x:c r="X54" s="14" t="str">
        <x:v>Review required</x:v>
      </x:c>
      <x:c r="Y54" s="14"/>
      <x:c r="Z54" s="14" t="str">
        <x:v>Sweatpea(1).docx</x:v>
      </x:c>
      <x:c r="AA54" s="14" t="str">
        <x:v>HYPERLINK is not implemented. linkLocation=https://www.imdb.com/title/tt11218290/fullcredits/, friendlyName=Open source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/>
      <x:c r="AI54" s="14"/>
      <x:c r="AJ54" s="14" t="str">
        <x:v>No master-list match</x:v>
      </x:c>
      <x:c r="AK54" s="14" t="str">
        <x:v>Unresolved</x:v>
      </x:c>
      <x:c r="AL54" s="14" t="str">
        <x:v>No matching production in master register.</x:v>
      </x:c>
      <x:c r="AM54" s="14"/>
      <x:c r="AN54" s="14" t="str">
        <x:v>Relationship unresolved</x:v>
      </x:c>
      <x:c r="AO54" s="14" t="str">
        <x:v>Review required</x:v>
      </x:c>
      <x:c r="AP54" s="14" t="str">
        <x:v>Review required</x:v>
      </x:c>
      <x:c r="AQ54" s="14" t="str">
        <x:v>Review required</x:v>
      </x:c>
      <x:c r="AR54" s="14" t="str">
        <x:v>Review required</x:v>
      </x:c>
      <x:c r="AS54" s="14" t="str">
        <x:v>No established-register match</x:v>
      </x:c>
      <x:c r="AT54" s="14"/>
      <x:c r="AU54" s="14"/>
      <x:c r="AV54" s="14" t="str">
        <x:v>No established apparent-disability match</x:v>
      </x:c>
      <x:c r="AW54" s="14"/>
      <x:c r="AX54" s="14" t="str">
        <x:v>No</x:v>
      </x:c>
      <x:c r="AY54" s="14" t="str">
        <x:v>Unmatched</x:v>
      </x:c>
      <x:c r="AZ54" s="14" t="str">
        <x:v>Final supplied register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/>
      <x:c r="BP54" s="14" t="str">
        <x:v>Unable to calculate from supplied records.</x:v>
      </x:c>
      <x:c r="BQ54" s="14" t="str">
        <x:v>Unable to determine</x:v>
      </x:c>
      <x:c r="BR54" s="15" t="n">
        <x:v>5</x:v>
      </x:c>
      <x:c r="BS54" s="16"/>
      <x:c r="BT54" s="14" t="str">
        <x:v>Unable to calculate</x:v>
      </x:c>
      <x:c r="BU54" s="14" t="str">
        <x:v>Unable to determine</x:v>
      </x:c>
      <x:c r="BV54" s="14" t="str">
        <x:v>Episode count or production-total proxy unavailable.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HYPERLINK is not implemented. linkLocation=https://www.imdb.com/title/tt11218290/fullcredits/, friendlyName=Open source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tt11218290|nm1845048|jeff</x:v>
      </x:c>
      <x:c r="B55" s="14" t="str">
        <x:v>04</x:v>
      </x:c>
      <x:c r="C55" s="14" t="str">
        <x:v>2024_IMDb_Cast_Lists_Batch_04(1).xlsx</x:v>
      </x:c>
      <x:c r="D55" s="14" t="str">
        <x:v>Sweatpea</x:v>
      </x:c>
      <x:c r="E55" s="14" t="n">
        <x:v>18</x:v>
      </x:c>
      <x:c r="F55" s="14" t="str">
        <x:v>Sweatpea</x:v>
      </x:c>
      <x:c r="G55" s="14" t="str">
        <x:v>tt11218290</x:v>
      </x:c>
      <x:c r="H55" s="14"/>
      <x:c r="I55" s="14" t="n">
        <x:v>2025</x:v>
      </x:c>
      <x:c r="J55" s="14" t="str">
        <x:v>Review cohort</x:v>
      </x:c>
      <x:c r="K55" s="14" t="n">
        <x:v>2024</x:v>
      </x:c>
      <x:c r="L55" s="14" t="str">
        <x:v>Not inherited</x:v>
      </x:c>
      <x:c r="M55" s="15" t="n">
        <x:v>11</x:v>
      </x:c>
      <x:c r="N55" s="14" t="str">
        <x:v>Dustin Demri-Burns</x:v>
      </x:c>
      <x:c r="O55" s="14" t="str">
        <x:v>nm1845048</x:v>
      </x:c>
      <x:c r="P55" s="14" t="str">
        <x:v>Jeff</x:v>
      </x:c>
      <x:c r="Q55" s="15" t="n">
        <x:v>5</x:v>
      </x:c>
      <x:c r="R55" s="14" t="str">
        <x:v>2024</x:v>
      </x:c>
      <x:c r="S55" s="14" t="n">
        <x:v>2024</x:v>
      </x:c>
      <x:c r="T55" s="14" t="n">
        <x:v>2024</x:v>
      </x:c>
      <x:c r="U55" s="14" t="str">
        <x:v>Unresolved</x:v>
      </x:c>
      <x:c r="V55" s="14" t="str">
        <x:v>Production scope or source year is unresolved.</x:v>
      </x:c>
      <x:c r="W55" s="14" t="str">
        <x:v>Review required</x:v>
      </x:c>
      <x:c r="X55" s="14" t="str">
        <x:v>Review required</x:v>
      </x:c>
      <x:c r="Y55" s="14"/>
      <x:c r="Z55" s="14" t="str">
        <x:v>Sweatpea(1).docx</x:v>
      </x:c>
      <x:c r="AA55" s="14" t="str">
        <x:v>HYPERLINK is not implemented. linkLocation=https://www.imdb.com/title/tt11218290/fullcredits/, friendlyName=Open source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/>
      <x:c r="AI55" s="14"/>
      <x:c r="AJ55" s="14" t="str">
        <x:v>No master-list match</x:v>
      </x:c>
      <x:c r="AK55" s="14" t="str">
        <x:v>Unresolved</x:v>
      </x:c>
      <x:c r="AL55" s="14" t="str">
        <x:v>No matching production in master register.</x:v>
      </x:c>
      <x:c r="AM55" s="14"/>
      <x:c r="AN55" s="14" t="str">
        <x:v>Relationship unresolved</x:v>
      </x:c>
      <x:c r="AO55" s="14" t="str">
        <x:v>Review required</x:v>
      </x:c>
      <x:c r="AP55" s="14" t="str">
        <x:v>Review required</x:v>
      </x:c>
      <x:c r="AQ55" s="14" t="str">
        <x:v>Review required</x:v>
      </x:c>
      <x:c r="AR55" s="14" t="str">
        <x:v>Review required</x:v>
      </x:c>
      <x:c r="AS55" s="14" t="str">
        <x:v>No established-register match</x:v>
      </x:c>
      <x:c r="AT55" s="14"/>
      <x:c r="AU55" s="14"/>
      <x:c r="AV55" s="14" t="str">
        <x:v>No established apparent-disability match</x:v>
      </x:c>
      <x:c r="AW55" s="14"/>
      <x:c r="AX55" s="14" t="str">
        <x:v>No</x:v>
      </x:c>
      <x:c r="AY55" s="14" t="str">
        <x:v>Unmatched</x:v>
      </x:c>
      <x:c r="AZ55" s="14" t="str">
        <x:v>Final supplied register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/>
      <x:c r="BP55" s="14" t="str">
        <x:v>Unable to calculate from supplied records.</x:v>
      </x:c>
      <x:c r="BQ55" s="14" t="str">
        <x:v>Unable to determine</x:v>
      </x:c>
      <x:c r="BR55" s="15" t="n">
        <x:v>5</x:v>
      </x:c>
      <x:c r="BS55" s="16"/>
      <x:c r="BT55" s="14" t="str">
        <x:v>Unable to calculate</x:v>
      </x:c>
      <x:c r="BU55" s="14" t="str">
        <x:v>Unable to determine</x:v>
      </x:c>
      <x:c r="BV55" s="14" t="str">
        <x:v>Episode count or production-total proxy unavailable.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HYPERLINK is not implemented. linkLocation=https://www.imdb.com/title/tt11218290/fullcredits/, friendlyName=Open source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tt11218290|nm2028298|di st john</x:v>
      </x:c>
      <x:c r="B56" s="14" t="str">
        <x:v>04</x:v>
      </x:c>
      <x:c r="C56" s="14" t="str">
        <x:v>2024_IMDb_Cast_Lists_Batch_04(1).xlsx</x:v>
      </x:c>
      <x:c r="D56" s="14" t="str">
        <x:v>Sweatpea</x:v>
      </x:c>
      <x:c r="E56" s="14" t="n">
        <x:v>19</x:v>
      </x:c>
      <x:c r="F56" s="14" t="str">
        <x:v>Sweatpea</x:v>
      </x:c>
      <x:c r="G56" s="14" t="str">
        <x:v>tt11218290</x:v>
      </x:c>
      <x:c r="H56" s="14"/>
      <x:c r="I56" s="14" t="n">
        <x:v>2025</x:v>
      </x:c>
      <x:c r="J56" s="14" t="str">
        <x:v>Review cohort</x:v>
      </x:c>
      <x:c r="K56" s="14" t="n">
        <x:v>2024</x:v>
      </x:c>
      <x:c r="L56" s="14" t="str">
        <x:v>Not inherited</x:v>
      </x:c>
      <x:c r="M56" s="15" t="n">
        <x:v>12</x:v>
      </x:c>
      <x:c r="N56" s="14" t="str">
        <x:v>Ingrid Oliver</x:v>
      </x:c>
      <x:c r="O56" s="14" t="str">
        <x:v>nm2028298</x:v>
      </x:c>
      <x:c r="P56" s="14" t="str">
        <x:v>DI St John</x:v>
      </x:c>
      <x:c r="Q56" s="15" t="n">
        <x:v>4</x:v>
      </x:c>
      <x:c r="R56" s="14" t="str">
        <x:v>2024</x:v>
      </x:c>
      <x:c r="S56" s="14" t="n">
        <x:v>2024</x:v>
      </x:c>
      <x:c r="T56" s="14" t="n">
        <x:v>2024</x:v>
      </x:c>
      <x:c r="U56" s="14" t="str">
        <x:v>Unresolved</x:v>
      </x:c>
      <x:c r="V56" s="14" t="str">
        <x:v>Production scope or source year is unresolved.</x:v>
      </x:c>
      <x:c r="W56" s="14" t="str">
        <x:v>Review required</x:v>
      </x:c>
      <x:c r="X56" s="14" t="str">
        <x:v>Review required</x:v>
      </x:c>
      <x:c r="Y56" s="14"/>
      <x:c r="Z56" s="14" t="str">
        <x:v>Sweatpea(1).docx</x:v>
      </x:c>
      <x:c r="AA56" s="14" t="str">
        <x:v>HYPERLINK is not implemented. linkLocation=https://www.imdb.com/title/tt11218290/fullcredits/, friendlyName=Open source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/>
      <x:c r="AI56" s="14"/>
      <x:c r="AJ56" s="14" t="str">
        <x:v>No master-list match</x:v>
      </x:c>
      <x:c r="AK56" s="14" t="str">
        <x:v>Unresolved</x:v>
      </x:c>
      <x:c r="AL56" s="14" t="str">
        <x:v>No matching production in master register.</x:v>
      </x:c>
      <x:c r="AM56" s="14"/>
      <x:c r="AN56" s="14" t="str">
        <x:v>Relationship unresolved</x:v>
      </x:c>
      <x:c r="AO56" s="14" t="str">
        <x:v>Review required</x:v>
      </x:c>
      <x:c r="AP56" s="14" t="str">
        <x:v>Review required</x:v>
      </x:c>
      <x:c r="AQ56" s="14" t="str">
        <x:v>Review required</x:v>
      </x:c>
      <x:c r="AR56" s="14" t="str">
        <x:v>Review required</x:v>
      </x:c>
      <x:c r="AS56" s="14" t="str">
        <x:v>No established-register match</x:v>
      </x:c>
      <x:c r="AT56" s="14"/>
      <x:c r="AU56" s="14"/>
      <x:c r="AV56" s="14" t="str">
        <x:v>No established apparent-disability match</x:v>
      </x:c>
      <x:c r="AW56" s="14"/>
      <x:c r="AX56" s="14" t="str">
        <x:v>No</x:v>
      </x:c>
      <x:c r="AY56" s="14" t="str">
        <x:v>Unmatched</x:v>
      </x:c>
      <x:c r="AZ56" s="14" t="str">
        <x:v>Final supplied register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/>
      <x:c r="BP56" s="14" t="str">
        <x:v>Unable to calculate from supplied records.</x:v>
      </x:c>
      <x:c r="BQ56" s="14" t="str">
        <x:v>Unable to determine</x:v>
      </x:c>
      <x:c r="BR56" s="15" t="n">
        <x:v>4</x:v>
      </x:c>
      <x:c r="BS56" s="16"/>
      <x:c r="BT56" s="14" t="str">
        <x:v>Unable to calculate</x:v>
      </x:c>
      <x:c r="BU56" s="14" t="str">
        <x:v>Unable to determine</x:v>
      </x:c>
      <x:c r="BV56" s="14" t="str">
        <x:v>Episode count or production-total proxy unavailable.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HYPERLINK is not implemented. linkLocation=https://www.imdb.com/title/tt11218290/fullcredits/, friendlyName=Open source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tt11218290|nm14877234|andy</x:v>
      </x:c>
      <x:c r="B57" s="14" t="str">
        <x:v>04</x:v>
      </x:c>
      <x:c r="C57" s="14" t="str">
        <x:v>2024_IMDb_Cast_Lists_Batch_04(1).xlsx</x:v>
      </x:c>
      <x:c r="D57" s="14" t="str">
        <x:v>Sweatpea</x:v>
      </x:c>
      <x:c r="E57" s="14" t="n">
        <x:v>20</x:v>
      </x:c>
      <x:c r="F57" s="14" t="str">
        <x:v>Sweatpea</x:v>
      </x:c>
      <x:c r="G57" s="14" t="str">
        <x:v>tt11218290</x:v>
      </x:c>
      <x:c r="H57" s="14"/>
      <x:c r="I57" s="14" t="n">
        <x:v>2025</x:v>
      </x:c>
      <x:c r="J57" s="14" t="str">
        <x:v>Review cohort</x:v>
      </x:c>
      <x:c r="K57" s="14" t="n">
        <x:v>2024</x:v>
      </x:c>
      <x:c r="L57" s="14" t="str">
        <x:v>Not inherited</x:v>
      </x:c>
      <x:c r="M57" s="15" t="n">
        <x:v>13</x:v>
      </x:c>
      <x:c r="N57" s="14" t="str">
        <x:v>Alexander Bellinfantie</x:v>
      </x:c>
      <x:c r="O57" s="14" t="str">
        <x:v>nm14877234</x:v>
      </x:c>
      <x:c r="P57" s="14" t="str">
        <x:v>Andy</x:v>
      </x:c>
      <x:c r="Q57" s="15" t="n">
        <x:v>4</x:v>
      </x:c>
      <x:c r="R57" s="14" t="str">
        <x:v>2024</x:v>
      </x:c>
      <x:c r="S57" s="14" t="n">
        <x:v>2024</x:v>
      </x:c>
      <x:c r="T57" s="14" t="n">
        <x:v>2024</x:v>
      </x:c>
      <x:c r="U57" s="14" t="str">
        <x:v>Unresolved</x:v>
      </x:c>
      <x:c r="V57" s="14" t="str">
        <x:v>Production scope or source year is unresolved.</x:v>
      </x:c>
      <x:c r="W57" s="14" t="str">
        <x:v>Review required</x:v>
      </x:c>
      <x:c r="X57" s="14" t="str">
        <x:v>Review required</x:v>
      </x:c>
      <x:c r="Y57" s="14"/>
      <x:c r="Z57" s="14" t="str">
        <x:v>Sweatpea(1).docx</x:v>
      </x:c>
      <x:c r="AA57" s="14" t="str">
        <x:v>HYPERLINK is not implemented. linkLocation=https://www.imdb.com/title/tt11218290/fullcredits/, friendlyName=Open source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/>
      <x:c r="AI57" s="14"/>
      <x:c r="AJ57" s="14" t="str">
        <x:v>No master-list match</x:v>
      </x:c>
      <x:c r="AK57" s="14" t="str">
        <x:v>Unresolved</x:v>
      </x:c>
      <x:c r="AL57" s="14" t="str">
        <x:v>No matching production in master register.</x:v>
      </x:c>
      <x:c r="AM57" s="14"/>
      <x:c r="AN57" s="14" t="str">
        <x:v>Relationship unresolved</x:v>
      </x:c>
      <x:c r="AO57" s="14" t="str">
        <x:v>Review required</x:v>
      </x:c>
      <x:c r="AP57" s="14" t="str">
        <x:v>Review required</x:v>
      </x:c>
      <x:c r="AQ57" s="14" t="str">
        <x:v>Review required</x:v>
      </x:c>
      <x:c r="AR57" s="14" t="str">
        <x:v>Review required</x:v>
      </x:c>
      <x:c r="AS57" s="14" t="str">
        <x:v>No established-register match</x:v>
      </x:c>
      <x:c r="AT57" s="14"/>
      <x:c r="AU57" s="14"/>
      <x:c r="AV57" s="14" t="str">
        <x:v>No established apparent-disability match</x:v>
      </x:c>
      <x:c r="AW57" s="14"/>
      <x:c r="AX57" s="14" t="str">
        <x:v>No</x:v>
      </x:c>
      <x:c r="AY57" s="14" t="str">
        <x:v>Unmatched</x:v>
      </x:c>
      <x:c r="AZ57" s="14" t="str">
        <x:v>Final supplied register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/>
      <x:c r="BP57" s="14" t="str">
        <x:v>Unable to calculate from supplied records.</x:v>
      </x:c>
      <x:c r="BQ57" s="14" t="str">
        <x:v>Unable to determine</x:v>
      </x:c>
      <x:c r="BR57" s="15" t="n">
        <x:v>4</x:v>
      </x:c>
      <x:c r="BS57" s="16"/>
      <x:c r="BT57" s="14" t="str">
        <x:v>Unable to calculate</x:v>
      </x:c>
      <x:c r="BU57" s="14" t="str">
        <x:v>Unable to determine</x:v>
      </x:c>
      <x:c r="BV57" s="14" t="str">
        <x:v>Episode count or production-total proxy unavailable.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HYPERLINK is not implemented. linkLocation=https://www.imdb.com/title/tt11218290/fullcredits/, friendlyName=Open source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tt11218290|nm6761471|shaun</x:v>
      </x:c>
      <x:c r="B58" s="14" t="str">
        <x:v>04</x:v>
      </x:c>
      <x:c r="C58" s="14" t="str">
        <x:v>2024_IMDb_Cast_Lists_Batch_04(1).xlsx</x:v>
      </x:c>
      <x:c r="D58" s="14" t="str">
        <x:v>Sweatpea</x:v>
      </x:c>
      <x:c r="E58" s="14" t="n">
        <x:v>21</x:v>
      </x:c>
      <x:c r="F58" s="14" t="str">
        <x:v>Sweatpea</x:v>
      </x:c>
      <x:c r="G58" s="14" t="str">
        <x:v>tt11218290</x:v>
      </x:c>
      <x:c r="H58" s="14"/>
      <x:c r="I58" s="14" t="n">
        <x:v>2025</x:v>
      </x:c>
      <x:c r="J58" s="14" t="str">
        <x:v>Review cohort</x:v>
      </x:c>
      <x:c r="K58" s="14" t="n">
        <x:v>2024</x:v>
      </x:c>
      <x:c r="L58" s="14" t="str">
        <x:v>Not inherited</x:v>
      </x:c>
      <x:c r="M58" s="15" t="n">
        <x:v>14</x:v>
      </x:c>
      <x:c r="N58" s="14" t="str">
        <x:v>Elliot Cable</x:v>
      </x:c>
      <x:c r="O58" s="14" t="str">
        <x:v>nm6761471</x:v>
      </x:c>
      <x:c r="P58" s="14" t="str">
        <x:v>Shaun</x:v>
      </x:c>
      <x:c r="Q58" s="15" t="n">
        <x:v>4</x:v>
      </x:c>
      <x:c r="R58" s="14" t="str">
        <x:v>2024</x:v>
      </x:c>
      <x:c r="S58" s="14" t="n">
        <x:v>2024</x:v>
      </x:c>
      <x:c r="T58" s="14" t="n">
        <x:v>2024</x:v>
      </x:c>
      <x:c r="U58" s="14" t="str">
        <x:v>Unresolved</x:v>
      </x:c>
      <x:c r="V58" s="14" t="str">
        <x:v>Production scope or source year is unresolved.</x:v>
      </x:c>
      <x:c r="W58" s="14" t="str">
        <x:v>Review required</x:v>
      </x:c>
      <x:c r="X58" s="14" t="str">
        <x:v>Review required</x:v>
      </x:c>
      <x:c r="Y58" s="14"/>
      <x:c r="Z58" s="14" t="str">
        <x:v>Sweatpea(1).docx</x:v>
      </x:c>
      <x:c r="AA58" s="14" t="str">
        <x:v>HYPERLINK is not implemented. linkLocation=https://www.imdb.com/title/tt11218290/fullcredits/, friendlyName=Open source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/>
      <x:c r="AI58" s="14"/>
      <x:c r="AJ58" s="14" t="str">
        <x:v>No master-list match</x:v>
      </x:c>
      <x:c r="AK58" s="14" t="str">
        <x:v>Unresolved</x:v>
      </x:c>
      <x:c r="AL58" s="14" t="str">
        <x:v>No matching production in master register.</x:v>
      </x:c>
      <x:c r="AM58" s="14"/>
      <x:c r="AN58" s="14" t="str">
        <x:v>Relationship unresolved</x:v>
      </x:c>
      <x:c r="AO58" s="14" t="str">
        <x:v>Review required</x:v>
      </x:c>
      <x:c r="AP58" s="14" t="str">
        <x:v>Review required</x:v>
      </x:c>
      <x:c r="AQ58" s="14" t="str">
        <x:v>Review required</x:v>
      </x:c>
      <x:c r="AR58" s="14" t="str">
        <x:v>Review required</x:v>
      </x:c>
      <x:c r="AS58" s="14" t="str">
        <x:v>No established-register match</x:v>
      </x:c>
      <x:c r="AT58" s="14"/>
      <x:c r="AU58" s="14"/>
      <x:c r="AV58" s="14" t="str">
        <x:v>No established apparent-disability match</x:v>
      </x:c>
      <x:c r="AW58" s="14"/>
      <x:c r="AX58" s="14" t="str">
        <x:v>No</x:v>
      </x:c>
      <x:c r="AY58" s="14" t="str">
        <x:v>Unmatched</x:v>
      </x:c>
      <x:c r="AZ58" s="14" t="str">
        <x:v>Final supplied register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/>
      <x:c r="BP58" s="14" t="str">
        <x:v>Unable to calculate from supplied records.</x:v>
      </x:c>
      <x:c r="BQ58" s="14" t="str">
        <x:v>Unable to determine</x:v>
      </x:c>
      <x:c r="BR58" s="15" t="n">
        <x:v>4</x:v>
      </x:c>
      <x:c r="BS58" s="16"/>
      <x:c r="BT58" s="14" t="str">
        <x:v>Unable to calculate</x:v>
      </x:c>
      <x:c r="BU58" s="14" t="str">
        <x:v>Unable to determine</x:v>
      </x:c>
      <x:c r="BV58" s="14" t="str">
        <x:v>Episode count or production-total proxy unavailable.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HYPERLINK is not implemented. linkLocation=https://www.imdb.com/title/tt11218290/fullcredits/, friendlyName=Open source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tt11218290|nm4474538|anni</x:v>
      </x:c>
      <x:c r="B59" s="14" t="str">
        <x:v>04</x:v>
      </x:c>
      <x:c r="C59" s="14" t="str">
        <x:v>2024_IMDb_Cast_Lists_Batch_04(1).xlsx</x:v>
      </x:c>
      <x:c r="D59" s="14" t="str">
        <x:v>Sweatpea</x:v>
      </x:c>
      <x:c r="E59" s="14" t="n">
        <x:v>22</x:v>
      </x:c>
      <x:c r="F59" s="14" t="str">
        <x:v>Sweatpea</x:v>
      </x:c>
      <x:c r="G59" s="14" t="str">
        <x:v>tt11218290</x:v>
      </x:c>
      <x:c r="H59" s="14"/>
      <x:c r="I59" s="14" t="n">
        <x:v>2025</x:v>
      </x:c>
      <x:c r="J59" s="14" t="str">
        <x:v>Review cohort</x:v>
      </x:c>
      <x:c r="K59" s="14" t="n">
        <x:v>2024</x:v>
      </x:c>
      <x:c r="L59" s="14" t="str">
        <x:v>Not inherited</x:v>
      </x:c>
      <x:c r="M59" s="15" t="n">
        <x:v>15</x:v>
      </x:c>
      <x:c r="N59" s="14" t="str">
        <x:v>Jessye Romeo</x:v>
      </x:c>
      <x:c r="O59" s="14" t="str">
        <x:v>nm4474538</x:v>
      </x:c>
      <x:c r="P59" s="14" t="str">
        <x:v>Anni</x:v>
      </x:c>
      <x:c r="Q59" s="15" t="n">
        <x:v>4</x:v>
      </x:c>
      <x:c r="R59" s="14" t="str">
        <x:v>2024</x:v>
      </x:c>
      <x:c r="S59" s="14" t="n">
        <x:v>2024</x:v>
      </x:c>
      <x:c r="T59" s="14" t="n">
        <x:v>2024</x:v>
      </x:c>
      <x:c r="U59" s="14" t="str">
        <x:v>Unresolved</x:v>
      </x:c>
      <x:c r="V59" s="14" t="str">
        <x:v>Production scope or source year is unresolved.</x:v>
      </x:c>
      <x:c r="W59" s="14" t="str">
        <x:v>Review required</x:v>
      </x:c>
      <x:c r="X59" s="14" t="str">
        <x:v>Review required</x:v>
      </x:c>
      <x:c r="Y59" s="14"/>
      <x:c r="Z59" s="14" t="str">
        <x:v>Sweatpea(1).docx</x:v>
      </x:c>
      <x:c r="AA59" s="14" t="str">
        <x:v>HYPERLINK is not implemented. linkLocation=https://www.imdb.com/title/tt11218290/fullcredits/, friendlyName=Open source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/>
      <x:c r="AI59" s="14"/>
      <x:c r="AJ59" s="14" t="str">
        <x:v>No master-list match</x:v>
      </x:c>
      <x:c r="AK59" s="14" t="str">
        <x:v>Unresolved</x:v>
      </x:c>
      <x:c r="AL59" s="14" t="str">
        <x:v>No matching production in master register.</x:v>
      </x:c>
      <x:c r="AM59" s="14"/>
      <x:c r="AN59" s="14" t="str">
        <x:v>Relationship unresolved</x:v>
      </x:c>
      <x:c r="AO59" s="14" t="str">
        <x:v>Review required</x:v>
      </x:c>
      <x:c r="AP59" s="14" t="str">
        <x:v>Review required</x:v>
      </x:c>
      <x:c r="AQ59" s="14" t="str">
        <x:v>Review required</x:v>
      </x:c>
      <x:c r="AR59" s="14" t="str">
        <x:v>Review required</x:v>
      </x:c>
      <x:c r="AS59" s="14" t="str">
        <x:v>No established-register match</x:v>
      </x:c>
      <x:c r="AT59" s="14"/>
      <x:c r="AU59" s="14"/>
      <x:c r="AV59" s="14" t="str">
        <x:v>No established apparent-disability match</x:v>
      </x:c>
      <x:c r="AW59" s="14"/>
      <x:c r="AX59" s="14" t="str">
        <x:v>No</x:v>
      </x:c>
      <x:c r="AY59" s="14" t="str">
        <x:v>Unmatched</x:v>
      </x:c>
      <x:c r="AZ59" s="14" t="str">
        <x:v>Final supplied register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/>
      <x:c r="BP59" s="14" t="str">
        <x:v>Unable to calculate from supplied records.</x:v>
      </x:c>
      <x:c r="BQ59" s="14" t="str">
        <x:v>Unable to determine</x:v>
      </x:c>
      <x:c r="BR59" s="15" t="n">
        <x:v>4</x:v>
      </x:c>
      <x:c r="BS59" s="16"/>
      <x:c r="BT59" s="14" t="str">
        <x:v>Unable to calculate</x:v>
      </x:c>
      <x:c r="BU59" s="14" t="str">
        <x:v>Unable to determine</x:v>
      </x:c>
      <x:c r="BV59" s="14" t="str">
        <x:v>Episode count or production-total proxy unavailable.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HYPERLINK is not implemented. linkLocation=https://www.imdb.com/title/tt11218290/fullcredits/, friendlyName=Open source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tt11218290|nm14029573|pidge</x:v>
      </x:c>
      <x:c r="B60" s="14" t="str">
        <x:v>04</x:v>
      </x:c>
      <x:c r="C60" s="14" t="str">
        <x:v>2024_IMDb_Cast_Lists_Batch_04(1).xlsx</x:v>
      </x:c>
      <x:c r="D60" s="14" t="str">
        <x:v>Sweatpea</x:v>
      </x:c>
      <x:c r="E60" s="14" t="n">
        <x:v>23</x:v>
      </x:c>
      <x:c r="F60" s="14" t="str">
        <x:v>Sweatpea</x:v>
      </x:c>
      <x:c r="G60" s="14" t="str">
        <x:v>tt11218290</x:v>
      </x:c>
      <x:c r="H60" s="14"/>
      <x:c r="I60" s="14" t="n">
        <x:v>2025</x:v>
      </x:c>
      <x:c r="J60" s="14" t="str">
        <x:v>Review cohort</x:v>
      </x:c>
      <x:c r="K60" s="14" t="n">
        <x:v>2024</x:v>
      </x:c>
      <x:c r="L60" s="14" t="str">
        <x:v>Not inherited</x:v>
      </x:c>
      <x:c r="M60" s="15" t="n">
        <x:v>16</x:v>
      </x:c>
      <x:c r="N60" s="14" t="str">
        <x:v>Jessica Brindle</x:v>
      </x:c>
      <x:c r="O60" s="14" t="str">
        <x:v>nm14029573</x:v>
      </x:c>
      <x:c r="P60" s="14" t="str">
        <x:v>Pidge</x:v>
      </x:c>
      <x:c r="Q60" s="15" t="n">
        <x:v>4</x:v>
      </x:c>
      <x:c r="R60" s="14" t="str">
        <x:v>2024</x:v>
      </x:c>
      <x:c r="S60" s="14" t="n">
        <x:v>2024</x:v>
      </x:c>
      <x:c r="T60" s="14" t="n">
        <x:v>2024</x:v>
      </x:c>
      <x:c r="U60" s="14" t="str">
        <x:v>Unresolved</x:v>
      </x:c>
      <x:c r="V60" s="14" t="str">
        <x:v>Production scope or source year is unresolved.</x:v>
      </x:c>
      <x:c r="W60" s="14" t="str">
        <x:v>Review required</x:v>
      </x:c>
      <x:c r="X60" s="14" t="str">
        <x:v>Review required</x:v>
      </x:c>
      <x:c r="Y60" s="14"/>
      <x:c r="Z60" s="14" t="str">
        <x:v>Sweatpea(1).docx</x:v>
      </x:c>
      <x:c r="AA60" s="14" t="str">
        <x:v>HYPERLINK is not implemented. linkLocation=https://www.imdb.com/title/tt11218290/fullcredits/, friendlyName=Open source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/>
      <x:c r="AI60" s="14"/>
      <x:c r="AJ60" s="14" t="str">
        <x:v>No master-list match</x:v>
      </x:c>
      <x:c r="AK60" s="14" t="str">
        <x:v>Unresolved</x:v>
      </x:c>
      <x:c r="AL60" s="14" t="str">
        <x:v>No matching production in master register.</x:v>
      </x:c>
      <x:c r="AM60" s="14"/>
      <x:c r="AN60" s="14" t="str">
        <x:v>Relationship unresolved</x:v>
      </x:c>
      <x:c r="AO60" s="14" t="str">
        <x:v>Review required</x:v>
      </x:c>
      <x:c r="AP60" s="14" t="str">
        <x:v>Review required</x:v>
      </x:c>
      <x:c r="AQ60" s="14" t="str">
        <x:v>Review required</x:v>
      </x:c>
      <x:c r="AR60" s="14" t="str">
        <x:v>Review required</x:v>
      </x:c>
      <x:c r="AS60" s="14" t="str">
        <x:v>No established-register match</x:v>
      </x:c>
      <x:c r="AT60" s="14"/>
      <x:c r="AU60" s="14"/>
      <x:c r="AV60" s="14" t="str">
        <x:v>No established apparent-disability match</x:v>
      </x:c>
      <x:c r="AW60" s="14"/>
      <x:c r="AX60" s="14" t="str">
        <x:v>No</x:v>
      </x:c>
      <x:c r="AY60" s="14" t="str">
        <x:v>Unmatched</x:v>
      </x:c>
      <x:c r="AZ60" s="14" t="str">
        <x:v>Final supplied register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/>
      <x:c r="BP60" s="14" t="str">
        <x:v>Unable to calculate from supplied records.</x:v>
      </x:c>
      <x:c r="BQ60" s="14" t="str">
        <x:v>Unable to determine</x:v>
      </x:c>
      <x:c r="BR60" s="15" t="n">
        <x:v>4</x:v>
      </x:c>
      <x:c r="BS60" s="16"/>
      <x:c r="BT60" s="14" t="str">
        <x:v>Unable to calculate</x:v>
      </x:c>
      <x:c r="BU60" s="14" t="str">
        <x:v>Unable to determine</x:v>
      </x:c>
      <x:c r="BV60" s="14" t="str">
        <x:v>Episode count or production-total proxy unavailable.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HYPERLINK is not implemented. linkLocation=https://www.imdb.com/title/tt11218290/fullcredits/, friendlyName=Open source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tt11218290|nm8918171|lucille</x:v>
      </x:c>
      <x:c r="B61" s="14" t="str">
        <x:v>04</x:v>
      </x:c>
      <x:c r="C61" s="14" t="str">
        <x:v>2024_IMDb_Cast_Lists_Batch_04(1).xlsx</x:v>
      </x:c>
      <x:c r="D61" s="14" t="str">
        <x:v>Sweatpea</x:v>
      </x:c>
      <x:c r="E61" s="14" t="n">
        <x:v>24</x:v>
      </x:c>
      <x:c r="F61" s="14" t="str">
        <x:v>Sweatpea</x:v>
      </x:c>
      <x:c r="G61" s="14" t="str">
        <x:v>tt11218290</x:v>
      </x:c>
      <x:c r="H61" s="14"/>
      <x:c r="I61" s="14" t="n">
        <x:v>2025</x:v>
      </x:c>
      <x:c r="J61" s="14" t="str">
        <x:v>Review cohort</x:v>
      </x:c>
      <x:c r="K61" s="14" t="n">
        <x:v>2024</x:v>
      </x:c>
      <x:c r="L61" s="14" t="str">
        <x:v>Not inherited</x:v>
      </x:c>
      <x:c r="M61" s="15" t="n">
        <x:v>17</x:v>
      </x:c>
      <x:c r="N61" s="14" t="str">
        <x:v>Lucy Heath</x:v>
      </x:c>
      <x:c r="O61" s="14" t="str">
        <x:v>nm8918171</x:v>
      </x:c>
      <x:c r="P61" s="14" t="str">
        <x:v>Lucille</x:v>
      </x:c>
      <x:c r="Q61" s="15" t="n">
        <x:v>4</x:v>
      </x:c>
      <x:c r="R61" s="14" t="str">
        <x:v>2024</x:v>
      </x:c>
      <x:c r="S61" s="14" t="n">
        <x:v>2024</x:v>
      </x:c>
      <x:c r="T61" s="14" t="n">
        <x:v>2024</x:v>
      </x:c>
      <x:c r="U61" s="14" t="str">
        <x:v>Unresolved</x:v>
      </x:c>
      <x:c r="V61" s="14" t="str">
        <x:v>Production scope or source year is unresolved.</x:v>
      </x:c>
      <x:c r="W61" s="14" t="str">
        <x:v>Review required</x:v>
      </x:c>
      <x:c r="X61" s="14" t="str">
        <x:v>Review required</x:v>
      </x:c>
      <x:c r="Y61" s="14"/>
      <x:c r="Z61" s="14" t="str">
        <x:v>Sweatpea(1).docx</x:v>
      </x:c>
      <x:c r="AA61" s="14" t="str">
        <x:v>HYPERLINK is not implemented. linkLocation=https://www.imdb.com/title/tt11218290/fullcredits/, friendlyName=Open source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/>
      <x:c r="AI61" s="14"/>
      <x:c r="AJ61" s="14" t="str">
        <x:v>No master-list match</x:v>
      </x:c>
      <x:c r="AK61" s="14" t="str">
        <x:v>Unresolved</x:v>
      </x:c>
      <x:c r="AL61" s="14" t="str">
        <x:v>No matching production in master register.</x:v>
      </x:c>
      <x:c r="AM61" s="14"/>
      <x:c r="AN61" s="14" t="str">
        <x:v>Relationship unresolved</x:v>
      </x:c>
      <x:c r="AO61" s="14" t="str">
        <x:v>Review required</x:v>
      </x:c>
      <x:c r="AP61" s="14" t="str">
        <x:v>Review required</x:v>
      </x:c>
      <x:c r="AQ61" s="14" t="str">
        <x:v>Review required</x:v>
      </x:c>
      <x:c r="AR61" s="14" t="str">
        <x:v>Review required</x:v>
      </x:c>
      <x:c r="AS61" s="14" t="str">
        <x:v>No established-register match</x:v>
      </x:c>
      <x:c r="AT61" s="14"/>
      <x:c r="AU61" s="14"/>
      <x:c r="AV61" s="14" t="str">
        <x:v>No established apparent-disability match</x:v>
      </x:c>
      <x:c r="AW61" s="14"/>
      <x:c r="AX61" s="14" t="str">
        <x:v>No</x:v>
      </x:c>
      <x:c r="AY61" s="14" t="str">
        <x:v>Unmatched</x:v>
      </x:c>
      <x:c r="AZ61" s="14" t="str">
        <x:v>Final supplied register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/>
      <x:c r="BP61" s="14" t="str">
        <x:v>Unable to calculate from supplied records.</x:v>
      </x:c>
      <x:c r="BQ61" s="14" t="str">
        <x:v>Unable to determine</x:v>
      </x:c>
      <x:c r="BR61" s="15" t="n">
        <x:v>4</x:v>
      </x:c>
      <x:c r="BS61" s="16"/>
      <x:c r="BT61" s="14" t="str">
        <x:v>Unable to calculate</x:v>
      </x:c>
      <x:c r="BU61" s="14" t="str">
        <x:v>Unable to determine</x:v>
      </x:c>
      <x:c r="BV61" s="14" t="str">
        <x:v>Episode count or production-total proxy unavailable.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HYPERLINK is not implemented. linkLocation=https://www.imdb.com/title/tt11218290/fullcredits/, friendlyName=Open source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tt11218290|nm7610492|marcus</x:v>
      </x:c>
      <x:c r="B62" s="14" t="str">
        <x:v>04</x:v>
      </x:c>
      <x:c r="C62" s="14" t="str">
        <x:v>2024_IMDb_Cast_Lists_Batch_04(1).xlsx</x:v>
      </x:c>
      <x:c r="D62" s="14" t="str">
        <x:v>Sweatpea</x:v>
      </x:c>
      <x:c r="E62" s="14" t="n">
        <x:v>25</x:v>
      </x:c>
      <x:c r="F62" s="14" t="str">
        <x:v>Sweatpea</x:v>
      </x:c>
      <x:c r="G62" s="14" t="str">
        <x:v>tt11218290</x:v>
      </x:c>
      <x:c r="H62" s="14"/>
      <x:c r="I62" s="14" t="n">
        <x:v>2025</x:v>
      </x:c>
      <x:c r="J62" s="14" t="str">
        <x:v>Review cohort</x:v>
      </x:c>
      <x:c r="K62" s="14" t="n">
        <x:v>2024</x:v>
      </x:c>
      <x:c r="L62" s="14" t="str">
        <x:v>Not inherited</x:v>
      </x:c>
      <x:c r="M62" s="15" t="n">
        <x:v>18</x:v>
      </x:c>
      <x:c r="N62" s="14" t="str">
        <x:v>Dino Kelly</x:v>
      </x:c>
      <x:c r="O62" s="14" t="str">
        <x:v>nm7610492</x:v>
      </x:c>
      <x:c r="P62" s="14" t="str">
        <x:v>Marcus</x:v>
      </x:c>
      <x:c r="Q62" s="15" t="n">
        <x:v>4</x:v>
      </x:c>
      <x:c r="R62" s="14" t="str">
        <x:v>2024</x:v>
      </x:c>
      <x:c r="S62" s="14" t="n">
        <x:v>2024</x:v>
      </x:c>
      <x:c r="T62" s="14" t="n">
        <x:v>2024</x:v>
      </x:c>
      <x:c r="U62" s="14" t="str">
        <x:v>Unresolved</x:v>
      </x:c>
      <x:c r="V62" s="14" t="str">
        <x:v>Production scope or source year is unresolved.</x:v>
      </x:c>
      <x:c r="W62" s="14" t="str">
        <x:v>Review required</x:v>
      </x:c>
      <x:c r="X62" s="14" t="str">
        <x:v>Review required</x:v>
      </x:c>
      <x:c r="Y62" s="14"/>
      <x:c r="Z62" s="14" t="str">
        <x:v>Sweatpea(1).docx</x:v>
      </x:c>
      <x:c r="AA62" s="14" t="str">
        <x:v>HYPERLINK is not implemented. linkLocation=https://www.imdb.com/title/tt11218290/fullcredits/, friendlyName=Open source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/>
      <x:c r="AI62" s="14"/>
      <x:c r="AJ62" s="14" t="str">
        <x:v>No master-list match</x:v>
      </x:c>
      <x:c r="AK62" s="14" t="str">
        <x:v>Unresolved</x:v>
      </x:c>
      <x:c r="AL62" s="14" t="str">
        <x:v>No matching production in master register.</x:v>
      </x:c>
      <x:c r="AM62" s="14"/>
      <x:c r="AN62" s="14" t="str">
        <x:v>Relationship unresolved</x:v>
      </x:c>
      <x:c r="AO62" s="14" t="str">
        <x:v>Review required</x:v>
      </x:c>
      <x:c r="AP62" s="14" t="str">
        <x:v>Review required</x:v>
      </x:c>
      <x:c r="AQ62" s="14" t="str">
        <x:v>Review required</x:v>
      </x:c>
      <x:c r="AR62" s="14" t="str">
        <x:v>Review required</x:v>
      </x:c>
      <x:c r="AS62" s="14" t="str">
        <x:v>No established-register match</x:v>
      </x:c>
      <x:c r="AT62" s="14"/>
      <x:c r="AU62" s="14"/>
      <x:c r="AV62" s="14" t="str">
        <x:v>No established apparent-disability match</x:v>
      </x:c>
      <x:c r="AW62" s="14"/>
      <x:c r="AX62" s="14" t="str">
        <x:v>No</x:v>
      </x:c>
      <x:c r="AY62" s="14" t="str">
        <x:v>Unmatched</x:v>
      </x:c>
      <x:c r="AZ62" s="14" t="str">
        <x:v>Final supplied register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/>
      <x:c r="BP62" s="14" t="str">
        <x:v>Unable to calculate from supplied records.</x:v>
      </x:c>
      <x:c r="BQ62" s="14" t="str">
        <x:v>Unable to determine</x:v>
      </x:c>
      <x:c r="BR62" s="15" t="n">
        <x:v>4</x:v>
      </x:c>
      <x:c r="BS62" s="16"/>
      <x:c r="BT62" s="14" t="str">
        <x:v>Unable to calculate</x:v>
      </x:c>
      <x:c r="BU62" s="14" t="str">
        <x:v>Unable to determine</x:v>
      </x:c>
      <x:c r="BV62" s="14" t="str">
        <x:v>Episode count or production-total proxy unavailable.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HYPERLINK is not implemented. linkLocation=https://www.imdb.com/title/tt11218290/fullcredits/, friendlyName=Open source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tt11218290|nm6544330|donna</x:v>
      </x:c>
      <x:c r="B63" s="14" t="str">
        <x:v>04</x:v>
      </x:c>
      <x:c r="C63" s="14" t="str">
        <x:v>2024_IMDb_Cast_Lists_Batch_04(1).xlsx</x:v>
      </x:c>
      <x:c r="D63" s="14" t="str">
        <x:v>Sweatpea</x:v>
      </x:c>
      <x:c r="E63" s="14" t="n">
        <x:v>26</x:v>
      </x:c>
      <x:c r="F63" s="14" t="str">
        <x:v>Sweatpea</x:v>
      </x:c>
      <x:c r="G63" s="14" t="str">
        <x:v>tt11218290</x:v>
      </x:c>
      <x:c r="H63" s="14"/>
      <x:c r="I63" s="14" t="n">
        <x:v>2025</x:v>
      </x:c>
      <x:c r="J63" s="14" t="str">
        <x:v>Review cohort</x:v>
      </x:c>
      <x:c r="K63" s="14" t="n">
        <x:v>2024</x:v>
      </x:c>
      <x:c r="L63" s="14" t="str">
        <x:v>Not inherited</x:v>
      </x:c>
      <x:c r="M63" s="15" t="n">
        <x:v>19</x:v>
      </x:c>
      <x:c r="N63" s="14" t="str">
        <x:v>Olivia Brady</x:v>
      </x:c>
      <x:c r="O63" s="14" t="str">
        <x:v>nm6544330</x:v>
      </x:c>
      <x:c r="P63" s="14" t="str">
        <x:v>Donna</x:v>
      </x:c>
      <x:c r="Q63" s="15" t="n">
        <x:v>3</x:v>
      </x:c>
      <x:c r="R63" s="14" t="str">
        <x:v>2024</x:v>
      </x:c>
      <x:c r="S63" s="14" t="n">
        <x:v>2024</x:v>
      </x:c>
      <x:c r="T63" s="14" t="n">
        <x:v>2024</x:v>
      </x:c>
      <x:c r="U63" s="14" t="str">
        <x:v>Unresolved</x:v>
      </x:c>
      <x:c r="V63" s="14" t="str">
        <x:v>Production scope or source year is unresolved.</x:v>
      </x:c>
      <x:c r="W63" s="14" t="str">
        <x:v>Review required</x:v>
      </x:c>
      <x:c r="X63" s="14" t="str">
        <x:v>Review required</x:v>
      </x:c>
      <x:c r="Y63" s="14"/>
      <x:c r="Z63" s="14" t="str">
        <x:v>Sweatpea(1).docx</x:v>
      </x:c>
      <x:c r="AA63" s="14" t="str">
        <x:v>HYPERLINK is not implemented. linkLocation=https://www.imdb.com/title/tt11218290/fullcredits/, friendlyName=Open source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/>
      <x:c r="AI63" s="14"/>
      <x:c r="AJ63" s="14" t="str">
        <x:v>No master-list match</x:v>
      </x:c>
      <x:c r="AK63" s="14" t="str">
        <x:v>Unresolved</x:v>
      </x:c>
      <x:c r="AL63" s="14" t="str">
        <x:v>No matching production in master register.</x:v>
      </x:c>
      <x:c r="AM63" s="14"/>
      <x:c r="AN63" s="14" t="str">
        <x:v>Relationship unresolved</x:v>
      </x:c>
      <x:c r="AO63" s="14" t="str">
        <x:v>Review required</x:v>
      </x:c>
      <x:c r="AP63" s="14" t="str">
        <x:v>Review required</x:v>
      </x:c>
      <x:c r="AQ63" s="14" t="str">
        <x:v>Review required</x:v>
      </x:c>
      <x:c r="AR63" s="14" t="str">
        <x:v>Review required</x:v>
      </x:c>
      <x:c r="AS63" s="14" t="str">
        <x:v>No established-register match</x:v>
      </x:c>
      <x:c r="AT63" s="14"/>
      <x:c r="AU63" s="14"/>
      <x:c r="AV63" s="14" t="str">
        <x:v>No established apparent-disability match</x:v>
      </x:c>
      <x:c r="AW63" s="14"/>
      <x:c r="AX63" s="14" t="str">
        <x:v>No</x:v>
      </x:c>
      <x:c r="AY63" s="14" t="str">
        <x:v>Unmatched</x:v>
      </x:c>
      <x:c r="AZ63" s="14" t="str">
        <x:v>Final supplied register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/>
      <x:c r="BP63" s="14" t="str">
        <x:v>Unable to calculate from supplied records.</x:v>
      </x:c>
      <x:c r="BQ63" s="14" t="str">
        <x:v>Unable to determine</x:v>
      </x:c>
      <x:c r="BR63" s="15" t="n">
        <x:v>3</x:v>
      </x:c>
      <x:c r="BS63" s="16"/>
      <x:c r="BT63" s="14" t="str">
        <x:v>Unable to calculate</x:v>
      </x:c>
      <x:c r="BU63" s="14" t="str">
        <x:v>Unable to determine</x:v>
      </x:c>
      <x:c r="BV63" s="14" t="str">
        <x:v>Episode count or production-total proxy unavailable.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HYPERLINK is not implemented. linkLocation=https://www.imdb.com/title/tt11218290/fullcredits/, friendlyName=Open source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tt11218290|nm0168554|carol on tuesdays</x:v>
      </x:c>
      <x:c r="B64" s="14" t="str">
        <x:v>04</x:v>
      </x:c>
      <x:c r="C64" s="14" t="str">
        <x:v>2024_IMDb_Cast_Lists_Batch_04(1).xlsx</x:v>
      </x:c>
      <x:c r="D64" s="14" t="str">
        <x:v>Sweatpea</x:v>
      </x:c>
      <x:c r="E64" s="14" t="n">
        <x:v>27</x:v>
      </x:c>
      <x:c r="F64" s="14" t="str">
        <x:v>Sweatpea</x:v>
      </x:c>
      <x:c r="G64" s="14" t="str">
        <x:v>tt11218290</x:v>
      </x:c>
      <x:c r="H64" s="14"/>
      <x:c r="I64" s="14" t="n">
        <x:v>2025</x:v>
      </x:c>
      <x:c r="J64" s="14" t="str">
        <x:v>Review cohort</x:v>
      </x:c>
      <x:c r="K64" s="14" t="n">
        <x:v>2024</x:v>
      </x:c>
      <x:c r="L64" s="14" t="str">
        <x:v>Not inherited</x:v>
      </x:c>
      <x:c r="M64" s="15" t="n">
        <x:v>20</x:v>
      </x:c>
      <x:c r="N64" s="14" t="str">
        <x:v>Camille Coduri</x:v>
      </x:c>
      <x:c r="O64" s="14" t="str">
        <x:v>nm0168554</x:v>
      </x:c>
      <x:c r="P64" s="14" t="str">
        <x:v>Carol On Tuesdays</x:v>
      </x:c>
      <x:c r="Q64" s="15" t="n">
        <x:v>3</x:v>
      </x:c>
      <x:c r="R64" s="14" t="str">
        <x:v>2024</x:v>
      </x:c>
      <x:c r="S64" s="14" t="n">
        <x:v>2024</x:v>
      </x:c>
      <x:c r="T64" s="14" t="n">
        <x:v>2024</x:v>
      </x:c>
      <x:c r="U64" s="14" t="str">
        <x:v>Unresolved</x:v>
      </x:c>
      <x:c r="V64" s="14" t="str">
        <x:v>Production scope or source year is unresolved.</x:v>
      </x:c>
      <x:c r="W64" s="14" t="str">
        <x:v>Review required</x:v>
      </x:c>
      <x:c r="X64" s="14" t="str">
        <x:v>Review required</x:v>
      </x:c>
      <x:c r="Y64" s="14"/>
      <x:c r="Z64" s="14" t="str">
        <x:v>Sweatpea(1).docx</x:v>
      </x:c>
      <x:c r="AA64" s="14" t="str">
        <x:v>HYPERLINK is not implemented. linkLocation=https://www.imdb.com/title/tt11218290/fullcredits/, friendlyName=Open source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/>
      <x:c r="AI64" s="14"/>
      <x:c r="AJ64" s="14" t="str">
        <x:v>No master-list match</x:v>
      </x:c>
      <x:c r="AK64" s="14" t="str">
        <x:v>Unresolved</x:v>
      </x:c>
      <x:c r="AL64" s="14" t="str">
        <x:v>No matching production in master register.</x:v>
      </x:c>
      <x:c r="AM64" s="14"/>
      <x:c r="AN64" s="14" t="str">
        <x:v>Relationship unresolved</x:v>
      </x:c>
      <x:c r="AO64" s="14" t="str">
        <x:v>Review required</x:v>
      </x:c>
      <x:c r="AP64" s="14" t="str">
        <x:v>Review required</x:v>
      </x:c>
      <x:c r="AQ64" s="14" t="str">
        <x:v>Review required</x:v>
      </x:c>
      <x:c r="AR64" s="14" t="str">
        <x:v>Review required</x:v>
      </x:c>
      <x:c r="AS64" s="14" t="str">
        <x:v>No established-register match</x:v>
      </x:c>
      <x:c r="AT64" s="14"/>
      <x:c r="AU64" s="14"/>
      <x:c r="AV64" s="14" t="str">
        <x:v>No established apparent-disability match</x:v>
      </x:c>
      <x:c r="AW64" s="14"/>
      <x:c r="AX64" s="14" t="str">
        <x:v>No</x:v>
      </x:c>
      <x:c r="AY64" s="14" t="str">
        <x:v>Unmatched</x:v>
      </x:c>
      <x:c r="AZ64" s="14" t="str">
        <x:v>Final supplied register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/>
      <x:c r="BP64" s="14" t="str">
        <x:v>Unable to calculate from supplied records.</x:v>
      </x:c>
      <x:c r="BQ64" s="14" t="str">
        <x:v>Unable to determine</x:v>
      </x:c>
      <x:c r="BR64" s="15" t="n">
        <x:v>3</x:v>
      </x:c>
      <x:c r="BS64" s="16"/>
      <x:c r="BT64" s="14" t="str">
        <x:v>Unable to calculate</x:v>
      </x:c>
      <x:c r="BU64" s="14" t="str">
        <x:v>Unable to determine</x:v>
      </x:c>
      <x:c r="BV64" s="14" t="str">
        <x:v>Episode count or production-total proxy unavailable.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HYPERLINK is not implemented. linkLocation=https://www.imdb.com/title/tt11218290/fullcredits/, friendlyName=Open source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tt11218290|nm5093301|seren</x:v>
      </x:c>
      <x:c r="B65" s="14" t="str">
        <x:v>04</x:v>
      </x:c>
      <x:c r="C65" s="14" t="str">
        <x:v>2024_IMDb_Cast_Lists_Batch_04(1).xlsx</x:v>
      </x:c>
      <x:c r="D65" s="14" t="str">
        <x:v>Sweatpea</x:v>
      </x:c>
      <x:c r="E65" s="14" t="n">
        <x:v>28</x:v>
      </x:c>
      <x:c r="F65" s="14" t="str">
        <x:v>Sweatpea</x:v>
      </x:c>
      <x:c r="G65" s="14" t="str">
        <x:v>tt11218290</x:v>
      </x:c>
      <x:c r="H65" s="14"/>
      <x:c r="I65" s="14" t="n">
        <x:v>2025</x:v>
      </x:c>
      <x:c r="J65" s="14" t="str">
        <x:v>Review cohort</x:v>
      </x:c>
      <x:c r="K65" s="14" t="n">
        <x:v>2024</x:v>
      </x:c>
      <x:c r="L65" s="14" t="str">
        <x:v>Not inherited</x:v>
      </x:c>
      <x:c r="M65" s="15" t="n">
        <x:v>21</x:v>
      </x:c>
      <x:c r="N65" s="14" t="str">
        <x:v>Alexandra Dowling</x:v>
      </x:c>
      <x:c r="O65" s="14" t="str">
        <x:v>nm5093301</x:v>
      </x:c>
      <x:c r="P65" s="14" t="str">
        <x:v>Seren</x:v>
      </x:c>
      <x:c r="Q65" s="15" t="n">
        <x:v>3</x:v>
      </x:c>
      <x:c r="R65" s="14" t="str">
        <x:v>2024</x:v>
      </x:c>
      <x:c r="S65" s="14" t="n">
        <x:v>2024</x:v>
      </x:c>
      <x:c r="T65" s="14" t="n">
        <x:v>2024</x:v>
      </x:c>
      <x:c r="U65" s="14" t="str">
        <x:v>Unresolved</x:v>
      </x:c>
      <x:c r="V65" s="14" t="str">
        <x:v>Production scope or source year is unresolved.</x:v>
      </x:c>
      <x:c r="W65" s="14" t="str">
        <x:v>Review required</x:v>
      </x:c>
      <x:c r="X65" s="14" t="str">
        <x:v>Review required</x:v>
      </x:c>
      <x:c r="Y65" s="14"/>
      <x:c r="Z65" s="14" t="str">
        <x:v>Sweatpea(1).docx</x:v>
      </x:c>
      <x:c r="AA65" s="14" t="str">
        <x:v>HYPERLINK is not implemented. linkLocation=https://www.imdb.com/title/tt11218290/fullcredits/, friendlyName=Open source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/>
      <x:c r="AI65" s="14"/>
      <x:c r="AJ65" s="14" t="str">
        <x:v>No master-list match</x:v>
      </x:c>
      <x:c r="AK65" s="14" t="str">
        <x:v>Unresolved</x:v>
      </x:c>
      <x:c r="AL65" s="14" t="str">
        <x:v>No matching production in master register.</x:v>
      </x:c>
      <x:c r="AM65" s="14"/>
      <x:c r="AN65" s="14" t="str">
        <x:v>Relationship unresolved</x:v>
      </x:c>
      <x:c r="AO65" s="14" t="str">
        <x:v>Review required</x:v>
      </x:c>
      <x:c r="AP65" s="14" t="str">
        <x:v>Review required</x:v>
      </x:c>
      <x:c r="AQ65" s="14" t="str">
        <x:v>Review required</x:v>
      </x:c>
      <x:c r="AR65" s="14" t="str">
        <x:v>Review required</x:v>
      </x:c>
      <x:c r="AS65" s="14" t="str">
        <x:v>No established-register match</x:v>
      </x:c>
      <x:c r="AT65" s="14"/>
      <x:c r="AU65" s="14"/>
      <x:c r="AV65" s="14" t="str">
        <x:v>No established apparent-disability match</x:v>
      </x:c>
      <x:c r="AW65" s="14"/>
      <x:c r="AX65" s="14" t="str">
        <x:v>No</x:v>
      </x:c>
      <x:c r="AY65" s="14" t="str">
        <x:v>Unmatched</x:v>
      </x:c>
      <x:c r="AZ65" s="14" t="str">
        <x:v>Final supplied register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/>
      <x:c r="BP65" s="14" t="str">
        <x:v>Unable to calculate from supplied records.</x:v>
      </x:c>
      <x:c r="BQ65" s="14" t="str">
        <x:v>Unable to determine</x:v>
      </x:c>
      <x:c r="BR65" s="15" t="n">
        <x:v>3</x:v>
      </x:c>
      <x:c r="BS65" s="16"/>
      <x:c r="BT65" s="14" t="str">
        <x:v>Unable to calculate</x:v>
      </x:c>
      <x:c r="BU65" s="14" t="str">
        <x:v>Unable to determine</x:v>
      </x:c>
      <x:c r="BV65" s="14" t="str">
        <x:v>Episode count or production-total proxy unavailable.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HYPERLINK is not implemented. linkLocation=https://www.imdb.com/title/tt11218290/fullcredits/, friendlyName=Open source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tt11218290|nm9541566|teen rhiannon</x:v>
      </x:c>
      <x:c r="B66" s="14" t="str">
        <x:v>04</x:v>
      </x:c>
      <x:c r="C66" s="14" t="str">
        <x:v>2024_IMDb_Cast_Lists_Batch_04(1).xlsx</x:v>
      </x:c>
      <x:c r="D66" s="14" t="str">
        <x:v>Sweatpea</x:v>
      </x:c>
      <x:c r="E66" s="14" t="n">
        <x:v>29</x:v>
      </x:c>
      <x:c r="F66" s="14" t="str">
        <x:v>Sweatpea</x:v>
      </x:c>
      <x:c r="G66" s="14" t="str">
        <x:v>tt11218290</x:v>
      </x:c>
      <x:c r="H66" s="14"/>
      <x:c r="I66" s="14" t="n">
        <x:v>2025</x:v>
      </x:c>
      <x:c r="J66" s="14" t="str">
        <x:v>Review cohort</x:v>
      </x:c>
      <x:c r="K66" s="14" t="n">
        <x:v>2024</x:v>
      </x:c>
      <x:c r="L66" s="14" t="str">
        <x:v>Not inherited</x:v>
      </x:c>
      <x:c r="M66" s="15" t="n">
        <x:v>22</x:v>
      </x:c>
      <x:c r="N66" s="14" t="str">
        <x:v>Amelie Bea Smith</x:v>
      </x:c>
      <x:c r="O66" s="14" t="str">
        <x:v>nm9541566</x:v>
      </x:c>
      <x:c r="P66" s="14" t="str">
        <x:v>Teen Rhiannon</x:v>
      </x:c>
      <x:c r="Q66" s="15" t="n">
        <x:v>2</x:v>
      </x:c>
      <x:c r="R66" s="14" t="str">
        <x:v>2024</x:v>
      </x:c>
      <x:c r="S66" s="14" t="n">
        <x:v>2024</x:v>
      </x:c>
      <x:c r="T66" s="14" t="n">
        <x:v>2024</x:v>
      </x:c>
      <x:c r="U66" s="14" t="str">
        <x:v>Unresolved</x:v>
      </x:c>
      <x:c r="V66" s="14" t="str">
        <x:v>Production scope or source year is unresolved.</x:v>
      </x:c>
      <x:c r="W66" s="14" t="str">
        <x:v>Review required</x:v>
      </x:c>
      <x:c r="X66" s="14" t="str">
        <x:v>Review required</x:v>
      </x:c>
      <x:c r="Y66" s="14"/>
      <x:c r="Z66" s="14" t="str">
        <x:v>Sweatpea(1).docx</x:v>
      </x:c>
      <x:c r="AA66" s="14" t="str">
        <x:v>HYPERLINK is not implemented. linkLocation=https://www.imdb.com/title/tt11218290/fullcredits/, friendlyName=Open source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/>
      <x:c r="AI66" s="14"/>
      <x:c r="AJ66" s="14" t="str">
        <x:v>No master-list match</x:v>
      </x:c>
      <x:c r="AK66" s="14" t="str">
        <x:v>Unresolved</x:v>
      </x:c>
      <x:c r="AL66" s="14" t="str">
        <x:v>No matching production in master register.</x:v>
      </x:c>
      <x:c r="AM66" s="14"/>
      <x:c r="AN66" s="14" t="str">
        <x:v>Relationship unresolved</x:v>
      </x:c>
      <x:c r="AO66" s="14" t="str">
        <x:v>Review required</x:v>
      </x:c>
      <x:c r="AP66" s="14" t="str">
        <x:v>Review required</x:v>
      </x:c>
      <x:c r="AQ66" s="14" t="str">
        <x:v>Review required</x:v>
      </x:c>
      <x:c r="AR66" s="14" t="str">
        <x:v>Review required</x:v>
      </x:c>
      <x:c r="AS66" s="14" t="str">
        <x:v>No established-register match</x:v>
      </x:c>
      <x:c r="AT66" s="14"/>
      <x:c r="AU66" s="14"/>
      <x:c r="AV66" s="14" t="str">
        <x:v>No established apparent-disability match</x:v>
      </x:c>
      <x:c r="AW66" s="14"/>
      <x:c r="AX66" s="14" t="str">
        <x:v>No</x:v>
      </x:c>
      <x:c r="AY66" s="14" t="str">
        <x:v>Unmatched</x:v>
      </x:c>
      <x:c r="AZ66" s="14" t="str">
        <x:v>Final supplied register</x:v>
      </x:c>
      <x:c r="BA66" s="14" t="str">
        <x:v>Absence from the register is not evidence that the performer is not disabled.</x:v>
      </x:c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/>
      <x:c r="BP66" s="14" t="str">
        <x:v>Unable to calculate from supplied records.</x:v>
      </x:c>
      <x:c r="BQ66" s="14" t="str">
        <x:v>Unable to determine</x:v>
      </x:c>
      <x:c r="BR66" s="15" t="n">
        <x:v>2</x:v>
      </x:c>
      <x:c r="BS66" s="16"/>
      <x:c r="BT66" s="14" t="str">
        <x:v>Unable to calculate</x:v>
      </x:c>
      <x:c r="BU66" s="14" t="str">
        <x:v>Unable to determine</x:v>
      </x:c>
      <x:c r="BV66" s="14" t="str">
        <x:v>Episode count or production-total proxy unavailable.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HYPERLINK is not implemented. linkLocation=https://www.imdb.com/title/tt11218290/fullcredits/, friendlyName=Open source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tt11218290|nm16607002|teen julia</x:v>
      </x:c>
      <x:c r="B67" s="14" t="str">
        <x:v>04</x:v>
      </x:c>
      <x:c r="C67" s="14" t="str">
        <x:v>2024_IMDb_Cast_Lists_Batch_04(1).xlsx</x:v>
      </x:c>
      <x:c r="D67" s="14" t="str">
        <x:v>Sweatpea</x:v>
      </x:c>
      <x:c r="E67" s="14" t="n">
        <x:v>30</x:v>
      </x:c>
      <x:c r="F67" s="14" t="str">
        <x:v>Sweatpea</x:v>
      </x:c>
      <x:c r="G67" s="14" t="str">
        <x:v>tt11218290</x:v>
      </x:c>
      <x:c r="H67" s="14"/>
      <x:c r="I67" s="14" t="n">
        <x:v>2025</x:v>
      </x:c>
      <x:c r="J67" s="14" t="str">
        <x:v>Review cohort</x:v>
      </x:c>
      <x:c r="K67" s="14" t="n">
        <x:v>2024</x:v>
      </x:c>
      <x:c r="L67" s="14" t="str">
        <x:v>Not inherited</x:v>
      </x:c>
      <x:c r="M67" s="15" t="n">
        <x:v>23</x:v>
      </x:c>
      <x:c r="N67" s="14" t="str">
        <x:v>Lily Morales-Lee</x:v>
      </x:c>
      <x:c r="O67" s="14" t="str">
        <x:v>nm16607002</x:v>
      </x:c>
      <x:c r="P67" s="14" t="str">
        <x:v>Teen Julia</x:v>
      </x:c>
      <x:c r="Q67" s="15" t="n">
        <x:v>2</x:v>
      </x:c>
      <x:c r="R67" s="14" t="str">
        <x:v>2024</x:v>
      </x:c>
      <x:c r="S67" s="14" t="n">
        <x:v>2024</x:v>
      </x:c>
      <x:c r="T67" s="14" t="n">
        <x:v>2024</x:v>
      </x:c>
      <x:c r="U67" s="14" t="str">
        <x:v>Unresolved</x:v>
      </x:c>
      <x:c r="V67" s="14" t="str">
        <x:v>Production scope or source year is unresolved.</x:v>
      </x:c>
      <x:c r="W67" s="14" t="str">
        <x:v>Review required</x:v>
      </x:c>
      <x:c r="X67" s="14" t="str">
        <x:v>Review required</x:v>
      </x:c>
      <x:c r="Y67" s="14"/>
      <x:c r="Z67" s="14" t="str">
        <x:v>Sweatpea(1).docx</x:v>
      </x:c>
      <x:c r="AA67" s="14" t="str">
        <x:v>HYPERLINK is not implemented. linkLocation=https://www.imdb.com/title/tt11218290/fullcredits/, friendlyName=Open source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/>
      <x:c r="AI67" s="14"/>
      <x:c r="AJ67" s="14" t="str">
        <x:v>No master-list match</x:v>
      </x:c>
      <x:c r="AK67" s="14" t="str">
        <x:v>Unresolved</x:v>
      </x:c>
      <x:c r="AL67" s="14" t="str">
        <x:v>No matching production in master register.</x:v>
      </x:c>
      <x:c r="AM67" s="14"/>
      <x:c r="AN67" s="14" t="str">
        <x:v>Relationship unresolved</x:v>
      </x:c>
      <x:c r="AO67" s="14" t="str">
        <x:v>Review required</x:v>
      </x:c>
      <x:c r="AP67" s="14" t="str">
        <x:v>Review required</x:v>
      </x:c>
      <x:c r="AQ67" s="14" t="str">
        <x:v>Review required</x:v>
      </x:c>
      <x:c r="AR67" s="14" t="str">
        <x:v>Review required</x:v>
      </x:c>
      <x:c r="AS67" s="14" t="str">
        <x:v>No established-register match</x:v>
      </x:c>
      <x:c r="AT67" s="14"/>
      <x:c r="AU67" s="14"/>
      <x:c r="AV67" s="14" t="str">
        <x:v>No established apparent-disability match</x:v>
      </x:c>
      <x:c r="AW67" s="14"/>
      <x:c r="AX67" s="14" t="str">
        <x:v>No</x:v>
      </x:c>
      <x:c r="AY67" s="14" t="str">
        <x:v>Unmatched</x:v>
      </x:c>
      <x:c r="AZ67" s="14" t="str">
        <x:v>Final supplied register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/>
      <x:c r="BP67" s="14" t="str">
        <x:v>Unable to calculate from supplied records.</x:v>
      </x:c>
      <x:c r="BQ67" s="14" t="str">
        <x:v>Unable to determine</x:v>
      </x:c>
      <x:c r="BR67" s="15" t="n">
        <x:v>2</x:v>
      </x:c>
      <x:c r="BS67" s="16"/>
      <x:c r="BT67" s="14" t="str">
        <x:v>Unable to calculate</x:v>
      </x:c>
      <x:c r="BU67" s="14" t="str">
        <x:v>Unable to determine</x:v>
      </x:c>
      <x:c r="BV67" s="14" t="str">
        <x:v>Episode count or production-total proxy unavailable.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HYPERLINK is not implemented. linkLocation=https://www.imdb.com/title/tt11218290/fullcredits/, friendlyName=Open source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tt11218290|nm16607003|teen seren</x:v>
      </x:c>
      <x:c r="B68" s="14" t="str">
        <x:v>04</x:v>
      </x:c>
      <x:c r="C68" s="14" t="str">
        <x:v>2024_IMDb_Cast_Lists_Batch_04(1).xlsx</x:v>
      </x:c>
      <x:c r="D68" s="14" t="str">
        <x:v>Sweatpea</x:v>
      </x:c>
      <x:c r="E68" s="14" t="n">
        <x:v>31</x:v>
      </x:c>
      <x:c r="F68" s="14" t="str">
        <x:v>Sweatpea</x:v>
      </x:c>
      <x:c r="G68" s="14" t="str">
        <x:v>tt11218290</x:v>
      </x:c>
      <x:c r="H68" s="14"/>
      <x:c r="I68" s="14" t="n">
        <x:v>2025</x:v>
      </x:c>
      <x:c r="J68" s="14" t="str">
        <x:v>Review cohort</x:v>
      </x:c>
      <x:c r="K68" s="14" t="n">
        <x:v>2024</x:v>
      </x:c>
      <x:c r="L68" s="14" t="str">
        <x:v>Not inherited</x:v>
      </x:c>
      <x:c r="M68" s="15" t="n">
        <x:v>24</x:v>
      </x:c>
      <x:c r="N68" s="14" t="str">
        <x:v>Coco Sully</x:v>
      </x:c>
      <x:c r="O68" s="14" t="str">
        <x:v>nm16607003</x:v>
      </x:c>
      <x:c r="P68" s="14" t="str">
        <x:v>Teen Seren</x:v>
      </x:c>
      <x:c r="Q68" s="15" t="n">
        <x:v>2</x:v>
      </x:c>
      <x:c r="R68" s="14" t="str">
        <x:v>2024</x:v>
      </x:c>
      <x:c r="S68" s="14" t="n">
        <x:v>2024</x:v>
      </x:c>
      <x:c r="T68" s="14" t="n">
        <x:v>2024</x:v>
      </x:c>
      <x:c r="U68" s="14" t="str">
        <x:v>Unresolved</x:v>
      </x:c>
      <x:c r="V68" s="14" t="str">
        <x:v>Production scope or source year is unresolved.</x:v>
      </x:c>
      <x:c r="W68" s="14" t="str">
        <x:v>Review required</x:v>
      </x:c>
      <x:c r="X68" s="14" t="str">
        <x:v>Review required</x:v>
      </x:c>
      <x:c r="Y68" s="14"/>
      <x:c r="Z68" s="14" t="str">
        <x:v>Sweatpea(1).docx</x:v>
      </x:c>
      <x:c r="AA68" s="14" t="str">
        <x:v>HYPERLINK is not implemented. linkLocation=https://www.imdb.com/title/tt11218290/fullcredits/, friendlyName=Open source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/>
      <x:c r="AI68" s="14"/>
      <x:c r="AJ68" s="14" t="str">
        <x:v>No master-list match</x:v>
      </x:c>
      <x:c r="AK68" s="14" t="str">
        <x:v>Unresolved</x:v>
      </x:c>
      <x:c r="AL68" s="14" t="str">
        <x:v>No matching production in master register.</x:v>
      </x:c>
      <x:c r="AM68" s="14"/>
      <x:c r="AN68" s="14" t="str">
        <x:v>Relationship unresolved</x:v>
      </x:c>
      <x:c r="AO68" s="14" t="str">
        <x:v>Review required</x:v>
      </x:c>
      <x:c r="AP68" s="14" t="str">
        <x:v>Review required</x:v>
      </x:c>
      <x:c r="AQ68" s="14" t="str">
        <x:v>Review required</x:v>
      </x:c>
      <x:c r="AR68" s="14" t="str">
        <x:v>Review required</x:v>
      </x:c>
      <x:c r="AS68" s="14" t="str">
        <x:v>No established-register match</x:v>
      </x:c>
      <x:c r="AT68" s="14"/>
      <x:c r="AU68" s="14"/>
      <x:c r="AV68" s="14" t="str">
        <x:v>No established apparent-disability match</x:v>
      </x:c>
      <x:c r="AW68" s="14"/>
      <x:c r="AX68" s="14" t="str">
        <x:v>No</x:v>
      </x:c>
      <x:c r="AY68" s="14" t="str">
        <x:v>Unmatched</x:v>
      </x:c>
      <x:c r="AZ68" s="14" t="str">
        <x:v>Final supplied register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/>
      <x:c r="BP68" s="14" t="str">
        <x:v>Unable to calculate from supplied records.</x:v>
      </x:c>
      <x:c r="BQ68" s="14" t="str">
        <x:v>Unable to determine</x:v>
      </x:c>
      <x:c r="BR68" s="15" t="n">
        <x:v>2</x:v>
      </x:c>
      <x:c r="BS68" s="16"/>
      <x:c r="BT68" s="14" t="str">
        <x:v>Unable to calculate</x:v>
      </x:c>
      <x:c r="BU68" s="14" t="str">
        <x:v>Unable to determine</x:v>
      </x:c>
      <x:c r="BV68" s="14" t="str">
        <x:v>Episode count or production-total proxy unavailable.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HYPERLINK is not implemented. linkLocation=https://www.imdb.com/title/tt11218290/fullcredits/, friendlyName=Open source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tt11218290|nm8527905|stella</x:v>
      </x:c>
      <x:c r="B69" s="14" t="str">
        <x:v>04</x:v>
      </x:c>
      <x:c r="C69" s="14" t="str">
        <x:v>2024_IMDb_Cast_Lists_Batch_04(1).xlsx</x:v>
      </x:c>
      <x:c r="D69" s="14" t="str">
        <x:v>Sweatpea</x:v>
      </x:c>
      <x:c r="E69" s="14" t="n">
        <x:v>32</x:v>
      </x:c>
      <x:c r="F69" s="14" t="str">
        <x:v>Sweatpea</x:v>
      </x:c>
      <x:c r="G69" s="14" t="str">
        <x:v>tt11218290</x:v>
      </x:c>
      <x:c r="H69" s="14"/>
      <x:c r="I69" s="14" t="n">
        <x:v>2025</x:v>
      </x:c>
      <x:c r="J69" s="14" t="str">
        <x:v>Review cohort</x:v>
      </x:c>
      <x:c r="K69" s="14" t="n">
        <x:v>2024</x:v>
      </x:c>
      <x:c r="L69" s="14" t="str">
        <x:v>Not inherited</x:v>
      </x:c>
      <x:c r="M69" s="15" t="n">
        <x:v>25</x:v>
      </x:c>
      <x:c r="N69" s="14" t="str">
        <x:v>Judi Love</x:v>
      </x:c>
      <x:c r="O69" s="14" t="str">
        <x:v>nm8527905</x:v>
      </x:c>
      <x:c r="P69" s="14" t="str">
        <x:v>Stella</x:v>
      </x:c>
      <x:c r="Q69" s="15" t="n">
        <x:v>2</x:v>
      </x:c>
      <x:c r="R69" s="14" t="str">
        <x:v>2024</x:v>
      </x:c>
      <x:c r="S69" s="14" t="n">
        <x:v>2024</x:v>
      </x:c>
      <x:c r="T69" s="14" t="n">
        <x:v>2024</x:v>
      </x:c>
      <x:c r="U69" s="14" t="str">
        <x:v>Unresolved</x:v>
      </x:c>
      <x:c r="V69" s="14" t="str">
        <x:v>Production scope or source year is unresolved.</x:v>
      </x:c>
      <x:c r="W69" s="14" t="str">
        <x:v>Review required</x:v>
      </x:c>
      <x:c r="X69" s="14" t="str">
        <x:v>Review required</x:v>
      </x:c>
      <x:c r="Y69" s="14"/>
      <x:c r="Z69" s="14" t="str">
        <x:v>Sweatpea(1).docx</x:v>
      </x:c>
      <x:c r="AA69" s="14" t="str">
        <x:v>HYPERLINK is not implemented. linkLocation=https://www.imdb.com/title/tt11218290/fullcredits/, friendlyName=Open source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/>
      <x:c r="AI69" s="14"/>
      <x:c r="AJ69" s="14" t="str">
        <x:v>No master-list match</x:v>
      </x:c>
      <x:c r="AK69" s="14" t="str">
        <x:v>Unresolved</x:v>
      </x:c>
      <x:c r="AL69" s="14" t="str">
        <x:v>No matching production in master register.</x:v>
      </x:c>
      <x:c r="AM69" s="14"/>
      <x:c r="AN69" s="14" t="str">
        <x:v>Relationship unresolved</x:v>
      </x:c>
      <x:c r="AO69" s="14" t="str">
        <x:v>Review required</x:v>
      </x:c>
      <x:c r="AP69" s="14" t="str">
        <x:v>Review required</x:v>
      </x:c>
      <x:c r="AQ69" s="14" t="str">
        <x:v>Review required</x:v>
      </x:c>
      <x:c r="AR69" s="14" t="str">
        <x:v>Review required</x:v>
      </x:c>
      <x:c r="AS69" s="14" t="str">
        <x:v>No established-register match</x:v>
      </x:c>
      <x:c r="AT69" s="14"/>
      <x:c r="AU69" s="14"/>
      <x:c r="AV69" s="14" t="str">
        <x:v>No established apparent-disability match</x:v>
      </x:c>
      <x:c r="AW69" s="14"/>
      <x:c r="AX69" s="14" t="str">
        <x:v>No</x:v>
      </x:c>
      <x:c r="AY69" s="14" t="str">
        <x:v>Unmatched</x:v>
      </x:c>
      <x:c r="AZ69" s="14" t="str">
        <x:v>Final supplied register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/>
      <x:c r="BP69" s="14" t="str">
        <x:v>Unable to calculate from supplied records.</x:v>
      </x:c>
      <x:c r="BQ69" s="14" t="str">
        <x:v>Unable to determine</x:v>
      </x:c>
      <x:c r="BR69" s="15" t="n">
        <x:v>2</x:v>
      </x:c>
      <x:c r="BS69" s="16"/>
      <x:c r="BT69" s="14" t="str">
        <x:v>Unable to calculate</x:v>
      </x:c>
      <x:c r="BU69" s="14" t="str">
        <x:v>Unable to determine</x:v>
      </x:c>
      <x:c r="BV69" s="14" t="str">
        <x:v>Episode count or production-total proxy unavailable.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HYPERLINK is not implemented. linkLocation=https://www.imdb.com/title/tt11218290/fullcredits/, friendlyName=Open source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tt11218290|nm0525852|debs</x:v>
      </x:c>
      <x:c r="B70" s="14" t="str">
        <x:v>04</x:v>
      </x:c>
      <x:c r="C70" s="14" t="str">
        <x:v>2024_IMDb_Cast_Lists_Batch_04(1).xlsx</x:v>
      </x:c>
      <x:c r="D70" s="14" t="str">
        <x:v>Sweatpea</x:v>
      </x:c>
      <x:c r="E70" s="14" t="n">
        <x:v>33</x:v>
      </x:c>
      <x:c r="F70" s="14" t="str">
        <x:v>Sweatpea</x:v>
      </x:c>
      <x:c r="G70" s="14" t="str">
        <x:v>tt11218290</x:v>
      </x:c>
      <x:c r="H70" s="14"/>
      <x:c r="I70" s="14" t="n">
        <x:v>2025</x:v>
      </x:c>
      <x:c r="J70" s="14" t="str">
        <x:v>Review cohort</x:v>
      </x:c>
      <x:c r="K70" s="14" t="n">
        <x:v>2024</x:v>
      </x:c>
      <x:c r="L70" s="14" t="str">
        <x:v>Not inherited</x:v>
      </x:c>
      <x:c r="M70" s="15" t="n">
        <x:v>26</x:v>
      </x:c>
      <x:c r="N70" s="14" t="str">
        <x:v>Rachel Lumberg</x:v>
      </x:c>
      <x:c r="O70" s="14" t="str">
        <x:v>nm0525852</x:v>
      </x:c>
      <x:c r="P70" s="14" t="str">
        <x:v>Debs</x:v>
      </x:c>
      <x:c r="Q70" s="15" t="n">
        <x:v>2</x:v>
      </x:c>
      <x:c r="R70" s="14" t="str">
        <x:v>2024</x:v>
      </x:c>
      <x:c r="S70" s="14" t="n">
        <x:v>2024</x:v>
      </x:c>
      <x:c r="T70" s="14" t="n">
        <x:v>2024</x:v>
      </x:c>
      <x:c r="U70" s="14" t="str">
        <x:v>Unresolved</x:v>
      </x:c>
      <x:c r="V70" s="14" t="str">
        <x:v>Production scope or source year is unresolved.</x:v>
      </x:c>
      <x:c r="W70" s="14" t="str">
        <x:v>Review required</x:v>
      </x:c>
      <x:c r="X70" s="14" t="str">
        <x:v>Review required</x:v>
      </x:c>
      <x:c r="Y70" s="14"/>
      <x:c r="Z70" s="14" t="str">
        <x:v>Sweatpea(1).docx</x:v>
      </x:c>
      <x:c r="AA70" s="14" t="str">
        <x:v>HYPERLINK is not implemented. linkLocation=https://www.imdb.com/title/tt11218290/fullcredits/, friendlyName=Open source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/>
      <x:c r="AI70" s="14"/>
      <x:c r="AJ70" s="14" t="str">
        <x:v>No master-list match</x:v>
      </x:c>
      <x:c r="AK70" s="14" t="str">
        <x:v>Unresolved</x:v>
      </x:c>
      <x:c r="AL70" s="14" t="str">
        <x:v>No matching production in master register.</x:v>
      </x:c>
      <x:c r="AM70" s="14"/>
      <x:c r="AN70" s="14" t="str">
        <x:v>Relationship unresolved</x:v>
      </x:c>
      <x:c r="AO70" s="14" t="str">
        <x:v>Review required</x:v>
      </x:c>
      <x:c r="AP70" s="14" t="str">
        <x:v>Review required</x:v>
      </x:c>
      <x:c r="AQ70" s="14" t="str">
        <x:v>Review required</x:v>
      </x:c>
      <x:c r="AR70" s="14" t="str">
        <x:v>Review required</x:v>
      </x:c>
      <x:c r="AS70" s="14" t="str">
        <x:v>No established-register match</x:v>
      </x:c>
      <x:c r="AT70" s="14"/>
      <x:c r="AU70" s="14"/>
      <x:c r="AV70" s="14" t="str">
        <x:v>No established apparent-disability match</x:v>
      </x:c>
      <x:c r="AW70" s="14"/>
      <x:c r="AX70" s="14" t="str">
        <x:v>No</x:v>
      </x:c>
      <x:c r="AY70" s="14" t="str">
        <x:v>Unmatched</x:v>
      </x:c>
      <x:c r="AZ70" s="14" t="str">
        <x:v>Final supplied register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/>
      <x:c r="BP70" s="14" t="str">
        <x:v>Unable to calculate from supplied records.</x:v>
      </x:c>
      <x:c r="BQ70" s="14" t="str">
        <x:v>Unable to determine</x:v>
      </x:c>
      <x:c r="BR70" s="15" t="n">
        <x:v>2</x:v>
      </x:c>
      <x:c r="BS70" s="16"/>
      <x:c r="BT70" s="14" t="str">
        <x:v>Unable to calculate</x:v>
      </x:c>
      <x:c r="BU70" s="14" t="str">
        <x:v>Unable to determine</x:v>
      </x:c>
      <x:c r="BV70" s="14" t="str">
        <x:v>Episode count or production-total proxy unavailable.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HYPERLINK is not implemented. linkLocation=https://www.imdb.com/title/tt11218290/fullcredits/, friendlyName=Open source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tt11218290|nm4177021|mike</x:v>
      </x:c>
      <x:c r="B71" s="14" t="str">
        <x:v>04</x:v>
      </x:c>
      <x:c r="C71" s="14" t="str">
        <x:v>2024_IMDb_Cast_Lists_Batch_04(1).xlsx</x:v>
      </x:c>
      <x:c r="D71" s="14" t="str">
        <x:v>Sweatpea</x:v>
      </x:c>
      <x:c r="E71" s="14" t="n">
        <x:v>34</x:v>
      </x:c>
      <x:c r="F71" s="14" t="str">
        <x:v>Sweatpea</x:v>
      </x:c>
      <x:c r="G71" s="14" t="str">
        <x:v>tt11218290</x:v>
      </x:c>
      <x:c r="H71" s="14"/>
      <x:c r="I71" s="14" t="n">
        <x:v>2025</x:v>
      </x:c>
      <x:c r="J71" s="14" t="str">
        <x:v>Review cohort</x:v>
      </x:c>
      <x:c r="K71" s="14" t="n">
        <x:v>2024</x:v>
      </x:c>
      <x:c r="L71" s="14" t="str">
        <x:v>Not inherited</x:v>
      </x:c>
      <x:c r="M71" s="15" t="n">
        <x:v>27</x:v>
      </x:c>
      <x:c r="N71" s="14" t="str">
        <x:v>Luke McGibney</x:v>
      </x:c>
      <x:c r="O71" s="14" t="str">
        <x:v>nm4177021</x:v>
      </x:c>
      <x:c r="P71" s="14" t="str">
        <x:v>Mike</x:v>
      </x:c>
      <x:c r="Q71" s="15" t="n">
        <x:v>2</x:v>
      </x:c>
      <x:c r="R71" s="14" t="str">
        <x:v>2024</x:v>
      </x:c>
      <x:c r="S71" s="14" t="n">
        <x:v>2024</x:v>
      </x:c>
      <x:c r="T71" s="14" t="n">
        <x:v>2024</x:v>
      </x:c>
      <x:c r="U71" s="14" t="str">
        <x:v>Unresolved</x:v>
      </x:c>
      <x:c r="V71" s="14" t="str">
        <x:v>Production scope or source year is unresolved.</x:v>
      </x:c>
      <x:c r="W71" s="14" t="str">
        <x:v>Review required</x:v>
      </x:c>
      <x:c r="X71" s="14" t="str">
        <x:v>Review required</x:v>
      </x:c>
      <x:c r="Y71" s="14"/>
      <x:c r="Z71" s="14" t="str">
        <x:v>Sweatpea(1).docx</x:v>
      </x:c>
      <x:c r="AA71" s="14" t="str">
        <x:v>HYPERLINK is not implemented. linkLocation=https://www.imdb.com/title/tt11218290/fullcredits/, friendlyName=Open source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/>
      <x:c r="AI71" s="14"/>
      <x:c r="AJ71" s="14" t="str">
        <x:v>No master-list match</x:v>
      </x:c>
      <x:c r="AK71" s="14" t="str">
        <x:v>Unresolved</x:v>
      </x:c>
      <x:c r="AL71" s="14" t="str">
        <x:v>No matching production in master register.</x:v>
      </x:c>
      <x:c r="AM71" s="14"/>
      <x:c r="AN71" s="14" t="str">
        <x:v>Relationship unresolved</x:v>
      </x:c>
      <x:c r="AO71" s="14" t="str">
        <x:v>Review required</x:v>
      </x:c>
      <x:c r="AP71" s="14" t="str">
        <x:v>Review required</x:v>
      </x:c>
      <x:c r="AQ71" s="14" t="str">
        <x:v>Review required</x:v>
      </x:c>
      <x:c r="AR71" s="14" t="str">
        <x:v>Review required</x:v>
      </x:c>
      <x:c r="AS71" s="14" t="str">
        <x:v>No established-register match</x:v>
      </x:c>
      <x:c r="AT71" s="14"/>
      <x:c r="AU71" s="14"/>
      <x:c r="AV71" s="14" t="str">
        <x:v>No established apparent-disability match</x:v>
      </x:c>
      <x:c r="AW71" s="14"/>
      <x:c r="AX71" s="14" t="str">
        <x:v>No</x:v>
      </x:c>
      <x:c r="AY71" s="14" t="str">
        <x:v>Unmatched</x:v>
      </x:c>
      <x:c r="AZ71" s="14" t="str">
        <x:v>Final supplied register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/>
      <x:c r="BP71" s="14" t="str">
        <x:v>Unable to calculate from supplied records.</x:v>
      </x:c>
      <x:c r="BQ71" s="14" t="str">
        <x:v>Unable to determine</x:v>
      </x:c>
      <x:c r="BR71" s="15" t="n">
        <x:v>2</x:v>
      </x:c>
      <x:c r="BS71" s="16"/>
      <x:c r="BT71" s="14" t="str">
        <x:v>Unable to calculate</x:v>
      </x:c>
      <x:c r="BU71" s="14" t="str">
        <x:v>Unable to determine</x:v>
      </x:c>
      <x:c r="BV71" s="14" t="str">
        <x:v>Episode count or production-total proxy unavailable.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HYPERLINK is not implemented. linkLocation=https://www.imdb.com/title/tt11218290/fullcredits/, friendlyName=Open source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tt11218290|nm9404110|bar woman</x:v>
      </x:c>
      <x:c r="B72" s="14" t="str">
        <x:v>04</x:v>
      </x:c>
      <x:c r="C72" s="14" t="str">
        <x:v>2024_IMDb_Cast_Lists_Batch_04(1).xlsx</x:v>
      </x:c>
      <x:c r="D72" s="14" t="str">
        <x:v>Sweatpea</x:v>
      </x:c>
      <x:c r="E72" s="14" t="n">
        <x:v>35</x:v>
      </x:c>
      <x:c r="F72" s="14" t="str">
        <x:v>Sweatpea</x:v>
      </x:c>
      <x:c r="G72" s="14" t="str">
        <x:v>tt11218290</x:v>
      </x:c>
      <x:c r="H72" s="14"/>
      <x:c r="I72" s="14" t="n">
        <x:v>2025</x:v>
      </x:c>
      <x:c r="J72" s="14" t="str">
        <x:v>Review cohort</x:v>
      </x:c>
      <x:c r="K72" s="14" t="n">
        <x:v>2024</x:v>
      </x:c>
      <x:c r="L72" s="14" t="str">
        <x:v>Not inherited</x:v>
      </x:c>
      <x:c r="M72" s="15" t="n">
        <x:v>28</x:v>
      </x:c>
      <x:c r="N72" s="14" t="str">
        <x:v>Marissa Hussain</x:v>
      </x:c>
      <x:c r="O72" s="14" t="str">
        <x:v>nm9404110</x:v>
      </x:c>
      <x:c r="P72" s="14" t="str">
        <x:v>Bar Woman</x:v>
      </x:c>
      <x:c r="Q72" s="15" t="n">
        <x:v>2</x:v>
      </x:c>
      <x:c r="R72" s="14" t="str">
        <x:v>2024</x:v>
      </x:c>
      <x:c r="S72" s="14" t="n">
        <x:v>2024</x:v>
      </x:c>
      <x:c r="T72" s="14" t="n">
        <x:v>2024</x:v>
      </x:c>
      <x:c r="U72" s="14" t="str">
        <x:v>Unresolved</x:v>
      </x:c>
      <x:c r="V72" s="14" t="str">
        <x:v>Production scope or source year is unresolved.</x:v>
      </x:c>
      <x:c r="W72" s="14" t="str">
        <x:v>Review required</x:v>
      </x:c>
      <x:c r="X72" s="14" t="str">
        <x:v>Review required</x:v>
      </x:c>
      <x:c r="Y72" s="14"/>
      <x:c r="Z72" s="14" t="str">
        <x:v>Sweatpea(1).docx</x:v>
      </x:c>
      <x:c r="AA72" s="14" t="str">
        <x:v>HYPERLINK is not implemented. linkLocation=https://www.imdb.com/title/tt11218290/fullcredits/, friendlyName=Open source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/>
      <x:c r="AI72" s="14"/>
      <x:c r="AJ72" s="14" t="str">
        <x:v>No master-list match</x:v>
      </x:c>
      <x:c r="AK72" s="14" t="str">
        <x:v>Unresolved</x:v>
      </x:c>
      <x:c r="AL72" s="14" t="str">
        <x:v>No matching production in master register.</x:v>
      </x:c>
      <x:c r="AM72" s="14"/>
      <x:c r="AN72" s="14" t="str">
        <x:v>Relationship unresolved</x:v>
      </x:c>
      <x:c r="AO72" s="14" t="str">
        <x:v>Review required</x:v>
      </x:c>
      <x:c r="AP72" s="14" t="str">
        <x:v>Review required</x:v>
      </x:c>
      <x:c r="AQ72" s="14" t="str">
        <x:v>Review required</x:v>
      </x:c>
      <x:c r="AR72" s="14" t="str">
        <x:v>Review required</x:v>
      </x:c>
      <x:c r="AS72" s="14" t="str">
        <x:v>No established-register match</x:v>
      </x:c>
      <x:c r="AT72" s="14"/>
      <x:c r="AU72" s="14"/>
      <x:c r="AV72" s="14" t="str">
        <x:v>No established apparent-disability match</x:v>
      </x:c>
      <x:c r="AW72" s="14"/>
      <x:c r="AX72" s="14" t="str">
        <x:v>No</x:v>
      </x:c>
      <x:c r="AY72" s="14" t="str">
        <x:v>Unmatched</x:v>
      </x:c>
      <x:c r="AZ72" s="14" t="str">
        <x:v>Final supplied register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/>
      <x:c r="BP72" s="14" t="str">
        <x:v>Unable to calculate from supplied records.</x:v>
      </x:c>
      <x:c r="BQ72" s="14" t="str">
        <x:v>Unable to determine</x:v>
      </x:c>
      <x:c r="BR72" s="15" t="n">
        <x:v>2</x:v>
      </x:c>
      <x:c r="BS72" s="16"/>
      <x:c r="BT72" s="14" t="str">
        <x:v>Unable to calculate</x:v>
      </x:c>
      <x:c r="BU72" s="14" t="str">
        <x:v>Unable to determine</x:v>
      </x:c>
      <x:c r="BV72" s="14" t="str">
        <x:v>Episode count or production-total proxy unavailable.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HYPERLINK is not implemented. linkLocation=https://www.imdb.com/title/tt11218290/fullcredits/, friendlyName=Open source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tt11218290|nm6403697|ryan</x:v>
      </x:c>
      <x:c r="B73" s="14" t="str">
        <x:v>04</x:v>
      </x:c>
      <x:c r="C73" s="14" t="str">
        <x:v>2024_IMDb_Cast_Lists_Batch_04(1).xlsx</x:v>
      </x:c>
      <x:c r="D73" s="14" t="str">
        <x:v>Sweatpea</x:v>
      </x:c>
      <x:c r="E73" s="14" t="n">
        <x:v>36</x:v>
      </x:c>
      <x:c r="F73" s="14" t="str">
        <x:v>Sweatpea</x:v>
      </x:c>
      <x:c r="G73" s="14" t="str">
        <x:v>tt11218290</x:v>
      </x:c>
      <x:c r="H73" s="14"/>
      <x:c r="I73" s="14" t="n">
        <x:v>2025</x:v>
      </x:c>
      <x:c r="J73" s="14" t="str">
        <x:v>Review cohort</x:v>
      </x:c>
      <x:c r="K73" s="14" t="n">
        <x:v>2024</x:v>
      </x:c>
      <x:c r="L73" s="14" t="str">
        <x:v>Not inherited</x:v>
      </x:c>
      <x:c r="M73" s="15" t="n">
        <x:v>29</x:v>
      </x:c>
      <x:c r="N73" s="14" t="str">
        <x:v>James Craze</x:v>
      </x:c>
      <x:c r="O73" s="14" t="str">
        <x:v>nm6403697</x:v>
      </x:c>
      <x:c r="P73" s="14" t="str">
        <x:v>Ryan</x:v>
      </x:c>
      <x:c r="Q73" s="15" t="n">
        <x:v>2</x:v>
      </x:c>
      <x:c r="R73" s="14" t="str">
        <x:v>2024</x:v>
      </x:c>
      <x:c r="S73" s="14" t="n">
        <x:v>2024</x:v>
      </x:c>
      <x:c r="T73" s="14" t="n">
        <x:v>2024</x:v>
      </x:c>
      <x:c r="U73" s="14" t="str">
        <x:v>Unresolved</x:v>
      </x:c>
      <x:c r="V73" s="14" t="str">
        <x:v>Production scope or source year is unresolved.</x:v>
      </x:c>
      <x:c r="W73" s="14" t="str">
        <x:v>Review required</x:v>
      </x:c>
      <x:c r="X73" s="14" t="str">
        <x:v>Review required</x:v>
      </x:c>
      <x:c r="Y73" s="14"/>
      <x:c r="Z73" s="14" t="str">
        <x:v>Sweatpea(1).docx</x:v>
      </x:c>
      <x:c r="AA73" s="14" t="str">
        <x:v>HYPERLINK is not implemented. linkLocation=https://www.imdb.com/title/tt11218290/fullcredits/, friendlyName=Open source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/>
      <x:c r="AI73" s="14"/>
      <x:c r="AJ73" s="14" t="str">
        <x:v>No master-list match</x:v>
      </x:c>
      <x:c r="AK73" s="14" t="str">
        <x:v>Unresolved</x:v>
      </x:c>
      <x:c r="AL73" s="14" t="str">
        <x:v>No matching production in master register.</x:v>
      </x:c>
      <x:c r="AM73" s="14"/>
      <x:c r="AN73" s="14" t="str">
        <x:v>Relationship unresolved</x:v>
      </x:c>
      <x:c r="AO73" s="14" t="str">
        <x:v>Review required</x:v>
      </x:c>
      <x:c r="AP73" s="14" t="str">
        <x:v>Review required</x:v>
      </x:c>
      <x:c r="AQ73" s="14" t="str">
        <x:v>Review required</x:v>
      </x:c>
      <x:c r="AR73" s="14" t="str">
        <x:v>Review required</x:v>
      </x:c>
      <x:c r="AS73" s="14" t="str">
        <x:v>No established-register match</x:v>
      </x:c>
      <x:c r="AT73" s="14"/>
      <x:c r="AU73" s="14"/>
      <x:c r="AV73" s="14" t="str">
        <x:v>No established apparent-disability match</x:v>
      </x:c>
      <x:c r="AW73" s="14"/>
      <x:c r="AX73" s="14" t="str">
        <x:v>No</x:v>
      </x:c>
      <x:c r="AY73" s="14" t="str">
        <x:v>Unmatched</x:v>
      </x:c>
      <x:c r="AZ73" s="14" t="str">
        <x:v>Final supplied register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/>
      <x:c r="BP73" s="14" t="str">
        <x:v>Unable to calculate from supplied records.</x:v>
      </x:c>
      <x:c r="BQ73" s="14" t="str">
        <x:v>Unable to determine</x:v>
      </x:c>
      <x:c r="BR73" s="15" t="n">
        <x:v>2</x:v>
      </x:c>
      <x:c r="BS73" s="16"/>
      <x:c r="BT73" s="14" t="str">
        <x:v>Unable to calculate</x:v>
      </x:c>
      <x:c r="BU73" s="14" t="str">
        <x:v>Unable to determine</x:v>
      </x:c>
      <x:c r="BV73" s="14" t="str">
        <x:v>Episode count or production-total proxy unavailable.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HYPERLINK is not implemented. linkLocation=https://www.imdb.com/title/tt11218290/fullcredits/, friendlyName=Open source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tt11218290|nm8844973|manspreader</x:v>
      </x:c>
      <x:c r="B74" s="14" t="str">
        <x:v>04</x:v>
      </x:c>
      <x:c r="C74" s="14" t="str">
        <x:v>2024_IMDb_Cast_Lists_Batch_04(1).xlsx</x:v>
      </x:c>
      <x:c r="D74" s="14" t="str">
        <x:v>Sweatpea</x:v>
      </x:c>
      <x:c r="E74" s="14" t="n">
        <x:v>37</x:v>
      </x:c>
      <x:c r="F74" s="14" t="str">
        <x:v>Sweatpea</x:v>
      </x:c>
      <x:c r="G74" s="14" t="str">
        <x:v>tt11218290</x:v>
      </x:c>
      <x:c r="H74" s="14"/>
      <x:c r="I74" s="14" t="n">
        <x:v>2025</x:v>
      </x:c>
      <x:c r="J74" s="14" t="str">
        <x:v>Review cohort</x:v>
      </x:c>
      <x:c r="K74" s="14" t="n">
        <x:v>2024</x:v>
      </x:c>
      <x:c r="L74" s="14" t="str">
        <x:v>Not inherited</x:v>
      </x:c>
      <x:c r="M74" s="15" t="n">
        <x:v>30</x:v>
      </x:c>
      <x:c r="N74" s="14" t="str">
        <x:v>Matthew Hawksley</x:v>
      </x:c>
      <x:c r="O74" s="14" t="str">
        <x:v>nm8844973</x:v>
      </x:c>
      <x:c r="P74" s="14" t="str">
        <x:v>Manspreader</x:v>
      </x:c>
      <x:c r="Q74" s="15" t="n">
        <x:v>1</x:v>
      </x:c>
      <x:c r="R74" s="14" t="str">
        <x:v>2024</x:v>
      </x:c>
      <x:c r="S74" s="14" t="n">
        <x:v>2024</x:v>
      </x:c>
      <x:c r="T74" s="14" t="n">
        <x:v>2024</x:v>
      </x:c>
      <x:c r="U74" s="14" t="str">
        <x:v>Unresolved</x:v>
      </x:c>
      <x:c r="V74" s="14" t="str">
        <x:v>Production scope or source year is unresolved.</x:v>
      </x:c>
      <x:c r="W74" s="14" t="str">
        <x:v>Review required</x:v>
      </x:c>
      <x:c r="X74" s="14" t="str">
        <x:v>Review required</x:v>
      </x:c>
      <x:c r="Y74" s="14"/>
      <x:c r="Z74" s="14" t="str">
        <x:v>Sweatpea(1).docx</x:v>
      </x:c>
      <x:c r="AA74" s="14" t="str">
        <x:v>HYPERLINK is not implemented. linkLocation=https://www.imdb.com/title/tt11218290/fullcredits/, friendlyName=Open source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/>
      <x:c r="AI74" s="14"/>
      <x:c r="AJ74" s="14" t="str">
        <x:v>No master-list match</x:v>
      </x:c>
      <x:c r="AK74" s="14" t="str">
        <x:v>Unresolved</x:v>
      </x:c>
      <x:c r="AL74" s="14" t="str">
        <x:v>No matching production in master register.</x:v>
      </x:c>
      <x:c r="AM74" s="14"/>
      <x:c r="AN74" s="14" t="str">
        <x:v>Relationship unresolved</x:v>
      </x:c>
      <x:c r="AO74" s="14" t="str">
        <x:v>Review required</x:v>
      </x:c>
      <x:c r="AP74" s="14" t="str">
        <x:v>Review required</x:v>
      </x:c>
      <x:c r="AQ74" s="14" t="str">
        <x:v>Review required</x:v>
      </x:c>
      <x:c r="AR74" s="14" t="str">
        <x:v>Review required</x:v>
      </x:c>
      <x:c r="AS74" s="14" t="str">
        <x:v>No established-register match</x:v>
      </x:c>
      <x:c r="AT74" s="14"/>
      <x:c r="AU74" s="14"/>
      <x:c r="AV74" s="14" t="str">
        <x:v>No established apparent-disability match</x:v>
      </x:c>
      <x:c r="AW74" s="14"/>
      <x:c r="AX74" s="14" t="str">
        <x:v>No</x:v>
      </x:c>
      <x:c r="AY74" s="14" t="str">
        <x:v>Unmatched</x:v>
      </x:c>
      <x:c r="AZ74" s="14" t="str">
        <x:v>Final supplied register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/>
      <x:c r="BP74" s="14" t="str">
        <x:v>Unable to calculate from supplied records.</x:v>
      </x:c>
      <x:c r="BQ74" s="14" t="str">
        <x:v>Unable to determine</x:v>
      </x:c>
      <x:c r="BR74" s="15" t="n">
        <x:v>1</x:v>
      </x:c>
      <x:c r="BS74" s="16"/>
      <x:c r="BT74" s="14" t="str">
        <x:v>Unable to calculate</x:v>
      </x:c>
      <x:c r="BU74" s="14" t="str">
        <x:v>Unable to determine</x:v>
      </x:c>
      <x:c r="BV74" s="14" t="str">
        <x:v>Episode count or production-total proxy unavailable.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HYPERLINK is not implemented. linkLocation=https://www.imdb.com/title/tt11218290/fullcredits/, friendlyName=Open source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tt11218290|nm5851120|mrs. wheeler</x:v>
      </x:c>
      <x:c r="B75" s="14" t="str">
        <x:v>04</x:v>
      </x:c>
      <x:c r="C75" s="14" t="str">
        <x:v>2024_IMDb_Cast_Lists_Batch_04(1).xlsx</x:v>
      </x:c>
      <x:c r="D75" s="14" t="str">
        <x:v>Sweatpea</x:v>
      </x:c>
      <x:c r="E75" s="14" t="n">
        <x:v>38</x:v>
      </x:c>
      <x:c r="F75" s="14" t="str">
        <x:v>Sweatpea</x:v>
      </x:c>
      <x:c r="G75" s="14" t="str">
        <x:v>tt11218290</x:v>
      </x:c>
      <x:c r="H75" s="14"/>
      <x:c r="I75" s="14" t="n">
        <x:v>2025</x:v>
      </x:c>
      <x:c r="J75" s="14" t="str">
        <x:v>Review cohort</x:v>
      </x:c>
      <x:c r="K75" s="14" t="n">
        <x:v>2024</x:v>
      </x:c>
      <x:c r="L75" s="14" t="str">
        <x:v>Not inherited</x:v>
      </x:c>
      <x:c r="M75" s="15" t="n">
        <x:v>31</x:v>
      </x:c>
      <x:c r="N75" s="14" t="str">
        <x:v>Gillian Axtell</x:v>
      </x:c>
      <x:c r="O75" s="14" t="str">
        <x:v>nm5851120</x:v>
      </x:c>
      <x:c r="P75" s="14" t="str">
        <x:v>Mrs. Wheeler</x:v>
      </x:c>
      <x:c r="Q75" s="15" t="n">
        <x:v>1</x:v>
      </x:c>
      <x:c r="R75" s="14" t="str">
        <x:v>2024</x:v>
      </x:c>
      <x:c r="S75" s="14" t="n">
        <x:v>2024</x:v>
      </x:c>
      <x:c r="T75" s="14" t="n">
        <x:v>2024</x:v>
      </x:c>
      <x:c r="U75" s="14" t="str">
        <x:v>Unresolved</x:v>
      </x:c>
      <x:c r="V75" s="14" t="str">
        <x:v>Production scope or source year is unresolved.</x:v>
      </x:c>
      <x:c r="W75" s="14" t="str">
        <x:v>Review required</x:v>
      </x:c>
      <x:c r="X75" s="14" t="str">
        <x:v>Review required</x:v>
      </x:c>
      <x:c r="Y75" s="14"/>
      <x:c r="Z75" s="14" t="str">
        <x:v>Sweatpea(1).docx</x:v>
      </x:c>
      <x:c r="AA75" s="14" t="str">
        <x:v>HYPERLINK is not implemented. linkLocation=https://www.imdb.com/title/tt11218290/fullcredits/, friendlyName=Open source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/>
      <x:c r="AI75" s="14"/>
      <x:c r="AJ75" s="14" t="str">
        <x:v>No master-list match</x:v>
      </x:c>
      <x:c r="AK75" s="14" t="str">
        <x:v>Unresolved</x:v>
      </x:c>
      <x:c r="AL75" s="14" t="str">
        <x:v>No matching production in master register.</x:v>
      </x:c>
      <x:c r="AM75" s="14"/>
      <x:c r="AN75" s="14" t="str">
        <x:v>Relationship unresolved</x:v>
      </x:c>
      <x:c r="AO75" s="14" t="str">
        <x:v>Review required</x:v>
      </x:c>
      <x:c r="AP75" s="14" t="str">
        <x:v>Review required</x:v>
      </x:c>
      <x:c r="AQ75" s="14" t="str">
        <x:v>Review required</x:v>
      </x:c>
      <x:c r="AR75" s="14" t="str">
        <x:v>Review required</x:v>
      </x:c>
      <x:c r="AS75" s="14" t="str">
        <x:v>No established-register match</x:v>
      </x:c>
      <x:c r="AT75" s="14"/>
      <x:c r="AU75" s="14"/>
      <x:c r="AV75" s="14" t="str">
        <x:v>No established apparent-disability match</x:v>
      </x:c>
      <x:c r="AW75" s="14"/>
      <x:c r="AX75" s="14" t="str">
        <x:v>No</x:v>
      </x:c>
      <x:c r="AY75" s="14" t="str">
        <x:v>Unmatched</x:v>
      </x:c>
      <x:c r="AZ75" s="14" t="str">
        <x:v>Final supplied register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/>
      <x:c r="BP75" s="14" t="str">
        <x:v>Unable to calculate from supplied records.</x:v>
      </x:c>
      <x:c r="BQ75" s="14" t="str">
        <x:v>Unable to determine</x:v>
      </x:c>
      <x:c r="BR75" s="15" t="n">
        <x:v>1</x:v>
      </x:c>
      <x:c r="BS75" s="16"/>
      <x:c r="BT75" s="14" t="str">
        <x:v>Unable to calculate</x:v>
      </x:c>
      <x:c r="BU75" s="14" t="str">
        <x:v>Unable to determine</x:v>
      </x:c>
      <x:c r="BV75" s="14" t="str">
        <x:v>Episode count or production-total proxy unavailable.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HYPERLINK is not implemented. linkLocation=https://www.imdb.com/title/tt11218290/fullcredits/, friendlyName=Open source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tt11218290|nm8427331|police officer</x:v>
      </x:c>
      <x:c r="B76" s="14" t="str">
        <x:v>04</x:v>
      </x:c>
      <x:c r="C76" s="14" t="str">
        <x:v>2024_IMDb_Cast_Lists_Batch_04(1).xlsx</x:v>
      </x:c>
      <x:c r="D76" s="14" t="str">
        <x:v>Sweatpea</x:v>
      </x:c>
      <x:c r="E76" s="14" t="n">
        <x:v>39</x:v>
      </x:c>
      <x:c r="F76" s="14" t="str">
        <x:v>Sweatpea</x:v>
      </x:c>
      <x:c r="G76" s="14" t="str">
        <x:v>tt11218290</x:v>
      </x:c>
      <x:c r="H76" s="14"/>
      <x:c r="I76" s="14" t="n">
        <x:v>2025</x:v>
      </x:c>
      <x:c r="J76" s="14" t="str">
        <x:v>Review cohort</x:v>
      </x:c>
      <x:c r="K76" s="14" t="n">
        <x:v>2024</x:v>
      </x:c>
      <x:c r="L76" s="14" t="str">
        <x:v>Not inherited</x:v>
      </x:c>
      <x:c r="M76" s="15" t="n">
        <x:v>32</x:v>
      </x:c>
      <x:c r="N76" s="14" t="str">
        <x:v>Omar Ibrahim</x:v>
      </x:c>
      <x:c r="O76" s="14" t="str">
        <x:v>nm8427331</x:v>
      </x:c>
      <x:c r="P76" s="14" t="str">
        <x:v>Police Officer</x:v>
      </x:c>
      <x:c r="Q76" s="15" t="n">
        <x:v>1</x:v>
      </x:c>
      <x:c r="R76" s="14" t="str">
        <x:v>2024</x:v>
      </x:c>
      <x:c r="S76" s="14" t="n">
        <x:v>2024</x:v>
      </x:c>
      <x:c r="T76" s="14" t="n">
        <x:v>2024</x:v>
      </x:c>
      <x:c r="U76" s="14" t="str">
        <x:v>Unresolved</x:v>
      </x:c>
      <x:c r="V76" s="14" t="str">
        <x:v>Production scope or source year is unresolved.</x:v>
      </x:c>
      <x:c r="W76" s="14" t="str">
        <x:v>Review required</x:v>
      </x:c>
      <x:c r="X76" s="14" t="str">
        <x:v>Review required</x:v>
      </x:c>
      <x:c r="Y76" s="14"/>
      <x:c r="Z76" s="14" t="str">
        <x:v>Sweatpea(1).docx</x:v>
      </x:c>
      <x:c r="AA76" s="14" t="str">
        <x:v>HYPERLINK is not implemented. linkLocation=https://www.imdb.com/title/tt11218290/fullcredits/, friendlyName=Open source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/>
      <x:c r="AI76" s="14"/>
      <x:c r="AJ76" s="14" t="str">
        <x:v>No master-list match</x:v>
      </x:c>
      <x:c r="AK76" s="14" t="str">
        <x:v>Unresolved</x:v>
      </x:c>
      <x:c r="AL76" s="14" t="str">
        <x:v>No matching production in master register.</x:v>
      </x:c>
      <x:c r="AM76" s="14"/>
      <x:c r="AN76" s="14" t="str">
        <x:v>Relationship unresolved</x:v>
      </x:c>
      <x:c r="AO76" s="14" t="str">
        <x:v>Review required</x:v>
      </x:c>
      <x:c r="AP76" s="14" t="str">
        <x:v>Review required</x:v>
      </x:c>
      <x:c r="AQ76" s="14" t="str">
        <x:v>Review required</x:v>
      </x:c>
      <x:c r="AR76" s="14" t="str">
        <x:v>Review required</x:v>
      </x:c>
      <x:c r="AS76" s="14" t="str">
        <x:v>No established-register match</x:v>
      </x:c>
      <x:c r="AT76" s="14"/>
      <x:c r="AU76" s="14"/>
      <x:c r="AV76" s="14" t="str">
        <x:v>No established apparent-disability match</x:v>
      </x:c>
      <x:c r="AW76" s="14"/>
      <x:c r="AX76" s="14" t="str">
        <x:v>No</x:v>
      </x:c>
      <x:c r="AY76" s="14" t="str">
        <x:v>Unmatched</x:v>
      </x:c>
      <x:c r="AZ76" s="14" t="str">
        <x:v>Final supplied register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/>
      <x:c r="BP76" s="14" t="str">
        <x:v>Unable to calculate from supplied records.</x:v>
      </x:c>
      <x:c r="BQ76" s="14" t="str">
        <x:v>Unable to determine</x:v>
      </x:c>
      <x:c r="BR76" s="15" t="n">
        <x:v>1</x:v>
      </x:c>
      <x:c r="BS76" s="16"/>
      <x:c r="BT76" s="14" t="str">
        <x:v>Unable to calculate</x:v>
      </x:c>
      <x:c r="BU76" s="14" t="str">
        <x:v>Unable to determine</x:v>
      </x:c>
      <x:c r="BV76" s="14" t="str">
        <x:v>Episode count or production-total proxy unavailable.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HYPERLINK is not implemented. linkLocation=https://www.imdb.com/title/tt11218290/fullcredits/, friendlyName=Open source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tt11218290|nm3149774|keith</x:v>
      </x:c>
      <x:c r="B77" s="14" t="str">
        <x:v>04</x:v>
      </x:c>
      <x:c r="C77" s="14" t="str">
        <x:v>2024_IMDb_Cast_Lists_Batch_04(1).xlsx</x:v>
      </x:c>
      <x:c r="D77" s="14" t="str">
        <x:v>Sweatpea</x:v>
      </x:c>
      <x:c r="E77" s="14" t="n">
        <x:v>40</x:v>
      </x:c>
      <x:c r="F77" s="14" t="str">
        <x:v>Sweatpea</x:v>
      </x:c>
      <x:c r="G77" s="14" t="str">
        <x:v>tt11218290</x:v>
      </x:c>
      <x:c r="H77" s="14"/>
      <x:c r="I77" s="14" t="n">
        <x:v>2025</x:v>
      </x:c>
      <x:c r="J77" s="14" t="str">
        <x:v>Review cohort</x:v>
      </x:c>
      <x:c r="K77" s="14" t="n">
        <x:v>2024</x:v>
      </x:c>
      <x:c r="L77" s="14" t="str">
        <x:v>Not inherited</x:v>
      </x:c>
      <x:c r="M77" s="15" t="n">
        <x:v>33</x:v>
      </x:c>
      <x:c r="N77" s="14" t="str">
        <x:v>Luke Kempner</x:v>
      </x:c>
      <x:c r="O77" s="14" t="str">
        <x:v>nm3149774</x:v>
      </x:c>
      <x:c r="P77" s="14" t="str">
        <x:v>Keith</x:v>
      </x:c>
      <x:c r="Q77" s="15" t="n">
        <x:v>1</x:v>
      </x:c>
      <x:c r="R77" s="14" t="str">
        <x:v>2024</x:v>
      </x:c>
      <x:c r="S77" s="14" t="n">
        <x:v>2024</x:v>
      </x:c>
      <x:c r="T77" s="14" t="n">
        <x:v>2024</x:v>
      </x:c>
      <x:c r="U77" s="14" t="str">
        <x:v>Unresolved</x:v>
      </x:c>
      <x:c r="V77" s="14" t="str">
        <x:v>Production scope or source year is unresolved.</x:v>
      </x:c>
      <x:c r="W77" s="14" t="str">
        <x:v>Review required</x:v>
      </x:c>
      <x:c r="X77" s="14" t="str">
        <x:v>Review required</x:v>
      </x:c>
      <x:c r="Y77" s="14"/>
      <x:c r="Z77" s="14" t="str">
        <x:v>Sweatpea(1).docx</x:v>
      </x:c>
      <x:c r="AA77" s="14" t="str">
        <x:v>HYPERLINK is not implemented. linkLocation=https://www.imdb.com/title/tt11218290/fullcredits/, friendlyName=Open source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/>
      <x:c r="AI77" s="14"/>
      <x:c r="AJ77" s="14" t="str">
        <x:v>No master-list match</x:v>
      </x:c>
      <x:c r="AK77" s="14" t="str">
        <x:v>Unresolved</x:v>
      </x:c>
      <x:c r="AL77" s="14" t="str">
        <x:v>No matching production in master register.</x:v>
      </x:c>
      <x:c r="AM77" s="14"/>
      <x:c r="AN77" s="14" t="str">
        <x:v>Relationship unresolved</x:v>
      </x:c>
      <x:c r="AO77" s="14" t="str">
        <x:v>Review required</x:v>
      </x:c>
      <x:c r="AP77" s="14" t="str">
        <x:v>Review required</x:v>
      </x:c>
      <x:c r="AQ77" s="14" t="str">
        <x:v>Review required</x:v>
      </x:c>
      <x:c r="AR77" s="14" t="str">
        <x:v>Review required</x:v>
      </x:c>
      <x:c r="AS77" s="14" t="str">
        <x:v>No established-register match</x:v>
      </x:c>
      <x:c r="AT77" s="14"/>
      <x:c r="AU77" s="14"/>
      <x:c r="AV77" s="14" t="str">
        <x:v>No established apparent-disability match</x:v>
      </x:c>
      <x:c r="AW77" s="14"/>
      <x:c r="AX77" s="14" t="str">
        <x:v>No</x:v>
      </x:c>
      <x:c r="AY77" s="14" t="str">
        <x:v>Unmatched</x:v>
      </x:c>
      <x:c r="AZ77" s="14" t="str">
        <x:v>Final supplied register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/>
      <x:c r="BP77" s="14" t="str">
        <x:v>Unable to calculate from supplied records.</x:v>
      </x:c>
      <x:c r="BQ77" s="14" t="str">
        <x:v>Unable to determine</x:v>
      </x:c>
      <x:c r="BR77" s="15" t="n">
        <x:v>1</x:v>
      </x:c>
      <x:c r="BS77" s="16"/>
      <x:c r="BT77" s="14" t="str">
        <x:v>Unable to calculate</x:v>
      </x:c>
      <x:c r="BU77" s="14" t="str">
        <x:v>Unable to determine</x:v>
      </x:c>
      <x:c r="BV77" s="14" t="str">
        <x:v>Episode count or production-total proxy unavailable.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HYPERLINK is not implemented. linkLocation=https://www.imdb.com/title/tt11218290/fullcredits/, friendlyName=Open source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tt11218290|nm16611891|manspreader 2</x:v>
      </x:c>
      <x:c r="B78" s="14" t="str">
        <x:v>04</x:v>
      </x:c>
      <x:c r="C78" s="14" t="str">
        <x:v>2024_IMDb_Cast_Lists_Batch_04(1).xlsx</x:v>
      </x:c>
      <x:c r="D78" s="14" t="str">
        <x:v>Sweatpea</x:v>
      </x:c>
      <x:c r="E78" s="14" t="n">
        <x:v>41</x:v>
      </x:c>
      <x:c r="F78" s="14" t="str">
        <x:v>Sweatpea</x:v>
      </x:c>
      <x:c r="G78" s="14" t="str">
        <x:v>tt11218290</x:v>
      </x:c>
      <x:c r="H78" s="14"/>
      <x:c r="I78" s="14" t="n">
        <x:v>2025</x:v>
      </x:c>
      <x:c r="J78" s="14" t="str">
        <x:v>Review cohort</x:v>
      </x:c>
      <x:c r="K78" s="14" t="n">
        <x:v>2024</x:v>
      </x:c>
      <x:c r="L78" s="14" t="str">
        <x:v>Not inherited</x:v>
      </x:c>
      <x:c r="M78" s="15" t="n">
        <x:v>34</x:v>
      </x:c>
      <x:c r="N78" s="14" t="str">
        <x:v>Sam Ducane</x:v>
      </x:c>
      <x:c r="O78" s="14" t="str">
        <x:v>nm16611891</x:v>
      </x:c>
      <x:c r="P78" s="14" t="str">
        <x:v>Manspreader 2</x:v>
      </x:c>
      <x:c r="Q78" s="15" t="n">
        <x:v>1</x:v>
      </x:c>
      <x:c r="R78" s="14" t="str">
        <x:v>2024</x:v>
      </x:c>
      <x:c r="S78" s="14" t="n">
        <x:v>2024</x:v>
      </x:c>
      <x:c r="T78" s="14" t="n">
        <x:v>2024</x:v>
      </x:c>
      <x:c r="U78" s="14" t="str">
        <x:v>Unresolved</x:v>
      </x:c>
      <x:c r="V78" s="14" t="str">
        <x:v>Production scope or source year is unresolved.</x:v>
      </x:c>
      <x:c r="W78" s="14" t="str">
        <x:v>Review required</x:v>
      </x:c>
      <x:c r="X78" s="14" t="str">
        <x:v>Review required</x:v>
      </x:c>
      <x:c r="Y78" s="14"/>
      <x:c r="Z78" s="14" t="str">
        <x:v>Sweatpea(1).docx</x:v>
      </x:c>
      <x:c r="AA78" s="14" t="str">
        <x:v>HYPERLINK is not implemented. linkLocation=https://www.imdb.com/title/tt11218290/fullcredits/, friendlyName=Open source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/>
      <x:c r="AI78" s="14"/>
      <x:c r="AJ78" s="14" t="str">
        <x:v>No master-list match</x:v>
      </x:c>
      <x:c r="AK78" s="14" t="str">
        <x:v>Unresolved</x:v>
      </x:c>
      <x:c r="AL78" s="14" t="str">
        <x:v>No matching production in master register.</x:v>
      </x:c>
      <x:c r="AM78" s="14"/>
      <x:c r="AN78" s="14" t="str">
        <x:v>Relationship unresolved</x:v>
      </x:c>
      <x:c r="AO78" s="14" t="str">
        <x:v>Review required</x:v>
      </x:c>
      <x:c r="AP78" s="14" t="str">
        <x:v>Review required</x:v>
      </x:c>
      <x:c r="AQ78" s="14" t="str">
        <x:v>Review required</x:v>
      </x:c>
      <x:c r="AR78" s="14" t="str">
        <x:v>Review required</x:v>
      </x:c>
      <x:c r="AS78" s="14" t="str">
        <x:v>No established-register match</x:v>
      </x:c>
      <x:c r="AT78" s="14"/>
      <x:c r="AU78" s="14"/>
      <x:c r="AV78" s="14" t="str">
        <x:v>No established apparent-disability match</x:v>
      </x:c>
      <x:c r="AW78" s="14"/>
      <x:c r="AX78" s="14" t="str">
        <x:v>No</x:v>
      </x:c>
      <x:c r="AY78" s="14" t="str">
        <x:v>Unmatched</x:v>
      </x:c>
      <x:c r="AZ78" s="14" t="str">
        <x:v>Final supplied register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/>
      <x:c r="BP78" s="14" t="str">
        <x:v>Unable to calculate from supplied records.</x:v>
      </x:c>
      <x:c r="BQ78" s="14" t="str">
        <x:v>Unable to determine</x:v>
      </x:c>
      <x:c r="BR78" s="15" t="n">
        <x:v>1</x:v>
      </x:c>
      <x:c r="BS78" s="16"/>
      <x:c r="BT78" s="14" t="str">
        <x:v>Unable to calculate</x:v>
      </x:c>
      <x:c r="BU78" s="14" t="str">
        <x:v>Unable to determine</x:v>
      </x:c>
      <x:c r="BV78" s="14" t="str">
        <x:v>Episode count or production-total proxy unavailable.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HYPERLINK is not implemented. linkLocation=https://www.imdb.com/title/tt11218290/fullcredits/, friendlyName=Open source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tt11218290|nm9748781|cameo's club girl 1</x:v>
      </x:c>
      <x:c r="B79" s="14" t="str">
        <x:v>04</x:v>
      </x:c>
      <x:c r="C79" s="14" t="str">
        <x:v>2024_IMDb_Cast_Lists_Batch_04(1).xlsx</x:v>
      </x:c>
      <x:c r="D79" s="14" t="str">
        <x:v>Sweatpea</x:v>
      </x:c>
      <x:c r="E79" s="14" t="n">
        <x:v>42</x:v>
      </x:c>
      <x:c r="F79" s="14" t="str">
        <x:v>Sweatpea</x:v>
      </x:c>
      <x:c r="G79" s="14" t="str">
        <x:v>tt11218290</x:v>
      </x:c>
      <x:c r="H79" s="14"/>
      <x:c r="I79" s="14" t="n">
        <x:v>2025</x:v>
      </x:c>
      <x:c r="J79" s="14" t="str">
        <x:v>Review cohort</x:v>
      </x:c>
      <x:c r="K79" s="14" t="n">
        <x:v>2024</x:v>
      </x:c>
      <x:c r="L79" s="14" t="str">
        <x:v>Not inherited</x:v>
      </x:c>
      <x:c r="M79" s="15" t="n">
        <x:v>35</x:v>
      </x:c>
      <x:c r="N79" s="14" t="str">
        <x:v>Demii Lee Walker</x:v>
      </x:c>
      <x:c r="O79" s="14" t="str">
        <x:v>nm9748781</x:v>
      </x:c>
      <x:c r="P79" s="14" t="str">
        <x:v>Cameo's Club Girl 1</x:v>
      </x:c>
      <x:c r="Q79" s="15" t="n">
        <x:v>1</x:v>
      </x:c>
      <x:c r="R79" s="14" t="str">
        <x:v>2024</x:v>
      </x:c>
      <x:c r="S79" s="14" t="n">
        <x:v>2024</x:v>
      </x:c>
      <x:c r="T79" s="14" t="n">
        <x:v>2024</x:v>
      </x:c>
      <x:c r="U79" s="14" t="str">
        <x:v>Unresolved</x:v>
      </x:c>
      <x:c r="V79" s="14" t="str">
        <x:v>Production scope or source year is unresolved.</x:v>
      </x:c>
      <x:c r="W79" s="14" t="str">
        <x:v>Review required</x:v>
      </x:c>
      <x:c r="X79" s="14" t="str">
        <x:v>Review required</x:v>
      </x:c>
      <x:c r="Y79" s="14"/>
      <x:c r="Z79" s="14" t="str">
        <x:v>Sweatpea(1).docx</x:v>
      </x:c>
      <x:c r="AA79" s="14" t="str">
        <x:v>HYPERLINK is not implemented. linkLocation=https://www.imdb.com/title/tt11218290/fullcredits/, friendlyName=Open source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/>
      <x:c r="AI79" s="14"/>
      <x:c r="AJ79" s="14" t="str">
        <x:v>No master-list match</x:v>
      </x:c>
      <x:c r="AK79" s="14" t="str">
        <x:v>Unresolved</x:v>
      </x:c>
      <x:c r="AL79" s="14" t="str">
        <x:v>No matching production in master register.</x:v>
      </x:c>
      <x:c r="AM79" s="14"/>
      <x:c r="AN79" s="14" t="str">
        <x:v>Relationship unresolved</x:v>
      </x:c>
      <x:c r="AO79" s="14" t="str">
        <x:v>Review required</x:v>
      </x:c>
      <x:c r="AP79" s="14" t="str">
        <x:v>Review required</x:v>
      </x:c>
      <x:c r="AQ79" s="14" t="str">
        <x:v>Review required</x:v>
      </x:c>
      <x:c r="AR79" s="14" t="str">
        <x:v>Review required</x:v>
      </x:c>
      <x:c r="AS79" s="14" t="str">
        <x:v>No established-register match</x:v>
      </x:c>
      <x:c r="AT79" s="14"/>
      <x:c r="AU79" s="14"/>
      <x:c r="AV79" s="14" t="str">
        <x:v>No established apparent-disability match</x:v>
      </x:c>
      <x:c r="AW79" s="14"/>
      <x:c r="AX79" s="14" t="str">
        <x:v>No</x:v>
      </x:c>
      <x:c r="AY79" s="14" t="str">
        <x:v>Unmatched</x:v>
      </x:c>
      <x:c r="AZ79" s="14" t="str">
        <x:v>Final supplied register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/>
      <x:c r="BP79" s="14" t="str">
        <x:v>Unable to calculate from supplied records.</x:v>
      </x:c>
      <x:c r="BQ79" s="14" t="str">
        <x:v>Unable to determine</x:v>
      </x:c>
      <x:c r="BR79" s="15" t="n">
        <x:v>1</x:v>
      </x:c>
      <x:c r="BS79" s="16"/>
      <x:c r="BT79" s="14" t="str">
        <x:v>Unable to calculate</x:v>
      </x:c>
      <x:c r="BU79" s="14" t="str">
        <x:v>Unable to determine</x:v>
      </x:c>
      <x:c r="BV79" s="14" t="str">
        <x:v>Episode count or production-total proxy unavailable.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HYPERLINK is not implemented. linkLocation=https://www.imdb.com/title/tt11218290/fullcredits/, friendlyName=Open source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tt11218290|nm16607004|young seren</x:v>
      </x:c>
      <x:c r="B80" s="14" t="str">
        <x:v>04</x:v>
      </x:c>
      <x:c r="C80" s="14" t="str">
        <x:v>2024_IMDb_Cast_Lists_Batch_04(1).xlsx</x:v>
      </x:c>
      <x:c r="D80" s="14" t="str">
        <x:v>Sweatpea</x:v>
      </x:c>
      <x:c r="E80" s="14" t="n">
        <x:v>43</x:v>
      </x:c>
      <x:c r="F80" s="14" t="str">
        <x:v>Sweatpea</x:v>
      </x:c>
      <x:c r="G80" s="14" t="str">
        <x:v>tt11218290</x:v>
      </x:c>
      <x:c r="H80" s="14"/>
      <x:c r="I80" s="14" t="n">
        <x:v>2025</x:v>
      </x:c>
      <x:c r="J80" s="14" t="str">
        <x:v>Review cohort</x:v>
      </x:c>
      <x:c r="K80" s="14" t="n">
        <x:v>2024</x:v>
      </x:c>
      <x:c r="L80" s="14" t="str">
        <x:v>Not inherited</x:v>
      </x:c>
      <x:c r="M80" s="15" t="n">
        <x:v>36</x:v>
      </x:c>
      <x:c r="N80" s="14" t="str">
        <x:v>Darcy Hurlock</x:v>
      </x:c>
      <x:c r="O80" s="14" t="str">
        <x:v>nm16607004</x:v>
      </x:c>
      <x:c r="P80" s="14" t="str">
        <x:v>Young Seren</x:v>
      </x:c>
      <x:c r="Q80" s="15" t="n">
        <x:v>1</x:v>
      </x:c>
      <x:c r="R80" s="14" t="str">
        <x:v>2024</x:v>
      </x:c>
      <x:c r="S80" s="14" t="n">
        <x:v>2024</x:v>
      </x:c>
      <x:c r="T80" s="14" t="n">
        <x:v>2024</x:v>
      </x:c>
      <x:c r="U80" s="14" t="str">
        <x:v>Unresolved</x:v>
      </x:c>
      <x:c r="V80" s="14" t="str">
        <x:v>Production scope or source year is unresolved.</x:v>
      </x:c>
      <x:c r="W80" s="14" t="str">
        <x:v>Review required</x:v>
      </x:c>
      <x:c r="X80" s="14" t="str">
        <x:v>Review required</x:v>
      </x:c>
      <x:c r="Y80" s="14"/>
      <x:c r="Z80" s="14" t="str">
        <x:v>Sweatpea(1).docx</x:v>
      </x:c>
      <x:c r="AA80" s="14" t="str">
        <x:v>HYPERLINK is not implemented. linkLocation=https://www.imdb.com/title/tt11218290/fullcredits/, friendlyName=Open source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/>
      <x:c r="AI80" s="14"/>
      <x:c r="AJ80" s="14" t="str">
        <x:v>No master-list match</x:v>
      </x:c>
      <x:c r="AK80" s="14" t="str">
        <x:v>Unresolved</x:v>
      </x:c>
      <x:c r="AL80" s="14" t="str">
        <x:v>No matching production in master register.</x:v>
      </x:c>
      <x:c r="AM80" s="14"/>
      <x:c r="AN80" s="14" t="str">
        <x:v>Relationship unresolved</x:v>
      </x:c>
      <x:c r="AO80" s="14" t="str">
        <x:v>Review required</x:v>
      </x:c>
      <x:c r="AP80" s="14" t="str">
        <x:v>Review required</x:v>
      </x:c>
      <x:c r="AQ80" s="14" t="str">
        <x:v>Review required</x:v>
      </x:c>
      <x:c r="AR80" s="14" t="str">
        <x:v>Review required</x:v>
      </x:c>
      <x:c r="AS80" s="14" t="str">
        <x:v>No established-register match</x:v>
      </x:c>
      <x:c r="AT80" s="14"/>
      <x:c r="AU80" s="14"/>
      <x:c r="AV80" s="14" t="str">
        <x:v>No established apparent-disability match</x:v>
      </x:c>
      <x:c r="AW80" s="14"/>
      <x:c r="AX80" s="14" t="str">
        <x:v>No</x:v>
      </x:c>
      <x:c r="AY80" s="14" t="str">
        <x:v>Unmatched</x:v>
      </x:c>
      <x:c r="AZ80" s="14" t="str">
        <x:v>Final supplied register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/>
      <x:c r="BP80" s="14" t="str">
        <x:v>Unable to calculate from supplied records.</x:v>
      </x:c>
      <x:c r="BQ80" s="14" t="str">
        <x:v>Unable to determine</x:v>
      </x:c>
      <x:c r="BR80" s="15" t="n">
        <x:v>1</x:v>
      </x:c>
      <x:c r="BS80" s="16"/>
      <x:c r="BT80" s="14" t="str">
        <x:v>Unable to calculate</x:v>
      </x:c>
      <x:c r="BU80" s="14" t="str">
        <x:v>Unable to determine</x:v>
      </x:c>
      <x:c r="BV80" s="14" t="str">
        <x:v>Episode count or production-total proxy unavailable.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HYPERLINK is not implemented. linkLocation=https://www.imdb.com/title/tt11218290/fullcredits/, friendlyName=Open source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tt11218290|nm16607001|young rhiannon</x:v>
      </x:c>
      <x:c r="B81" s="14" t="str">
        <x:v>04</x:v>
      </x:c>
      <x:c r="C81" s="14" t="str">
        <x:v>2024_IMDb_Cast_Lists_Batch_04(1).xlsx</x:v>
      </x:c>
      <x:c r="D81" s="14" t="str">
        <x:v>Sweatpea</x:v>
      </x:c>
      <x:c r="E81" s="14" t="n">
        <x:v>44</x:v>
      </x:c>
      <x:c r="F81" s="14" t="str">
        <x:v>Sweatpea</x:v>
      </x:c>
      <x:c r="G81" s="14" t="str">
        <x:v>tt11218290</x:v>
      </x:c>
      <x:c r="H81" s="14"/>
      <x:c r="I81" s="14" t="n">
        <x:v>2025</x:v>
      </x:c>
      <x:c r="J81" s="14" t="str">
        <x:v>Review cohort</x:v>
      </x:c>
      <x:c r="K81" s="14" t="n">
        <x:v>2024</x:v>
      </x:c>
      <x:c r="L81" s="14" t="str">
        <x:v>Not inherited</x:v>
      </x:c>
      <x:c r="M81" s="15" t="n">
        <x:v>37</x:v>
      </x:c>
      <x:c r="N81" s="14" t="str">
        <x:v>Lottie Lee</x:v>
      </x:c>
      <x:c r="O81" s="14" t="str">
        <x:v>nm16607001</x:v>
      </x:c>
      <x:c r="P81" s="14" t="str">
        <x:v>Young Rhiannon</x:v>
      </x:c>
      <x:c r="Q81" s="15" t="n">
        <x:v>1</x:v>
      </x:c>
      <x:c r="R81" s="14" t="str">
        <x:v>2024</x:v>
      </x:c>
      <x:c r="S81" s="14" t="n">
        <x:v>2024</x:v>
      </x:c>
      <x:c r="T81" s="14" t="n">
        <x:v>2024</x:v>
      </x:c>
      <x:c r="U81" s="14" t="str">
        <x:v>Unresolved</x:v>
      </x:c>
      <x:c r="V81" s="14" t="str">
        <x:v>Production scope or source year is unresolved.</x:v>
      </x:c>
      <x:c r="W81" s="14" t="str">
        <x:v>Review required</x:v>
      </x:c>
      <x:c r="X81" s="14" t="str">
        <x:v>Review required</x:v>
      </x:c>
      <x:c r="Y81" s="14"/>
      <x:c r="Z81" s="14" t="str">
        <x:v>Sweatpea(1).docx</x:v>
      </x:c>
      <x:c r="AA81" s="14" t="str">
        <x:v>HYPERLINK is not implemented. linkLocation=https://www.imdb.com/title/tt11218290/fullcredits/, friendlyName=Open source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/>
      <x:c r="AI81" s="14"/>
      <x:c r="AJ81" s="14" t="str">
        <x:v>No master-list match</x:v>
      </x:c>
      <x:c r="AK81" s="14" t="str">
        <x:v>Unresolved</x:v>
      </x:c>
      <x:c r="AL81" s="14" t="str">
        <x:v>No matching production in master register.</x:v>
      </x:c>
      <x:c r="AM81" s="14"/>
      <x:c r="AN81" s="14" t="str">
        <x:v>Relationship unresolved</x:v>
      </x:c>
      <x:c r="AO81" s="14" t="str">
        <x:v>Review required</x:v>
      </x:c>
      <x:c r="AP81" s="14" t="str">
        <x:v>Review required</x:v>
      </x:c>
      <x:c r="AQ81" s="14" t="str">
        <x:v>Review required</x:v>
      </x:c>
      <x:c r="AR81" s="14" t="str">
        <x:v>Review required</x:v>
      </x:c>
      <x:c r="AS81" s="14" t="str">
        <x:v>No established-register match</x:v>
      </x:c>
      <x:c r="AT81" s="14"/>
      <x:c r="AU81" s="14"/>
      <x:c r="AV81" s="14" t="str">
        <x:v>No established apparent-disability match</x:v>
      </x:c>
      <x:c r="AW81" s="14"/>
      <x:c r="AX81" s="14" t="str">
        <x:v>No</x:v>
      </x:c>
      <x:c r="AY81" s="14" t="str">
        <x:v>Unmatched</x:v>
      </x:c>
      <x:c r="AZ81" s="14" t="str">
        <x:v>Final supplied register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/>
      <x:c r="BP81" s="14" t="str">
        <x:v>Unable to calculate from supplied records.</x:v>
      </x:c>
      <x:c r="BQ81" s="14" t="str">
        <x:v>Unable to determine</x:v>
      </x:c>
      <x:c r="BR81" s="15" t="n">
        <x:v>1</x:v>
      </x:c>
      <x:c r="BS81" s="16"/>
      <x:c r="BT81" s="14" t="str">
        <x:v>Unable to calculate</x:v>
      </x:c>
      <x:c r="BU81" s="14" t="str">
        <x:v>Unable to determine</x:v>
      </x:c>
      <x:c r="BV81" s="14" t="str">
        <x:v>Episode count or production-total proxy unavailable.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HYPERLINK is not implemented. linkLocation=https://www.imdb.com/title/tt11218290/fullcredits/, friendlyName=Open source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tt11218290|nm2728847|alan</x:v>
      </x:c>
      <x:c r="B82" s="14" t="str">
        <x:v>04</x:v>
      </x:c>
      <x:c r="C82" s="14" t="str">
        <x:v>2024_IMDb_Cast_Lists_Batch_04(1).xlsx</x:v>
      </x:c>
      <x:c r="D82" s="14" t="str">
        <x:v>Sweatpea</x:v>
      </x:c>
      <x:c r="E82" s="14" t="n">
        <x:v>45</x:v>
      </x:c>
      <x:c r="F82" s="14" t="str">
        <x:v>Sweatpea</x:v>
      </x:c>
      <x:c r="G82" s="14" t="str">
        <x:v>tt11218290</x:v>
      </x:c>
      <x:c r="H82" s="14"/>
      <x:c r="I82" s="14" t="n">
        <x:v>2025</x:v>
      </x:c>
      <x:c r="J82" s="14" t="str">
        <x:v>Review cohort</x:v>
      </x:c>
      <x:c r="K82" s="14" t="n">
        <x:v>2024</x:v>
      </x:c>
      <x:c r="L82" s="14" t="str">
        <x:v>Not inherited</x:v>
      </x:c>
      <x:c r="M82" s="15" t="n">
        <x:v>38</x:v>
      </x:c>
      <x:c r="N82" s="14" t="str">
        <x:v>Gavin Duff</x:v>
      </x:c>
      <x:c r="O82" s="14" t="str">
        <x:v>nm2728847</x:v>
      </x:c>
      <x:c r="P82" s="14" t="str">
        <x:v>Alan</x:v>
      </x:c>
      <x:c r="Q82" s="15" t="n">
        <x:v>1</x:v>
      </x:c>
      <x:c r="R82" s="14" t="str">
        <x:v>2024</x:v>
      </x:c>
      <x:c r="S82" s="14" t="n">
        <x:v>2024</x:v>
      </x:c>
      <x:c r="T82" s="14" t="n">
        <x:v>2024</x:v>
      </x:c>
      <x:c r="U82" s="14" t="str">
        <x:v>Unresolved</x:v>
      </x:c>
      <x:c r="V82" s="14" t="str">
        <x:v>Production scope or source year is unresolved.</x:v>
      </x:c>
      <x:c r="W82" s="14" t="str">
        <x:v>Review required</x:v>
      </x:c>
      <x:c r="X82" s="14" t="str">
        <x:v>Review required</x:v>
      </x:c>
      <x:c r="Y82" s="14"/>
      <x:c r="Z82" s="14" t="str">
        <x:v>Sweatpea(1).docx</x:v>
      </x:c>
      <x:c r="AA82" s="14" t="str">
        <x:v>HYPERLINK is not implemented. linkLocation=https://www.imdb.com/title/tt11218290/fullcredits/, friendlyName=Open source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/>
      <x:c r="AI82" s="14"/>
      <x:c r="AJ82" s="14" t="str">
        <x:v>No master-list match</x:v>
      </x:c>
      <x:c r="AK82" s="14" t="str">
        <x:v>Unresolved</x:v>
      </x:c>
      <x:c r="AL82" s="14" t="str">
        <x:v>No matching production in master register.</x:v>
      </x:c>
      <x:c r="AM82" s="14"/>
      <x:c r="AN82" s="14" t="str">
        <x:v>Relationship unresolved</x:v>
      </x:c>
      <x:c r="AO82" s="14" t="str">
        <x:v>Review required</x:v>
      </x:c>
      <x:c r="AP82" s="14" t="str">
        <x:v>Review required</x:v>
      </x:c>
      <x:c r="AQ82" s="14" t="str">
        <x:v>Review required</x:v>
      </x:c>
      <x:c r="AR82" s="14" t="str">
        <x:v>Review required</x:v>
      </x:c>
      <x:c r="AS82" s="14" t="str">
        <x:v>No established-register match</x:v>
      </x:c>
      <x:c r="AT82" s="14"/>
      <x:c r="AU82" s="14"/>
      <x:c r="AV82" s="14" t="str">
        <x:v>No established apparent-disability match</x:v>
      </x:c>
      <x:c r="AW82" s="14"/>
      <x:c r="AX82" s="14" t="str">
        <x:v>No</x:v>
      </x:c>
      <x:c r="AY82" s="14" t="str">
        <x:v>Unmatched</x:v>
      </x:c>
      <x:c r="AZ82" s="14" t="str">
        <x:v>Final supplied register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/>
      <x:c r="BP82" s="14" t="str">
        <x:v>Unable to calculate from supplied records.</x:v>
      </x:c>
      <x:c r="BQ82" s="14" t="str">
        <x:v>Unable to determine</x:v>
      </x:c>
      <x:c r="BR82" s="15" t="n">
        <x:v>1</x:v>
      </x:c>
      <x:c r="BS82" s="16"/>
      <x:c r="BT82" s="14" t="str">
        <x:v>Unable to calculate</x:v>
      </x:c>
      <x:c r="BU82" s="14" t="str">
        <x:v>Unable to determine</x:v>
      </x:c>
      <x:c r="BV82" s="14" t="str">
        <x:v>Episode count or production-total proxy unavailable.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HYPERLINK is not implemented. linkLocation=https://www.imdb.com/title/tt11218290/fullcredits/, friendlyName=Open source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tt11218290|nm16611925|cameo's club girl 2</x:v>
      </x:c>
      <x:c r="B83" s="14" t="str">
        <x:v>04</x:v>
      </x:c>
      <x:c r="C83" s="14" t="str">
        <x:v>2024_IMDb_Cast_Lists_Batch_04(1).xlsx</x:v>
      </x:c>
      <x:c r="D83" s="14" t="str">
        <x:v>Sweatpea</x:v>
      </x:c>
      <x:c r="E83" s="14" t="n">
        <x:v>46</x:v>
      </x:c>
      <x:c r="F83" s="14" t="str">
        <x:v>Sweatpea</x:v>
      </x:c>
      <x:c r="G83" s="14" t="str">
        <x:v>tt11218290</x:v>
      </x:c>
      <x:c r="H83" s="14"/>
      <x:c r="I83" s="14" t="n">
        <x:v>2025</x:v>
      </x:c>
      <x:c r="J83" s="14" t="str">
        <x:v>Review cohort</x:v>
      </x:c>
      <x:c r="K83" s="14" t="n">
        <x:v>2024</x:v>
      </x:c>
      <x:c r="L83" s="14" t="str">
        <x:v>Not inherited</x:v>
      </x:c>
      <x:c r="M83" s="15" t="n">
        <x:v>39</x:v>
      </x:c>
      <x:c r="N83" s="14" t="str">
        <x:v>Mimo Miyagi</x:v>
      </x:c>
      <x:c r="O83" s="14" t="str">
        <x:v>nm16611925</x:v>
      </x:c>
      <x:c r="P83" s="14" t="str">
        <x:v>Cameo's Club Girl 2</x:v>
      </x:c>
      <x:c r="Q83" s="15" t="n">
        <x:v>1</x:v>
      </x:c>
      <x:c r="R83" s="14" t="str">
        <x:v>2024</x:v>
      </x:c>
      <x:c r="S83" s="14" t="n">
        <x:v>2024</x:v>
      </x:c>
      <x:c r="T83" s="14" t="n">
        <x:v>2024</x:v>
      </x:c>
      <x:c r="U83" s="14" t="str">
        <x:v>Unresolved</x:v>
      </x:c>
      <x:c r="V83" s="14" t="str">
        <x:v>Production scope or source year is unresolved.</x:v>
      </x:c>
      <x:c r="W83" s="14" t="str">
        <x:v>Review required</x:v>
      </x:c>
      <x:c r="X83" s="14" t="str">
        <x:v>Review required</x:v>
      </x:c>
      <x:c r="Y83" s="14"/>
      <x:c r="Z83" s="14" t="str">
        <x:v>Sweatpea(1).docx</x:v>
      </x:c>
      <x:c r="AA83" s="14" t="str">
        <x:v>HYPERLINK is not implemented. linkLocation=https://www.imdb.com/title/tt11218290/fullcredits/, friendlyName=Open source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/>
      <x:c r="AI83" s="14"/>
      <x:c r="AJ83" s="14" t="str">
        <x:v>No master-list match</x:v>
      </x:c>
      <x:c r="AK83" s="14" t="str">
        <x:v>Unresolved</x:v>
      </x:c>
      <x:c r="AL83" s="14" t="str">
        <x:v>No matching production in master register.</x:v>
      </x:c>
      <x:c r="AM83" s="14"/>
      <x:c r="AN83" s="14" t="str">
        <x:v>Relationship unresolved</x:v>
      </x:c>
      <x:c r="AO83" s="14" t="str">
        <x:v>Review required</x:v>
      </x:c>
      <x:c r="AP83" s="14" t="str">
        <x:v>Review required</x:v>
      </x:c>
      <x:c r="AQ83" s="14" t="str">
        <x:v>Review required</x:v>
      </x:c>
      <x:c r="AR83" s="14" t="str">
        <x:v>Review required</x:v>
      </x:c>
      <x:c r="AS83" s="14" t="str">
        <x:v>No established-register match</x:v>
      </x:c>
      <x:c r="AT83" s="14"/>
      <x:c r="AU83" s="14"/>
      <x:c r="AV83" s="14" t="str">
        <x:v>No established apparent-disability match</x:v>
      </x:c>
      <x:c r="AW83" s="14"/>
      <x:c r="AX83" s="14" t="str">
        <x:v>No</x:v>
      </x:c>
      <x:c r="AY83" s="14" t="str">
        <x:v>Unmatched</x:v>
      </x:c>
      <x:c r="AZ83" s="14" t="str">
        <x:v>Final supplied register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/>
      <x:c r="BP83" s="14" t="str">
        <x:v>Unable to calculate from supplied records.</x:v>
      </x:c>
      <x:c r="BQ83" s="14" t="str">
        <x:v>Unable to determine</x:v>
      </x:c>
      <x:c r="BR83" s="15" t="n">
        <x:v>1</x:v>
      </x:c>
      <x:c r="BS83" s="16"/>
      <x:c r="BT83" s="14" t="str">
        <x:v>Unable to calculate</x:v>
      </x:c>
      <x:c r="BU83" s="14" t="str">
        <x:v>Unable to determine</x:v>
      </x:c>
      <x:c r="BV83" s="14" t="str">
        <x:v>Episode count or production-total proxy unavailable.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HYPERLINK is not implemented. linkLocation=https://www.imdb.com/title/tt11218290/fullcredits/, friendlyName=Open source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tt11218290|nm0054763|tommy</x:v>
      </x:c>
      <x:c r="B84" s="14" t="str">
        <x:v>04</x:v>
      </x:c>
      <x:c r="C84" s="14" t="str">
        <x:v>2024_IMDb_Cast_Lists_Batch_04(1).xlsx</x:v>
      </x:c>
      <x:c r="D84" s="14" t="str">
        <x:v>Sweatpea</x:v>
      </x:c>
      <x:c r="E84" s="14" t="n">
        <x:v>47</x:v>
      </x:c>
      <x:c r="F84" s="14" t="str">
        <x:v>Sweatpea</x:v>
      </x:c>
      <x:c r="G84" s="14" t="str">
        <x:v>tt11218290</x:v>
      </x:c>
      <x:c r="H84" s="14"/>
      <x:c r="I84" s="14" t="n">
        <x:v>2025</x:v>
      </x:c>
      <x:c r="J84" s="14" t="str">
        <x:v>Review cohort</x:v>
      </x:c>
      <x:c r="K84" s="14" t="n">
        <x:v>2024</x:v>
      </x:c>
      <x:c r="L84" s="14" t="str">
        <x:v>Not inherited</x:v>
      </x:c>
      <x:c r="M84" s="15" t="n">
        <x:v>40</x:v>
      </x:c>
      <x:c r="N84" s="14" t="str">
        <x:v>David Bark-Jones</x:v>
      </x:c>
      <x:c r="O84" s="14" t="str">
        <x:v>nm0054763</x:v>
      </x:c>
      <x:c r="P84" s="14" t="str">
        <x:v>Tommy</x:v>
      </x:c>
      <x:c r="Q84" s="15" t="n">
        <x:v>1</x:v>
      </x:c>
      <x:c r="R84" s="14" t="str">
        <x:v>2024</x:v>
      </x:c>
      <x:c r="S84" s="14" t="n">
        <x:v>2024</x:v>
      </x:c>
      <x:c r="T84" s="14" t="n">
        <x:v>2024</x:v>
      </x:c>
      <x:c r="U84" s="14" t="str">
        <x:v>Unresolved</x:v>
      </x:c>
      <x:c r="V84" s="14" t="str">
        <x:v>Production scope or source year is unresolved.</x:v>
      </x:c>
      <x:c r="W84" s="14" t="str">
        <x:v>Review required</x:v>
      </x:c>
      <x:c r="X84" s="14" t="str">
        <x:v>Review required</x:v>
      </x:c>
      <x:c r="Y84" s="14"/>
      <x:c r="Z84" s="14" t="str">
        <x:v>Sweatpea(1).docx</x:v>
      </x:c>
      <x:c r="AA84" s="14" t="str">
        <x:v>HYPERLINK is not implemented. linkLocation=https://www.imdb.com/title/tt11218290/fullcredits/, friendlyName=Open source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/>
      <x:c r="AI84" s="14"/>
      <x:c r="AJ84" s="14" t="str">
        <x:v>No master-list match</x:v>
      </x:c>
      <x:c r="AK84" s="14" t="str">
        <x:v>Unresolved</x:v>
      </x:c>
      <x:c r="AL84" s="14" t="str">
        <x:v>No matching production in master register.</x:v>
      </x:c>
      <x:c r="AM84" s="14"/>
      <x:c r="AN84" s="14" t="str">
        <x:v>Relationship unresolved</x:v>
      </x:c>
      <x:c r="AO84" s="14" t="str">
        <x:v>Review required</x:v>
      </x:c>
      <x:c r="AP84" s="14" t="str">
        <x:v>Review required</x:v>
      </x:c>
      <x:c r="AQ84" s="14" t="str">
        <x:v>Review required</x:v>
      </x:c>
      <x:c r="AR84" s="14" t="str">
        <x:v>Review required</x:v>
      </x:c>
      <x:c r="AS84" s="14" t="str">
        <x:v>No established-register match</x:v>
      </x:c>
      <x:c r="AT84" s="14"/>
      <x:c r="AU84" s="14"/>
      <x:c r="AV84" s="14" t="str">
        <x:v>No established apparent-disability match</x:v>
      </x:c>
      <x:c r="AW84" s="14"/>
      <x:c r="AX84" s="14" t="str">
        <x:v>No</x:v>
      </x:c>
      <x:c r="AY84" s="14" t="str">
        <x:v>Unmatched</x:v>
      </x:c>
      <x:c r="AZ84" s="14" t="str">
        <x:v>Final supplied register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/>
      <x:c r="BP84" s="14" t="str">
        <x:v>Unable to calculate from supplied records.</x:v>
      </x:c>
      <x:c r="BQ84" s="14" t="str">
        <x:v>Unable to determine</x:v>
      </x:c>
      <x:c r="BR84" s="15" t="n">
        <x:v>1</x:v>
      </x:c>
      <x:c r="BS84" s="16"/>
      <x:c r="BT84" s="14" t="str">
        <x:v>Unable to calculate</x:v>
      </x:c>
      <x:c r="BU84" s="14" t="str">
        <x:v>Unable to determine</x:v>
      </x:c>
      <x:c r="BV84" s="14" t="str">
        <x:v>Episode count or production-total proxy unavailable.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HYPERLINK is not implemented. linkLocation=https://www.imdb.com/title/tt11218290/fullcredits/, friendlyName=Open source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tt11218290|nm2017217|dave</x:v>
      </x:c>
      <x:c r="B85" s="14" t="str">
        <x:v>04</x:v>
      </x:c>
      <x:c r="C85" s="14" t="str">
        <x:v>2024_IMDb_Cast_Lists_Batch_04(1).xlsx</x:v>
      </x:c>
      <x:c r="D85" s="14" t="str">
        <x:v>Sweatpea</x:v>
      </x:c>
      <x:c r="E85" s="14" t="n">
        <x:v>48</x:v>
      </x:c>
      <x:c r="F85" s="14" t="str">
        <x:v>Sweatpea</x:v>
      </x:c>
      <x:c r="G85" s="14" t="str">
        <x:v>tt11218290</x:v>
      </x:c>
      <x:c r="H85" s="14"/>
      <x:c r="I85" s="14" t="n">
        <x:v>2025</x:v>
      </x:c>
      <x:c r="J85" s="14" t="str">
        <x:v>Review cohort</x:v>
      </x:c>
      <x:c r="K85" s="14" t="n">
        <x:v>2024</x:v>
      </x:c>
      <x:c r="L85" s="14" t="str">
        <x:v>Not inherited</x:v>
      </x:c>
      <x:c r="M85" s="15" t="n">
        <x:v>41</x:v>
      </x:c>
      <x:c r="N85" s="14" t="str">
        <x:v>William Andrews</x:v>
      </x:c>
      <x:c r="O85" s="14" t="str">
        <x:v>nm2017217</x:v>
      </x:c>
      <x:c r="P85" s="14" t="str">
        <x:v>Dave</x:v>
      </x:c>
      <x:c r="Q85" s="15" t="n">
        <x:v>1</x:v>
      </x:c>
      <x:c r="R85" s="14" t="str">
        <x:v>2024</x:v>
      </x:c>
      <x:c r="S85" s="14" t="n">
        <x:v>2024</x:v>
      </x:c>
      <x:c r="T85" s="14" t="n">
        <x:v>2024</x:v>
      </x:c>
      <x:c r="U85" s="14" t="str">
        <x:v>Unresolved</x:v>
      </x:c>
      <x:c r="V85" s="14" t="str">
        <x:v>Production scope or source year is unresolved.</x:v>
      </x:c>
      <x:c r="W85" s="14" t="str">
        <x:v>Review required</x:v>
      </x:c>
      <x:c r="X85" s="14" t="str">
        <x:v>Review required</x:v>
      </x:c>
      <x:c r="Y85" s="14"/>
      <x:c r="Z85" s="14" t="str">
        <x:v>Sweatpea(1).docx</x:v>
      </x:c>
      <x:c r="AA85" s="14" t="str">
        <x:v>HYPERLINK is not implemented. linkLocation=https://www.imdb.com/title/tt11218290/fullcredits/, friendlyName=Open source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/>
      <x:c r="AI85" s="14"/>
      <x:c r="AJ85" s="14" t="str">
        <x:v>No master-list match</x:v>
      </x:c>
      <x:c r="AK85" s="14" t="str">
        <x:v>Unresolved</x:v>
      </x:c>
      <x:c r="AL85" s="14" t="str">
        <x:v>No matching production in master register.</x:v>
      </x:c>
      <x:c r="AM85" s="14"/>
      <x:c r="AN85" s="14" t="str">
        <x:v>Relationship unresolved</x:v>
      </x:c>
      <x:c r="AO85" s="14" t="str">
        <x:v>Review required</x:v>
      </x:c>
      <x:c r="AP85" s="14" t="str">
        <x:v>Review required</x:v>
      </x:c>
      <x:c r="AQ85" s="14" t="str">
        <x:v>Review required</x:v>
      </x:c>
      <x:c r="AR85" s="14" t="str">
        <x:v>Review required</x:v>
      </x:c>
      <x:c r="AS85" s="14" t="str">
        <x:v>No established-register match</x:v>
      </x:c>
      <x:c r="AT85" s="14"/>
      <x:c r="AU85" s="14"/>
      <x:c r="AV85" s="14" t="str">
        <x:v>No established apparent-disability match</x:v>
      </x:c>
      <x:c r="AW85" s="14"/>
      <x:c r="AX85" s="14" t="str">
        <x:v>No</x:v>
      </x:c>
      <x:c r="AY85" s="14" t="str">
        <x:v>Unmatched</x:v>
      </x:c>
      <x:c r="AZ85" s="14" t="str">
        <x:v>Final supplied register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/>
      <x:c r="BP85" s="14" t="str">
        <x:v>Unable to calculate from supplied records.</x:v>
      </x:c>
      <x:c r="BQ85" s="14" t="str">
        <x:v>Unable to determine</x:v>
      </x:c>
      <x:c r="BR85" s="15" t="n">
        <x:v>1</x:v>
      </x:c>
      <x:c r="BS85" s="16"/>
      <x:c r="BT85" s="14" t="str">
        <x:v>Unable to calculate</x:v>
      </x:c>
      <x:c r="BU85" s="14" t="str">
        <x:v>Unable to determine</x:v>
      </x:c>
      <x:c r="BV85" s="14" t="str">
        <x:v>Episode count or production-total proxy unavailable.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HYPERLINK is not implemented. linkLocation=https://www.imdb.com/title/tt11218290/fullcredits/, friendlyName=Open source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tt11218290|nm14506958|nurse</x:v>
      </x:c>
      <x:c r="B86" s="14" t="str">
        <x:v>04</x:v>
      </x:c>
      <x:c r="C86" s="14" t="str">
        <x:v>2024_IMDb_Cast_Lists_Batch_04(1).xlsx</x:v>
      </x:c>
      <x:c r="D86" s="14" t="str">
        <x:v>Sweatpea</x:v>
      </x:c>
      <x:c r="E86" s="14" t="n">
        <x:v>49</x:v>
      </x:c>
      <x:c r="F86" s="14" t="str">
        <x:v>Sweatpea</x:v>
      </x:c>
      <x:c r="G86" s="14" t="str">
        <x:v>tt11218290</x:v>
      </x:c>
      <x:c r="H86" s="14"/>
      <x:c r="I86" s="14" t="n">
        <x:v>2025</x:v>
      </x:c>
      <x:c r="J86" s="14" t="str">
        <x:v>Review cohort</x:v>
      </x:c>
      <x:c r="K86" s="14" t="n">
        <x:v>2024</x:v>
      </x:c>
      <x:c r="L86" s="14" t="str">
        <x:v>Not inherited</x:v>
      </x:c>
      <x:c r="M86" s="15" t="n">
        <x:v>42</x:v>
      </x:c>
      <x:c r="N86" s="14" t="str">
        <x:v>Gurjot Dhaliwal</x:v>
      </x:c>
      <x:c r="O86" s="14" t="str">
        <x:v>nm14506958</x:v>
      </x:c>
      <x:c r="P86" s="14" t="str">
        <x:v>Nurse</x:v>
      </x:c>
      <x:c r="Q86" s="15" t="n">
        <x:v>1</x:v>
      </x:c>
      <x:c r="R86" s="14" t="str">
        <x:v>2024</x:v>
      </x:c>
      <x:c r="S86" s="14" t="n">
        <x:v>2024</x:v>
      </x:c>
      <x:c r="T86" s="14" t="n">
        <x:v>2024</x:v>
      </x:c>
      <x:c r="U86" s="14" t="str">
        <x:v>Unresolved</x:v>
      </x:c>
      <x:c r="V86" s="14" t="str">
        <x:v>Production scope or source year is unresolved.</x:v>
      </x:c>
      <x:c r="W86" s="14" t="str">
        <x:v>Review required</x:v>
      </x:c>
      <x:c r="X86" s="14" t="str">
        <x:v>Review required</x:v>
      </x:c>
      <x:c r="Y86" s="14"/>
      <x:c r="Z86" s="14" t="str">
        <x:v>Sweatpea(1).docx</x:v>
      </x:c>
      <x:c r="AA86" s="14" t="str">
        <x:v>HYPERLINK is not implemented. linkLocation=https://www.imdb.com/title/tt11218290/fullcredits/, friendlyName=Open source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/>
      <x:c r="AI86" s="14"/>
      <x:c r="AJ86" s="14" t="str">
        <x:v>No master-list match</x:v>
      </x:c>
      <x:c r="AK86" s="14" t="str">
        <x:v>Unresolved</x:v>
      </x:c>
      <x:c r="AL86" s="14" t="str">
        <x:v>No matching production in master register.</x:v>
      </x:c>
      <x:c r="AM86" s="14"/>
      <x:c r="AN86" s="14" t="str">
        <x:v>Relationship unresolved</x:v>
      </x:c>
      <x:c r="AO86" s="14" t="str">
        <x:v>Review required</x:v>
      </x:c>
      <x:c r="AP86" s="14" t="str">
        <x:v>Review required</x:v>
      </x:c>
      <x:c r="AQ86" s="14" t="str">
        <x:v>Review required</x:v>
      </x:c>
      <x:c r="AR86" s="14" t="str">
        <x:v>Review required</x:v>
      </x:c>
      <x:c r="AS86" s="14" t="str">
        <x:v>No established-register match</x:v>
      </x:c>
      <x:c r="AT86" s="14"/>
      <x:c r="AU86" s="14"/>
      <x:c r="AV86" s="14" t="str">
        <x:v>No established apparent-disability match</x:v>
      </x:c>
      <x:c r="AW86" s="14"/>
      <x:c r="AX86" s="14" t="str">
        <x:v>No</x:v>
      </x:c>
      <x:c r="AY86" s="14" t="str">
        <x:v>Unmatched</x:v>
      </x:c>
      <x:c r="AZ86" s="14" t="str">
        <x:v>Final supplied register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/>
      <x:c r="BP86" s="14" t="str">
        <x:v>Unable to calculate from supplied records.</x:v>
      </x:c>
      <x:c r="BQ86" s="14" t="str">
        <x:v>Unable to determine</x:v>
      </x:c>
      <x:c r="BR86" s="15" t="n">
        <x:v>1</x:v>
      </x:c>
      <x:c r="BS86" s="16"/>
      <x:c r="BT86" s="14" t="str">
        <x:v>Unable to calculate</x:v>
      </x:c>
      <x:c r="BU86" s="14" t="str">
        <x:v>Unable to determine</x:v>
      </x:c>
      <x:c r="BV86" s="14" t="str">
        <x:v>Episode count or production-total proxy unavailable.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HYPERLINK is not implemented. linkLocation=https://www.imdb.com/title/tt11218290/fullcredits/, friendlyName=Open source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tt11218290|nm6711206|celebrant</x:v>
      </x:c>
      <x:c r="B87" s="14" t="str">
        <x:v>04</x:v>
      </x:c>
      <x:c r="C87" s="14" t="str">
        <x:v>2024_IMDb_Cast_Lists_Batch_04(1).xlsx</x:v>
      </x:c>
      <x:c r="D87" s="14" t="str">
        <x:v>Sweatpea</x:v>
      </x:c>
      <x:c r="E87" s="14" t="n">
        <x:v>50</x:v>
      </x:c>
      <x:c r="F87" s="14" t="str">
        <x:v>Sweatpea</x:v>
      </x:c>
      <x:c r="G87" s="14" t="str">
        <x:v>tt11218290</x:v>
      </x:c>
      <x:c r="H87" s="14"/>
      <x:c r="I87" s="14" t="n">
        <x:v>2025</x:v>
      </x:c>
      <x:c r="J87" s="14" t="str">
        <x:v>Review cohort</x:v>
      </x:c>
      <x:c r="K87" s="14" t="n">
        <x:v>2024</x:v>
      </x:c>
      <x:c r="L87" s="14" t="str">
        <x:v>Not inherited</x:v>
      </x:c>
      <x:c r="M87" s="15" t="n">
        <x:v>43</x:v>
      </x:c>
      <x:c r="N87" s="14" t="str">
        <x:v>Alistair Green</x:v>
      </x:c>
      <x:c r="O87" s="14" t="str">
        <x:v>nm6711206</x:v>
      </x:c>
      <x:c r="P87" s="14" t="str">
        <x:v>Celebrant</x:v>
      </x:c>
      <x:c r="Q87" s="15" t="n">
        <x:v>1</x:v>
      </x:c>
      <x:c r="R87" s="14" t="str">
        <x:v>2024</x:v>
      </x:c>
      <x:c r="S87" s="14" t="n">
        <x:v>2024</x:v>
      </x:c>
      <x:c r="T87" s="14" t="n">
        <x:v>2024</x:v>
      </x:c>
      <x:c r="U87" s="14" t="str">
        <x:v>Unresolved</x:v>
      </x:c>
      <x:c r="V87" s="14" t="str">
        <x:v>Production scope or source year is unresolved.</x:v>
      </x:c>
      <x:c r="W87" s="14" t="str">
        <x:v>Review required</x:v>
      </x:c>
      <x:c r="X87" s="14" t="str">
        <x:v>Review required</x:v>
      </x:c>
      <x:c r="Y87" s="14"/>
      <x:c r="Z87" s="14" t="str">
        <x:v>Sweatpea(1).docx</x:v>
      </x:c>
      <x:c r="AA87" s="14" t="str">
        <x:v>HYPERLINK is not implemented. linkLocation=https://www.imdb.com/title/tt11218290/fullcredits/, friendlyName=Open source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/>
      <x:c r="AI87" s="14"/>
      <x:c r="AJ87" s="14" t="str">
        <x:v>No master-list match</x:v>
      </x:c>
      <x:c r="AK87" s="14" t="str">
        <x:v>Unresolved</x:v>
      </x:c>
      <x:c r="AL87" s="14" t="str">
        <x:v>No matching production in master register.</x:v>
      </x:c>
      <x:c r="AM87" s="14"/>
      <x:c r="AN87" s="14" t="str">
        <x:v>Relationship unresolved</x:v>
      </x:c>
      <x:c r="AO87" s="14" t="str">
        <x:v>Review required</x:v>
      </x:c>
      <x:c r="AP87" s="14" t="str">
        <x:v>Review required</x:v>
      </x:c>
      <x:c r="AQ87" s="14" t="str">
        <x:v>Review required</x:v>
      </x:c>
      <x:c r="AR87" s="14" t="str">
        <x:v>Review required</x:v>
      </x:c>
      <x:c r="AS87" s="14" t="str">
        <x:v>No established-register match</x:v>
      </x:c>
      <x:c r="AT87" s="14"/>
      <x:c r="AU87" s="14"/>
      <x:c r="AV87" s="14" t="str">
        <x:v>No established apparent-disability match</x:v>
      </x:c>
      <x:c r="AW87" s="14"/>
      <x:c r="AX87" s="14" t="str">
        <x:v>No</x:v>
      </x:c>
      <x:c r="AY87" s="14" t="str">
        <x:v>Unmatched</x:v>
      </x:c>
      <x:c r="AZ87" s="14" t="str">
        <x:v>Final supplied register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/>
      <x:c r="BP87" s="14" t="str">
        <x:v>Unable to calculate from supplied records.</x:v>
      </x:c>
      <x:c r="BQ87" s="14" t="str">
        <x:v>Unable to determine</x:v>
      </x:c>
      <x:c r="BR87" s="15" t="n">
        <x:v>1</x:v>
      </x:c>
      <x:c r="BS87" s="16"/>
      <x:c r="BT87" s="14" t="str">
        <x:v>Unable to calculate</x:v>
      </x:c>
      <x:c r="BU87" s="14" t="str">
        <x:v>Unable to determine</x:v>
      </x:c>
      <x:c r="BV87" s="14" t="str">
        <x:v>Episode count or production-total proxy unavailable.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HYPERLINK is not implemented. linkLocation=https://www.imdb.com/title/tt11218290/fullcredits/, friendlyName=Open source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tt11218290|nm9643036|waiter</x:v>
      </x:c>
      <x:c r="B88" s="14" t="str">
        <x:v>04</x:v>
      </x:c>
      <x:c r="C88" s="14" t="str">
        <x:v>2024_IMDb_Cast_Lists_Batch_04(1).xlsx</x:v>
      </x:c>
      <x:c r="D88" s="14" t="str">
        <x:v>Sweatpea</x:v>
      </x:c>
      <x:c r="E88" s="14" t="n">
        <x:v>51</x:v>
      </x:c>
      <x:c r="F88" s="14" t="str">
        <x:v>Sweatpea</x:v>
      </x:c>
      <x:c r="G88" s="14" t="str">
        <x:v>tt11218290</x:v>
      </x:c>
      <x:c r="H88" s="14"/>
      <x:c r="I88" s="14" t="n">
        <x:v>2025</x:v>
      </x:c>
      <x:c r="J88" s="14" t="str">
        <x:v>Review cohort</x:v>
      </x:c>
      <x:c r="K88" s="14" t="n">
        <x:v>2024</x:v>
      </x:c>
      <x:c r="L88" s="14" t="str">
        <x:v>Not inherited</x:v>
      </x:c>
      <x:c r="M88" s="15" t="n">
        <x:v>44</x:v>
      </x:c>
      <x:c r="N88" s="14" t="str">
        <x:v>Victor Itang</x:v>
      </x:c>
      <x:c r="O88" s="14" t="str">
        <x:v>nm9643036</x:v>
      </x:c>
      <x:c r="P88" s="14" t="str">
        <x:v>Waiter</x:v>
      </x:c>
      <x:c r="Q88" s="15" t="n">
        <x:v>1</x:v>
      </x:c>
      <x:c r="R88" s="14" t="str">
        <x:v>2024</x:v>
      </x:c>
      <x:c r="S88" s="14" t="n">
        <x:v>2024</x:v>
      </x:c>
      <x:c r="T88" s="14" t="n">
        <x:v>2024</x:v>
      </x:c>
      <x:c r="U88" s="14" t="str">
        <x:v>Unresolved</x:v>
      </x:c>
      <x:c r="V88" s="14" t="str">
        <x:v>Production scope or source year is unresolved.</x:v>
      </x:c>
      <x:c r="W88" s="14" t="str">
        <x:v>Review required</x:v>
      </x:c>
      <x:c r="X88" s="14" t="str">
        <x:v>Review required</x:v>
      </x:c>
      <x:c r="Y88" s="14"/>
      <x:c r="Z88" s="14" t="str">
        <x:v>Sweatpea(1).docx</x:v>
      </x:c>
      <x:c r="AA88" s="14" t="str">
        <x:v>HYPERLINK is not implemented. linkLocation=https://www.imdb.com/title/tt11218290/fullcredits/, friendlyName=Open source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/>
      <x:c r="AI88" s="14"/>
      <x:c r="AJ88" s="14" t="str">
        <x:v>No master-list match</x:v>
      </x:c>
      <x:c r="AK88" s="14" t="str">
        <x:v>Unresolved</x:v>
      </x:c>
      <x:c r="AL88" s="14" t="str">
        <x:v>No matching production in master register.</x:v>
      </x:c>
      <x:c r="AM88" s="14"/>
      <x:c r="AN88" s="14" t="str">
        <x:v>Relationship unresolved</x:v>
      </x:c>
      <x:c r="AO88" s="14" t="str">
        <x:v>Review required</x:v>
      </x:c>
      <x:c r="AP88" s="14" t="str">
        <x:v>Review required</x:v>
      </x:c>
      <x:c r="AQ88" s="14" t="str">
        <x:v>Review required</x:v>
      </x:c>
      <x:c r="AR88" s="14" t="str">
        <x:v>Review required</x:v>
      </x:c>
      <x:c r="AS88" s="14" t="str">
        <x:v>No established-register match</x:v>
      </x:c>
      <x:c r="AT88" s="14"/>
      <x:c r="AU88" s="14"/>
      <x:c r="AV88" s="14" t="str">
        <x:v>No established apparent-disability match</x:v>
      </x:c>
      <x:c r="AW88" s="14"/>
      <x:c r="AX88" s="14" t="str">
        <x:v>No</x:v>
      </x:c>
      <x:c r="AY88" s="14" t="str">
        <x:v>Unmatched</x:v>
      </x:c>
      <x:c r="AZ88" s="14" t="str">
        <x:v>Final supplied register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/>
      <x:c r="BP88" s="14" t="str">
        <x:v>Unable to calculate from supplied records.</x:v>
      </x:c>
      <x:c r="BQ88" s="14" t="str">
        <x:v>Unable to determine</x:v>
      </x:c>
      <x:c r="BR88" s="15" t="n">
        <x:v>1</x:v>
      </x:c>
      <x:c r="BS88" s="16"/>
      <x:c r="BT88" s="14" t="str">
        <x:v>Unable to calculate</x:v>
      </x:c>
      <x:c r="BU88" s="14" t="str">
        <x:v>Unable to determine</x:v>
      </x:c>
      <x:c r="BV88" s="14" t="str">
        <x:v>Episode count or production-total proxy unavailable.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HYPERLINK is not implemented. linkLocation=https://www.imdb.com/title/tt11218290/fullcredits/, friendlyName=Open source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tt11218290|nm8540997|surveyor neil</x:v>
      </x:c>
      <x:c r="B89" s="14" t="str">
        <x:v>04</x:v>
      </x:c>
      <x:c r="C89" s="14" t="str">
        <x:v>2024_IMDb_Cast_Lists_Batch_04(1).xlsx</x:v>
      </x:c>
      <x:c r="D89" s="14" t="str">
        <x:v>Sweatpea</x:v>
      </x:c>
      <x:c r="E89" s="14" t="n">
        <x:v>52</x:v>
      </x:c>
      <x:c r="F89" s="14" t="str">
        <x:v>Sweatpea</x:v>
      </x:c>
      <x:c r="G89" s="14" t="str">
        <x:v>tt11218290</x:v>
      </x:c>
      <x:c r="H89" s="14"/>
      <x:c r="I89" s="14" t="n">
        <x:v>2025</x:v>
      </x:c>
      <x:c r="J89" s="14" t="str">
        <x:v>Review cohort</x:v>
      </x:c>
      <x:c r="K89" s="14" t="n">
        <x:v>2024</x:v>
      </x:c>
      <x:c r="L89" s="14" t="str">
        <x:v>Not inherited</x:v>
      </x:c>
      <x:c r="M89" s="15" t="n">
        <x:v>45</x:v>
      </x:c>
      <x:c r="N89" s="14" t="str">
        <x:v>Loris Scarpa</x:v>
      </x:c>
      <x:c r="O89" s="14" t="str">
        <x:v>nm8540997</x:v>
      </x:c>
      <x:c r="P89" s="14" t="str">
        <x:v>Surveyor Neil</x:v>
      </x:c>
      <x:c r="Q89" s="15" t="n">
        <x:v>1</x:v>
      </x:c>
      <x:c r="R89" s="14" t="str">
        <x:v>2024</x:v>
      </x:c>
      <x:c r="S89" s="14" t="n">
        <x:v>2024</x:v>
      </x:c>
      <x:c r="T89" s="14" t="n">
        <x:v>2024</x:v>
      </x:c>
      <x:c r="U89" s="14" t="str">
        <x:v>Unresolved</x:v>
      </x:c>
      <x:c r="V89" s="14" t="str">
        <x:v>Production scope or source year is unresolved.</x:v>
      </x:c>
      <x:c r="W89" s="14" t="str">
        <x:v>Review required</x:v>
      </x:c>
      <x:c r="X89" s="14" t="str">
        <x:v>Review required</x:v>
      </x:c>
      <x:c r="Y89" s="14"/>
      <x:c r="Z89" s="14" t="str">
        <x:v>Sweatpea(1).docx</x:v>
      </x:c>
      <x:c r="AA89" s="14" t="str">
        <x:v>HYPERLINK is not implemented. linkLocation=https://www.imdb.com/title/tt11218290/fullcredits/, friendlyName=Open source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/>
      <x:c r="AI89" s="14"/>
      <x:c r="AJ89" s="14" t="str">
        <x:v>No master-list match</x:v>
      </x:c>
      <x:c r="AK89" s="14" t="str">
        <x:v>Unresolved</x:v>
      </x:c>
      <x:c r="AL89" s="14" t="str">
        <x:v>No matching production in master register.</x:v>
      </x:c>
      <x:c r="AM89" s="14"/>
      <x:c r="AN89" s="14" t="str">
        <x:v>Relationship unresolved</x:v>
      </x:c>
      <x:c r="AO89" s="14" t="str">
        <x:v>Review required</x:v>
      </x:c>
      <x:c r="AP89" s="14" t="str">
        <x:v>Review required</x:v>
      </x:c>
      <x:c r="AQ89" s="14" t="str">
        <x:v>Review required</x:v>
      </x:c>
      <x:c r="AR89" s="14" t="str">
        <x:v>Review required</x:v>
      </x:c>
      <x:c r="AS89" s="14" t="str">
        <x:v>No established-register match</x:v>
      </x:c>
      <x:c r="AT89" s="14"/>
      <x:c r="AU89" s="14"/>
      <x:c r="AV89" s="14" t="str">
        <x:v>No established apparent-disability match</x:v>
      </x:c>
      <x:c r="AW89" s="14"/>
      <x:c r="AX89" s="14" t="str">
        <x:v>No</x:v>
      </x:c>
      <x:c r="AY89" s="14" t="str">
        <x:v>Unmatched</x:v>
      </x:c>
      <x:c r="AZ89" s="14" t="str">
        <x:v>Final supplied register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/>
      <x:c r="BP89" s="14" t="str">
        <x:v>Unable to calculate from supplied records.</x:v>
      </x:c>
      <x:c r="BQ89" s="14" t="str">
        <x:v>Unable to determine</x:v>
      </x:c>
      <x:c r="BR89" s="15" t="n">
        <x:v>1</x:v>
      </x:c>
      <x:c r="BS89" s="16"/>
      <x:c r="BT89" s="14" t="str">
        <x:v>Unable to calculate</x:v>
      </x:c>
      <x:c r="BU89" s="14" t="str">
        <x:v>Unable to determine</x:v>
      </x:c>
      <x:c r="BV89" s="14" t="str">
        <x:v>Episode count or production-total proxy unavailable.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HYPERLINK is not implemented. linkLocation=https://www.imdb.com/title/tt11218290/fullcredits/, friendlyName=Open source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tt11218290|nm0447353|aunty brenda</x:v>
      </x:c>
      <x:c r="B90" s="14" t="str">
        <x:v>04</x:v>
      </x:c>
      <x:c r="C90" s="14" t="str">
        <x:v>2024_IMDb_Cast_Lists_Batch_04(1).xlsx</x:v>
      </x:c>
      <x:c r="D90" s="14" t="str">
        <x:v>Sweatpea</x:v>
      </x:c>
      <x:c r="E90" s="14" t="n">
        <x:v>53</x:v>
      </x:c>
      <x:c r="F90" s="14" t="str">
        <x:v>Sweatpea</x:v>
      </x:c>
      <x:c r="G90" s="14" t="str">
        <x:v>tt11218290</x:v>
      </x:c>
      <x:c r="H90" s="14"/>
      <x:c r="I90" s="14" t="n">
        <x:v>2025</x:v>
      </x:c>
      <x:c r="J90" s="14" t="str">
        <x:v>Review cohort</x:v>
      </x:c>
      <x:c r="K90" s="14" t="n">
        <x:v>2024</x:v>
      </x:c>
      <x:c r="L90" s="14" t="str">
        <x:v>Not inherited</x:v>
      </x:c>
      <x:c r="M90" s="15" t="n">
        <x:v>46</x:v>
      </x:c>
      <x:c r="N90" s="14" t="str">
        <x:v>Polly Kemp</x:v>
      </x:c>
      <x:c r="O90" s="14" t="str">
        <x:v>nm0447353</x:v>
      </x:c>
      <x:c r="P90" s="14" t="str">
        <x:v>Aunty Brenda</x:v>
      </x:c>
      <x:c r="Q90" s="15" t="n">
        <x:v>1</x:v>
      </x:c>
      <x:c r="R90" s="14" t="str">
        <x:v>2024</x:v>
      </x:c>
      <x:c r="S90" s="14" t="n">
        <x:v>2024</x:v>
      </x:c>
      <x:c r="T90" s="14" t="n">
        <x:v>2024</x:v>
      </x:c>
      <x:c r="U90" s="14" t="str">
        <x:v>Unresolved</x:v>
      </x:c>
      <x:c r="V90" s="14" t="str">
        <x:v>Production scope or source year is unresolved.</x:v>
      </x:c>
      <x:c r="W90" s="14" t="str">
        <x:v>Review required</x:v>
      </x:c>
      <x:c r="X90" s="14" t="str">
        <x:v>Review required</x:v>
      </x:c>
      <x:c r="Y90" s="14"/>
      <x:c r="Z90" s="14" t="str">
        <x:v>Sweatpea(1).docx</x:v>
      </x:c>
      <x:c r="AA90" s="14" t="str">
        <x:v>HYPERLINK is not implemented. linkLocation=https://www.imdb.com/title/tt11218290/fullcredits/, friendlyName=Open source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/>
      <x:c r="AI90" s="14"/>
      <x:c r="AJ90" s="14" t="str">
        <x:v>No master-list match</x:v>
      </x:c>
      <x:c r="AK90" s="14" t="str">
        <x:v>Unresolved</x:v>
      </x:c>
      <x:c r="AL90" s="14" t="str">
        <x:v>No matching production in master register.</x:v>
      </x:c>
      <x:c r="AM90" s="14"/>
      <x:c r="AN90" s="14" t="str">
        <x:v>Relationship unresolved</x:v>
      </x:c>
      <x:c r="AO90" s="14" t="str">
        <x:v>Review required</x:v>
      </x:c>
      <x:c r="AP90" s="14" t="str">
        <x:v>Review required</x:v>
      </x:c>
      <x:c r="AQ90" s="14" t="str">
        <x:v>Review required</x:v>
      </x:c>
      <x:c r="AR90" s="14" t="str">
        <x:v>Review required</x:v>
      </x:c>
      <x:c r="AS90" s="14" t="str">
        <x:v>No established-register match</x:v>
      </x:c>
      <x:c r="AT90" s="14"/>
      <x:c r="AU90" s="14"/>
      <x:c r="AV90" s="14" t="str">
        <x:v>No established apparent-disability match</x:v>
      </x:c>
      <x:c r="AW90" s="14"/>
      <x:c r="AX90" s="14" t="str">
        <x:v>No</x:v>
      </x:c>
      <x:c r="AY90" s="14" t="str">
        <x:v>Unmatched</x:v>
      </x:c>
      <x:c r="AZ90" s="14" t="str">
        <x:v>Final supplied register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/>
      <x:c r="BP90" s="14" t="str">
        <x:v>Unable to calculate from supplied records.</x:v>
      </x:c>
      <x:c r="BQ90" s="14" t="str">
        <x:v>Unable to determine</x:v>
      </x:c>
      <x:c r="BR90" s="15" t="n">
        <x:v>1</x:v>
      </x:c>
      <x:c r="BS90" s="16"/>
      <x:c r="BT90" s="14" t="str">
        <x:v>Unable to calculate</x:v>
      </x:c>
      <x:c r="BU90" s="14" t="str">
        <x:v>Unable to determine</x:v>
      </x:c>
      <x:c r="BV90" s="14" t="str">
        <x:v>Episode count or production-total proxy unavailable.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HYPERLINK is not implemented. linkLocation=https://www.imdb.com/title/tt11218290/fullcredits/, friendlyName=Open source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tt11218290|nm0340067|liv</x:v>
      </x:c>
      <x:c r="B91" s="14" t="str">
        <x:v>04</x:v>
      </x:c>
      <x:c r="C91" s="14" t="str">
        <x:v>2024_IMDb_Cast_Lists_Batch_04(1).xlsx</x:v>
      </x:c>
      <x:c r="D91" s="14" t="str">
        <x:v>Sweatpea</x:v>
      </x:c>
      <x:c r="E91" s="14" t="n">
        <x:v>54</x:v>
      </x:c>
      <x:c r="F91" s="14" t="str">
        <x:v>Sweatpea</x:v>
      </x:c>
      <x:c r="G91" s="14" t="str">
        <x:v>tt11218290</x:v>
      </x:c>
      <x:c r="H91" s="14"/>
      <x:c r="I91" s="14" t="n">
        <x:v>2025</x:v>
      </x:c>
      <x:c r="J91" s="14" t="str">
        <x:v>Review cohort</x:v>
      </x:c>
      <x:c r="K91" s="14" t="n">
        <x:v>2024</x:v>
      </x:c>
      <x:c r="L91" s="14" t="str">
        <x:v>Not inherited</x:v>
      </x:c>
      <x:c r="M91" s="15" t="n">
        <x:v>47</x:v>
      </x:c>
      <x:c r="N91" s="14" t="str">
        <x:v>Tamsin Greig</x:v>
      </x:c>
      <x:c r="O91" s="14" t="str">
        <x:v>nm0340067</x:v>
      </x:c>
      <x:c r="P91" s="14" t="str">
        <x:v>Liv</x:v>
      </x:c>
      <x:c r="Q91" s="15" t="n">
        <x:v>1</x:v>
      </x:c>
      <x:c r="R91" s="14"/>
      <x:c r="S91" s="14"/>
      <x:c r="T91" s="14"/>
      <x:c r="U91" s="14" t="str">
        <x:v>Unresolved</x:v>
      </x:c>
      <x:c r="V91" s="14" t="str">
        <x:v>Production scope or source year is unresolved.</x:v>
      </x:c>
      <x:c r="W91" s="14" t="str">
        <x:v>Review required</x:v>
      </x:c>
      <x:c r="X91" s="14" t="str">
        <x:v>Review required</x:v>
      </x:c>
      <x:c r="Y91" s="14"/>
      <x:c r="Z91" s="14" t="str">
        <x:v>Sweatpea(1).docx</x:v>
      </x:c>
      <x:c r="AA91" s="14" t="str">
        <x:v>HYPERLINK is not implemented. linkLocation=https://www.imdb.com/title/tt11218290/fullcredits/, friendlyName=Open source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/>
      <x:c r="AI91" s="14"/>
      <x:c r="AJ91" s="14" t="str">
        <x:v>No master-list match</x:v>
      </x:c>
      <x:c r="AK91" s="14" t="str">
        <x:v>Unresolved</x:v>
      </x:c>
      <x:c r="AL91" s="14" t="str">
        <x:v>No matching production in master register.</x:v>
      </x:c>
      <x:c r="AM91" s="14"/>
      <x:c r="AN91" s="14" t="str">
        <x:v>Relationship unresolved</x:v>
      </x:c>
      <x:c r="AO91" s="14" t="str">
        <x:v>Review required</x:v>
      </x:c>
      <x:c r="AP91" s="14" t="str">
        <x:v>Review required</x:v>
      </x:c>
      <x:c r="AQ91" s="14" t="str">
        <x:v>Review required</x:v>
      </x:c>
      <x:c r="AR91" s="14" t="str">
        <x:v>Review required</x:v>
      </x:c>
      <x:c r="AS91" s="14" t="str">
        <x:v>No established-register match</x:v>
      </x:c>
      <x:c r="AT91" s="14"/>
      <x:c r="AU91" s="14"/>
      <x:c r="AV91" s="14" t="str">
        <x:v>No established apparent-disability match</x:v>
      </x:c>
      <x:c r="AW91" s="14"/>
      <x:c r="AX91" s="14" t="str">
        <x:v>No</x:v>
      </x:c>
      <x:c r="AY91" s="14" t="str">
        <x:v>Unmatched</x:v>
      </x:c>
      <x:c r="AZ91" s="14" t="str">
        <x:v>Final supplied register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/>
      <x:c r="BP91" s="14" t="str">
        <x:v>Unable to calculate from supplied records.</x:v>
      </x:c>
      <x:c r="BQ91" s="14" t="str">
        <x:v>Unable to determine</x:v>
      </x:c>
      <x:c r="BR91" s="15" t="n">
        <x:v>1</x:v>
      </x:c>
      <x:c r="BS91" s="16"/>
      <x:c r="BT91" s="14" t="str">
        <x:v>Unable to calculate</x:v>
      </x:c>
      <x:c r="BU91" s="14" t="str">
        <x:v>Unable to determine</x:v>
      </x:c>
      <x:c r="BV91" s="14" t="str">
        <x:v>Episode count or production-total proxy unavailable.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HYPERLINK is not implemented. linkLocation=https://www.imdb.com/title/tt11218290/fullcredits/, friendlyName=Open source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tt11218290|nm4883026|freya</x:v>
      </x:c>
      <x:c r="B92" s="14" t="str">
        <x:v>04</x:v>
      </x:c>
      <x:c r="C92" s="14" t="str">
        <x:v>2024_IMDb_Cast_Lists_Batch_04(1).xlsx</x:v>
      </x:c>
      <x:c r="D92" s="14" t="str">
        <x:v>Sweatpea</x:v>
      </x:c>
      <x:c r="E92" s="14" t="n">
        <x:v>55</x:v>
      </x:c>
      <x:c r="F92" s="14" t="str">
        <x:v>Sweatpea</x:v>
      </x:c>
      <x:c r="G92" s="14" t="str">
        <x:v>tt11218290</x:v>
      </x:c>
      <x:c r="H92" s="14"/>
      <x:c r="I92" s="14" t="n">
        <x:v>2025</x:v>
      </x:c>
      <x:c r="J92" s="14" t="str">
        <x:v>Review cohort</x:v>
      </x:c>
      <x:c r="K92" s="14" t="n">
        <x:v>2024</x:v>
      </x:c>
      <x:c r="L92" s="14" t="str">
        <x:v>Not inherited</x:v>
      </x:c>
      <x:c r="M92" s="15" t="n">
        <x:v>48</x:v>
      </x:c>
      <x:c r="N92" s="14" t="str">
        <x:v>Taj Atwal</x:v>
      </x:c>
      <x:c r="O92" s="14" t="str">
        <x:v>nm4883026</x:v>
      </x:c>
      <x:c r="P92" s="14" t="str">
        <x:v>Freya</x:v>
      </x:c>
      <x:c r="Q92" s="15" t="n">
        <x:v>1</x:v>
      </x:c>
      <x:c r="R92" s="14"/>
      <x:c r="S92" s="14"/>
      <x:c r="T92" s="14"/>
      <x:c r="U92" s="14" t="str">
        <x:v>Unresolved</x:v>
      </x:c>
      <x:c r="V92" s="14" t="str">
        <x:v>Production scope or source year is unresolved.</x:v>
      </x:c>
      <x:c r="W92" s="14" t="str">
        <x:v>Review required</x:v>
      </x:c>
      <x:c r="X92" s="14" t="str">
        <x:v>Review required</x:v>
      </x:c>
      <x:c r="Y92" s="14"/>
      <x:c r="Z92" s="14" t="str">
        <x:v>Sweatpea(1).docx</x:v>
      </x:c>
      <x:c r="AA92" s="14" t="str">
        <x:v>HYPERLINK is not implemented. linkLocation=https://www.imdb.com/title/tt11218290/fullcredits/, friendlyName=Open source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/>
      <x:c r="AI92" s="14"/>
      <x:c r="AJ92" s="14" t="str">
        <x:v>No master-list match</x:v>
      </x:c>
      <x:c r="AK92" s="14" t="str">
        <x:v>Unresolved</x:v>
      </x:c>
      <x:c r="AL92" s="14" t="str">
        <x:v>No matching production in master register.</x:v>
      </x:c>
      <x:c r="AM92" s="14"/>
      <x:c r="AN92" s="14" t="str">
        <x:v>Relationship unresolved</x:v>
      </x:c>
      <x:c r="AO92" s="14" t="str">
        <x:v>Review required</x:v>
      </x:c>
      <x:c r="AP92" s="14" t="str">
        <x:v>Review required</x:v>
      </x:c>
      <x:c r="AQ92" s="14" t="str">
        <x:v>Review required</x:v>
      </x:c>
      <x:c r="AR92" s="14" t="str">
        <x:v>Review required</x:v>
      </x:c>
      <x:c r="AS92" s="14" t="str">
        <x:v>No established-register match</x:v>
      </x:c>
      <x:c r="AT92" s="14"/>
      <x:c r="AU92" s="14"/>
      <x:c r="AV92" s="14" t="str">
        <x:v>No established apparent-disability match</x:v>
      </x:c>
      <x:c r="AW92" s="14"/>
      <x:c r="AX92" s="14" t="str">
        <x:v>No</x:v>
      </x:c>
      <x:c r="AY92" s="14" t="str">
        <x:v>Unmatched</x:v>
      </x:c>
      <x:c r="AZ92" s="14" t="str">
        <x:v>Final supplied register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/>
      <x:c r="BP92" s="14" t="str">
        <x:v>Unable to calculate from supplied records.</x:v>
      </x:c>
      <x:c r="BQ92" s="14" t="str">
        <x:v>Unable to determine</x:v>
      </x:c>
      <x:c r="BR92" s="15" t="n">
        <x:v>1</x:v>
      </x:c>
      <x:c r="BS92" s="16"/>
      <x:c r="BT92" s="14" t="str">
        <x:v>Unable to calculate</x:v>
      </x:c>
      <x:c r="BU92" s="14" t="str">
        <x:v>Unable to determine</x:v>
      </x:c>
      <x:c r="BV92" s="14" t="str">
        <x:v>Episode count or production-total proxy unavailable.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HYPERLINK is not implemented. linkLocation=https://www.imdb.com/title/tt11218290/fullcredits/, friendlyName=Open source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tt11218290|nm9169920|gabriel</x:v>
      </x:c>
      <x:c r="B93" s="14" t="str">
        <x:v>04</x:v>
      </x:c>
      <x:c r="C93" s="14" t="str">
        <x:v>2024_IMDb_Cast_Lists_Batch_04(1).xlsx</x:v>
      </x:c>
      <x:c r="D93" s="14" t="str">
        <x:v>Sweatpea</x:v>
      </x:c>
      <x:c r="E93" s="14" t="n">
        <x:v>56</x:v>
      </x:c>
      <x:c r="F93" s="14" t="str">
        <x:v>Sweatpea</x:v>
      </x:c>
      <x:c r="G93" s="14" t="str">
        <x:v>tt11218290</x:v>
      </x:c>
      <x:c r="H93" s="14"/>
      <x:c r="I93" s="14" t="n">
        <x:v>2025</x:v>
      </x:c>
      <x:c r="J93" s="14" t="str">
        <x:v>Review cohort</x:v>
      </x:c>
      <x:c r="K93" s="14" t="n">
        <x:v>2024</x:v>
      </x:c>
      <x:c r="L93" s="14" t="str">
        <x:v>Not inherited</x:v>
      </x:c>
      <x:c r="M93" s="15" t="n">
        <x:v>49</x:v>
      </x:c>
      <x:c r="N93" s="14" t="str">
        <x:v>Rish Shah</x:v>
      </x:c>
      <x:c r="O93" s="14" t="str">
        <x:v>nm9169920</x:v>
      </x:c>
      <x:c r="P93" s="14" t="str">
        <x:v>Gabriel</x:v>
      </x:c>
      <x:c r="Q93" s="15" t="n">
        <x:v>1</x:v>
      </x:c>
      <x:c r="R93" s="14"/>
      <x:c r="S93" s="14"/>
      <x:c r="T93" s="14"/>
      <x:c r="U93" s="14" t="str">
        <x:v>Unresolved</x:v>
      </x:c>
      <x:c r="V93" s="14" t="str">
        <x:v>Production scope or source year is unresolved.</x:v>
      </x:c>
      <x:c r="W93" s="14" t="str">
        <x:v>Review required</x:v>
      </x:c>
      <x:c r="X93" s="14" t="str">
        <x:v>Review required</x:v>
      </x:c>
      <x:c r="Y93" s="14"/>
      <x:c r="Z93" s="14" t="str">
        <x:v>Sweatpea(1).docx</x:v>
      </x:c>
      <x:c r="AA93" s="14" t="str">
        <x:v>HYPERLINK is not implemented. linkLocation=https://www.imdb.com/title/tt11218290/fullcredits/, friendlyName=Open source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/>
      <x:c r="AI93" s="14"/>
      <x:c r="AJ93" s="14" t="str">
        <x:v>No master-list match</x:v>
      </x:c>
      <x:c r="AK93" s="14" t="str">
        <x:v>Unresolved</x:v>
      </x:c>
      <x:c r="AL93" s="14" t="str">
        <x:v>No matching production in master register.</x:v>
      </x:c>
      <x:c r="AM93" s="14"/>
      <x:c r="AN93" s="14" t="str">
        <x:v>Relationship unresolved</x:v>
      </x:c>
      <x:c r="AO93" s="14" t="str">
        <x:v>Review required</x:v>
      </x:c>
      <x:c r="AP93" s="14" t="str">
        <x:v>Review required</x:v>
      </x:c>
      <x:c r="AQ93" s="14" t="str">
        <x:v>Review required</x:v>
      </x:c>
      <x:c r="AR93" s="14" t="str">
        <x:v>Review required</x:v>
      </x:c>
      <x:c r="AS93" s="14" t="str">
        <x:v>No established-register match</x:v>
      </x:c>
      <x:c r="AT93" s="14"/>
      <x:c r="AU93" s="14"/>
      <x:c r="AV93" s="14" t="str">
        <x:v>No established apparent-disability match</x:v>
      </x:c>
      <x:c r="AW93" s="14"/>
      <x:c r="AX93" s="14" t="str">
        <x:v>No</x:v>
      </x:c>
      <x:c r="AY93" s="14" t="str">
        <x:v>Unmatched</x:v>
      </x:c>
      <x:c r="AZ93" s="14" t="str">
        <x:v>Final supplied register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/>
      <x:c r="BP93" s="14" t="str">
        <x:v>Unable to calculate from supplied records.</x:v>
      </x:c>
      <x:c r="BQ93" s="14" t="str">
        <x:v>Unable to determine</x:v>
      </x:c>
      <x:c r="BR93" s="15" t="n">
        <x:v>1</x:v>
      </x:c>
      <x:c r="BS93" s="16"/>
      <x:c r="BT93" s="14" t="str">
        <x:v>Unable to calculate</x:v>
      </x:c>
      <x:c r="BU93" s="14" t="str">
        <x:v>Unable to determine</x:v>
      </x:c>
      <x:c r="BV93" s="14" t="str">
        <x:v>Episode count or production-total proxy unavailable.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HYPERLINK is not implemented. linkLocation=https://www.imdb.com/title/tt11218290/fullcredits/, friendlyName=Open source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tt11218290|nm11359629|daisy</x:v>
      </x:c>
      <x:c r="B94" s="14" t="str">
        <x:v>04</x:v>
      </x:c>
      <x:c r="C94" s="14" t="str">
        <x:v>2024_IMDb_Cast_Lists_Batch_04(1).xlsx</x:v>
      </x:c>
      <x:c r="D94" s="14" t="str">
        <x:v>Sweatpea</x:v>
      </x:c>
      <x:c r="E94" s="14" t="n">
        <x:v>57</x:v>
      </x:c>
      <x:c r="F94" s="14" t="str">
        <x:v>Sweatpea</x:v>
      </x:c>
      <x:c r="G94" s="14" t="str">
        <x:v>tt11218290</x:v>
      </x:c>
      <x:c r="H94" s="14"/>
      <x:c r="I94" s="14" t="n">
        <x:v>2025</x:v>
      </x:c>
      <x:c r="J94" s="14" t="str">
        <x:v>Review cohort</x:v>
      </x:c>
      <x:c r="K94" s="14" t="n">
        <x:v>2024</x:v>
      </x:c>
      <x:c r="L94" s="14" t="str">
        <x:v>Not inherited</x:v>
      </x:c>
      <x:c r="M94" s="15" t="n">
        <x:v>50</x:v>
      </x:c>
      <x:c r="N94" s="14" t="str">
        <x:v>Jenny Walser</x:v>
      </x:c>
      <x:c r="O94" s="14" t="str">
        <x:v>nm11359629</x:v>
      </x:c>
      <x:c r="P94" s="14" t="str">
        <x:v>Daisy</x:v>
      </x:c>
      <x:c r="Q94" s="15" t="n">
        <x:v>1</x:v>
      </x:c>
      <x:c r="R94" s="14"/>
      <x:c r="S94" s="14"/>
      <x:c r="T94" s="14"/>
      <x:c r="U94" s="14" t="str">
        <x:v>Unresolved</x:v>
      </x:c>
      <x:c r="V94" s="14" t="str">
        <x:v>Production scope or source year is unresolved.</x:v>
      </x:c>
      <x:c r="W94" s="14" t="str">
        <x:v>Review required</x:v>
      </x:c>
      <x:c r="X94" s="14" t="str">
        <x:v>Review required</x:v>
      </x:c>
      <x:c r="Y94" s="14"/>
      <x:c r="Z94" s="14" t="str">
        <x:v>Sweatpea(1).docx</x:v>
      </x:c>
      <x:c r="AA94" s="14" t="str">
        <x:v>HYPERLINK is not implemented. linkLocation=https://www.imdb.com/title/tt11218290/fullcredits/, friendlyName=Open source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/>
      <x:c r="AI94" s="14"/>
      <x:c r="AJ94" s="14" t="str">
        <x:v>No master-list match</x:v>
      </x:c>
      <x:c r="AK94" s="14" t="str">
        <x:v>Unresolved</x:v>
      </x:c>
      <x:c r="AL94" s="14" t="str">
        <x:v>No matching production in master register.</x:v>
      </x:c>
      <x:c r="AM94" s="14"/>
      <x:c r="AN94" s="14" t="str">
        <x:v>Relationship unresolved</x:v>
      </x:c>
      <x:c r="AO94" s="14" t="str">
        <x:v>Review required</x:v>
      </x:c>
      <x:c r="AP94" s="14" t="str">
        <x:v>Review required</x:v>
      </x:c>
      <x:c r="AQ94" s="14" t="str">
        <x:v>Review required</x:v>
      </x:c>
      <x:c r="AR94" s="14" t="str">
        <x:v>Review required</x:v>
      </x:c>
      <x:c r="AS94" s="14" t="str">
        <x:v>No established-register match</x:v>
      </x:c>
      <x:c r="AT94" s="14"/>
      <x:c r="AU94" s="14"/>
      <x:c r="AV94" s="14" t="str">
        <x:v>No established apparent-disability match</x:v>
      </x:c>
      <x:c r="AW94" s="14"/>
      <x:c r="AX94" s="14" t="str">
        <x:v>No</x:v>
      </x:c>
      <x:c r="AY94" s="14" t="str">
        <x:v>Unmatched</x:v>
      </x:c>
      <x:c r="AZ94" s="14" t="str">
        <x:v>Final supplied register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/>
      <x:c r="BP94" s="14" t="str">
        <x:v>Unable to calculate from supplied records.</x:v>
      </x:c>
      <x:c r="BQ94" s="14" t="str">
        <x:v>Unable to determine</x:v>
      </x:c>
      <x:c r="BR94" s="15" t="n">
        <x:v>1</x:v>
      </x:c>
      <x:c r="BS94" s="16"/>
      <x:c r="BT94" s="14" t="str">
        <x:v>Unable to calculate</x:v>
      </x:c>
      <x:c r="BU94" s="14" t="str">
        <x:v>Unable to determine</x:v>
      </x:c>
      <x:c r="BV94" s="14" t="str">
        <x:v>Episode count or production-total proxy unavailable.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HYPERLINK is not implemented. linkLocation=https://www.imdb.com/title/tt11218290/fullcredits/, friendlyName=Open source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tt11218290|nm5148127|nurse</x:v>
      </x:c>
      <x:c r="B95" s="14" t="str">
        <x:v>04</x:v>
      </x:c>
      <x:c r="C95" s="14" t="str">
        <x:v>2024_IMDb_Cast_Lists_Batch_04(1).xlsx</x:v>
      </x:c>
      <x:c r="D95" s="14" t="str">
        <x:v>Sweatpea</x:v>
      </x:c>
      <x:c r="E95" s="14" t="n">
        <x:v>58</x:v>
      </x:c>
      <x:c r="F95" s="14" t="str">
        <x:v>Sweatpea</x:v>
      </x:c>
      <x:c r="G95" s="14" t="str">
        <x:v>tt11218290</x:v>
      </x:c>
      <x:c r="H95" s="14"/>
      <x:c r="I95" s="14" t="n">
        <x:v>2025</x:v>
      </x:c>
      <x:c r="J95" s="14" t="str">
        <x:v>Review cohort</x:v>
      </x:c>
      <x:c r="K95" s="14" t="n">
        <x:v>2024</x:v>
      </x:c>
      <x:c r="L95" s="14" t="str">
        <x:v>Not inherited</x:v>
      </x:c>
      <x:c r="M95" s="15" t="n">
        <x:v>51</x:v>
      </x:c>
      <x:c r="N95" s="14" t="str">
        <x:v>Dilyana Bouklieva</x:v>
      </x:c>
      <x:c r="O95" s="14" t="str">
        <x:v>nm5148127</x:v>
      </x:c>
      <x:c r="P95" s="14" t="str">
        <x:v>Nurse</x:v>
      </x:c>
      <x:c r="Q95" s="15" t="n">
        <x:v>1</x:v>
      </x:c>
      <x:c r="R95" s="14"/>
      <x:c r="S95" s="14"/>
      <x:c r="T95" s="14"/>
      <x:c r="U95" s="14" t="str">
        <x:v>Unresolved</x:v>
      </x:c>
      <x:c r="V95" s="14" t="str">
        <x:v>Production scope or source year is unresolved.</x:v>
      </x:c>
      <x:c r="W95" s="14" t="str">
        <x:v>Review required</x:v>
      </x:c>
      <x:c r="X95" s="14" t="str">
        <x:v>Review required</x:v>
      </x:c>
      <x:c r="Y95" s="14"/>
      <x:c r="Z95" s="14" t="str">
        <x:v>Sweatpea(1).docx</x:v>
      </x:c>
      <x:c r="AA95" s="14" t="str">
        <x:v>HYPERLINK is not implemented. linkLocation=https://www.imdb.com/title/tt11218290/fullcredits/, friendlyName=Open source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/>
      <x:c r="AI95" s="14"/>
      <x:c r="AJ95" s="14" t="str">
        <x:v>No master-list match</x:v>
      </x:c>
      <x:c r="AK95" s="14" t="str">
        <x:v>Unresolved</x:v>
      </x:c>
      <x:c r="AL95" s="14" t="str">
        <x:v>No matching production in master register.</x:v>
      </x:c>
      <x:c r="AM95" s="14"/>
      <x:c r="AN95" s="14" t="str">
        <x:v>Relationship unresolved</x:v>
      </x:c>
      <x:c r="AO95" s="14" t="str">
        <x:v>Review required</x:v>
      </x:c>
      <x:c r="AP95" s="14" t="str">
        <x:v>Review required</x:v>
      </x:c>
      <x:c r="AQ95" s="14" t="str">
        <x:v>Review required</x:v>
      </x:c>
      <x:c r="AR95" s="14" t="str">
        <x:v>Review required</x:v>
      </x:c>
      <x:c r="AS95" s="14" t="str">
        <x:v>No established-register match</x:v>
      </x:c>
      <x:c r="AT95" s="14"/>
      <x:c r="AU95" s="14"/>
      <x:c r="AV95" s="14" t="str">
        <x:v>No established apparent-disability match</x:v>
      </x:c>
      <x:c r="AW95" s="14"/>
      <x:c r="AX95" s="14" t="str">
        <x:v>No</x:v>
      </x:c>
      <x:c r="AY95" s="14" t="str">
        <x:v>Unmatched</x:v>
      </x:c>
      <x:c r="AZ95" s="14" t="str">
        <x:v>Final supplied register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/>
      <x:c r="BP95" s="14" t="str">
        <x:v>Unable to calculate from supplied records.</x:v>
      </x:c>
      <x:c r="BQ95" s="14" t="str">
        <x:v>Unable to determine</x:v>
      </x:c>
      <x:c r="BR95" s="15" t="n">
        <x:v>1</x:v>
      </x:c>
      <x:c r="BS95" s="16"/>
      <x:c r="BT95" s="14" t="str">
        <x:v>Unable to calculate</x:v>
      </x:c>
      <x:c r="BU95" s="14" t="str">
        <x:v>Unable to determine</x:v>
      </x:c>
      <x:c r="BV95" s="14" t="str">
        <x:v>Episode count or production-total proxy unavailable.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HYPERLINK is not implemented. linkLocation=https://www.imdb.com/title/tt11218290/fullcredits/, friendlyName=Open source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tt11218290|nm9267340|teacher</x:v>
      </x:c>
      <x:c r="B96" s="14" t="str">
        <x:v>04</x:v>
      </x:c>
      <x:c r="C96" s="14" t="str">
        <x:v>2024_IMDb_Cast_Lists_Batch_04(1).xlsx</x:v>
      </x:c>
      <x:c r="D96" s="14" t="str">
        <x:v>Sweatpea</x:v>
      </x:c>
      <x:c r="E96" s="14" t="n">
        <x:v>59</x:v>
      </x:c>
      <x:c r="F96" s="14" t="str">
        <x:v>Sweatpea</x:v>
      </x:c>
      <x:c r="G96" s="14" t="str">
        <x:v>tt11218290</x:v>
      </x:c>
      <x:c r="H96" s="14"/>
      <x:c r="I96" s="14" t="n">
        <x:v>2025</x:v>
      </x:c>
      <x:c r="J96" s="14" t="str">
        <x:v>Review cohort</x:v>
      </x:c>
      <x:c r="K96" s="14" t="n">
        <x:v>2024</x:v>
      </x:c>
      <x:c r="L96" s="14" t="str">
        <x:v>Not inherited</x:v>
      </x:c>
      <x:c r="M96" s="15" t="n">
        <x:v>52</x:v>
      </x:c>
      <x:c r="N96" s="14" t="str">
        <x:v>Filiz Fairweather</x:v>
      </x:c>
      <x:c r="O96" s="14" t="str">
        <x:v>nm9267340</x:v>
      </x:c>
      <x:c r="P96" s="14" t="str">
        <x:v>Teacher</x:v>
      </x:c>
      <x:c r="Q96" s="15" t="n">
        <x:v>1</x:v>
      </x:c>
      <x:c r="R96" s="14" t="str">
        <x:v>2024</x:v>
      </x:c>
      <x:c r="S96" s="14" t="n">
        <x:v>2024</x:v>
      </x:c>
      <x:c r="T96" s="14" t="n">
        <x:v>2024</x:v>
      </x:c>
      <x:c r="U96" s="14" t="str">
        <x:v>Unresolved</x:v>
      </x:c>
      <x:c r="V96" s="14" t="str">
        <x:v>Production scope or source year is unresolved.</x:v>
      </x:c>
      <x:c r="W96" s="14" t="str">
        <x:v>Review required</x:v>
      </x:c>
      <x:c r="X96" s="14" t="str">
        <x:v>Review required</x:v>
      </x:c>
      <x:c r="Y96" s="14"/>
      <x:c r="Z96" s="14" t="str">
        <x:v>Sweatpea(1).docx</x:v>
      </x:c>
      <x:c r="AA96" s="14" t="str">
        <x:v>HYPERLINK is not implemented. linkLocation=https://www.imdb.com/title/tt11218290/fullcredits/, friendlyName=Open source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/>
      <x:c r="AI96" s="14"/>
      <x:c r="AJ96" s="14" t="str">
        <x:v>No master-list match</x:v>
      </x:c>
      <x:c r="AK96" s="14" t="str">
        <x:v>Unresolved</x:v>
      </x:c>
      <x:c r="AL96" s="14" t="str">
        <x:v>No matching production in master register.</x:v>
      </x:c>
      <x:c r="AM96" s="14"/>
      <x:c r="AN96" s="14" t="str">
        <x:v>Relationship unresolved</x:v>
      </x:c>
      <x:c r="AO96" s="14" t="str">
        <x:v>Review required</x:v>
      </x:c>
      <x:c r="AP96" s="14" t="str">
        <x:v>Review required</x:v>
      </x:c>
      <x:c r="AQ96" s="14" t="str">
        <x:v>Review required</x:v>
      </x:c>
      <x:c r="AR96" s="14" t="str">
        <x:v>Review required</x:v>
      </x:c>
      <x:c r="AS96" s="14" t="str">
        <x:v>No established-register match</x:v>
      </x:c>
      <x:c r="AT96" s="14"/>
      <x:c r="AU96" s="14"/>
      <x:c r="AV96" s="14" t="str">
        <x:v>No established apparent-disability match</x:v>
      </x:c>
      <x:c r="AW96" s="14"/>
      <x:c r="AX96" s="14" t="str">
        <x:v>No</x:v>
      </x:c>
      <x:c r="AY96" s="14" t="str">
        <x:v>Unmatched</x:v>
      </x:c>
      <x:c r="AZ96" s="14" t="str">
        <x:v>Final supplied register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/>
      <x:c r="BP96" s="14" t="str">
        <x:v>Unable to calculate from supplied records.</x:v>
      </x:c>
      <x:c r="BQ96" s="14" t="str">
        <x:v>Unable to determine</x:v>
      </x:c>
      <x:c r="BR96" s="15" t="n">
        <x:v>1</x:v>
      </x:c>
      <x:c r="BS96" s="16"/>
      <x:c r="BT96" s="14" t="str">
        <x:v>Unable to calculate</x:v>
      </x:c>
      <x:c r="BU96" s="14" t="str">
        <x:v>Unable to determine</x:v>
      </x:c>
      <x:c r="BV96" s="14" t="str">
        <x:v>Episode count or production-total proxy unavailable.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HYPERLINK is not implemented. linkLocation=https://www.imdb.com/title/tt11218290/fullcredits/, friendlyName=Open source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64dd4df6a8324a4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2" hidden="0" customWidth="1"/>
    <x:col min="3" max="3" width="52" hidden="0" customWidth="1"/>
    <x:col min="4" max="4" width="24" hidden="0" customWidth="1"/>
    <x:col min="5" max="5" width="58" hidden="0" customWidth="1"/>
  </x:cols>
  <x:sheetData>
    <x:row r="1" ht="30" customHeight="1">
      <x:c r="A1" s="3" t="str">
        <x:v>Duplicate and conflict log</x:v>
      </x:c>
      <x:c r="B1" s="3"/>
      <x:c r="C1" s="3"/>
      <x:c r="D1" s="3"/>
      <x:c r="E1" s="3"/>
    </x:row>
    <x:row r="2" ht="42" customHeight="1">
      <x:c r="A2" s="7" t="str">
        <x:v>0 repeated source records were removed from analytical counts; provenance remains here.</x:v>
      </x:c>
      <x:c r="B2" s="7"/>
      <x:c r="C2" s="7"/>
      <x:c r="D2" s="7"/>
      <x:c r="E2" s="7"/>
    </x:row>
    <x:row r="5" ht="34" customHeight="1">
      <x:c r="A5" s="11" t="str">
        <x:v>Canonical casting-credit key</x:v>
      </x:c>
      <x:c r="B5" s="11" t="str">
        <x:v>Canonical source</x:v>
      </x:c>
      <x:c r="C5" s="11" t="str">
        <x:v>Duplicate source</x:v>
      </x:c>
      <x:c r="D5" s="11" t="str">
        <x:v>Conflict status</x:v>
      </x:c>
      <x:c r="E5" s="11" t="str">
        <x:v>Action</x:v>
      </x:c>
    </x:row>
    <x:row r="6">
      <x:c r="A6" s="14"/>
      <x:c r="B6" s="14"/>
      <x:c r="C6" s="14"/>
      <x:c r="D6" s="14" t="str">
        <x:v>None identified</x:v>
      </x:c>
      <x:c r="E6" s="14" t="str">
        <x:v>No duplicate casting-credit keys or material duplicate conflicts were identified.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45cebd3254640e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0" hidden="0" customWidth="1"/>
    <x:col min="2" max="2" width="18" hidden="0" customWidth="1"/>
  </x:cols>
  <x:sheetData>
    <x:row r="1" ht="30" customHeight="1">
      <x:c r="A1" s="3" t="str">
        <x:v>Carry-forward QA and reconciliation</x:v>
      </x:c>
      <x:c r="B1" s="3"/>
    </x:row>
    <x:row r="2" ht="42" customHeight="1">
      <x:c r="A2" s="7" t="str">
        <x:v>The final-year ledger retains post-study and unresolved records, records 2025 promotions, and creates no principal cohort after 2025.</x:v>
      </x:c>
      <x:c r="B2" s="7"/>
    </x:row>
    <x:row r="5" ht="34" customHeight="1">
      <x:c r="A5" s="11" t="str">
        <x:v>Measure</x:v>
      </x:c>
      <x:c r="B5" s="11" t="str">
        <x:v>Count</x:v>
      </x:c>
    </x:row>
    <x:row r="6">
      <x:c r="A6" s="14" t="str">
        <x:v>Raw current-year records</x:v>
      </x:c>
      <x:c r="B6" s="14" t="n">
        <x:v>2559</x:v>
      </x:c>
    </x:row>
    <x:row r="7">
      <x:c r="A7" s="14" t="str">
        <x:v>Inherited remaining ledger records</x:v>
      </x:c>
      <x:c r="B7" s="14" t="n">
        <x:v>1253</x:v>
      </x:c>
    </x:row>
    <x:row r="8">
      <x:c r="A8" s="14" t="str">
        <x:v>Canonical records</x:v>
      </x:c>
      <x:c r="B8" s="14" t="n">
        <x:v>3812</x:v>
      </x:c>
    </x:row>
    <x:row r="9">
      <x:c r="A9" s="14" t="str">
        <x:v>Duplicates logged</x:v>
      </x:c>
      <x:c r="B9" s="14" t="n">
        <x:v>0</x:v>
      </x:c>
    </x:row>
    <x:row r="10">
      <x:c r="A10" s="14" t="str">
        <x:v>Reconciliation difference</x:v>
      </x:c>
      <x:c r="B10" s="14" t="n">
        <x:v>0</x:v>
      </x:c>
    </x:row>
    <x:row r="11">
      <x:c r="A11" s="14" t="str">
        <x:v>Future records carried forward</x:v>
      </x:c>
      <x:c r="B11" s="14" t="n">
        <x:v>0</x:v>
      </x:c>
    </x:row>
    <x:row r="12">
      <x:c r="A12" s="14" t="str">
        <x:v>Post-2025 exclusions</x:v>
      </x:c>
      <x:c r="B12" s="14" t="n">
        <x:v>557</x:v>
      </x:c>
    </x:row>
    <x:row r="13">
      <x:c r="A13" s="14" t="str">
        <x:v>Unresolved records</x:v>
      </x:c>
      <x:c r="B13" s="14" t="n">
        <x:v>91</x:v>
      </x:c>
    </x:row>
    <x:row r="14">
      <x:c r="A14" s="14" t="str">
        <x:v>Legacy Mobility rows not inherited</x:v>
      </x:c>
      <x:c r="B14" s="14" t="n">
        <x:v>5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5b495e3c44d40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75" hidden="0" customWidth="1"/>
  </x:cols>
  <x:sheetData>
    <x:row r="1" ht="30" customHeight="1">
      <x:c r="A1" s="3" t="str">
        <x:v>Carry-forward data dictionary</x:v>
      </x:c>
      <x:c r="B1" s="3"/>
      <x:c r="C1" s="3"/>
    </x:row>
    <x:row r="2" ht="42" customHeight="1">
      <x:c r="A2" s="7" t="str">
        <x:v>Field groups used consistently across the cumulative ledger.</x:v>
      </x:c>
      <x:c r="B2" s="7"/>
      <x:c r="C2" s="7"/>
    </x:row>
    <x:row r="5" ht="34" customHeight="1">
      <x:c r="A5" s="11" t="str">
        <x:v>Field</x:v>
      </x:c>
      <x:c r="B5" s="11" t="str">
        <x:v>Group</x:v>
      </x:c>
      <x:c r="C5" s="11" t="str">
        <x:v>Use</x:v>
      </x:c>
    </x:row>
    <x:row r="6">
      <x:c r="A6" s="14" t="str">
        <x:v>Canonical casting-credit key</x:v>
      </x:c>
      <x:c r="B6" s="14" t="str">
        <x:v>Cast/source field</x:v>
      </x:c>
      <x:c r="C6" s="14" t="str">
        <x:v>Retained without overwriting source values; derived values are separately labelled.</x:v>
      </x:c>
    </x:row>
    <x:row r="7">
      <x:c r="A7" s="14" t="str">
        <x:v>Source batch</x:v>
      </x:c>
      <x:c r="B7" s="14" t="str">
        <x:v>Cast/source field</x:v>
      </x:c>
      <x:c r="C7" s="14" t="str">
        <x:v>Retained without overwriting source values; derived values are separately labelled.</x:v>
      </x:c>
    </x:row>
    <x:row r="8">
      <x:c r="A8" s="14" t="str">
        <x:v>Source workbook</x:v>
      </x:c>
      <x:c r="B8" s="14" t="str">
        <x:v>Cast/source field</x:v>
      </x:c>
      <x:c r="C8" s="14" t="str">
        <x:v>Retained without overwriting source values; derived values are separately labelled.</x:v>
      </x:c>
    </x:row>
    <x:row r="9">
      <x:c r="A9" s="14" t="str">
        <x:v>Source worksheet</x:v>
      </x:c>
      <x:c r="B9" s="14" t="str">
        <x:v>Cast/source field</x:v>
      </x:c>
      <x:c r="C9" s="14" t="str">
        <x:v>Retained without overwriting source values; derived values are separately labelled.</x:v>
      </x:c>
    </x:row>
    <x:row r="10">
      <x:c r="A10" s="14" t="str">
        <x:v>Source row</x:v>
      </x:c>
      <x:c r="B10" s="14" t="str">
        <x:v>Cast/source field</x:v>
      </x:c>
      <x:c r="C10" s="14" t="str">
        <x:v>Retained without overwriting source values; derived values are separately labelled.</x:v>
      </x:c>
    </x:row>
    <x:row r="11">
      <x:c r="A11" s="14" t="str">
        <x:v>Production</x:v>
      </x:c>
      <x:c r="B11" s="14" t="str">
        <x:v>Cast/source field</x:v>
      </x:c>
      <x:c r="C11" s="14" t="str">
        <x:v>Retained without overwriting source values; derived values are separately labelled.</x:v>
      </x:c>
    </x:row>
    <x:row r="12">
      <x:c r="A12" s="14" t="str">
        <x:v>IMDb title ID</x:v>
      </x:c>
      <x:c r="B12" s="14" t="str">
        <x:v>Cast/source field</x:v>
      </x:c>
      <x:c r="C12" s="14" t="str">
        <x:v>Retained without overwriting source values; derived values are separately labelled.</x:v>
      </x:c>
    </x:row>
    <x:row r="13">
      <x:c r="A13" s="14" t="str">
        <x:v>Production entry year</x:v>
      </x:c>
      <x:c r="B13" s="14" t="str">
        <x:v>Year/provenance field</x:v>
      </x:c>
      <x:c r="C13" s="14" t="str">
        <x:v>Retained without overwriting source values; derived values are separately labelled.</x:v>
      </x:c>
    </x:row>
    <x:row r="14">
      <x:c r="A14" s="14" t="str">
        <x:v>Current study year</x:v>
      </x:c>
      <x:c r="B14" s="14" t="str">
        <x:v>Year/provenance field</x:v>
      </x:c>
      <x:c r="C14" s="14" t="str">
        <x:v>Retained without overwriting source values; derived values are separately labelled.</x:v>
      </x:c>
    </x:row>
    <x:row r="15">
      <x:c r="A15" s="14" t="str">
        <x:v>Annual cohort</x:v>
      </x:c>
      <x:c r="B15" s="14" t="str">
        <x:v>Cast/source field</x:v>
      </x:c>
      <x:c r="C15" s="14" t="str">
        <x:v>Retained without overwriting source values; derived values are separately labelled.</x:v>
      </x:c>
    </x:row>
    <x:row r="16">
      <x:c r="A16" s="14" t="str">
        <x:v>Carry-forward source year</x:v>
      </x:c>
      <x:c r="B16" s="14" t="str">
        <x:v>Year/provenance field</x:v>
      </x:c>
      <x:c r="C16" s="14" t="str">
        <x:v>Retained without overwriting source values; derived values are separately labelled.</x:v>
      </x:c>
    </x:row>
    <x:row r="17">
      <x:c r="A17" s="14" t="str">
        <x:v>Carry-forward status</x:v>
      </x:c>
      <x:c r="B17" s="14" t="str">
        <x:v>Cast/source field</x:v>
      </x:c>
      <x:c r="C17" s="14" t="str">
        <x:v>Retained without overwriting source values; derived values are separately labelled.</x:v>
      </x:c>
    </x:row>
    <x:row r="18">
      <x:c r="A18" s="14" t="str">
        <x:v>Order</x:v>
      </x:c>
      <x:c r="B18" s="14" t="str">
        <x:v>Cast/source field</x:v>
      </x:c>
      <x:c r="C18" s="14" t="str">
        <x:v>Retained without overwriting source values; derived values are separately labelled.</x:v>
      </x:c>
    </x:row>
    <x:row r="19">
      <x:c r="A19" s="14" t="str">
        <x:v>Actor</x:v>
      </x:c>
      <x:c r="B19" s="14" t="str">
        <x:v>Cast/source field</x:v>
      </x:c>
      <x:c r="C19" s="14" t="str">
        <x:v>Retained without overwriting source values; derived values are separately labelled.</x:v>
      </x:c>
    </x:row>
    <x:row r="20">
      <x:c r="A20" s="14" t="str">
        <x:v>IMDb performer ID</x:v>
      </x:c>
      <x:c r="B20" s="14" t="str">
        <x:v>Cast/source field</x:v>
      </x:c>
      <x:c r="C20" s="14" t="str">
        <x:v>Retained without overwriting source values; derived values are separately labelled.</x:v>
      </x:c>
    </x:row>
    <x:row r="21">
      <x:c r="A21" s="14" t="str">
        <x:v>Character / role</x:v>
      </x:c>
      <x:c r="B21" s="14" t="str">
        <x:v>Cast/source field</x:v>
      </x:c>
      <x:c r="C21" s="14" t="str">
        <x:v>Retained without overwriting source values; derived values are separately labelled.</x:v>
      </x:c>
    </x:row>
    <x:row r="22">
      <x:c r="A22" s="14" t="str">
        <x:v>Episodes</x:v>
      </x:c>
      <x:c r="B22" s="14" t="str">
        <x:v>Cast/source field</x:v>
      </x:c>
      <x:c r="C22" s="14" t="str">
        <x:v>Retained without overwriting source values; derived values are separately labelled.</x:v>
      </x:c>
    </x:row>
    <x:row r="23">
      <x:c r="A23" s="14" t="str">
        <x:v>Original Years</x:v>
      </x:c>
      <x:c r="B23" s="14" t="str">
        <x:v>Year/provenance field</x:v>
      </x:c>
      <x:c r="C23" s="14" t="str">
        <x:v>Retained without overwriting source values; derived values are separately labelled.</x:v>
      </x:c>
    </x:row>
    <x:row r="24">
      <x:c r="A24" s="14" t="str">
        <x:v>Derived first appearance year</x:v>
      </x:c>
      <x:c r="B24" s="14" t="str">
        <x:v>Year/provenance field</x:v>
      </x:c>
      <x:c r="C24" s="14" t="str">
        <x:v>Retained without overwriting source values; derived values are separately labelled.</x:v>
      </x:c>
    </x:row>
    <x:row r="25">
      <x:c r="A25" s="14" t="str">
        <x:v>Study first appearance year</x:v>
      </x:c>
      <x:c r="B25" s="14" t="str">
        <x:v>Year/provenance field</x:v>
      </x:c>
      <x:c r="C25" s="14" t="str">
        <x:v>Retained without overwriting source values; derived values are separately labelled.</x:v>
      </x:c>
    </x:row>
    <x:row r="26">
      <x:c r="A26" s="14" t="str">
        <x:v>Year treatment</x:v>
      </x:c>
      <x:c r="B26" s="14" t="str">
        <x:v>Year/provenance field</x:v>
      </x:c>
      <x:c r="C26" s="14" t="str">
        <x:v>Retained without overwriting source values; derived values are separately labelled.</x:v>
      </x:c>
    </x:row>
    <x:row r="27">
      <x:c r="A27" s="14" t="str">
        <x:v>Year-treatment reason</x:v>
      </x:c>
      <x:c r="B27" s="14" t="str">
        <x:v>Year/provenance field</x:v>
      </x:c>
      <x:c r="C27" s="14" t="str">
        <x:v>Retained without overwriting source values; derived values are separately labelled.</x:v>
      </x:c>
    </x:row>
    <x:row r="28">
      <x:c r="A28" s="14" t="str">
        <x:v>Original-year review flag</x:v>
      </x:c>
      <x:c r="B28" s="14" t="str">
        <x:v>Year/provenance field</x:v>
      </x:c>
      <x:c r="C28" s="14" t="str">
        <x:v>Retained without overwriting source values; derived values are separately labelled.</x:v>
      </x:c>
    </x:row>
    <x:row r="29">
      <x:c r="A29" s="14" t="str">
        <x:v>Current-year inclusion status</x:v>
      </x:c>
      <x:c r="B29" s="14" t="str">
        <x:v>Year/provenance field</x:v>
      </x:c>
      <x:c r="C29" s="14" t="str">
        <x:v>Retained without overwriting source values; derived values are separately labelled.</x:v>
      </x:c>
    </x:row>
    <x:row r="30">
      <x:c r="A30" s="14" t="str">
        <x:v>Credit notes</x:v>
      </x:c>
      <x:c r="B30" s="14" t="str">
        <x:v>Cast/source field</x:v>
      </x:c>
      <x:c r="C30" s="14" t="str">
        <x:v>Retained without overwriting source values; derived values are separately labelled.</x:v>
      </x:c>
    </x:row>
    <x:row r="31">
      <x:c r="A31" s="14" t="str">
        <x:v>Source document</x:v>
      </x:c>
      <x:c r="B31" s="14" t="str">
        <x:v>Cast/source field</x:v>
      </x:c>
      <x:c r="C31" s="14" t="str">
        <x:v>Retained without overwriting source values; derived values are separately labelled.</x:v>
      </x:c>
    </x:row>
    <x:row r="32">
      <x:c r="A32" s="14" t="str">
        <x:v>IMDb full credits</x:v>
      </x:c>
      <x:c r="B32" s="14" t="str">
        <x:v>Cast/source field</x:v>
      </x:c>
      <x:c r="C32" s="14" t="str">
        <x:v>Retained without overwriting source values; derived values are separately labelled.</x:v>
      </x:c>
    </x:row>
    <x:row r="33">
      <x:c r="A33" s="14" t="str">
        <x:v>Original disability research status</x:v>
      </x:c>
      <x:c r="B33" s="14" t="str">
        <x:v>Disability-register field</x:v>
      </x:c>
      <x:c r="C33" s="14" t="str">
        <x:v>Retained without overwriting source values; derived values are separately labelled.</x:v>
      </x:c>
    </x:row>
    <x:row r="34">
      <x:c r="A34" s="14" t="str">
        <x:v>Original apparent category</x:v>
      </x:c>
      <x:c r="B34" s="14" t="str">
        <x:v>Cast/source field</x:v>
      </x:c>
      <x:c r="C34" s="14" t="str">
        <x:v>Retained without overwriting source values; derived values are separately labelled.</x:v>
      </x:c>
    </x:row>
    <x:row r="35">
      <x:c r="A35" s="14" t="str">
        <x:v>Original performer evidence summary</x:v>
      </x:c>
      <x:c r="B35" s="14" t="str">
        <x:v>Cast/source field</x:v>
      </x:c>
      <x:c r="C35" s="14" t="str">
        <x:v>Retained without overwriting source values; derived values are separately labelled.</x:v>
      </x:c>
    </x:row>
    <x:row r="36">
      <x:c r="A36" s="14" t="str">
        <x:v>Original evidence source</x:v>
      </x:c>
      <x:c r="B36" s="14" t="str">
        <x:v>Cast/source field</x:v>
      </x:c>
      <x:c r="C36" s="14" t="str">
        <x:v>Retained without overwriting source values; derived values are separately labelled.</x:v>
      </x:c>
    </x:row>
    <x:row r="37">
      <x:c r="A37" s="14" t="str">
        <x:v>Original evidence URL</x:v>
      </x:c>
      <x:c r="B37" s="14" t="str">
        <x:v>Cast/source field</x:v>
      </x:c>
      <x:c r="C37" s="14" t="str">
        <x:v>Retained without overwriting source values; derived values are separately labelled.</x:v>
      </x:c>
    </x:row>
    <x:row r="38">
      <x:c r="A38" s="14" t="str">
        <x:v>Original research notes</x:v>
      </x:c>
      <x:c r="B38" s="14" t="str">
        <x:v>Cast/source field</x:v>
      </x:c>
      <x:c r="C38" s="14" t="str">
        <x:v>Retained without overwriting source values; derived values are separately labelled.</x:v>
      </x:c>
    </x:row>
    <x:row r="39">
      <x:c r="A39" s="14" t="str">
        <x:v>Commissioner or platform</x:v>
      </x:c>
      <x:c r="B39" s="14" t="str">
        <x:v>Cast/source field</x:v>
      </x:c>
      <x:c r="C39" s="14" t="str">
        <x:v>Retained without overwriting source values; derived values are separately labelled.</x:v>
      </x:c>
    </x:row>
    <x:row r="40">
      <x:c r="A40" s="14" t="str">
        <x:v>Commissioning basis</x:v>
      </x:c>
      <x:c r="B40" s="14" t="str">
        <x:v>Cast/source field</x:v>
      </x:c>
      <x:c r="C40" s="14" t="str">
        <x:v>Retained without overwriting source values; derived values are separately labelled.</x:v>
      </x:c>
    </x:row>
    <x:row r="41">
      <x:c r="A41" s="14" t="str">
        <x:v>Scope match</x:v>
      </x:c>
      <x:c r="B41" s="14" t="str">
        <x:v>Cast/source field</x:v>
      </x:c>
      <x:c r="C41" s="14" t="str">
        <x:v>Retained without overwriting source values; derived values are separately labelled.</x:v>
      </x:c>
    </x:row>
    <x:row r="42">
      <x:c r="A42" s="14" t="str">
        <x:v>Scope match confidence</x:v>
      </x:c>
      <x:c r="B42" s="14" t="str">
        <x:v>Cast/source field</x:v>
      </x:c>
      <x:c r="C42" s="14" t="str">
        <x:v>Retained without overwriting source values; derived values are separately labelled.</x:v>
      </x:c>
    </x:row>
    <x:row r="43">
      <x:c r="A43" s="14" t="str">
        <x:v>Scope evidence or decision note</x:v>
      </x:c>
      <x:c r="B43" s="14" t="str">
        <x:v>Cast/source field</x:v>
      </x:c>
      <x:c r="C43" s="14" t="str">
        <x:v>Retained without overwriting source values; derived values are separately labelled.</x:v>
      </x:c>
    </x:row>
    <x:row r="44">
      <x:c r="A44" s="14" t="str">
        <x:v>Scope evidence URL</x:v>
      </x:c>
      <x:c r="B44" s="14" t="str">
        <x:v>Cast/source field</x:v>
      </x:c>
      <x:c r="C44" s="14" t="str">
        <x:v>Retained without overwriting source values; derived values are separately labelled.</x:v>
      </x:c>
    </x:row>
    <x:row r="45">
      <x:c r="A45" s="14" t="str">
        <x:v>BBC relationship</x:v>
      </x:c>
      <x:c r="B45" s="14" t="str">
        <x:v>Scope field</x:v>
      </x:c>
      <x:c r="C45" s="14" t="str">
        <x:v>Retained without overwriting source values; derived values are separately labelled.</x:v>
      </x:c>
    </x:row>
    <x:row r="46">
      <x:c r="A46" s="14" t="str">
        <x:v>BBC policy cohort</x:v>
      </x:c>
      <x:c r="B46" s="14" t="str">
        <x:v>Scope field</x:v>
      </x:c>
      <x:c r="C46" s="14" t="str">
        <x:v>Retained without overwriting source values; derived values are separately labelled.</x:v>
      </x:c>
    </x:row>
    <x:row r="47">
      <x:c r="A47" s="14" t="str">
        <x:v>Ofcom regulatory cohort</x:v>
      </x:c>
      <x:c r="B47" s="14" t="str">
        <x:v>Scope field</x:v>
      </x:c>
      <x:c r="C47" s="14" t="str">
        <x:v>Retained without overwriting source values; derived values are separately labelled.</x:v>
      </x:c>
    </x:row>
    <x:row r="48">
      <x:c r="A48" s="14" t="str">
        <x:v>BBC scope status</x:v>
      </x:c>
      <x:c r="B48" s="14" t="str">
        <x:v>Scope field</x:v>
      </x:c>
      <x:c r="C48" s="14" t="str">
        <x:v>Retained without overwriting source values; derived values are separately labelled.</x:v>
      </x:c>
    </x:row>
    <x:row r="49">
      <x:c r="A49" s="14" t="str">
        <x:v>BBC scope review status</x:v>
      </x:c>
      <x:c r="B49" s="14" t="str">
        <x:v>Scope field</x:v>
      </x:c>
      <x:c r="C49" s="14" t="str">
        <x:v>Retained without overwriting source values; derived values are separately labelled.</x:v>
      </x:c>
    </x:row>
    <x:row r="50">
      <x:c r="A50" s="14" t="str">
        <x:v>Prior register match</x:v>
      </x:c>
      <x:c r="B50" s="14" t="str">
        <x:v>Cast/source field</x:v>
      </x:c>
      <x:c r="C50" s="14" t="str">
        <x:v>Retained without overwriting source values; derived values are separately labelled.</x:v>
      </x:c>
    </x:row>
    <x:row r="51">
      <x:c r="A51" s="14" t="str">
        <x:v>Prior register performer ID</x:v>
      </x:c>
      <x:c r="B51" s="14" t="str">
        <x:v>Cast/source field</x:v>
      </x:c>
      <x:c r="C51" s="14" t="str">
        <x:v>Retained without overwriting source values; derived values are separately labelled.</x:v>
      </x:c>
    </x:row>
    <x:row r="52">
      <x:c r="A52" s="14" t="str">
        <x:v>Prior controlled categories</x:v>
      </x:c>
      <x:c r="B52" s="14" t="str">
        <x:v>Cast/source field</x:v>
      </x:c>
      <x:c r="C52" s="14" t="str">
        <x:v>Retained without overwriting source values; derived values are separately labelled.</x:v>
      </x:c>
    </x:row>
    <x:row r="53">
      <x:c r="A53" s="14" t="str">
        <x:v>Prior apparent-disability classification</x:v>
      </x:c>
      <x:c r="B53" s="14" t="str">
        <x:v>Disability-register field</x:v>
      </x:c>
      <x:c r="C53" s="14" t="str">
        <x:v>Retained without overwriting source values; derived values are separately labelled.</x:v>
      </x:c>
    </x:row>
    <x:row r="54">
      <x:c r="A54" s="14" t="str">
        <x:v>Prior apparent-disability categories</x:v>
      </x:c>
      <x:c r="B54" s="14" t="str">
        <x:v>Disability-register field</x:v>
      </x:c>
      <x:c r="C54" s="14" t="str">
        <x:v>Retained without overwriting source values; derived values are separately labelled.</x:v>
      </x:c>
    </x:row>
    <x:row r="55">
      <x:c r="A55" s="14" t="str">
        <x:v>Prior neurodivergent-only classification</x:v>
      </x:c>
      <x:c r="B55" s="14" t="str">
        <x:v>Cast/source field</x:v>
      </x:c>
      <x:c r="C55" s="14" t="str">
        <x:v>Retained without overwriting source values; derived values are separately labelled.</x:v>
      </x:c>
    </x:row>
    <x:row r="56">
      <x:c r="A56" s="14" t="str">
        <x:v>Prior register matching status</x:v>
      </x:c>
      <x:c r="B56" s="14" t="str">
        <x:v>Cast/source field</x:v>
      </x:c>
      <x:c r="C56" s="14" t="str">
        <x:v>Retained without overwriting source values; derived values are separately labelled.</x:v>
      </x:c>
    </x:row>
    <x:row r="57">
      <x:c r="A57" s="14" t="str">
        <x:v>Prior register version</x:v>
      </x:c>
      <x:c r="B57" s="14" t="str">
        <x:v>Cast/source field</x:v>
      </x:c>
      <x:c r="C57" s="14" t="str">
        <x:v>Retained without overwriting source values; derived values are separately labelled.</x:v>
      </x:c>
    </x:row>
    <x:row r="58">
      <x:c r="A58" s="14" t="str">
        <x:v>Prior register matching notes</x:v>
      </x:c>
      <x:c r="B58" s="14" t="str">
        <x:v>Cast/source field</x:v>
      </x:c>
      <x:c r="C58" s="14" t="str">
        <x:v>Retained without overwriting source values; derived values are separately labelled.</x:v>
      </x:c>
    </x:row>
    <x:row r="59">
      <x:c r="A59" s="14" t="str">
        <x:v>Register match</x:v>
      </x:c>
      <x:c r="B59" s="14" t="str">
        <x:v>Disability-register field</x:v>
      </x:c>
      <x:c r="C59" s="14" t="str">
        <x:v>Retained without overwriting source values; derived values are separately labelled.</x:v>
      </x:c>
    </x:row>
    <x:row r="60">
      <x:c r="A60" s="14" t="str">
        <x:v>Register performer ID</x:v>
      </x:c>
      <x:c r="B60" s="14" t="str">
        <x:v>Disability-register field</x:v>
      </x:c>
      <x:c r="C60" s="14" t="str">
        <x:v>Retained without overwriting source values; derived values are separately labelled.</x:v>
      </x:c>
    </x:row>
    <x:row r="61">
      <x:c r="A61" s="14" t="str">
        <x:v>Register name</x:v>
      </x:c>
      <x:c r="B61" s="14" t="str">
        <x:v>Disability-register field</x:v>
      </x:c>
      <x:c r="C61" s="14" t="str">
        <x:v>Retained without overwriting source values; derived values are separately labelled.</x:v>
      </x:c>
    </x:row>
    <x:row r="62">
      <x:c r="A62" s="14" t="str">
        <x:v>Controlled disability categories</x:v>
      </x:c>
      <x:c r="B62" s="14" t="str">
        <x:v>Disability-register field</x:v>
      </x:c>
      <x:c r="C62" s="14" t="str">
        <x:v>Retained without overwriting source values; derived values are separately labelled.</x:v>
      </x:c>
    </x:row>
    <x:row r="63">
      <x:c r="A63" s="14" t="str">
        <x:v>Apparent-disability classification</x:v>
      </x:c>
      <x:c r="B63" s="14" t="str">
        <x:v>Disability-register field</x:v>
      </x:c>
      <x:c r="C63" s="14" t="str">
        <x:v>Retained without overwriting source values; derived values are separately labelled.</x:v>
      </x:c>
    </x:row>
    <x:row r="64">
      <x:c r="A64" s="14" t="str">
        <x:v>Apparent-disability categories</x:v>
      </x:c>
      <x:c r="B64" s="14" t="str">
        <x:v>Disability-register field</x:v>
      </x:c>
      <x:c r="C64" s="14" t="str">
        <x:v>Retained without overwriting source values; derived values are separately labelled.</x:v>
      </x:c>
    </x:row>
    <x:row r="65">
      <x:c r="A65" s="14" t="str">
        <x:v>Neurodivergent-only classification</x:v>
      </x:c>
      <x:c r="B65" s="14" t="str">
        <x:v>Cast/source field</x:v>
      </x:c>
      <x:c r="C65" s="14" t="str">
        <x:v>Retained without overwriting source values; derived values are separately labelled.</x:v>
      </x:c>
    </x:row>
    <x:row r="66">
      <x:c r="A66" s="14" t="str">
        <x:v>Evidence summary</x:v>
      </x:c>
      <x:c r="B66" s="14" t="str">
        <x:v>Cast/source field</x:v>
      </x:c>
      <x:c r="C66" s="14" t="str">
        <x:v>Retained without overwriting source values; derived values are separately labelled.</x:v>
      </x:c>
    </x:row>
    <x:row r="67">
      <x:c r="A67" s="14" t="str">
        <x:v>Evidence source</x:v>
      </x:c>
      <x:c r="B67" s="14" t="str">
        <x:v>Cast/source field</x:v>
      </x:c>
      <x:c r="C67" s="14" t="str">
        <x:v>Retained without overwriting source values; derived values are separately labelled.</x:v>
      </x:c>
    </x:row>
    <x:row r="68">
      <x:c r="A68" s="14" t="str">
        <x:v>Evidence URL</x:v>
      </x:c>
      <x:c r="B68" s="14" t="str">
        <x:v>Cast/source field</x:v>
      </x:c>
      <x:c r="C68" s="14" t="str">
        <x:v>Retained without overwriting source values; derived values are separately labelled.</x:v>
      </x:c>
    </x:row>
    <x:row r="69">
      <x:c r="A69" s="14" t="str">
        <x:v>Register matching status</x:v>
      </x:c>
      <x:c r="B69" s="14" t="str">
        <x:v>Disability-register field</x:v>
      </x:c>
      <x:c r="C69" s="14" t="str">
        <x:v>Retained without overwriting source values; derived values are separately labelled.</x:v>
      </x:c>
    </x:row>
    <x:row r="70">
      <x:c r="A70" s="14" t="str">
        <x:v>Register version</x:v>
      </x:c>
      <x:c r="B70" s="14" t="str">
        <x:v>Disability-register field</x:v>
      </x:c>
      <x:c r="C70" s="14" t="str">
        <x:v>Retained without overwriting source values; derived values are separately labelled.</x:v>
      </x:c>
    </x:row>
    <x:row r="71">
      <x:c r="A71" s="14" t="str">
        <x:v>Register matching notes</x:v>
      </x:c>
      <x:c r="B71" s="14" t="str">
        <x:v>Disability-register field</x:v>
      </x:c>
      <x:c r="C71" s="14" t="str">
        <x:v>Retained without overwriting source values; derived values are separately labelled.</x:v>
      </x:c>
    </x:row>
    <x:row r="72">
      <x:c r="A72" s="14" t="str">
        <x:v>Production episode total</x:v>
      </x:c>
      <x:c r="B72" s="14" t="str">
        <x:v>Cast/source field</x:v>
      </x:c>
      <x:c r="C72" s="14" t="str">
        <x:v>Retained without overwriting source values; derived values are separately labelled.</x:v>
      </x:c>
    </x:row>
    <x:row r="73">
      <x:c r="A73" s="14" t="str">
        <x:v>Episode-total basis</x:v>
      </x:c>
      <x:c r="B73" s="14" t="str">
        <x:v>Cast/source field</x:v>
      </x:c>
      <x:c r="C73" s="14" t="str">
        <x:v>Retained without overwriting source values; derived values are separately labelled.</x:v>
      </x:c>
    </x:row>
    <x:row r="74">
      <x:c r="A74" s="14" t="str">
        <x:v>Episode-total confidence</x:v>
      </x:c>
      <x:c r="B74" s="14" t="str">
        <x:v>Cast/source field</x:v>
      </x:c>
      <x:c r="C74" s="14" t="str">
        <x:v>Retained without overwriting source values; derived values are separately labelled.</x:v>
      </x:c>
    </x:row>
    <x:row r="75">
      <x:c r="A75" s="14" t="str">
        <x:v>Episodes credited</x:v>
      </x:c>
      <x:c r="B75" s="14" t="str">
        <x:v>Cast/source field</x:v>
      </x:c>
      <x:c r="C75" s="14" t="str">
        <x:v>Retained without overwriting source values; derived values are separately labelled.</x:v>
      </x:c>
    </x:row>
    <x:row r="76">
      <x:c r="A76" s="14" t="str">
        <x:v>Episode coverage percentage</x:v>
      </x:c>
      <x:c r="B76" s="14" t="str">
        <x:v>Cast/source field</x:v>
      </x:c>
      <x:c r="C76" s="14" t="str">
        <x:v>Retained without overwriting source values; derived values are separately labelled.</x:v>
      </x:c>
    </x:row>
    <x:row r="77">
      <x:c r="A77" s="14" t="str">
        <x:v>Episode-presence band</x:v>
      </x:c>
      <x:c r="B77" s="14" t="str">
        <x:v>Cast/source field</x:v>
      </x:c>
      <x:c r="C77" s="14" t="str">
        <x:v>Retained without overwriting source values; derived values are separately labelled.</x:v>
      </x:c>
    </x:row>
    <x:row r="78">
      <x:c r="A78" s="14" t="str">
        <x:v>Episode-presence confidence</x:v>
      </x:c>
      <x:c r="B78" s="14" t="str">
        <x:v>Cast/source field</x:v>
      </x:c>
      <x:c r="C78" s="14" t="str">
        <x:v>Retained without overwriting source values; derived values are separately labelled.</x:v>
      </x:c>
    </x:row>
    <x:row r="79">
      <x:c r="A79" s="14" t="str">
        <x:v>Episode-presence notes</x:v>
      </x:c>
      <x:c r="B79" s="14" t="str">
        <x:v>Cast/source field</x:v>
      </x:c>
      <x:c r="C79" s="14" t="str">
        <x:v>Retained without overwriting source values; derived values are separately labelled.</x:v>
      </x:c>
    </x:row>
    <x:row r="80">
      <x:c r="A80" s="14" t="str">
        <x:v>Narrative prominence</x:v>
      </x:c>
      <x:c r="B80" s="14" t="str">
        <x:v>Cast/source field</x:v>
      </x:c>
      <x:c r="C80" s="14" t="str">
        <x:v>Retained without overwriting source values; derived values are separately labelled.</x:v>
      </x:c>
    </x:row>
    <x:row r="81">
      <x:c r="A81" s="14" t="str">
        <x:v>Prominence evidence or basis</x:v>
      </x:c>
      <x:c r="B81" s="14" t="str">
        <x:v>Cast/source field</x:v>
      </x:c>
      <x:c r="C81" s="14" t="str">
        <x:v>Retained without overwriting source values; derived values are separately labelled.</x:v>
      </x:c>
    </x:row>
    <x:row r="82">
      <x:c r="A82" s="14" t="str">
        <x:v>Prominence source</x:v>
      </x:c>
      <x:c r="B82" s="14" t="str">
        <x:v>Cast/source field</x:v>
      </x:c>
      <x:c r="C82" s="14" t="str">
        <x:v>Retained without overwriting source values; derived values are separately labelled.</x:v>
      </x:c>
    </x:row>
    <x:row r="83">
      <x:c r="A83" s="14" t="str">
        <x:v>Prominence source URL</x:v>
      </x:c>
      <x:c r="B83" s="14" t="str">
        <x:v>Cast/source field</x:v>
      </x:c>
      <x:c r="C83" s="14" t="str">
        <x:v>Retained without overwriting source values; derived values are separately labelled.</x:v>
      </x:c>
    </x:row>
    <x:row r="84">
      <x:c r="A84" s="14" t="str">
        <x:v>Prominence confidence</x:v>
      </x:c>
      <x:c r="B84" s="14" t="str">
        <x:v>Cast/source field</x:v>
      </x:c>
      <x:c r="C84" s="14" t="str">
        <x:v>Retained without overwriting source values; derived values are separately labelled.</x:v>
      </x:c>
    </x:row>
    <x:row r="85">
      <x:c r="A85" s="14" t="str">
        <x:v>Prominence review status</x:v>
      </x:c>
      <x:c r="B85" s="14" t="str">
        <x:v>Cast/source field</x:v>
      </x:c>
      <x:c r="C85" s="14" t="str">
        <x:v>Retained without overwriting source values; derived values are separately labelled.</x:v>
      </x:c>
    </x:row>
    <x:row r="86">
      <x:c r="A86" s="14" t="str">
        <x:v>Duplicate status</x:v>
      </x:c>
      <x:c r="B86" s="14" t="str">
        <x:v>Cast/source field</x:v>
      </x:c>
      <x:c r="C86" s="14" t="str">
        <x:v>Retained without overwriting source values; derived values are separately labelled.</x:v>
      </x:c>
    </x:row>
    <x:row r="87">
      <x:c r="A87" s="14" t="str">
        <x:v>Conflict status</x:v>
      </x:c>
      <x:c r="B87" s="14" t="str">
        <x:v>Cast/source field</x:v>
      </x:c>
      <x:c r="C87" s="14" t="str">
        <x:v>Retained without overwriting source values; derived values are separately labelled.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8e60e61f1594477"/>
  </x:tableParts>
</x:worksheet>
</file>